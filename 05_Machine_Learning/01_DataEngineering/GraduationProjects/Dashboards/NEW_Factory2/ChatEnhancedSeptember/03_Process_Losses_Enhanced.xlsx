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2d55174d4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5ae95e0bba04f08"/>
    <x:sheet xmlns:r="http://schemas.openxmlformats.org/officeDocument/2006/relationships" name="LossesOutput" sheetId="2" r:id="R14e5617f15554070"/>
    <x:sheet xmlns:r="http://schemas.openxmlformats.org/officeDocument/2006/relationships" name="_ProductionEventRef" sheetId="3" r:id="Rc318246bd0c84084"/>
    <x:sheet xmlns:r="http://schemas.openxmlformats.org/officeDocument/2006/relationships" name="_ValidationLists" sheetId="4" r:id="R7d2df8133f1c42c3"/>
    <x:sheet xmlns:r="http://schemas.openxmlformats.org/officeDocument/2006/relationships" name="LossDetail" sheetId="5" r:id="R830484e059544c41"/>
    <x:sheet xmlns:r="http://schemas.openxmlformats.org/officeDocument/2006/relationships" name="DQ_Quarantine" sheetId="6" r:id="Rb4ed4bf4c51f44df"/>
    <x:sheet xmlns:r="http://schemas.openxmlformats.org/officeDocument/2006/relationships" name="EnhancementGuide" sheetId="7" r:id="Rab6d310a116d4525"/>
  </x:sheets>
</x:workbook>
</file>

<file path=xl/sharedStrings.xml><?xml version="1.0" encoding="utf-8"?>
<x:sst xmlns:x="http://schemas.openxmlformats.org/spreadsheetml/2006/main">
  <x:si>
    <x:t xml:space="preserve">PROCESS LOSSES — Instructions</x:t>
  </x:si>
  <x:si>
    <x:t xml:space="preserve">Owner: Process Engineers</x:t>
  </x:si>
  <x:si>
    <x:t xml:space="preserve">This sheet is WIDE on purpose. SSIS will unpivot the 11 % columns.</x:t>
  </x:si>
  <x:si>
    <x:t xml:space="preserve">Business rules (locked):</x:t>
  </x:si>
  <x:si>
    <x:t xml:space="preserve">• Each % is a percentage of Design Output</x:t>
  </x:si>
  <x:si>
    <x:t xml:space="preserve">• ComputedValue = LossPercent × DesignOutput</x:t>
  </x:si>
  <x:si>
    <x:t xml:space="preserve">• Total Losses % = SUM of the 11 percentage columns</x:t>
  </x:si>
  <x:si>
    <x:t xml:space="preserve">Keep Excel column names WITHOUT _Pct suffix. SSIS maps them.</x:t>
  </x:si>
  <x:si>
    <x:t xml:space="preserve">Save as 03_Process_Losses_YYYYMMDD.xlsx into the OneDrive Daily folder</x:t>
  </x:si>
  <x:si>
    <x:t xml:space="preserve">Dataset note: one-week subset (2025-10-20 to 2025-10-26); rows remain keyed to production and loss percentages reconcile to TotalReject_Value.</x:t>
  </x:si>
  <x:si>
    <x:t xml:space="preserve">QA EXTENSION</x:t>
  </x:si>
  <x:si>
    <x:t xml:space="preserve">TotalLossPct and validation checks are appended; original A:R remain unchanged for Power BI compatibility.</x:t>
  </x:si>
  <x:si>
    <x:t xml:space="preserve">Percent fields are constrained to 0–100% and stable record IDs are calculated.</x:t>
  </x:si>
  <x:si>
    <x:t xml:space="preserve">LOSSES &amp; OUTPUT (WIDE FORMAT)</x:t>
  </x:si>
  <x:si>
    <x:t xml:space="preserve">Maps to STG_LOSSESOUTPUT → FACT_LOSSESOUTPUT (unpivoted)</x:t>
  </x:si>
  <x:si>
    <x:t xml:space="preserve">One row = Line + Date + Shift + Order. Percentages are of Design Output.</x:t>
  </x:si>
  <x:si>
    <x:t xml:space="preserve">FactoryCode</x:t>
  </x:si>
  <x:si>
    <x:t xml:space="preserve">LineNumber</x:t>
  </x:si>
  <x:si>
    <x:t xml:space="preserve">EventDate</x:t>
  </x:si>
  <x:si>
    <x:t xml:space="preserve">ShiftCode</x:t>
  </x:si>
  <x:si>
    <x:t xml:space="preserve">OrderNumber</x:t>
  </x:si>
  <x:si>
    <x:t xml:space="preserve">CaseName</x:t>
  </x:si>
  <x:si>
    <x:t xml:space="preserve">TotalReject_Value</x:t>
  </x:si>
  <x:si>
    <x:t xml:space="preserve">FixedLosses</x:t>
  </x:si>
  <x:si>
    <x:t xml:space="preserve">ISLosses</x:t>
  </x:si>
  <x:si>
    <x:t xml:space="preserve">HotEndConveyerLosses</x:t>
  </x:si>
  <x:si>
    <x:t xml:space="preserve">StuckDownLosses</x:t>
  </x:si>
  <x:si>
    <x:t xml:space="preserve">LehrLosses</x:t>
  </x:si>
  <x:si>
    <x:t xml:space="preserve">Evo16Losses</x:t>
  </x:si>
  <x:si>
    <x:t xml:space="preserve">Evo12Losses</x:t>
  </x:si>
  <x:si>
    <x:t xml:space="preserve">Evo5Losses</x:t>
  </x:si>
  <x:si>
    <x:t xml:space="preserve">SanliLosses</x:t>
  </x:si>
  <x:si>
    <x:t xml:space="preserve">VisualLosses</x:t>
  </x:si>
  <x:si>
    <x:t xml:space="preserve">PalletizerLosses</x:t>
  </x:si>
  <x:si>
    <x:t xml:space="preserve">TotalLossPct</x:t>
  </x:si>
  <x:si>
    <x:t xml:space="preserve">PercentRangeCheck</x:t>
  </x:si>
  <x:si>
    <x:t xml:space="preserve">LossRecordID</x:t>
  </x:si>
  <x:si>
    <x:t xml:space="preserve">RecordUniquenessCheck</x:t>
  </x:si>
  <x:si>
    <x:t xml:space="preserve">DataQualityCheck</x:t>
  </x:si>
  <x:si>
    <x:t xml:space="preserve">KG01</x:t>
  </x:si>
  <x:si>
    <x:t xml:space="preserve">AM</x:t>
  </x:si>
  <x:si>
    <x:t xml:space="preserve">ORD-2025-00019</x:t>
  </x:si>
  <x:si>
    <x:t xml:space="preserve">Normal</x:t>
  </x:si>
  <x:si>
    <x:t xml:space="preserve">PM</x:t>
  </x:si>
  <x:si>
    <x:t xml:space="preserve">ORD-2025-00020</x:t>
  </x:si>
  <x:si>
    <x:t xml:space="preserve">Trial</x:t>
  </x:si>
  <x:si>
    <x:t xml:space="preserve">ORD-2025-00021</x:t>
  </x:si>
  <x:si>
    <x:t xml:space="preserve">ORD-2025-00056</x:t>
  </x:si>
  <x:si>
    <x:t xml:space="preserve">ORD-2025-00057</x:t>
  </x:si>
  <x:si>
    <x:t xml:space="preserve">ORD-2025-00058</x:t>
  </x:si>
  <x:si>
    <x:t xml:space="preserve">ORD-2025-00092</x:t>
  </x:si>
  <x:si>
    <x:t xml:space="preserve">ORD-2025-00093</x:t>
  </x:si>
  <x:si>
    <x:t xml:space="preserve">ORD-2025-00094</x:t>
  </x:si>
  <x:si>
    <x:t xml:space="preserve">ORD-2025-00124</x:t>
  </x:si>
  <x:si>
    <x:t xml:space="preserve">ORD-2025-00125</x:t>
  </x:si>
  <x:si>
    <x:t xml:space="preserve">ORD-2025-00126</x:t>
  </x:si>
  <x:si>
    <x:t xml:space="preserve">ORD-2025-00161</x:t>
  </x:si>
  <x:si>
    <x:t xml:space="preserve">ORD-2025-00162</x:t>
  </x:si>
</x:sst>
</file>

<file path=xl/styles.xml><?xml version="1.0" encoding="utf-8"?>
<x:styleSheet xmlns:x="http://schemas.openxmlformats.org/spreadsheetml/2006/main">
  <x:numFmts count="3">
    <x:numFmt numFmtId="164" formatCode="yyyy\-mm\-dd"/>
    <x:numFmt numFmtId="200" formatCode="yyyy-mm-dd"/>
    <x:numFmt numFmtId="201" formatCode="0.00%"/>
  </x:numFmts>
  <x:fonts count="9">
    <x:font>
      <x:sz val="11"/>
      <x:name val="Carlito"/>
    </x:font>
    <x:font>
      <x:b/>
      <x:sz val="16"/>
      <x:color rgb="FF1F4E78"/>
      <x:name val="Carlito"/>
    </x:font>
    <x:font>
      <x:b/>
      <x:sz val="11"/>
      <x:name val="Carlito"/>
    </x:font>
    <x:font>
      <x:b/>
      <x:sz val="11"/>
      <x:color rgb="FFC00000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name val="Carlito"/>
    </x:font>
    <x:font>
      <x:i/>
      <x:sz val="11"/>
      <x:color rgb="FF202124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202326"/>
      </x:patternFill>
    </x:fill>
    <x:fill>
      <x:patternFill patternType="solid">
        <x:fgColor rgb="FF303438"/>
      </x:patternFill>
    </x:fill>
    <x:fill>
      <x:patternFill patternType="solid">
        <x:fgColor rgb="FF202326"/>
      </x:patternFill>
    </x:fill>
    <x:fill>
      <x:patternFill patternType="solid">
        <x:fgColor rgb="FFE9EDF3"/>
      </x:patternFill>
    </x:fill>
    <x:fill>
      <x:patternFill patternType="solid">
        <x:fgColor rgb="FF27345F"/>
      </x:patternFill>
    </x:fill>
  </x:fills>
  <x:borders count="2">
    <x:border/>
    <x:border/>
  </x:borders>
  <x:cellStyleXfs count="2">
    <x:xf numFmtId="0" fontId="0" fillId="0" borderId="0"/>
    <x:xf numFmtId="9" fontId="7" fillId="0" borderId="0" applyFont="0" applyFill="0" applyBorder="0" applyAlignment="0" applyProtection="0"/>
  </x:cellStyleXfs>
  <x:cellXfs count="73">
    <x:xf numFmtId="0" fontId="0" fillId="0" borderId="0" xfId="0"/>
    <x:xf numFmtId="0" fontId="1" fillId="0" borderId="0" xfId="0" applyFont="1" applyAlignment="1">
      <x:alignment wrapText="1"/>
    </x:xf>
    <x:xf numFmtId="0" fontId="0" fillId="0" borderId="0" xfId="0" applyAlignment="1">
      <x:alignment wrapText="1"/>
    </x:xf>
    <x:xf numFmtId="0" fontId="2" fillId="0" borderId="0" xfId="0" applyFont="1" applyAlignment="1">
      <x:alignment wrapText="1"/>
    </x:xf>
    <x:xf numFmtId="0" fontId="3" fillId="0" borderId="0" xfId="0" applyFont="1"/>
    <x:xf numFmtId="0" fontId="4" fillId="0" borderId="0" xfId="0" applyFont="1"/>
    <x:xf numFmtId="164" fontId="0" fillId="2" borderId="0" xfId="0" applyNumberFormat="1" applyFill="1" applyAlignment="1">
      <x:alignment vertical="center"/>
    </x:xf>
    <x:xf numFmtId="0" fontId="0" fillId="3" borderId="0" xfId="0" applyFill="1" applyAlignment="1">
      <x:alignment vertical="center"/>
    </x:xf>
    <x:xf numFmtId="0" fontId="0" fillId="4" borderId="0" xfId="0" applyFill="1" applyAlignment="1">
      <x:alignment vertical="center"/>
    </x:xf>
    <x:xf numFmtId="3" fontId="0" fillId="4" borderId="0" xfId="0" applyNumberFormat="1" applyFill="1" applyAlignment="1">
      <x:alignment vertical="center"/>
    </x:xf>
    <x:xf numFmtId="10" fontId="0" fillId="4" borderId="0" xfId="0" applyNumberFormat="1" applyFill="1" applyAlignment="1">
      <x:alignment vertical="center"/>
    </x:xf>
    <x:xf numFmtId="0" fontId="6" fillId="5" borderId="0" xfId="0" applyFont="1" applyFill="1"/>
    <x:xf numFmtId="10" fontId="6" fillId="5" borderId="0" xfId="0" applyNumberFormat="1" applyFont="1" applyFill="1"/>
    <x:xf numFmtId="0" fontId="5" fillId="6" borderId="0" xfId="0" applyFont="1" applyFill="1" applyAlignment="1">
      <x:alignment horizontal="center" vertical="center" wrapText="1"/>
    </x:xf>
    <x:xf numFmtId="0" fontId="5" fillId="6" borderId="0" xfId="0" applyFont="1" applyFill="1"/>
    <x:xf numFmtId="10" fontId="0" fillId="0" borderId="0" xfId="1" applyNumberFormat="1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4" fillId="0" borderId="1" xfId="0" applyNumberFormat="1" applyFont="1" applyFill="1" applyBorder="1"/>
    <x:xf numFmtId="164" fontId="0" fillId="2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3" fontId="0" fillId="4" borderId="1" xfId="0" applyNumberFormat="1" applyFont="1" applyFill="1" applyBorder="1" applyAlignment="1">
      <x:alignment vertical="center"/>
    </x:xf>
    <x:xf numFmtId="10" fontId="0" fillId="4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/>
    <x:xf numFmtId="10" fontId="6" fillId="5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/>
    <x:xf numFmtId="10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horizont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164" fontId="0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3" fontId="0" fillId="4" borderId="0" xfId="0" applyNumberFormat="1" applyFont="1" applyFill="1" applyBorder="1" applyAlignment="1">
      <x:alignment vertical="center"/>
    </x:xf>
    <x:xf numFmtId="10" fontId="0" fillId="4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10" fontId="6" fillId="5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10" fontId="0" fillId="0" borderId="0" xfId="0" applyNumberFormat="1" applyFont="1" applyFill="1" applyBorder="1"/>
    <x:xf numFmtId="0" fontId="0" fillId="5" borderId="0" xfId="0" applyNumberFormat="1" applyFont="1" applyFill="1" applyBorder="1"/>
  </x:cellXfs>
  <x:cellStyles count="2">
    <x:cellStyle name="Normal" xfId="0"/>
    <x:cellStyle name="Percent" xfId="1"/>
  </x:cellStyles>
  <x:dxfs count="1">
    <x:dxf>
      <x:numFmt numFmtId="14" formatCode="0.00%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414c675d6241b8" /><Relationship Type="http://schemas.openxmlformats.org/officeDocument/2006/relationships/theme" Target="/xl/theme/theme1.xml" Id="Ra73d8d90ab504d1a" /><Relationship Type="http://schemas.openxmlformats.org/officeDocument/2006/relationships/sharedStrings" Target="/xl/sharedStrings.xml" Id="R7ea3468679b84a74" /><Relationship Type="http://schemas.openxmlformats.org/officeDocument/2006/relationships/worksheet" Target="/xl/worksheets/sheet1.xml" Id="R05ae95e0bba04f08" /><Relationship Type="http://schemas.openxmlformats.org/officeDocument/2006/relationships/worksheet" Target="/xl/worksheets/sheet2.xml" Id="R14e5617f15554070" /><Relationship Type="http://schemas.openxmlformats.org/officeDocument/2006/relationships/worksheet" Target="/xl/worksheets/sheet3.xml" Id="Rc318246bd0c84084" /><Relationship Type="http://schemas.openxmlformats.org/officeDocument/2006/relationships/worksheet" Target="/xl/worksheets/sheet4.xml" Id="R7d2df8133f1c42c3" /><Relationship Type="http://schemas.openxmlformats.org/officeDocument/2006/relationships/worksheet" Target="/xl/worksheets/sheet5.xml" Id="R830484e059544c41" /><Relationship Type="http://schemas.openxmlformats.org/officeDocument/2006/relationships/worksheet" Target="/xl/worksheets/sheet6.xml" Id="Rb4ed4bf4c51f44df" /><Relationship Type="http://schemas.openxmlformats.org/officeDocument/2006/relationships/worksheet" Target="/xl/worksheets/sheet7.xml" Id="Rab6d310a116d4525" /></Relationships>
</file>

<file path=xl/tables/table1.xml><?xml version="1.0" encoding="utf-8"?>
<x:table xmlns:x="http://schemas.openxmlformats.org/spreadsheetml/2006/main" id="1" name="LossesOutput_Fact" displayName="LossesOutput_Fact" ref="A4:AM74" headerRowCount="1" totalsRowCount="0" totalsRowShown="0">
  <x:tableColumns count="39">
    <x:tableColumn id="1" name="FactoryCode"/>
    <x:tableColumn id="2" name="LineNumber"/>
    <x:tableColumn id="3" name="EventDate"/>
    <x:tableColumn id="4" name="ShiftCode"/>
    <x:tableColumn id="5" name="OrderNumber"/>
    <x:tableColumn id="6" name="CaseName"/>
    <x:tableColumn id="7" name="TotalReject_Value"/>
    <x:tableColumn id="8" name="FixedLosses"/>
    <x:tableColumn id="9" name="ISLosses"/>
    <x:tableColumn id="10" name="HotEndConveyerLosses"/>
    <x:tableColumn id="11" name="StuckDownLosses"/>
    <x:tableColumn id="12" name="LehrLosses"/>
    <x:tableColumn id="13" name="Evo16Losses"/>
    <x:tableColumn id="14" name="Evo12Losses"/>
    <x:tableColumn id="15" name="Evo5Losses"/>
    <x:tableColumn id="16" name="SanliLosses"/>
    <x:tableColumn id="17" name="VisualLosses"/>
    <x:tableColumn id="18" name="PalletizerLosses"/>
    <x:tableColumn id="19" name="TotalLossPct"/>
    <x:tableColumn id="20" name="PercentRangeCheck"/>
    <x:tableColumn id="21" name="LossRecordID"/>
    <x:tableColumn id="22" name="RecordUniquenessCheck"/>
    <x:tableColumn id="23" name="DataQualityCheck"/>
    <x:tableColumn id="24" name="ProductionEventID"/>
    <x:tableColumn id="25" name="ParentEventCheck"/>
    <x:tableColumn id="26" name="DesignOutputRef"/>
    <x:tableColumn id="27" name="ProductionRejectRef"/>
    <x:tableColumn id="28" name="RejectReconciliationCheck"/>
    <x:tableColumn id="29" name="NormalizedLossPct"/>
    <x:tableColumn id="30" name="NormalizedReconciliationCheck"/>
    <x:tableColumn id="31" name="AuthoritativeInput"/>
    <x:tableColumn id="32" name="CreatedAt"/>
    <x:tableColumn id="33" name="CreatedBy"/>
    <x:tableColumn id="34" name="ModifiedAt"/>
    <x:tableColumn id="35" name="ModifiedBy"/>
    <x:tableColumn id="36" name="SourceFile"/>
    <x:tableColumn id="37" name="LoadBatchID"/>
    <x:tableColumn id="38" name="RecordStatus"/>
    <x:tableColumn id="39" name="LoadDe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ionEventRef_Process" displayName="ProductionEventRef_Process" ref="A4:I74" headerRowCount="1" totalsRowCount="0" totalsRowShown="0">
  <x:tableColumns count="9">
    <x:tableColumn id="1" name="ProductionEventID"/>
    <x:tableColumn id="2" name="FactoryCode"/>
    <x:tableColumn id="3" name="LineNumber"/>
    <x:tableColumn id="4" name="EventDate"/>
    <x:tableColumn id="5" name="ShiftCode"/>
    <x:tableColumn id="6" name="OrderNumber"/>
    <x:tableColumn id="7" name="DesignOutput"/>
    <x:tableColumn id="8" name="TotalReject"/>
    <x:tableColumn id="9" name="ProductionDataQuality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cessValidationLists" displayName="ProcessValidationLists" ref="A4:E15" headerRowCount="1" totalsRowCount="0" totalsRowShown="0">
  <x:tableColumns count="5">
    <x:tableColumn id="1" name="RootCauseCode"/>
    <x:tableColumn id="2" name="DepartmentCode"/>
    <x:tableColumn id="3" name="ActionStatusCode"/>
    <x:tableColumn id="4" name="RecordStatus"/>
    <x:tableColumn id="5" name="LossTypeCod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ossDetail_Fact" displayName="LossDetail_Fact" ref="A4:AE774" headerRowCount="1" totalsRowCount="0" totalsRowShown="0">
  <x:tableColumns count="31">
    <x:tableColumn id="1" name="ProcessLossDetailID"/>
    <x:tableColumn id="2" name="LossRecordID"/>
    <x:tableColumn id="3" name="ProductionEventID"/>
    <x:tableColumn id="4" name="FactoryCode"/>
    <x:tableColumn id="5" name="LineNumber"/>
    <x:tableColumn id="6" name="EventDate"/>
    <x:tableColumn id="7" name="ShiftCode"/>
    <x:tableColumn id="8" name="OrderNumber"/>
    <x:tableColumn id="9" name="CaseName"/>
    <x:tableColumn id="10" name="LossTypeCode"/>
    <x:tableColumn id="11" name="LossCategory"/>
    <x:tableColumn id="12" name="LossPct"/>
    <x:tableColumn id="13" name="DesignOutput"/>
    <x:tableColumn id="14" name="LossQty"/>
    <x:tableColumn id="15" name="RootCauseCode"/>
    <x:tableColumn id="16" name="CorrectiveAction"/>
    <x:tableColumn id="17" name="ResponsibleDepartment"/>
    <x:tableColumn id="18" name="ActionStatus"/>
    <x:tableColumn id="19" name="ActionDueDate"/>
    <x:tableColumn id="20" name="ParentEventCheck"/>
    <x:tableColumn id="21" name="PercentRangeCheck"/>
    <x:tableColumn id="22" name="QuantityCheck"/>
    <x:tableColumn id="23" name="DataQualityCheck"/>
    <x:tableColumn id="24" name="LoadDecision"/>
    <x:tableColumn id="25" name="SourceFile"/>
    <x:tableColumn id="26" name="LoadBatchID"/>
    <x:tableColumn id="27" name="RecordStatus"/>
    <x:tableColumn id="28" name="CreatedAt"/>
    <x:tableColumn id="29" name="CreatedBy"/>
    <x:tableColumn id="30" name="ModifiedAt"/>
    <x:tableColumn id="31" name="ModifiedB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hancementGuide_Process" displayName="EnhancementGuide_Process" ref="A4:D10" headerRowCount="1" totalsRowCount="0" totalsRowShown="0">
  <x:tableColumns count="4">
    <x:tableColumn id="1" name="Enhancement"/>
    <x:tableColumn id="2" name="ImplementedAs"/>
    <x:tableColumn id="3" name="Rule"/>
    <x:tableColumn id="4" name="PowerBI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62df97699a4a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a4d557a40f4b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1b6b75ab744a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69da4479d041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3e1f1e7a5ee411f" /></Relationships>
</file>

<file path=xl/worksheets/sheet1.xml><?xml version="1.0" encoding="utf-8"?>
<x:worksheet xmlns:x="http://schemas.openxmlformats.org/spreadsheetml/2006/main">
  <x:sheetFormatPr defaultRowHeight="14.25"/>
  <x:cols>
    <x:col min="1" max="1" width="110" customWidth="1"/>
  </x:cols>
  <x:sheetData>
    <x:row r="1" ht="20.25">
      <x:c r="A1" s="1" t="s">
        <x:v>0</x:v>
      </x:c>
    </x:row>
    <x:row r="2">
      <x:c r="A2" s="2"/>
    </x:row>
    <x:row r="3">
      <x:c r="A3" s="2" t="s">
        <x:v>1</x:v>
      </x:c>
    </x:row>
    <x:row r="4">
      <x:c r="A4" s="2"/>
    </x:row>
    <x:row r="5">
      <x:c r="A5" s="2" t="s">
        <x:v>2</x:v>
      </x:c>
    </x:row>
    <x:row r="6">
      <x:c r="A6" s="2"/>
    </x:row>
    <x:row r="7" ht="15">
      <x:c r="A7" s="3" t="s">
        <x:v>3</x:v>
      </x:c>
    </x:row>
    <x:row r="8">
      <x:c r="A8" s="2" t="s">
        <x:v>4</x:v>
      </x:c>
    </x:row>
    <x:row r="9">
      <x:c r="A9" s="2" t="s">
        <x:v>5</x:v>
      </x:c>
    </x:row>
    <x:row r="10">
      <x:c r="A10" s="2" t="s">
        <x:v>6</x:v>
      </x:c>
    </x:row>
    <x:row r="11">
      <x:c r="A11" s="2"/>
    </x:row>
    <x:row r="12">
      <x:c r="A12" s="2" t="s">
        <x:v>7</x:v>
      </x:c>
    </x:row>
    <x:row r="13">
      <x:c r="A13" s="2"/>
    </x:row>
    <x:row r="14">
      <x:c r="A14" s="2" t="s">
        <x:v>8</x:v>
      </x:c>
    </x:row>
    <x:row r="15">
      <x:c r="A15" s="2"/>
    </x:row>
    <x:row r="16" ht="28.5">
      <x:c r="A16" s="2" t="s">
        <x:v>9</x:v>
      </x:c>
    </x:row>
    <x:row r="18">
      <x:c r="A18" t="s">
        <x:v>10</x:v>
      </x:c>
    </x:row>
    <x:row r="19">
      <x:c r="A19" t="s">
        <x:v>11</x:v>
      </x:c>
    </x:row>
    <x:row r="20">
      <x:c r="A20" t="s"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4" customWidth="1"/>
    <x:col min="2" max="2" width="12" customWidth="1"/>
    <x:col min="3" max="3" width="14" customWidth="1"/>
    <x:col min="4" max="4" width="12" customWidth="1"/>
    <x:col min="5" max="5" width="20" customWidth="1"/>
    <x:col min="6" max="6" width="14" customWidth="1"/>
    <x:col min="7" max="7" width="18" customWidth="1"/>
    <x:col min="8" max="8" width="14" customWidth="1"/>
    <x:col min="9" max="9" width="12" customWidth="1"/>
    <x:col min="10" max="10" width="24" customWidth="1"/>
    <x:col min="11" max="11" width="18" customWidth="1"/>
    <x:col min="12" max="14" width="14" customWidth="1"/>
    <x:col min="15" max="15" width="12" customWidth="1"/>
    <x:col min="16" max="17" width="14" customWidth="1"/>
    <x:col min="18" max="18" width="18" customWidth="1"/>
    <x:col min="19" max="19" width="12.5" customWidth="1"/>
    <x:col min="20" max="20" width="19.5" customWidth="1"/>
    <x:col min="21" max="21" width="42.75" customWidth="1"/>
    <x:col min="22" max="22" width="24" customWidth="1"/>
    <x:col min="23" max="23" width="16.75" customWidth="1"/>
  </x:cols>
  <x:sheetData>
    <x:row r="1" ht="24" customHeight="1">
      <x:c r="A1" s="11" t="s">
        <x:v>13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2"/>
      <x:c r="T1" s="11"/>
      <x:c r="U1" s="11"/>
      <x:c r="V1" s="11"/>
      <x:c r="W1" s="11"/>
    </x:row>
    <x:row r="2" ht="15">
      <x:c r="A2" s="4" t="s">
        <x:v>14</x:v>
      </x:c>
    </x:row>
    <x:row r="3">
      <x:c r="A3" s="5" t="s">
        <x:v>15</x:v>
      </x:c>
    </x:row>
    <x:row r="4" ht="30" customHeight="1">
      <x:c r="A4" s="13" t="s">
        <x:v>16</x:v>
      </x:c>
      <x:c r="B4" s="13" t="s">
        <x:v>17</x:v>
      </x:c>
      <x:c r="C4" s="13" t="s">
        <x:v>18</x:v>
      </x:c>
      <x:c r="D4" s="13" t="s">
        <x:v>19</x:v>
      </x:c>
      <x:c r="E4" s="13" t="s">
        <x:v>20</x:v>
      </x:c>
      <x:c r="F4" s="13" t="s">
        <x:v>21</x:v>
      </x:c>
      <x:c r="G4" s="13" t="s">
        <x:v>22</x:v>
      </x:c>
      <x:c r="H4" s="13" t="s">
        <x:v>23</x:v>
      </x:c>
      <x:c r="I4" s="13" t="s">
        <x:v>24</x:v>
      </x:c>
      <x:c r="J4" s="13" t="s">
        <x:v>25</x:v>
      </x:c>
      <x:c r="K4" s="13" t="s">
        <x:v>26</x:v>
      </x:c>
      <x:c r="L4" s="13" t="s">
        <x:v>27</x:v>
      </x:c>
      <x:c r="M4" s="13" t="s">
        <x:v>28</x:v>
      </x:c>
      <x:c r="N4" s="13" t="s">
        <x:v>29</x:v>
      </x:c>
      <x:c r="O4" s="13" t="s">
        <x:v>30</x:v>
      </x:c>
      <x:c r="P4" s="13" t="s">
        <x:v>31</x:v>
      </x:c>
      <x:c r="Q4" s="13" t="s">
        <x:v>32</x:v>
      </x:c>
      <x:c r="R4" s="13" t="s">
        <x:v>33</x:v>
      </x:c>
      <x:c r="S4" s="14" t="s">
        <x:v>34</x:v>
      </x:c>
      <x:c r="T4" s="14" t="s">
        <x:v>35</x:v>
      </x:c>
      <x:c r="U4" s="14" t="s">
        <x:v>36</x:v>
      </x:c>
      <x:c r="V4" s="14" t="s">
        <x:v>37</x:v>
      </x:c>
      <x:c r="W4" s="14" t="s">
        <x:v>38</x:v>
      </x:c>
      <x:c r="X4" s="46" t="str">
        <x:v>ProductionEventID</x:v>
      </x:c>
      <x:c r="Y4" s="46" t="str">
        <x:v>ParentEventCheck</x:v>
      </x:c>
      <x:c r="Z4" s="46" t="str">
        <x:v>DesignOutputRef</x:v>
      </x:c>
      <x:c r="AA4" s="46" t="str">
        <x:v>ProductionRejectRef</x:v>
      </x:c>
      <x:c r="AB4" s="46" t="str">
        <x:v>RejectReconciliationCheck</x:v>
      </x:c>
      <x:c r="AC4" s="46" t="str">
        <x:v>NormalizedLossPct</x:v>
      </x:c>
      <x:c r="AD4" s="46" t="str">
        <x:v>NormalizedReconciliationCheck</x:v>
      </x:c>
      <x:c r="AE4" s="46" t="str">
        <x:v>AuthoritativeInput</x:v>
      </x:c>
      <x:c r="AF4" s="46" t="str">
        <x:v>CreatedAt</x:v>
      </x:c>
      <x:c r="AG4" s="46" t="str">
        <x:v>CreatedBy</x:v>
      </x:c>
      <x:c r="AH4" s="46" t="str">
        <x:v>ModifiedAt</x:v>
      </x:c>
      <x:c r="AI4" s="46" t="str">
        <x:v>ModifiedBy</x:v>
      </x:c>
      <x:c r="AJ4" s="46" t="str">
        <x:v>SourceFile</x:v>
      </x:c>
      <x:c r="AK4" s="46" t="str">
        <x:v>LoadBatchID</x:v>
      </x:c>
      <x:c r="AL4" s="46" t="str">
        <x:v>RecordStatus</x:v>
      </x:c>
      <x:c r="AM4" s="46" t="str">
        <x:v>LoadDecision</x:v>
      </x:c>
    </x:row>
    <x:row r="5" ht="18" customHeight="1">
      <x:c r="A5" s="7" t="s">
        <x:v>39</x:v>
      </x:c>
      <x:c r="B5" s="8">
        <x:v>21</x:v>
      </x:c>
      <x:c r="C5" s="6">
        <x:v>45950</x:v>
      </x:c>
      <x:c r="D5" s="7" t="s">
        <x:v>40</x:v>
      </x:c>
      <x:c r="E5" s="7" t="s">
        <x:v>41</x:v>
      </x:c>
      <x:c r="F5" s="7" t="s">
        <x:v>42</x:v>
      </x:c>
      <x:c r="G5" s="9">
        <x:v>13161</x:v>
      </x:c>
      <x:c r="H5" s="10">
        <x:v>6.1254775662277798E-3</x:v>
      </x:c>
      <x:c r="I5" s="10">
        <x:v>1.2625903823687284E-2</x:v>
      </x:c>
      <x:c r="J5" s="10">
        <x:v>4.5072779514382239E-3</x:v>
      </x:c>
      <x:c r="K5" s="10">
        <x:v>3.3982191910580657E-3</x:v>
      </x:c>
      <x:c r="L5" s="10">
        <x:v>2.7627798301285088E-3</x:v>
      </x:c>
      <x:c r="M5" s="10">
        <x:v>6.0978497679264939E-3</x:v>
      </x:c>
      <x:c r="N5" s="10">
        <x:v>1.4090177133655394E-3</x:v>
      </x:c>
      <x:c r="O5" s="10">
        <x:v>1.6774020397208804E-3</x:v>
      </x:c>
      <x:c r="P5" s="10">
        <x:v>2.0128824476650562E-3</x:v>
      </x:c>
      <x:c r="Q5" s="10">
        <x:v>6.504373085788261E-3</x:v>
      </x:c>
      <x:c r="R5" s="10">
        <x:v>4.8230242177386253E-3</x:v>
      </x:c>
      <x:c r="S5" s="15" t="n">
        <x:f t="shared" ref="S5:S36" si="0">IF(A5="","",SUM(H5:R5))</x:f>
        <x:v>0.05194420763474472</x:v>
      </x:c>
      <x:c r="T5" t="str">
        <x:f t="shared" ref="T5:T36" si="1">IF(A5="","",IF(AND(MIN(H5:R5)&gt;=0,MAX(H5:R5)&lt;=1,S5&lt;=1),"OK","CHECK"))</x:f>
        <x:v>OK</x:v>
      </x:c>
      <x:c r="U5" t="str">
        <x:f t="shared" ref="U5:U36" si="2">IF(A5="","", "LOSS-"&amp;A5&amp;"-L"&amp;TEXT(B5,"00")&amp;"-"&amp;TEXT(C5,"yyyymmdd")&amp;"-"&amp;D5&amp;"-"&amp;E5)</x:f>
        <x:v>LOSS-KG01-L21-20251020-AM-ORD-2025-00019</x:v>
      </x:c>
      <x:c r="V5" t="str">
        <x:f t="shared" ref="V5:V36" si="3">IF(U5="","",IF(COUNTIF($U$5:$U$120,U5)=1,"OK","CHECK"))</x:f>
        <x:v>OK</x:v>
      </x:c>
      <x:c r="W5" t="str">
        <x:f t="shared" ref="W5:W36" si="4">IF(A5="","",IF(AND(T5="OK",V5="OK",Y5="OK",AB5="OK",AD5="OK"),"OK","CHECK"))</x:f>
        <x:v>OK</x:v>
      </x:c>
      <x:c r="X5" t="str">
        <x:f>IF(A5="","", "PE-"&amp;A5&amp;"-L"&amp;TEXT(B5,"00")&amp;"-"&amp;TEXT(C5,"yyyymmdd")&amp;"-"&amp;D5&amp;"-"&amp;E5)</x:f>
        <x:v>PE-KG01-L21-20251020-AM-ORD-2025-00019</x:v>
      </x:c>
      <x:c r="Y5" t="str">
        <x:f>IF(X5="","",IF(COUNTIF(_ProductionEventRef!$A$5:$A$500,X5)=1,"OK","CHECK"))</x:f>
        <x:v>OK</x:v>
      </x:c>
      <x:c r="Z5" t="n">
        <x:f>IF(X5="","",IFERROR(VLOOKUP(X5,_ProductionEventRef!$A$5:$I$500,7,FALSE),0))</x:f>
        <x:v>253368</x:v>
      </x:c>
      <x:c r="AA5" t="n">
        <x:f>IF(X5="","",IFERROR(VLOOKUP(X5,_ProductionEventRef!$A$5:$I$500,8,FALSE),0))</x:f>
        <x:v>13161</x:v>
      </x:c>
      <x:c r="AB5" t="str">
        <x:f>IF(X5="","",IF(ABS(G5-AA5)&lt;=1,"OK","CHECK"))</x:f>
        <x:v>OK</x:v>
      </x:c>
      <x:c r="AC5" t="n">
        <x:f>IF(X5="","",SUMIF(LossDetail!$C$5:$C$2000,X5,LossDetail!$L$5:$L$2000))</x:f>
        <x:v>0.05194420763474472</x:v>
      </x:c>
      <x:c r="AD5" t="str">
        <x:f>IF(X5="","",IF(ABS(S5-AC5)&lt;=0.000001,"OK","CHECK"))</x:f>
        <x:v>OK</x:v>
      </x:c>
      <x:c r="AE5" t="str">
        <x:v>LossPercent</x:v>
      </x:c>
      <x:c r="AJ5" t="str">
        <x:v>03_Process_Losses(6).xlsx</x:v>
      </x:c>
      <x:c r="AK5" t="str">
        <x:v>ENH-20260830-01</x:v>
      </x:c>
      <x:c r="AL5" t="str">
        <x:v>Active</x:v>
      </x:c>
      <x:c r="AM5" t="str">
        <x:f>IF(A5="","",IF(W5="OK","LOAD","QUARANTINE"))</x:f>
        <x:v>LOAD</x:v>
      </x:c>
    </x:row>
    <x:row r="6" ht="18" customHeight="1">
      <x:c r="A6" s="7" t="s">
        <x:v>39</x:v>
      </x:c>
      <x:c r="B6" s="8">
        <x:v>21</x:v>
      </x:c>
      <x:c r="C6" s="6">
        <x:v>45950</x:v>
      </x:c>
      <x:c r="D6" s="7" t="s">
        <x:v>43</x:v>
      </x:c>
      <x:c r="E6" s="7" t="s">
        <x:v>41</x:v>
      </x:c>
      <x:c r="F6" s="7" t="s">
        <x:v>42</x:v>
      </x:c>
      <x:c r="G6" s="9">
        <x:v>10575</x:v>
      </x:c>
      <x:c r="H6" s="10">
        <x:v>7.468625650443832E-3</x:v>
      </x:c>
      <x:c r="I6" s="10">
        <x:v>1.3284358738904193E-2</x:v>
      </x:c>
      <x:c r="J6" s="10">
        <x:v>1.8540382176745814E-3</x:v>
      </x:c>
      <x:c r="K6" s="10">
        <x:v>2.5799116708207616E-3</x:v>
      </x:c>
      <x:c r="L6" s="10">
        <x:v>4.3552407188770827E-3</x:v>
      </x:c>
      <x:c r="M6" s="10">
        <x:v>4.2371769644496916E-3</x:v>
      </x:c>
      <x:c r="N6" s="10">
        <x:v>1.7578381214744851E-3</x:v>
      </x:c>
      <x:c r="O6" s="10">
        <x:v>4.2415496960951507E-4</x:v>
      </x:c>
      <x:c r="P6" s="10">
        <x:v>4.20219511128602E-3</x:v>
      </x:c>
      <x:c r="Q6" s="10">
        <x:v>5.177314268223359E-3</x:v>
      </x:c>
      <x:c r="R6" s="10">
        <x:v>9.0078271896453714E-4</x:v>
      </x:c>
      <x:c r="S6" s="15">
        <x:f t="shared" si="0"/>
        <x:v>4.6241637150728064E-2</x:v>
      </x:c>
      <x:c r="T6" t="str">
        <x:f t="shared" si="1"/>
        <x:v>OK</x:v>
      </x:c>
      <x:c r="U6" t="str">
        <x:f t="shared" si="2"/>
        <x:v>LOSS-KG01-L21-20251020-PM-ORD-2025-00019</x:v>
      </x:c>
      <x:c r="V6" t="str">
        <x:f t="shared" si="3"/>
        <x:v>OK</x:v>
      </x:c>
      <x:c r="W6" t="str">
        <x:f t="shared" si="4">IF(A6="","",IF(AND(T6="OK",V6="OK",Y6="OK",AB6="OK",AD6="OK"),"OK","CHECK"))</x:f>
        <x:v>OK</x:v>
      </x:c>
      <x:c r="X6" t="str">
        <x:f>IF(A6="","", "PE-"&amp;A6&amp;"-L"&amp;TEXT(B6,"00")&amp;"-"&amp;TEXT(C6,"yyyymmdd")&amp;"-"&amp;D6&amp;"-"&amp;E6)</x:f>
        <x:v>PE-KG01-L21-20251020-PM-ORD-2025-00019</x:v>
      </x:c>
      <x:c r="Y6" t="str">
        <x:f>IF(X6="","",IF(COUNTIF(_ProductionEventRef!$A$5:$A$500,X6)=1,"OK","CHECK"))</x:f>
        <x:v>OK</x:v>
      </x:c>
      <x:c r="Z6" t="n">
        <x:f>IF(X6="","",IFERROR(VLOOKUP(X6,_ProductionEventRef!$A$5:$I$500,7,FALSE),0))</x:f>
        <x:v>228690</x:v>
      </x:c>
      <x:c r="AA6" t="n">
        <x:f>IF(X6="","",IFERROR(VLOOKUP(X6,_ProductionEventRef!$A$5:$I$500,8,FALSE),0))</x:f>
        <x:v>10575</x:v>
      </x:c>
      <x:c r="AB6" t="str">
        <x:f>IF(X6="","",IF(ABS(G6-AA6)&lt;=1,"OK","CHECK"))</x:f>
        <x:v>OK</x:v>
      </x:c>
      <x:c r="AC6" t="n">
        <x:f>IF(X6="","",SUMIF(LossDetail!$C$5:$C$2000,X6,LossDetail!$L$5:$L$2000))</x:f>
        <x:v>0.046241637150728064</x:v>
      </x:c>
      <x:c r="AD6" t="str">
        <x:f>IF(X6="","",IF(ABS(S6-AC6)&lt;=0.000001,"OK","CHECK"))</x:f>
        <x:v>OK</x:v>
      </x:c>
      <x:c r="AE6" t="str">
        <x:v>LossPercent</x:v>
      </x:c>
      <x:c r="AJ6" t="str">
        <x:v>03_Process_Losses(6).xlsx</x:v>
      </x:c>
      <x:c r="AK6" t="str">
        <x:v>ENH-20260830-01</x:v>
      </x:c>
      <x:c r="AL6" t="str">
        <x:v>Active</x:v>
      </x:c>
      <x:c r="AM6" t="str">
        <x:f>IF(A6="","",IF(W6="OK","LOAD","QUARANTINE"))</x:f>
        <x:v>LOAD</x:v>
      </x:c>
    </x:row>
    <x:row r="7" ht="18" customHeight="1">
      <x:c r="A7" s="7" t="s">
        <x:v>39</x:v>
      </x:c>
      <x:c r="B7" s="8">
        <x:v>21</x:v>
      </x:c>
      <x:c r="C7" s="6">
        <x:v>45951</x:v>
      </x:c>
      <x:c r="D7" s="7" t="s">
        <x:v>40</x:v>
      </x:c>
      <x:c r="E7" s="7" t="s">
        <x:v>44</x:v>
      </x:c>
      <x:c r="F7" s="7" t="s">
        <x:v>45</x:v>
      </x:c>
      <x:c r="G7" s="9">
        <x:v>9054</x:v>
      </x:c>
      <x:c r="H7" s="10">
        <x:v>5.6964842011570987E-3</x:v>
      </x:c>
      <x:c r="I7" s="10">
        <x:v>1.855807743658211E-2</x:v>
      </x:c>
      <x:c r="J7" s="10">
        <x:v>6.7979528259902089E-3</x:v>
      </x:c>
      <x:c r="K7" s="10">
        <x:v>9.6684468179795285E-3</x:v>
      </x:c>
      <x:c r="L7" s="10">
        <x:v>3.4156653315531821E-3</x:v>
      </x:c>
      <x:c r="M7" s="10">
        <x:v>1.8791722296395193E-2</x:v>
      </x:c>
      <x:c r="N7" s="10">
        <x:v>2.5700934579439253E-3</x:v>
      </x:c>
      <x:c r="O7" s="10">
        <x:v>5.9412550066755675E-3</x:v>
      </x:c>
      <x:c r="P7" s="10">
        <x:v>6.9648420115709835E-3</x:v>
      </x:c>
      <x:c r="Q7" s="10">
        <x:v>1.1003560302625724E-2</x:v>
      </x:c>
      <x:c r="R7" s="10">
        <x:v>1.1326212728081887E-2</x:v>
      </x:c>
      <x:c r="S7" s="15">
        <x:f t="shared" si="0"/>
        <x:v>0.10073431241655541</x:v>
      </x:c>
      <x:c r="T7" t="str">
        <x:f t="shared" si="1"/>
        <x:v>OK</x:v>
      </x:c>
      <x:c r="U7" t="str">
        <x:f t="shared" si="2"/>
        <x:v>LOSS-KG01-L21-20251021-AM-ORD-2025-00020</x:v>
      </x:c>
      <x:c r="V7" t="str">
        <x:f t="shared" si="3"/>
        <x:v>OK</x:v>
      </x:c>
      <x:c r="W7" t="str">
        <x:f t="shared" si="4">IF(A7="","",IF(AND(T7="OK",V7="OK",Y7="OK",AB7="OK",AD7="OK"),"OK","CHECK"))</x:f>
        <x:v>OK</x:v>
      </x:c>
      <x:c r="X7" t="str">
        <x:f>IF(A7="","", "PE-"&amp;A7&amp;"-L"&amp;TEXT(B7,"00")&amp;"-"&amp;TEXT(C7,"yyyymmdd")&amp;"-"&amp;D7&amp;"-"&amp;E7)</x:f>
        <x:v>PE-KG01-L21-20251021-AM-ORD-2025-00020</x:v>
      </x:c>
      <x:c r="Y7" t="str">
        <x:f>IF(X7="","",IF(COUNTIF(_ProductionEventRef!$A$5:$A$500,X7)=1,"OK","CHECK"))</x:f>
        <x:v>OK</x:v>
      </x:c>
      <x:c r="Z7" t="n">
        <x:f>IF(X7="","",IFERROR(VLOOKUP(X7,_ProductionEventRef!$A$5:$I$500,7,FALSE),0))</x:f>
        <x:v>89880</x:v>
      </x:c>
      <x:c r="AA7" t="n">
        <x:f>IF(X7="","",IFERROR(VLOOKUP(X7,_ProductionEventRef!$A$5:$I$500,8,FALSE),0))</x:f>
        <x:v>9054</x:v>
      </x:c>
      <x:c r="AB7" t="str">
        <x:f>IF(X7="","",IF(ABS(G7-AA7)&lt;=1,"OK","CHECK"))</x:f>
        <x:v>OK</x:v>
      </x:c>
      <x:c r="AC7" t="n">
        <x:f>IF(X7="","",SUMIF(LossDetail!$C$5:$C$2000,X7,LossDetail!$L$5:$L$2000))</x:f>
        <x:v>0.10073431241655541</x:v>
      </x:c>
      <x:c r="AD7" t="str">
        <x:f>IF(X7="","",IF(ABS(S7-AC7)&lt;=0.000001,"OK","CHECK"))</x:f>
        <x:v>OK</x:v>
      </x:c>
      <x:c r="AE7" t="str">
        <x:v>LossPercent</x:v>
      </x:c>
      <x:c r="AJ7" t="str">
        <x:v>03_Process_Losses(6).xlsx</x:v>
      </x:c>
      <x:c r="AK7" t="str">
        <x:v>ENH-20260830-01</x:v>
      </x:c>
      <x:c r="AL7" t="str">
        <x:v>Active</x:v>
      </x:c>
      <x:c r="AM7" t="str">
        <x:f>IF(A7="","",IF(W7="OK","LOAD","QUARANTINE"))</x:f>
        <x:v>LOAD</x:v>
      </x:c>
    </x:row>
    <x:row r="8" ht="18" customHeight="1">
      <x:c r="A8" s="7" t="s">
        <x:v>39</x:v>
      </x:c>
      <x:c r="B8" s="8">
        <x:v>21</x:v>
      </x:c>
      <x:c r="C8" s="6">
        <x:v>45951</x:v>
      </x:c>
      <x:c r="D8" s="7" t="s">
        <x:v>43</x:v>
      </x:c>
      <x:c r="E8" s="7" t="s">
        <x:v>44</x:v>
      </x:c>
      <x:c r="F8" s="7" t="s">
        <x:v>42</x:v>
      </x:c>
      <x:c r="G8" s="9">
        <x:v>6646</x:v>
      </x:c>
      <x:c r="H8" s="10">
        <x:v>4.0160642570281121E-3</x:v>
      </x:c>
      <x:c r="I8" s="10">
        <x:v>7.8600114744693059E-3</x:v>
      </x:c>
      <x:c r="J8" s="10">
        <x:v>4.0088927137119906E-3</x:v>
      </x:c>
      <x:c r="K8" s="10">
        <x:v>5.0272518646012621E-3</x:v>
      </x:c>
      <x:c r="L8" s="10">
        <x:v>2.5602409638554218E-3</x:v>
      </x:c>
      <x:c r="M8" s="10">
        <x:v>3.2343660355708547E-3</x:v>
      </x:c>
      <x:c r="N8" s="10">
        <x:v>5.2567412507171542E-3</x:v>
      </x:c>
      <x:c r="O8" s="10">
        <x:v>1.1331038439472173E-3</x:v>
      </x:c>
      <x:c r="P8" s="10">
        <x:v>4.7188755020080323E-3</x:v>
      </x:c>
      <x:c r="Q8" s="10">
        <x:v>5.6153184165232354E-3</x:v>
      </x:c>
      <x:c r="R8" s="10">
        <x:v>4.2312105565117612E-3</x:v>
      </x:c>
      <x:c r="S8" s="15">
        <x:f t="shared" si="0"/>
        <x:v>4.7662076878944339E-2</x:v>
      </x:c>
      <x:c r="T8" t="str">
        <x:f t="shared" si="1"/>
        <x:v>OK</x:v>
      </x:c>
      <x:c r="U8" t="str">
        <x:f t="shared" si="2"/>
        <x:v>LOSS-KG01-L21-20251021-PM-ORD-2025-00020</x:v>
      </x:c>
      <x:c r="V8" t="str">
        <x:f t="shared" si="3"/>
        <x:v>OK</x:v>
      </x:c>
      <x:c r="W8" t="str">
        <x:f t="shared" si="4">IF(A8="","",IF(AND(T8="OK",V8="OK",Y8="OK",AB8="OK",AD8="OK"),"OK","CHECK"))</x:f>
        <x:v>OK</x:v>
      </x:c>
      <x:c r="X8" t="str">
        <x:f>IF(A8="","", "PE-"&amp;A8&amp;"-L"&amp;TEXT(B8,"00")&amp;"-"&amp;TEXT(C8,"yyyymmdd")&amp;"-"&amp;D8&amp;"-"&amp;E8)</x:f>
        <x:v>PE-KG01-L21-20251021-PM-ORD-2025-00020</x:v>
      </x:c>
      <x:c r="Y8" t="str">
        <x:f>IF(X8="","",IF(COUNTIF(_ProductionEventRef!$A$5:$A$500,X8)=1,"OK","CHECK"))</x:f>
        <x:v>OK</x:v>
      </x:c>
      <x:c r="Z8" t="n">
        <x:f>IF(X8="","",IFERROR(VLOOKUP(X8,_ProductionEventRef!$A$5:$I$500,7,FALSE),0))</x:f>
        <x:v>139440</x:v>
      </x:c>
      <x:c r="AA8" t="n">
        <x:f>IF(X8="","",IFERROR(VLOOKUP(X8,_ProductionEventRef!$A$5:$I$500,8,FALSE),0))</x:f>
        <x:v>6646</x:v>
      </x:c>
      <x:c r="AB8" t="str">
        <x:f>IF(X8="","",IF(ABS(G8-AA8)&lt;=1,"OK","CHECK"))</x:f>
        <x:v>OK</x:v>
      </x:c>
      <x:c r="AC8" t="n">
        <x:f>IF(X8="","",SUMIF(LossDetail!$C$5:$C$2000,X8,LossDetail!$L$5:$L$2000))</x:f>
        <x:v>0.04766207687894434</x:v>
      </x:c>
      <x:c r="AD8" t="str">
        <x:f>IF(X8="","",IF(ABS(S8-AC8)&lt;=0.000001,"OK","CHECK"))</x:f>
        <x:v>OK</x:v>
      </x:c>
      <x:c r="AE8" t="str">
        <x:v>LossPercent</x:v>
      </x:c>
      <x:c r="AJ8" t="str">
        <x:v>03_Process_Losses(6).xlsx</x:v>
      </x:c>
      <x:c r="AK8" t="str">
        <x:v>ENH-20260830-01</x:v>
      </x:c>
      <x:c r="AL8" t="str">
        <x:v>Active</x:v>
      </x:c>
      <x:c r="AM8" t="str">
        <x:f>IF(A8="","",IF(W8="OK","LOAD","QUARANTINE"))</x:f>
        <x:v>LOAD</x:v>
      </x:c>
    </x:row>
    <x:row r="9" ht="18" customHeight="1">
      <x:c r="A9" s="7" t="s">
        <x:v>39</x:v>
      </x:c>
      <x:c r="B9" s="8">
        <x:v>21</x:v>
      </x:c>
      <x:c r="C9" s="6">
        <x:v>45952</x:v>
      </x:c>
      <x:c r="D9" s="7" t="s">
        <x:v>40</x:v>
      </x:c>
      <x:c r="E9" s="7" t="s">
        <x:v>44</x:v>
      </x:c>
      <x:c r="F9" s="7" t="s">
        <x:v>42</x:v>
      </x:c>
      <x:c r="G9" s="9">
        <x:v>6951</x:v>
      </x:c>
      <x:c r="H9" s="10">
        <x:v>5.4079209191860841E-3</x:v>
      </x:c>
      <x:c r="I9" s="10">
        <x:v>1.1473778804801335E-2</x:v>
      </x:c>
      <x:c r="J9" s="10">
        <x:v>1.5646062006547275E-3</x:v>
      </x:c>
      <x:c r="K9" s="10">
        <x:v>3.9395981770331857E-3</x:v>
      </x:c>
      <x:c r="L9" s="10">
        <x:v>5.2715193529751592E-3</x:v>
      </x:c>
      <x:c r="M9" s="10">
        <x:v>6.3226137749534629E-3</x:v>
      </x:c>
      <x:c r="N9" s="10">
        <x:v>5.7930547531934015E-3</x:v>
      </x:c>
      <x:c r="O9" s="10">
        <x:v>2.9687399704730727E-3</x:v>
      </x:c>
      <x:c r="P9" s="10">
        <x:v>2.4953462995057447E-3</x:v>
      </x:c>
      <x:c r="Q9" s="10">
        <x:v>6.186212208742538E-3</x:v>
      </x:c>
      <x:c r="R9" s="10">
        <x:v>4.3488028756659605E-3</x:v>
      </x:c>
      <x:c r="S9" s="15">
        <x:f t="shared" si="0"/>
        <x:v>5.5772193337184674E-2</x:v>
      </x:c>
      <x:c r="T9" t="str">
        <x:f t="shared" si="1"/>
        <x:v>OK</x:v>
      </x:c>
      <x:c r="U9" t="str">
        <x:f t="shared" si="2"/>
        <x:v>LOSS-KG01-L21-20251022-AM-ORD-2025-00020</x:v>
      </x:c>
      <x:c r="V9" t="str">
        <x:f t="shared" si="3"/>
        <x:v>OK</x:v>
      </x:c>
      <x:c r="W9" t="str">
        <x:f t="shared" si="4">IF(A9="","",IF(AND(T9="OK",V9="OK",Y9="OK",AB9="OK",AD9="OK"),"OK","CHECK"))</x:f>
        <x:v>OK</x:v>
      </x:c>
      <x:c r="X9" t="str">
        <x:f>IF(A9="","", "PE-"&amp;A9&amp;"-L"&amp;TEXT(B9,"00")&amp;"-"&amp;TEXT(C9,"yyyymmdd")&amp;"-"&amp;D9&amp;"-"&amp;E9)</x:f>
        <x:v>PE-KG01-L21-20251022-AM-ORD-2025-00020</x:v>
      </x:c>
      <x:c r="Y9" t="str">
        <x:f>IF(X9="","",IF(COUNTIF(_ProductionEventRef!$A$5:$A$500,X9)=1,"OK","CHECK"))</x:f>
        <x:v>OK</x:v>
      </x:c>
      <x:c r="Z9" t="n">
        <x:f>IF(X9="","",IFERROR(VLOOKUP(X9,_ProductionEventRef!$A$5:$I$500,7,FALSE),0))</x:f>
        <x:v>124632</x:v>
      </x:c>
      <x:c r="AA9" t="n">
        <x:f>IF(X9="","",IFERROR(VLOOKUP(X9,_ProductionEventRef!$A$5:$I$500,8,FALSE),0))</x:f>
        <x:v>6951</x:v>
      </x:c>
      <x:c r="AB9" t="str">
        <x:f>IF(X9="","",IF(ABS(G9-AA9)&lt;=1,"OK","CHECK"))</x:f>
        <x:v>OK</x:v>
      </x:c>
      <x:c r="AC9" t="n">
        <x:f>IF(X9="","",SUMIF(LossDetail!$C$5:$C$2000,X9,LossDetail!$L$5:$L$2000))</x:f>
        <x:v>0.055772193337184674</x:v>
      </x:c>
      <x:c r="AD9" t="str">
        <x:f>IF(X9="","",IF(ABS(S9-AC9)&lt;=0.000001,"OK","CHECK"))</x:f>
        <x:v>OK</x:v>
      </x:c>
      <x:c r="AE9" t="str">
        <x:v>LossPercent</x:v>
      </x:c>
      <x:c r="AJ9" t="str">
        <x:v>03_Process_Losses(6).xlsx</x:v>
      </x:c>
      <x:c r="AK9" t="str">
        <x:v>ENH-20260830-01</x:v>
      </x:c>
      <x:c r="AL9" t="str">
        <x:v>Active</x:v>
      </x:c>
      <x:c r="AM9" t="str">
        <x:f>IF(A9="","",IF(W9="OK","LOAD","QUARANTINE"))</x:f>
        <x:v>LOAD</x:v>
      </x:c>
    </x:row>
    <x:row r="10" ht="18" customHeight="1">
      <x:c r="A10" s="7" t="s">
        <x:v>39</x:v>
      </x:c>
      <x:c r="B10" s="8">
        <x:v>21</x:v>
      </x:c>
      <x:c r="C10" s="6">
        <x:v>45952</x:v>
      </x:c>
      <x:c r="D10" s="7" t="s">
        <x:v>43</x:v>
      </x:c>
      <x:c r="E10" s="7" t="s">
        <x:v>44</x:v>
      </x:c>
      <x:c r="F10" s="7" t="s">
        <x:v>42</x:v>
      </x:c>
      <x:c r="G10" s="9">
        <x:v>6388</x:v>
      </x:c>
      <x:c r="H10" s="10">
        <x:v>4.2483914487339144E-3</x:v>
      </x:c>
      <x:c r="I10" s="10">
        <x:v>6.285024906600249E-3</x:v>
      </x:c>
      <x:c r="J10" s="10">
        <x:v>3.4181714404317143E-3</x:v>
      </x:c>
      <x:c r="K10" s="10">
        <x:v>1.9133976753839767E-3</x:v>
      </x:c>
      <x:c r="L10" s="10">
        <x:v>2.9187422166874221E-3</x:v>
      </x:c>
      <x:c r="M10" s="10">
        <x:v>3.3987131589871314E-3</x:v>
      </x:c>
      <x:c r="N10" s="10">
        <x:v>4.3456828559568288E-4</x:v>
      </x:c>
      <x:c r="O10" s="10">
        <x:v>2.3090493980904938E-3</x:v>
      </x:c>
      <x:c r="P10" s="10">
        <x:v>4.9034869240348689E-3</x:v>
      </x:c>
      <x:c r="Q10" s="10">
        <x:v>9.0805313408053139E-3</x:v>
      </x:c>
      <x:c r="R10" s="10">
        <x:v>2.5230904939809048E-3</x:v>
      </x:c>
      <x:c r="S10" s="15">
        <x:f t="shared" si="0"/>
        <x:v>4.143316728933167E-2</x:v>
      </x:c>
      <x:c r="T10" t="str">
        <x:f t="shared" si="1"/>
        <x:v>OK</x:v>
      </x:c>
      <x:c r="U10" t="str">
        <x:f t="shared" si="2"/>
        <x:v>LOSS-KG01-L21-20251022-PM-ORD-2025-00020</x:v>
      </x:c>
      <x:c r="V10" t="str">
        <x:f t="shared" si="3"/>
        <x:v>OK</x:v>
      </x:c>
      <x:c r="W10" t="str">
        <x:f t="shared" si="4">IF(A10="","",IF(AND(T10="OK",V10="OK",Y10="OK",AB10="OK",AD10="OK"),"OK","CHECK"))</x:f>
        <x:v>OK</x:v>
      </x:c>
      <x:c r="X10" t="str">
        <x:f>IF(A10="","", "PE-"&amp;A10&amp;"-L"&amp;TEXT(B10,"00")&amp;"-"&amp;TEXT(C10,"yyyymmdd")&amp;"-"&amp;D10&amp;"-"&amp;E10)</x:f>
        <x:v>PE-KG01-L21-20251022-PM-ORD-2025-00020</x:v>
      </x:c>
      <x:c r="Y10" t="str">
        <x:f>IF(X10="","",IF(COUNTIF(_ProductionEventRef!$A$5:$A$500,X10)=1,"OK","CHECK"))</x:f>
        <x:v>OK</x:v>
      </x:c>
      <x:c r="Z10" t="n">
        <x:f>IF(X10="","",IFERROR(VLOOKUP(X10,_ProductionEventRef!$A$5:$I$500,7,FALSE),0))</x:f>
        <x:v>154176</x:v>
      </x:c>
      <x:c r="AA10" t="n">
        <x:f>IF(X10="","",IFERROR(VLOOKUP(X10,_ProductionEventRef!$A$5:$I$500,8,FALSE),0))</x:f>
        <x:v>6388</x:v>
      </x:c>
      <x:c r="AB10" t="str">
        <x:f>IF(X10="","",IF(ABS(G10-AA10)&lt;=1,"OK","CHECK"))</x:f>
        <x:v>OK</x:v>
      </x:c>
      <x:c r="AC10" t="n">
        <x:f>IF(X10="","",SUMIF(LossDetail!$C$5:$C$2000,X10,LossDetail!$L$5:$L$2000))</x:f>
        <x:v>0.04143316728933167</x:v>
      </x:c>
      <x:c r="AD10" t="str">
        <x:f>IF(X10="","",IF(ABS(S10-AC10)&lt;=0.000001,"OK","CHECK"))</x:f>
        <x:v>OK</x:v>
      </x:c>
      <x:c r="AE10" t="str">
        <x:v>LossPercent</x:v>
      </x:c>
      <x:c r="AJ10" t="str">
        <x:v>03_Process_Losses(6).xlsx</x:v>
      </x:c>
      <x:c r="AK10" t="str">
        <x:v>ENH-20260830-01</x:v>
      </x:c>
      <x:c r="AL10" t="str">
        <x:v>Active</x:v>
      </x:c>
      <x:c r="AM10" t="str">
        <x:f>IF(A10="","",IF(W10="OK","LOAD","QUARANTINE"))</x:f>
        <x:v>LOAD</x:v>
      </x:c>
    </x:row>
    <x:row r="11" ht="18" customHeight="1">
      <x:c r="A11" s="7" t="s">
        <x:v>39</x:v>
      </x:c>
      <x:c r="B11" s="8">
        <x:v>21</x:v>
      </x:c>
      <x:c r="C11" s="6">
        <x:v>45953</x:v>
      </x:c>
      <x:c r="D11" s="7" t="s">
        <x:v>40</x:v>
      </x:c>
      <x:c r="E11" s="7" t="s">
        <x:v>44</x:v>
      </x:c>
      <x:c r="F11" s="7" t="s">
        <x:v>42</x:v>
      </x:c>
      <x:c r="G11" s="9">
        <x:v>5426</x:v>
      </x:c>
      <x:c r="H11" s="10">
        <x:v>2.1397379912663755E-3</x:v>
      </x:c>
      <x:c r="I11" s="10">
        <x:v>7.0087336244541486E-3</x:v>
      </x:c>
      <x:c r="J11" s="10">
        <x:v>8.580786026200873E-3</x:v>
      </x:c>
      <x:c r="K11" s="10">
        <x:v>1.4337700145560408E-3</x:v>
      </x:c>
      <x:c r="L11" s="10">
        <x:v>1.3609898107714701E-3</x:v>
      </x:c>
      <x:c r="M11" s="10">
        <x:v>3.6317321688500727E-3</x:v>
      </x:c>
      <x:c r="N11" s="10">
        <x:v>1.6739446870451238E-3</x:v>
      </x:c>
      <x:c r="O11" s="10">
        <x:v>3.1513828238719068E-3</x:v>
      </x:c>
      <x:c r="P11" s="10">
        <x:v>3.8355167394468702E-3</x:v>
      </x:c>
      <x:c r="Q11" s="10">
        <x:v>3.9155749636098983E-3</x:v>
      </x:c>
      <x:c r="R11" s="10">
        <x:v>2.7583697234352255E-3</x:v>
      </x:c>
      <x:c r="S11" s="15">
        <x:f t="shared" si="0"/>
        <x:v>3.9490538573508004E-2</x:v>
      </x:c>
      <x:c r="T11" t="str">
        <x:f t="shared" si="1"/>
        <x:v>OK</x:v>
      </x:c>
      <x:c r="U11" t="str">
        <x:f t="shared" si="2"/>
        <x:v>LOSS-KG01-L21-20251023-AM-ORD-2025-00020</x:v>
      </x:c>
      <x:c r="V11" t="str">
        <x:f t="shared" si="3"/>
        <x:v>OK</x:v>
      </x:c>
      <x:c r="W11" t="str">
        <x:f t="shared" si="4">IF(A11="","",IF(AND(T11="OK",V11="OK",Y11="OK",AB11="OK",AD11="OK"),"OK","CHECK"))</x:f>
        <x:v>OK</x:v>
      </x:c>
      <x:c r="X11" t="str">
        <x:f>IF(A11="","", "PE-"&amp;A11&amp;"-L"&amp;TEXT(B11,"00")&amp;"-"&amp;TEXT(C11,"yyyymmdd")&amp;"-"&amp;D11&amp;"-"&amp;E11)</x:f>
        <x:v>PE-KG01-L21-20251023-AM-ORD-2025-00020</x:v>
      </x:c>
      <x:c r="Y11" t="str">
        <x:f>IF(X11="","",IF(COUNTIF(_ProductionEventRef!$A$5:$A$500,X11)=1,"OK","CHECK"))</x:f>
        <x:v>OK</x:v>
      </x:c>
      <x:c r="Z11" t="n">
        <x:f>IF(X11="","",IFERROR(VLOOKUP(X11,_ProductionEventRef!$A$5:$I$500,7,FALSE),0))</x:f>
        <x:v>137400</x:v>
      </x:c>
      <x:c r="AA11" t="n">
        <x:f>IF(X11="","",IFERROR(VLOOKUP(X11,_ProductionEventRef!$A$5:$I$500,8,FALSE),0))</x:f>
        <x:v>5426</x:v>
      </x:c>
      <x:c r="AB11" t="str">
        <x:f>IF(X11="","",IF(ABS(G11-AA11)&lt;=1,"OK","CHECK"))</x:f>
        <x:v>OK</x:v>
      </x:c>
      <x:c r="AC11" t="n">
        <x:f>IF(X11="","",SUMIF(LossDetail!$C$5:$C$2000,X11,LossDetail!$L$5:$L$2000))</x:f>
        <x:v>0.039490538573508004</x:v>
      </x:c>
      <x:c r="AD11" t="str">
        <x:f>IF(X11="","",IF(ABS(S11-AC11)&lt;=0.000001,"OK","CHECK"))</x:f>
        <x:v>OK</x:v>
      </x:c>
      <x:c r="AE11" t="str">
        <x:v>LossPercent</x:v>
      </x:c>
      <x:c r="AJ11" t="str">
        <x:v>03_Process_Losses(6).xlsx</x:v>
      </x:c>
      <x:c r="AK11" t="str">
        <x:v>ENH-20260830-01</x:v>
      </x:c>
      <x:c r="AL11" t="str">
        <x:v>Active</x:v>
      </x:c>
      <x:c r="AM11" t="str">
        <x:f>IF(A11="","",IF(W11="OK","LOAD","QUARANTINE"))</x:f>
        <x:v>LOAD</x:v>
      </x:c>
    </x:row>
    <x:row r="12" ht="18" customHeight="1">
      <x:c r="A12" s="7" t="s">
        <x:v>39</x:v>
      </x:c>
      <x:c r="B12" s="8">
        <x:v>21</x:v>
      </x:c>
      <x:c r="C12" s="6">
        <x:v>45953</x:v>
      </x:c>
      <x:c r="D12" s="7" t="s">
        <x:v>43</x:v>
      </x:c>
      <x:c r="E12" s="7" t="s">
        <x:v>44</x:v>
      </x:c>
      <x:c r="F12" s="7" t="s">
        <x:v>42</x:v>
      </x:c>
      <x:c r="G12" s="9">
        <x:v>3550</x:v>
      </x:c>
      <x:c r="H12" s="10">
        <x:v>2.7880746443620695E-3</x:v>
      </x:c>
      <x:c r="I12" s="10">
        <x:v>4.4751766308652532E-3</x:v>
      </x:c>
      <x:c r="J12" s="10">
        <x:v>2.5900579792795361E-3</x:v>
      </x:c>
      <x:c r="K12" s="10">
        <x:v>7.2870132750372271E-4</x:v>
      </x:c>
      <x:c r="L12" s="10">
        <x:v>3.4930139720558881E-3</x:v>
      </x:c>
      <x:c r="M12" s="10">
        <x:v>3.5959826378988056E-3</x:v>
      </x:c>
      <x:c r="N12" s="10">
        <x:v>1.2435446567183094E-3</x:v>
      </x:c>
      <x:c r="O12" s="10">
        <x:v>6.3365332826410673E-4</x:v>
      </x:c>
      <x:c r="P12" s="10">
        <x:v>2.1465006494946616E-3</x:v>
      </x:c>
      <x:c r="Q12" s="10">
        <x:v>1.996007984031936E-3</x:v>
      </x:c>
      <x:c r="R12" s="10">
        <x:v>4.4276526312454455E-3</x:v>
      </x:c>
      <x:c r="S12" s="15">
        <x:f t="shared" si="0"/>
        <x:v>2.8118366441719739E-2</x:v>
      </x:c>
      <x:c r="T12" t="str">
        <x:f t="shared" si="1"/>
        <x:v>OK</x:v>
      </x:c>
      <x:c r="U12" t="str">
        <x:f t="shared" si="2"/>
        <x:v>LOSS-KG01-L21-20251023-PM-ORD-2025-00020</x:v>
      </x:c>
      <x:c r="V12" t="str">
        <x:f t="shared" si="3"/>
        <x:v>OK</x:v>
      </x:c>
      <x:c r="W12" t="str">
        <x:f t="shared" si="4">IF(A12="","",IF(AND(T12="OK",V12="OK",Y12="OK",AB12="OK",AD12="OK"),"OK","CHECK"))</x:f>
        <x:v>OK</x:v>
      </x:c>
      <x:c r="X12" t="str">
        <x:f>IF(A12="","", "PE-"&amp;A12&amp;"-L"&amp;TEXT(B12,"00")&amp;"-"&amp;TEXT(C12,"yyyymmdd")&amp;"-"&amp;D12&amp;"-"&amp;E12)</x:f>
        <x:v>PE-KG01-L21-20251023-PM-ORD-2025-00020</x:v>
      </x:c>
      <x:c r="Y12" t="str">
        <x:f>IF(X12="","",IF(COUNTIF(_ProductionEventRef!$A$5:$A$500,X12)=1,"OK","CHECK"))</x:f>
        <x:v>OK</x:v>
      </x:c>
      <x:c r="Z12" t="n">
        <x:f>IF(X12="","",IFERROR(VLOOKUP(X12,_ProductionEventRef!$A$5:$I$500,7,FALSE),0))</x:f>
        <x:v>126252</x:v>
      </x:c>
      <x:c r="AA12" t="n">
        <x:f>IF(X12="","",IFERROR(VLOOKUP(X12,_ProductionEventRef!$A$5:$I$500,8,FALSE),0))</x:f>
        <x:v>3550</x:v>
      </x:c>
      <x:c r="AB12" t="str">
        <x:f>IF(X12="","",IF(ABS(G12-AA12)&lt;=1,"OK","CHECK"))</x:f>
        <x:v>OK</x:v>
      </x:c>
      <x:c r="AC12" t="n">
        <x:f>IF(X12="","",SUMIF(LossDetail!$C$5:$C$2000,X12,LossDetail!$L$5:$L$2000))</x:f>
        <x:v>0.02811836644171974</x:v>
      </x:c>
      <x:c r="AD12" t="str">
        <x:f>IF(X12="","",IF(ABS(S12-AC12)&lt;=0.000001,"OK","CHECK"))</x:f>
        <x:v>OK</x:v>
      </x:c>
      <x:c r="AE12" t="str">
        <x:v>LossPercent</x:v>
      </x:c>
      <x:c r="AJ12" t="str">
        <x:v>03_Process_Losses(6).xlsx</x:v>
      </x:c>
      <x:c r="AK12" t="str">
        <x:v>ENH-20260830-01</x:v>
      </x:c>
      <x:c r="AL12" t="str">
        <x:v>Active</x:v>
      </x:c>
      <x:c r="AM12" t="str">
        <x:f>IF(A12="","",IF(W12="OK","LOAD","QUARANTINE"))</x:f>
        <x:v>LOAD</x:v>
      </x:c>
    </x:row>
    <x:row r="13" ht="18" customHeight="1">
      <x:c r="A13" s="7" t="s">
        <x:v>39</x:v>
      </x:c>
      <x:c r="B13" s="8">
        <x:v>21</x:v>
      </x:c>
      <x:c r="C13" s="6">
        <x:v>45954</x:v>
      </x:c>
      <x:c r="D13" s="7" t="s">
        <x:v>40</x:v>
      </x:c>
      <x:c r="E13" s="7" t="s">
        <x:v>44</x:v>
      </x:c>
      <x:c r="F13" s="7" t="s">
        <x:v>42</x:v>
      </x:c>
      <x:c r="G13" s="9">
        <x:v>4499</x:v>
      </x:c>
      <x:c r="H13" s="10">
        <x:v>3.7233493366372414E-3</x:v>
      </x:c>
      <x:c r="I13" s="10">
        <x:v>6.3496980021681892E-3</x:v>
      </x:c>
      <x:c r="J13" s="10">
        <x:v>2.9102782509937536E-3</x:v>
      </x:c>
      <x:c r="K13" s="10">
        <x:v>1.9294305921222447E-3</x:v>
      </x:c>
      <x:c r="L13" s="10">
        <x:v>3.4329668060502812E-3</x:v>
      </x:c>
      <x:c r="M13" s="10">
        <x:v>2.2133601775850497E-3</x:v>
      </x:c>
      <x:c r="N13" s="10">
        <x:v>1.5035362139280367E-3</x:v>
      </x:c>
      <x:c r="O13" s="10">
        <x:v>1.2905890248309329E-3</x:v>
      </x:c>
      <x:c r="P13" s="10">
        <x:v>1.5035362139280367E-3</x:v>
      </x:c>
      <x:c r="Q13" s="10">
        <x:v>1.9423364823705539E-3</x:v>
      </x:c>
      <x:c r="R13" s="10">
        <x:v>2.2327190129575137E-3</x:v>
      </x:c>
      <x:c r="S13" s="15">
        <x:f t="shared" si="0"/>
        <x:v>2.9031800113571836E-2</x:v>
      </x:c>
      <x:c r="T13" t="str">
        <x:f t="shared" si="1"/>
        <x:v>OK</x:v>
      </x:c>
      <x:c r="U13" t="str">
        <x:f t="shared" si="2"/>
        <x:v>LOSS-KG01-L21-20251024-AM-ORD-2025-00020</x:v>
      </x:c>
      <x:c r="V13" t="str">
        <x:f t="shared" si="3"/>
        <x:v>OK</x:v>
      </x:c>
      <x:c r="W13" t="str">
        <x:f t="shared" si="4">IF(A13="","",IF(AND(T13="OK",V13="OK",Y13="OK",AB13="OK",AD13="OK"),"OK","CHECK"))</x:f>
        <x:v>OK</x:v>
      </x:c>
      <x:c r="X13" t="str">
        <x:f>IF(A13="","", "PE-"&amp;A13&amp;"-L"&amp;TEXT(B13,"00")&amp;"-"&amp;TEXT(C13,"yyyymmdd")&amp;"-"&amp;D13&amp;"-"&amp;E13)</x:f>
        <x:v>PE-KG01-L21-20251024-AM-ORD-2025-00020</x:v>
      </x:c>
      <x:c r="Y13" t="str">
        <x:f>IF(X13="","",IF(COUNTIF(_ProductionEventRef!$A$5:$A$500,X13)=1,"OK","CHECK"))</x:f>
        <x:v>OK</x:v>
      </x:c>
      <x:c r="Z13" t="n">
        <x:f>IF(X13="","",IFERROR(VLOOKUP(X13,_ProductionEventRef!$A$5:$I$500,7,FALSE),0))</x:f>
        <x:v>154968</x:v>
      </x:c>
      <x:c r="AA13" t="n">
        <x:f>IF(X13="","",IFERROR(VLOOKUP(X13,_ProductionEventRef!$A$5:$I$500,8,FALSE),0))</x:f>
        <x:v>4499</x:v>
      </x:c>
      <x:c r="AB13" t="str">
        <x:f>IF(X13="","",IF(ABS(G13-AA13)&lt;=1,"OK","CHECK"))</x:f>
        <x:v>OK</x:v>
      </x:c>
      <x:c r="AC13" t="n">
        <x:f>IF(X13="","",SUMIF(LossDetail!$C$5:$C$2000,X13,LossDetail!$L$5:$L$2000))</x:f>
        <x:v>0.029031800113571836</x:v>
      </x:c>
      <x:c r="AD13" t="str">
        <x:f>IF(X13="","",IF(ABS(S13-AC13)&lt;=0.000001,"OK","CHECK"))</x:f>
        <x:v>OK</x:v>
      </x:c>
      <x:c r="AE13" t="str">
        <x:v>LossPercent</x:v>
      </x:c>
      <x:c r="AJ13" t="str">
        <x:v>03_Process_Losses(6).xlsx</x:v>
      </x:c>
      <x:c r="AK13" t="str">
        <x:v>ENH-20260830-01</x:v>
      </x:c>
      <x:c r="AL13" t="str">
        <x:v>Active</x:v>
      </x:c>
      <x:c r="AM13" t="str">
        <x:f>IF(A13="","",IF(W13="OK","LOAD","QUARANTINE"))</x:f>
        <x:v>LOAD</x:v>
      </x:c>
    </x:row>
    <x:row r="14" ht="18" customHeight="1">
      <x:c r="A14" s="7" t="s">
        <x:v>39</x:v>
      </x:c>
      <x:c r="B14" s="8">
        <x:v>21</x:v>
      </x:c>
      <x:c r="C14" s="6">
        <x:v>45954</x:v>
      </x:c>
      <x:c r="D14" s="7" t="s">
        <x:v>43</x:v>
      </x:c>
      <x:c r="E14" s="7" t="s">
        <x:v>44</x:v>
      </x:c>
      <x:c r="F14" s="7" t="s">
        <x:v>42</x:v>
      </x:c>
      <x:c r="G14" s="9">
        <x:v>3759</x:v>
      </x:c>
      <x:c r="H14" s="10">
        <x:v>1.4960375222383955E-3</x:v>
      </x:c>
      <x:c r="I14" s="10">
        <x:v>6.2429241468542783E-3</x:v>
      </x:c>
      <x:c r="J14" s="10">
        <x:v>3.760310528869481E-3</x:v>
      </x:c>
      <x:c r="K14" s="10">
        <x:v>1.0997897460779556E-3</x:v>
      </x:c>
      <x:c r="L14" s="10">
        <x:v>1.4798641436196021E-3</x:v>
      </x:c>
      <x:c r="M14" s="10">
        <x:v>7.7632217370208632E-4</x:v>
      </x:c>
      <x:c r="N14" s="10">
        <x:v>1.6092511725699498E-3</x:v>
      </x:c>
      <x:c r="O14" s="10">
        <x:v>2.8546013262170469E-3</x:v>
      </x:c>
      <x:c r="P14" s="10">
        <x:v>1.8518518518518519E-3</x:v>
      </x:c>
      <x:c r="Q14" s="10">
        <x:v>6.0731036713569464E-3</x:v>
      </x:c>
      <x:c r="R14" s="10">
        <x:v>3.1538088306647259E-3</x:v>
      </x:c>
      <x:c r="S14" s="15">
        <x:f t="shared" si="0"/>
        <x:v>3.0397865114022319E-2</x:v>
      </x:c>
      <x:c r="T14" t="str">
        <x:f t="shared" si="1"/>
        <x:v>OK</x:v>
      </x:c>
      <x:c r="U14" t="str">
        <x:f t="shared" si="2"/>
        <x:v>LOSS-KG01-L21-20251024-PM-ORD-2025-00020</x:v>
      </x:c>
      <x:c r="V14" t="str">
        <x:f t="shared" si="3"/>
        <x:v>OK</x:v>
      </x:c>
      <x:c r="W14" t="str">
        <x:f t="shared" si="4">IF(A14="","",IF(AND(T14="OK",V14="OK",Y14="OK",AB14="OK",AD14="OK"),"OK","CHECK"))</x:f>
        <x:v>OK</x:v>
      </x:c>
      <x:c r="X14" t="str">
        <x:f>IF(A14="","", "PE-"&amp;A14&amp;"-L"&amp;TEXT(B14,"00")&amp;"-"&amp;TEXT(C14,"yyyymmdd")&amp;"-"&amp;D14&amp;"-"&amp;E14)</x:f>
        <x:v>PE-KG01-L21-20251024-PM-ORD-2025-00020</x:v>
      </x:c>
      <x:c r="Y14" t="str">
        <x:f>IF(X14="","",IF(COUNTIF(_ProductionEventRef!$A$5:$A$500,X14)=1,"OK","CHECK"))</x:f>
        <x:v>OK</x:v>
      </x:c>
      <x:c r="Z14" t="n">
        <x:f>IF(X14="","",IFERROR(VLOOKUP(X14,_ProductionEventRef!$A$5:$I$500,7,FALSE),0))</x:f>
        <x:v>123660</x:v>
      </x:c>
      <x:c r="AA14" t="n">
        <x:f>IF(X14="","",IFERROR(VLOOKUP(X14,_ProductionEventRef!$A$5:$I$500,8,FALSE),0))</x:f>
        <x:v>3759</x:v>
      </x:c>
      <x:c r="AB14" t="str">
        <x:f>IF(X14="","",IF(ABS(G14-AA14)&lt;=1,"OK","CHECK"))</x:f>
        <x:v>OK</x:v>
      </x:c>
      <x:c r="AC14" t="n">
        <x:f>IF(X14="","",SUMIF(LossDetail!$C$5:$C$2000,X14,LossDetail!$L$5:$L$2000))</x:f>
        <x:v>0.03039786511402232</x:v>
      </x:c>
      <x:c r="AD14" t="str">
        <x:f>IF(X14="","",IF(ABS(S14-AC14)&lt;=0.000001,"OK","CHECK"))</x:f>
        <x:v>OK</x:v>
      </x:c>
      <x:c r="AE14" t="str">
        <x:v>LossPercent</x:v>
      </x:c>
      <x:c r="AJ14" t="str">
        <x:v>03_Process_Losses(6).xlsx</x:v>
      </x:c>
      <x:c r="AK14" t="str">
        <x:v>ENH-20260830-01</x:v>
      </x:c>
      <x:c r="AL14" t="str">
        <x:v>Active</x:v>
      </x:c>
      <x:c r="AM14" t="str">
        <x:f>IF(A14="","",IF(W14="OK","LOAD","QUARANTINE"))</x:f>
        <x:v>LOAD</x:v>
      </x:c>
    </x:row>
    <x:row r="15" ht="18" customHeight="1">
      <x:c r="A15" s="7" t="s">
        <x:v>39</x:v>
      </x:c>
      <x:c r="B15" s="8">
        <x:v>21</x:v>
      </x:c>
      <x:c r="C15" s="6">
        <x:v>45955</x:v>
      </x:c>
      <x:c r="D15" s="7" t="s">
        <x:v>40</x:v>
      </x:c>
      <x:c r="E15" s="7" t="s">
        <x:v>46</x:v>
      </x:c>
      <x:c r="F15" s="7" t="s">
        <x:v>45</x:v>
      </x:c>
      <x:c r="G15" s="9">
        <x:v>14048</x:v>
      </x:c>
      <x:c r="H15" s="10">
        <x:v>9.4601605175623302E-3</x:v>
      </x:c>
      <x:c r="I15" s="10">
        <x:v>2.0842869785467972E-2</x:v>
      </x:c>
      <x:c r="J15" s="10">
        <x:v>7.9801031462662878E-3</x:v>
      </x:c>
      <x:c r="K15" s="10">
        <x:v>8.4302236870212703E-3</x:v>
      </x:c>
      <x:c r="L15" s="10">
        <x:v>8.6743568616680401E-3</x:v>
      </x:c>
      <x:c r="M15" s="10">
        <x:v>9.1626232109615798E-3</x:v>
      </x:c>
      <x:c r="N15" s="10">
        <x:v>5.0199884036742047E-3</x:v>
      </x:c>
      <x:c r="O15" s="10">
        <x:v>1.8004821630199274E-3</x:v>
      </x:c>
      <x:c r="P15" s="10">
        <x:v>8.0029906313894231E-3</x:v>
      </x:c>
      <x:c r="Q15" s="10">
        <x:v>2.3726692910982942E-2</x:v>
      </x:c>
      <x:c r="R15" s="10">
        <x:v>4.0739723519179717E-3</x:v>
      </x:c>
      <x:c r="S15" s="15">
        <x:f t="shared" si="0"/>
        <x:v>0.10717446366993194</x:v>
      </x:c>
      <x:c r="T15" t="str">
        <x:f t="shared" si="1"/>
        <x:v>OK</x:v>
      </x:c>
      <x:c r="U15" t="str">
        <x:f t="shared" si="2"/>
        <x:v>LOSS-KG01-L21-20251025-AM-ORD-2025-00021</x:v>
      </x:c>
      <x:c r="V15" t="str">
        <x:f t="shared" si="3"/>
        <x:v>OK</x:v>
      </x:c>
      <x:c r="W15" t="str">
        <x:f t="shared" si="4">IF(A15="","",IF(AND(T15="OK",V15="OK",Y15="OK",AB15="OK",AD15="OK"),"OK","CHECK"))</x:f>
        <x:v>OK</x:v>
      </x:c>
      <x:c r="X15" t="str">
        <x:f>IF(A15="","", "PE-"&amp;A15&amp;"-L"&amp;TEXT(B15,"00")&amp;"-"&amp;TEXT(C15,"yyyymmdd")&amp;"-"&amp;D15&amp;"-"&amp;E15)</x:f>
        <x:v>PE-KG01-L21-20251025-AM-ORD-2025-00021</x:v>
      </x:c>
      <x:c r="Y15" t="str">
        <x:f>IF(X15="","",IF(COUNTIF(_ProductionEventRef!$A$5:$A$500,X15)=1,"OK","CHECK"))</x:f>
        <x:v>OK</x:v>
      </x:c>
      <x:c r="Z15" t="n">
        <x:f>IF(X15="","",IFERROR(VLOOKUP(X15,_ProductionEventRef!$A$5:$I$500,7,FALSE),0))</x:f>
        <x:v>131076</x:v>
      </x:c>
      <x:c r="AA15" t="n">
        <x:f>IF(X15="","",IFERROR(VLOOKUP(X15,_ProductionEventRef!$A$5:$I$500,8,FALSE),0))</x:f>
        <x:v>14048</x:v>
      </x:c>
      <x:c r="AB15" t="str">
        <x:f>IF(X15="","",IF(ABS(G15-AA15)&lt;=1,"OK","CHECK"))</x:f>
        <x:v>OK</x:v>
      </x:c>
      <x:c r="AC15" t="n">
        <x:f>IF(X15="","",SUMIF(LossDetail!$C$5:$C$2000,X15,LossDetail!$L$5:$L$2000))</x:f>
        <x:v>0.10717446366993194</x:v>
      </x:c>
      <x:c r="AD15" t="str">
        <x:f>IF(X15="","",IF(ABS(S15-AC15)&lt;=0.000001,"OK","CHECK"))</x:f>
        <x:v>OK</x:v>
      </x:c>
      <x:c r="AE15" t="str">
        <x:v>LossPercent</x:v>
      </x:c>
      <x:c r="AJ15" t="str">
        <x:v>03_Process_Losses(6).xlsx</x:v>
      </x:c>
      <x:c r="AK15" t="str">
        <x:v>ENH-20260830-01</x:v>
      </x:c>
      <x:c r="AL15" t="str">
        <x:v>Active</x:v>
      </x:c>
      <x:c r="AM15" t="str">
        <x:f>IF(A15="","",IF(W15="OK","LOAD","QUARANTINE"))</x:f>
        <x:v>LOAD</x:v>
      </x:c>
    </x:row>
    <x:row r="16" ht="18" customHeight="1">
      <x:c r="A16" s="7" t="s">
        <x:v>39</x:v>
      </x:c>
      <x:c r="B16" s="8">
        <x:v>21</x:v>
      </x:c>
      <x:c r="C16" s="6">
        <x:v>45955</x:v>
      </x:c>
      <x:c r="D16" s="7" t="s">
        <x:v>43</x:v>
      </x:c>
      <x:c r="E16" s="7" t="s">
        <x:v>46</x:v>
      </x:c>
      <x:c r="F16" s="7" t="s">
        <x:v>42</x:v>
      </x:c>
      <x:c r="G16" s="9">
        <x:v>13535</x:v>
      </x:c>
      <x:c r="H16" s="10">
        <x:v>3.2198137868240961E-3</x:v>
      </x:c>
      <x:c r="I16" s="10">
        <x:v>1.553734543425265E-2</x:v>
      </x:c>
      <x:c r="J16" s="10">
        <x:v>4.4240314858871562E-3</x:v>
      </x:c>
      <x:c r="K16" s="10">
        <x:v>2.3900784210062562E-3</x:v>
      </x:c>
      <x:c r="L16" s="10">
        <x:v>2.2248656269274825E-3</x:v>
      </x:c>
      <x:c r="M16" s="10">
        <x:v>3.8292654272035717E-3</x:v>
      </x:c>
      <x:c r="N16" s="10">
        <x:v>3.4914970481980793E-3</x:v>
      </x:c>
      <x:c r="O16" s="10">
        <x:v>8.774635063294857E-4</x:v>
      </x:c>
      <x:c r="P16" s="10">
        <x:v>2.6177049372925663E-3</x:v>
      </x:c>
      <x:c r="Q16" s="10">
        <x:v>8.5616941287044376E-3</x:v>
      </x:c>
      <x:c r="R16" s="10">
        <x:v>2.5185772608453021E-3</x:v>
      </x:c>
      <x:c r="S16" s="15">
        <x:f t="shared" si="0"/>
        <x:v>4.9692337063471086E-2</x:v>
      </x:c>
      <x:c r="T16" t="str">
        <x:f t="shared" si="1"/>
        <x:v>OK</x:v>
      </x:c>
      <x:c r="U16" t="str">
        <x:f t="shared" si="2"/>
        <x:v>LOSS-KG01-L21-20251025-PM-ORD-2025-00021</x:v>
      </x:c>
      <x:c r="V16" t="str">
        <x:f t="shared" si="3"/>
        <x:v>OK</x:v>
      </x:c>
      <x:c r="W16" t="str">
        <x:f t="shared" si="4">IF(A16="","",IF(AND(T16="OK",V16="OK",Y16="OK",AB16="OK",AD16="OK"),"OK","CHECK"))</x:f>
        <x:v>OK</x:v>
      </x:c>
      <x:c r="X16" t="str">
        <x:f>IF(A16="","", "PE-"&amp;A16&amp;"-L"&amp;TEXT(B16,"00")&amp;"-"&amp;TEXT(C16,"yyyymmdd")&amp;"-"&amp;D16&amp;"-"&amp;E16)</x:f>
        <x:v>PE-KG01-L21-20251025-PM-ORD-2025-00021</x:v>
      </x:c>
      <x:c r="Y16" t="str">
        <x:f>IF(X16="","",IF(COUNTIF(_ProductionEventRef!$A$5:$A$500,X16)=1,"OK","CHECK"))</x:f>
        <x:v>OK</x:v>
      </x:c>
      <x:c r="Z16" t="n">
        <x:f>IF(X16="","",IFERROR(VLOOKUP(X16,_ProductionEventRef!$A$5:$I$500,7,FALSE),0))</x:f>
        <x:v>272376</x:v>
      </x:c>
      <x:c r="AA16" t="n">
        <x:f>IF(X16="","",IFERROR(VLOOKUP(X16,_ProductionEventRef!$A$5:$I$500,8,FALSE),0))</x:f>
        <x:v>13535</x:v>
      </x:c>
      <x:c r="AB16" t="str">
        <x:f>IF(X16="","",IF(ABS(G16-AA16)&lt;=1,"OK","CHECK"))</x:f>
        <x:v>OK</x:v>
      </x:c>
      <x:c r="AC16" t="n">
        <x:f>IF(X16="","",SUMIF(LossDetail!$C$5:$C$2000,X16,LossDetail!$L$5:$L$2000))</x:f>
        <x:v>0.049692337063471086</x:v>
      </x:c>
      <x:c r="AD16" t="str">
        <x:f>IF(X16="","",IF(ABS(S16-AC16)&lt;=0.000001,"OK","CHECK"))</x:f>
        <x:v>OK</x:v>
      </x:c>
      <x:c r="AE16" t="str">
        <x:v>LossPercent</x:v>
      </x:c>
      <x:c r="AJ16" t="str">
        <x:v>03_Process_Losses(6).xlsx</x:v>
      </x:c>
      <x:c r="AK16" t="str">
        <x:v>ENH-20260830-01</x:v>
      </x:c>
      <x:c r="AL16" t="str">
        <x:v>Active</x:v>
      </x:c>
      <x:c r="AM16" t="str">
        <x:f>IF(A16="","",IF(W16="OK","LOAD","QUARANTINE"))</x:f>
        <x:v>LOAD</x:v>
      </x:c>
    </x:row>
    <x:row r="17" ht="18" customHeight="1">
      <x:c r="A17" s="7" t="s">
        <x:v>39</x:v>
      </x:c>
      <x:c r="B17" s="8">
        <x:v>21</x:v>
      </x:c>
      <x:c r="C17" s="6">
        <x:v>45956</x:v>
      </x:c>
      <x:c r="D17" s="7" t="s">
        <x:v>40</x:v>
      </x:c>
      <x:c r="E17" s="7" t="s">
        <x:v>46</x:v>
      </x:c>
      <x:c r="F17" s="7" t="s">
        <x:v>42</x:v>
      </x:c>
      <x:c r="G17" s="9">
        <x:v>12922</x:v>
      </x:c>
      <x:c r="H17" s="10">
        <x:v>4.6214740871229421E-3</x:v>
      </x:c>
      <x:c r="I17" s="10">
        <x:v>1.491195638778336E-2</x:v>
      </x:c>
      <x:c r="J17" s="10">
        <x:v>2.8490028490028491E-3</x:v>
      </x:c>
      <x:c r="K17" s="10">
        <x:v>5.824869692554171E-3</x:v>
      </x:c>
      <x:c r="L17" s="10">
        <x:v>7.5755928173230967E-4</x:v>
      </x:c>
      <x:c r="M17" s="10">
        <x:v>2.9468693590830996E-3</x:v>
      </x:c>
      <x:c r="N17" s="10">
        <x:v>9.7866510080250532E-4</x:v>
      </x:c>
      <x:c r="O17" s="10">
        <x:v>1.0982797242339228E-3</x:v>
      </x:c>
      <x:c r="P17" s="10">
        <x:v>1.7978440370297877E-3</x:v>
      </x:c>
      <x:c r="Q17" s="10">
        <x:v>5.3681593121796684E-3</x:v>
      </x:c>
      <x:c r="R17" s="10">
        <x:v>5.6835069557715865E-3</x:v>
      </x:c>
      <x:c r="S17" s="15">
        <x:f t="shared" si="0"/>
        <x:v>4.6838186787296204E-2</x:v>
      </x:c>
      <x:c r="T17" t="str">
        <x:f t="shared" si="1"/>
        <x:v>OK</x:v>
      </x:c>
      <x:c r="U17" t="str">
        <x:f t="shared" si="2"/>
        <x:v>LOSS-KG01-L21-20251026-AM-ORD-2025-00021</x:v>
      </x:c>
      <x:c r="V17" t="str">
        <x:f t="shared" si="3"/>
        <x:v>OK</x:v>
      </x:c>
      <x:c r="W17" t="str">
        <x:f t="shared" si="4">IF(A17="","",IF(AND(T17="OK",V17="OK",Y17="OK",AB17="OK",AD17="OK"),"OK","CHECK"))</x:f>
        <x:v>OK</x:v>
      </x:c>
      <x:c r="X17" t="str">
        <x:f>IF(A17="","", "PE-"&amp;A17&amp;"-L"&amp;TEXT(B17,"00")&amp;"-"&amp;TEXT(C17,"yyyymmdd")&amp;"-"&amp;D17&amp;"-"&amp;E17)</x:f>
        <x:v>PE-KG01-L21-20251026-AM-ORD-2025-00021</x:v>
      </x:c>
      <x:c r="Y17" t="str">
        <x:f>IF(X17="","",IF(COUNTIF(_ProductionEventRef!$A$5:$A$500,X17)=1,"OK","CHECK"))</x:f>
        <x:v>OK</x:v>
      </x:c>
      <x:c r="Z17" t="n">
        <x:f>IF(X17="","",IFERROR(VLOOKUP(X17,_ProductionEventRef!$A$5:$I$500,7,FALSE),0))</x:f>
        <x:v>275886</x:v>
      </x:c>
      <x:c r="AA17" t="n">
        <x:f>IF(X17="","",IFERROR(VLOOKUP(X17,_ProductionEventRef!$A$5:$I$500,8,FALSE),0))</x:f>
        <x:v>12922</x:v>
      </x:c>
      <x:c r="AB17" t="str">
        <x:f>IF(X17="","",IF(ABS(G17-AA17)&lt;=1,"OK","CHECK"))</x:f>
        <x:v>OK</x:v>
      </x:c>
      <x:c r="AC17" t="n">
        <x:f>IF(X17="","",SUMIF(LossDetail!$C$5:$C$2000,X17,LossDetail!$L$5:$L$2000))</x:f>
        <x:v>0.046838186787296204</x:v>
      </x:c>
      <x:c r="AD17" t="str">
        <x:f>IF(X17="","",IF(ABS(S17-AC17)&lt;=0.000001,"OK","CHECK"))</x:f>
        <x:v>OK</x:v>
      </x:c>
      <x:c r="AE17" t="str">
        <x:v>LossPercent</x:v>
      </x:c>
      <x:c r="AJ17" t="str">
        <x:v>03_Process_Losses(6).xlsx</x:v>
      </x:c>
      <x:c r="AK17" t="str">
        <x:v>ENH-20260830-01</x:v>
      </x:c>
      <x:c r="AL17" t="str">
        <x:v>Active</x:v>
      </x:c>
      <x:c r="AM17" t="str">
        <x:f>IF(A17="","",IF(W17="OK","LOAD","QUARANTINE"))</x:f>
        <x:v>LOAD</x:v>
      </x:c>
    </x:row>
    <x:row r="18" ht="18" customHeight="1">
      <x:c r="A18" s="7" t="s">
        <x:v>39</x:v>
      </x:c>
      <x:c r="B18" s="8">
        <x:v>21</x:v>
      </x:c>
      <x:c r="C18" s="6">
        <x:v>45956</x:v>
      </x:c>
      <x:c r="D18" s="7" t="s">
        <x:v>43</x:v>
      </x:c>
      <x:c r="E18" s="7" t="s">
        <x:v>46</x:v>
      </x:c>
      <x:c r="F18" s="7" t="s">
        <x:v>42</x:v>
      </x:c>
      <x:c r="G18" s="9">
        <x:v>10955</x:v>
      </x:c>
      <x:c r="H18" s="10">
        <x:v>8.8904797026624436E-3</x:v>
      </x:c>
      <x:c r="I18" s="10">
        <x:v>5.933012278189943E-3</x:v>
      </x:c>
      <x:c r="J18" s="10">
        <x:v>2.3211419150505445E-3</x:v>
      </x:c>
      <x:c r="K18" s="10">
        <x:v>2.2922180282586376E-3</x:v>
      </x:c>
      <x:c r="L18" s="10">
        <x:v>1.185879358468191E-3</x:v>
      </x:c>
      <x:c r="M18" s="10">
        <x:v>2.0789043631683226E-3</x:v>
      </x:c>
      <x:c r="N18" s="10">
        <x:v>2.0861353348662994E-3</x:v>
      </x:c>
      <x:c r="O18" s="10">
        <x:v>2.3175264292015561E-3</x:v>
      </x:c>
      <x:c r="P18" s="10">
        <x:v>4.0710370659609238E-3</x:v>
      </x:c>
      <x:c r="Q18" s="10">
        <x:v>4.5663586272723326E-3</x:v>
      </x:c>
      <x:c r="R18" s="10">
        <x:v>3.8649543725685857E-3</x:v>
      </x:c>
      <x:c r="S18" s="15">
        <x:f t="shared" si="0"/>
        <x:v>3.9607647475667779E-2</x:v>
      </x:c>
      <x:c r="T18" t="str">
        <x:f t="shared" si="1"/>
        <x:v>OK</x:v>
      </x:c>
      <x:c r="U18" t="str">
        <x:f t="shared" si="2"/>
        <x:v>LOSS-KG01-L21-20251026-PM-ORD-2025-00021</x:v>
      </x:c>
      <x:c r="V18" t="str">
        <x:f t="shared" si="3"/>
        <x:v>OK</x:v>
      </x:c>
      <x:c r="W18" t="str">
        <x:f t="shared" si="4">IF(A18="","",IF(AND(T18="OK",V18="OK",Y18="OK",AB18="OK",AD18="OK"),"OK","CHECK"))</x:f>
        <x:v>OK</x:v>
      </x:c>
      <x:c r="X18" t="str">
        <x:f>IF(A18="","", "PE-"&amp;A18&amp;"-L"&amp;TEXT(B18,"00")&amp;"-"&amp;TEXT(C18,"yyyymmdd")&amp;"-"&amp;D18&amp;"-"&amp;E18)</x:f>
        <x:v>PE-KG01-L21-20251026-PM-ORD-2025-00021</x:v>
      </x:c>
      <x:c r="Y18" t="str">
        <x:f>IF(X18="","",IF(COUNTIF(_ProductionEventRef!$A$5:$A$500,X18)=1,"OK","CHECK"))</x:f>
        <x:v>OK</x:v>
      </x:c>
      <x:c r="Z18" t="n">
        <x:f>IF(X18="","",IFERROR(VLOOKUP(X18,_ProductionEventRef!$A$5:$I$500,7,FALSE),0))</x:f>
        <x:v>276588</x:v>
      </x:c>
      <x:c r="AA18" t="n">
        <x:f>IF(X18="","",IFERROR(VLOOKUP(X18,_ProductionEventRef!$A$5:$I$500,8,FALSE),0))</x:f>
        <x:v>10955</x:v>
      </x:c>
      <x:c r="AB18" t="str">
        <x:f>IF(X18="","",IF(ABS(G18-AA18)&lt;=1,"OK","CHECK"))</x:f>
        <x:v>OK</x:v>
      </x:c>
      <x:c r="AC18" t="n">
        <x:f>IF(X18="","",SUMIF(LossDetail!$C$5:$C$2000,X18,LossDetail!$L$5:$L$2000))</x:f>
        <x:v>0.03960764747566778</x:v>
      </x:c>
      <x:c r="AD18" t="str">
        <x:f>IF(X18="","",IF(ABS(S18-AC18)&lt;=0.000001,"OK","CHECK"))</x:f>
        <x:v>OK</x:v>
      </x:c>
      <x:c r="AE18" t="str">
        <x:v>LossPercent</x:v>
      </x:c>
      <x:c r="AJ18" t="str">
        <x:v>03_Process_Losses(6).xlsx</x:v>
      </x:c>
      <x:c r="AK18" t="str">
        <x:v>ENH-20260830-01</x:v>
      </x:c>
      <x:c r="AL18" t="str">
        <x:v>Active</x:v>
      </x:c>
      <x:c r="AM18" t="str">
        <x:f>IF(A18="","",IF(W18="OK","LOAD","QUARANTINE"))</x:f>
        <x:v>LOAD</x:v>
      </x:c>
    </x:row>
    <x:row r="19" ht="18" customHeight="1">
      <x:c r="A19" s="7" t="s">
        <x:v>39</x:v>
      </x:c>
      <x:c r="B19" s="8">
        <x:v>22</x:v>
      </x:c>
      <x:c r="C19" s="6">
        <x:v>45950</x:v>
      </x:c>
      <x:c r="D19" s="7" t="s">
        <x:v>40</x:v>
      </x:c>
      <x:c r="E19" s="7" t="s">
        <x:v>47</x:v>
      </x:c>
      <x:c r="F19" s="7" t="s">
        <x:v>45</x:v>
      </x:c>
      <x:c r="G19" s="9">
        <x:v>3024</x:v>
      </x:c>
      <x:c r="H19" s="10">
        <x:v>6.6964285714285711E-3</x:v>
      </x:c>
      <x:c r="I19" s="10">
        <x:v>2.8980654761904763E-2</x:v>
      </x:c>
      <x:c r="J19" s="10">
        <x:v>8.4449404761904757E-3</x:v>
      </x:c>
      <x:c r="K19" s="10">
        <x:v>5.8407738095238096E-3</x:v>
      </x:c>
      <x:c r="L19" s="10">
        <x:v>1.0193452380952381E-2</x:v>
      </x:c>
      <x:c r="M19" s="10">
        <x:v>1.0193452380952381E-2</x:v>
      </x:c>
      <x:c r="N19" s="10">
        <x:v>1.2574404761904762E-2</x:v>
      </x:c>
      <x:c r="O19" s="10">
        <x:v>1.5625000000000001E-3</x:v>
      </x:c>
      <x:c r="P19" s="10">
        <x:v>1.2723214285714286E-2</x:v>
      </x:c>
      <x:c r="Q19" s="10">
        <x:v>5.6547619047619046E-3</x:v>
      </x:c>
      <x:c r="R19" s="10">
        <x:v>9.6354166666666671E-3</x:v>
      </x:c>
      <x:c r="S19" s="15">
        <x:f t="shared" si="0"/>
        <x:v>0.11249999999999999</x:v>
      </x:c>
      <x:c r="T19" t="str">
        <x:f t="shared" si="1"/>
        <x:v>OK</x:v>
      </x:c>
      <x:c r="U19" t="str">
        <x:f t="shared" si="2"/>
        <x:v>LOSS-KG01-L22-20251020-AM-ORD-2025-00056</x:v>
      </x:c>
      <x:c r="V19" t="str">
        <x:f t="shared" si="3"/>
        <x:v>OK</x:v>
      </x:c>
      <x:c r="W19" t="str">
        <x:f t="shared" si="4">IF(A19="","",IF(AND(T19="OK",V19="OK",Y19="OK",AB19="OK",AD19="OK"),"OK","CHECK"))</x:f>
        <x:v>OK</x:v>
      </x:c>
      <x:c r="X19" t="str">
        <x:f>IF(A19="","", "PE-"&amp;A19&amp;"-L"&amp;TEXT(B19,"00")&amp;"-"&amp;TEXT(C19,"yyyymmdd")&amp;"-"&amp;D19&amp;"-"&amp;E19)</x:f>
        <x:v>PE-KG01-L22-20251020-AM-ORD-2025-00056</x:v>
      </x:c>
      <x:c r="Y19" t="str">
        <x:f>IF(X19="","",IF(COUNTIF(_ProductionEventRef!$A$5:$A$500,X19)=1,"OK","CHECK"))</x:f>
        <x:v>OK</x:v>
      </x:c>
      <x:c r="Z19" t="n">
        <x:f>IF(X19="","",IFERROR(VLOOKUP(X19,_ProductionEventRef!$A$5:$I$500,7,FALSE),0))</x:f>
        <x:v>26880</x:v>
      </x:c>
      <x:c r="AA19" t="n">
        <x:f>IF(X19="","",IFERROR(VLOOKUP(X19,_ProductionEventRef!$A$5:$I$500,8,FALSE),0))</x:f>
        <x:v>3024</x:v>
      </x:c>
      <x:c r="AB19" t="str">
        <x:f>IF(X19="","",IF(ABS(G19-AA19)&lt;=1,"OK","CHECK"))</x:f>
        <x:v>OK</x:v>
      </x:c>
      <x:c r="AC19" t="n">
        <x:f>IF(X19="","",SUMIF(LossDetail!$C$5:$C$2000,X19,LossDetail!$L$5:$L$2000))</x:f>
        <x:v>0.11249999999999999</x:v>
      </x:c>
      <x:c r="AD19" t="str">
        <x:f>IF(X19="","",IF(ABS(S19-AC19)&lt;=0.000001,"OK","CHECK"))</x:f>
        <x:v>OK</x:v>
      </x:c>
      <x:c r="AE19" t="str">
        <x:v>LossPercent</x:v>
      </x:c>
      <x:c r="AJ19" t="str">
        <x:v>03_Process_Losses(6).xlsx</x:v>
      </x:c>
      <x:c r="AK19" t="str">
        <x:v>ENH-20260830-01</x:v>
      </x:c>
      <x:c r="AL19" t="str">
        <x:v>Active</x:v>
      </x:c>
      <x:c r="AM19" t="str">
        <x:f>IF(A19="","",IF(W19="OK","LOAD","QUARANTINE"))</x:f>
        <x:v>LOAD</x:v>
      </x:c>
    </x:row>
    <x:row r="20" ht="18" customHeight="1">
      <x:c r="A20" s="7" t="s">
        <x:v>39</x:v>
      </x:c>
      <x:c r="B20" s="8">
        <x:v>22</x:v>
      </x:c>
      <x:c r="C20" s="6">
        <x:v>45950</x:v>
      </x:c>
      <x:c r="D20" s="7" t="s">
        <x:v>43</x:v>
      </x:c>
      <x:c r="E20" s="7" t="s">
        <x:v>47</x:v>
      </x:c>
      <x:c r="F20" s="7" t="s">
        <x:v>42</x:v>
      </x:c>
      <x:c r="G20" s="9">
        <x:v>8503</x:v>
      </x:c>
      <x:c r="H20" s="10">
        <x:v>6.3856470106470106E-3</x:v>
      </x:c>
      <x:c r="I20" s="10">
        <x:v>1.0384674447174447E-2</x:v>
      </x:c>
      <x:c r="J20" s="10">
        <x:v>3.3527846027846028E-3</x:v>
      </x:c>
      <x:c r="K20" s="10">
        <x:v>3.6023239148239147E-3</x:v>
      </x:c>
      <x:c r="L20" s="10">
        <x:v>5.1827395577395581E-3</x:v>
      </x:c>
      <x:c r="M20" s="10">
        <x:v>7.0574836199836198E-3</x:v>
      </x:c>
      <x:c r="N20" s="10">
        <x:v>3.3655814905814907E-3</x:v>
      </x:c>
      <x:c r="O20" s="10">
        <x:v>2.4634009009009009E-3</x:v>
      </x:c>
      <x:c r="P20" s="10">
        <x:v>2.5529791154791153E-3</x:v>
      </x:c>
      <x:c r="Q20" s="10">
        <x:v>6.8527334152334151E-3</x:v>
      </x:c>
      <x:c r="R20" s="10">
        <x:v>3.2056203931203932E-3</x:v>
      </x:c>
      <x:c r="S20" s="15">
        <x:f t="shared" si="0"/>
        <x:v>5.4405968468468471E-2</x:v>
      </x:c>
      <x:c r="T20" t="str">
        <x:f t="shared" si="1"/>
        <x:v>OK</x:v>
      </x:c>
      <x:c r="U20" t="str">
        <x:f t="shared" si="2"/>
        <x:v>LOSS-KG01-L22-20251020-PM-ORD-2025-00056</x:v>
      </x:c>
      <x:c r="V20" t="str">
        <x:f t="shared" si="3"/>
        <x:v>OK</x:v>
      </x:c>
      <x:c r="W20" t="str">
        <x:f t="shared" si="4">IF(A20="","",IF(AND(T20="OK",V20="OK",Y20="OK",AB20="OK",AD20="OK"),"OK","CHECK"))</x:f>
        <x:v>OK</x:v>
      </x:c>
      <x:c r="X20" t="str">
        <x:f>IF(A20="","", "PE-"&amp;A20&amp;"-L"&amp;TEXT(B20,"00")&amp;"-"&amp;TEXT(C20,"yyyymmdd")&amp;"-"&amp;D20&amp;"-"&amp;E20)</x:f>
        <x:v>PE-KG01-L22-20251020-PM-ORD-2025-00056</x:v>
      </x:c>
      <x:c r="Y20" t="str">
        <x:f>IF(X20="","",IF(COUNTIF(_ProductionEventRef!$A$5:$A$500,X20)=1,"OK","CHECK"))</x:f>
        <x:v>OK</x:v>
      </x:c>
      <x:c r="Z20" t="n">
        <x:f>IF(X20="","",IFERROR(VLOOKUP(X20,_ProductionEventRef!$A$5:$I$500,7,FALSE),0))</x:f>
        <x:v>156288</x:v>
      </x:c>
      <x:c r="AA20" t="n">
        <x:f>IF(X20="","",IFERROR(VLOOKUP(X20,_ProductionEventRef!$A$5:$I$500,8,FALSE),0))</x:f>
        <x:v>8503</x:v>
      </x:c>
      <x:c r="AB20" t="str">
        <x:f>IF(X20="","",IF(ABS(G20-AA20)&lt;=1,"OK","CHECK"))</x:f>
        <x:v>OK</x:v>
      </x:c>
      <x:c r="AC20" t="n">
        <x:f>IF(X20="","",SUMIF(LossDetail!$C$5:$C$2000,X20,LossDetail!$L$5:$L$2000))</x:f>
        <x:v>0.05440596846846847</x:v>
      </x:c>
      <x:c r="AD20" t="str">
        <x:f>IF(X20="","",IF(ABS(S20-AC20)&lt;=0.000001,"OK","CHECK"))</x:f>
        <x:v>OK</x:v>
      </x:c>
      <x:c r="AE20" t="str">
        <x:v>LossPercent</x:v>
      </x:c>
      <x:c r="AJ20" t="str">
        <x:v>03_Process_Losses(6).xlsx</x:v>
      </x:c>
      <x:c r="AK20" t="str">
        <x:v>ENH-20260830-01</x:v>
      </x:c>
      <x:c r="AL20" t="str">
        <x:v>Active</x:v>
      </x:c>
      <x:c r="AM20" t="str">
        <x:f>IF(A20="","",IF(W20="OK","LOAD","QUARANTINE"))</x:f>
        <x:v>LOAD</x:v>
      </x:c>
    </x:row>
    <x:row r="21" ht="18" customHeight="1">
      <x:c r="A21" s="7" t="s">
        <x:v>39</x:v>
      </x:c>
      <x:c r="B21" s="8">
        <x:v>22</x:v>
      </x:c>
      <x:c r="C21" s="6">
        <x:v>45951</x:v>
      </x:c>
      <x:c r="D21" s="7" t="s">
        <x:v>40</x:v>
      </x:c>
      <x:c r="E21" s="7" t="s">
        <x:v>47</x:v>
      </x:c>
      <x:c r="F21" s="7" t="s">
        <x:v>42</x:v>
      </x:c>
      <x:c r="G21" s="9">
        <x:v>5551</x:v>
      </x:c>
      <x:c r="H21" s="10">
        <x:v>5.6506849315068495E-3</x:v>
      </x:c>
      <x:c r="I21" s="10">
        <x:v>8.4332191780821918E-3</x:v>
      </x:c>
      <x:c r="J21" s="10">
        <x:v>4.0953196347031963E-3</x:v>
      </x:c>
      <x:c r="K21" s="10">
        <x:v>2.3901255707762556E-3</x:v>
      </x:c>
      <x:c r="L21" s="10">
        <x:v>2.7682648401826486E-3</x:v>
      </x:c>
      <x:c r="M21" s="10">
        <x:v>3.1035958904109587E-3</x:v>
      </x:c>
      <x:c r="N21" s="10">
        <x:v>4.3022260273972599E-3</x:v>
      </x:c>
      <x:c r="O21" s="10">
        <x:v>1.8550228310502284E-4</x:v>
      </x:c>
      <x:c r="P21" s="10">
        <x:v>2.6184360730593607E-3</x:v>
      </x:c>
      <x:c r="Q21" s="10">
        <x:v>3.132134703196347E-3</x:v>
      </x:c>
      <x:c r="R21" s="10">
        <x:v>2.9252283105022829E-3</x:v>
      </x:c>
      <x:c r="S21" s="15">
        <x:f t="shared" si="0"/>
        <x:v>3.960473744292238E-2</x:v>
      </x:c>
      <x:c r="T21" t="str">
        <x:f t="shared" si="1"/>
        <x:v>OK</x:v>
      </x:c>
      <x:c r="U21" t="str">
        <x:f t="shared" si="2"/>
        <x:v>LOSS-KG01-L22-20251021-AM-ORD-2025-00056</x:v>
      </x:c>
      <x:c r="V21" t="str">
        <x:f t="shared" si="3"/>
        <x:v>OK</x:v>
      </x:c>
      <x:c r="W21" t="str">
        <x:f t="shared" si="4">IF(A21="","",IF(AND(T21="OK",V21="OK",Y21="OK",AB21="OK",AD21="OK"),"OK","CHECK"))</x:f>
        <x:v>OK</x:v>
      </x:c>
      <x:c r="X21" t="str">
        <x:f>IF(A21="","", "PE-"&amp;A21&amp;"-L"&amp;TEXT(B21,"00")&amp;"-"&amp;TEXT(C21,"yyyymmdd")&amp;"-"&amp;D21&amp;"-"&amp;E21)</x:f>
        <x:v>PE-KG01-L22-20251021-AM-ORD-2025-00056</x:v>
      </x:c>
      <x:c r="Y21" t="str">
        <x:f>IF(X21="","",IF(COUNTIF(_ProductionEventRef!$A$5:$A$500,X21)=1,"OK","CHECK"))</x:f>
        <x:v>OK</x:v>
      </x:c>
      <x:c r="Z21" t="n">
        <x:f>IF(X21="","",IFERROR(VLOOKUP(X21,_ProductionEventRef!$A$5:$I$500,7,FALSE),0))</x:f>
        <x:v>140160</x:v>
      </x:c>
      <x:c r="AA21" t="n">
        <x:f>IF(X21="","",IFERROR(VLOOKUP(X21,_ProductionEventRef!$A$5:$I$500,8,FALSE),0))</x:f>
        <x:v>5551</x:v>
      </x:c>
      <x:c r="AB21" t="str">
        <x:f>IF(X21="","",IF(ABS(G21-AA21)&lt;=1,"OK","CHECK"))</x:f>
        <x:v>OK</x:v>
      </x:c>
      <x:c r="AC21" t="n">
        <x:f>IF(X21="","",SUMIF(LossDetail!$C$5:$C$2000,X21,LossDetail!$L$5:$L$2000))</x:f>
        <x:v>0.03960473744292238</x:v>
      </x:c>
      <x:c r="AD21" t="str">
        <x:f>IF(X21="","",IF(ABS(S21-AC21)&lt;=0.000001,"OK","CHECK"))</x:f>
        <x:v>OK</x:v>
      </x:c>
      <x:c r="AE21" t="str">
        <x:v>LossPercent</x:v>
      </x:c>
      <x:c r="AJ21" t="str">
        <x:v>03_Process_Losses(6).xlsx</x:v>
      </x:c>
      <x:c r="AK21" t="str">
        <x:v>ENH-20260830-01</x:v>
      </x:c>
      <x:c r="AL21" t="str">
        <x:v>Active</x:v>
      </x:c>
      <x:c r="AM21" t="str">
        <x:f>IF(A21="","",IF(W21="OK","LOAD","QUARANTINE"))</x:f>
        <x:v>LOAD</x:v>
      </x:c>
    </x:row>
    <x:row r="22" ht="18" customHeight="1">
      <x:c r="A22" s="7" t="s">
        <x:v>39</x:v>
      </x:c>
      <x:c r="B22" s="8">
        <x:v>22</x:v>
      </x:c>
      <x:c r="C22" s="6">
        <x:v>45951</x:v>
      </x:c>
      <x:c r="D22" s="7" t="s">
        <x:v>43</x:v>
      </x:c>
      <x:c r="E22" s="7" t="s">
        <x:v>47</x:v>
      </x:c>
      <x:c r="F22" s="7" t="s">
        <x:v>42</x:v>
      </x:c>
      <x:c r="G22" s="9">
        <x:v>6335</x:v>
      </x:c>
      <x:c r="H22" s="10">
        <x:v>3.0394698934024778E-3</x:v>
      </x:c>
      <x:c r="I22" s="10">
        <x:v>1.2676462114664363E-2</x:v>
      </x:c>
      <x:c r="J22" s="10">
        <x:v>8.1316623451454916E-3</x:v>
      </x:c>
      <x:c r="K22" s="10">
        <x:v>1.3036588879285509E-3</x:v>
      </x:c>
      <x:c r="L22" s="10">
        <x:v>2.3624315759147221E-3</x:v>
      </x:c>
      <x:c r="M22" s="10">
        <x:v>1.3468740996830885E-3</x:v>
      </x:c>
      <x:c r="N22" s="10">
        <x:v>2.0023048112935752E-3</x:v>
      </x:c>
      <x:c r="O22" s="10">
        <x:v>2.3264188994526072E-3</x:v>
      </x:c>
      <x:c r="P22" s="10">
        <x:v>4.7392682224142897E-3</x:v>
      </x:c>
      <x:c r="Q22" s="10">
        <x:v>4.9049265341400174E-3</x:v>
      </x:c>
      <x:c r="R22" s="10">
        <x:v>2.7945836934600982E-3</x:v>
      </x:c>
      <x:c r="S22" s="15">
        <x:f t="shared" si="0"/>
        <x:v>4.5628061077499282E-2</x:v>
      </x:c>
      <x:c r="T22" t="str">
        <x:f t="shared" si="1"/>
        <x:v>OK</x:v>
      </x:c>
      <x:c r="U22" t="str">
        <x:f t="shared" si="2"/>
        <x:v>LOSS-KG01-L22-20251021-PM-ORD-2025-00056</x:v>
      </x:c>
      <x:c r="V22" t="str">
        <x:f t="shared" si="3"/>
        <x:v>OK</x:v>
      </x:c>
      <x:c r="W22" t="str">
        <x:f t="shared" si="4">IF(A22="","",IF(AND(T22="OK",V22="OK",Y22="OK",AB22="OK",AD22="OK"),"OK","CHECK"))</x:f>
        <x:v>OK</x:v>
      </x:c>
      <x:c r="X22" t="str">
        <x:f>IF(A22="","", "PE-"&amp;A22&amp;"-L"&amp;TEXT(B22,"00")&amp;"-"&amp;TEXT(C22,"yyyymmdd")&amp;"-"&amp;D22&amp;"-"&amp;E22)</x:f>
        <x:v>PE-KG01-L22-20251021-PM-ORD-2025-00056</x:v>
      </x:c>
      <x:c r="Y22" t="str">
        <x:f>IF(X22="","",IF(COUNTIF(_ProductionEventRef!$A$5:$A$500,X22)=1,"OK","CHECK"))</x:f>
        <x:v>OK</x:v>
      </x:c>
      <x:c r="Z22" t="n">
        <x:f>IF(X22="","",IFERROR(VLOOKUP(X22,_ProductionEventRef!$A$5:$I$500,7,FALSE),0))</x:f>
        <x:v>138840</x:v>
      </x:c>
      <x:c r="AA22" t="n">
        <x:f>IF(X22="","",IFERROR(VLOOKUP(X22,_ProductionEventRef!$A$5:$I$500,8,FALSE),0))</x:f>
        <x:v>6335</x:v>
      </x:c>
      <x:c r="AB22" t="str">
        <x:f>IF(X22="","",IF(ABS(G22-AA22)&lt;=1,"OK","CHECK"))</x:f>
        <x:v>OK</x:v>
      </x:c>
      <x:c r="AC22" t="n">
        <x:f>IF(X22="","",SUMIF(LossDetail!$C$5:$C$2000,X22,LossDetail!$L$5:$L$2000))</x:f>
        <x:v>0.04562806107749928</x:v>
      </x:c>
      <x:c r="AD22" t="str">
        <x:f>IF(X22="","",IF(ABS(S22-AC22)&lt;=0.000001,"OK","CHECK"))</x:f>
        <x:v>OK</x:v>
      </x:c>
      <x:c r="AE22" t="str">
        <x:v>LossPercent</x:v>
      </x:c>
      <x:c r="AJ22" t="str">
        <x:v>03_Process_Losses(6).xlsx</x:v>
      </x:c>
      <x:c r="AK22" t="str">
        <x:v>ENH-20260830-01</x:v>
      </x:c>
      <x:c r="AL22" t="str">
        <x:v>Active</x:v>
      </x:c>
      <x:c r="AM22" t="str">
        <x:f>IF(A22="","",IF(W22="OK","LOAD","QUARANTINE"))</x:f>
        <x:v>LOAD</x:v>
      </x:c>
    </x:row>
    <x:row r="23" ht="18" customHeight="1">
      <x:c r="A23" s="7" t="s">
        <x:v>39</x:v>
      </x:c>
      <x:c r="B23" s="8">
        <x:v>22</x:v>
      </x:c>
      <x:c r="C23" s="6">
        <x:v>45952</x:v>
      </x:c>
      <x:c r="D23" s="7" t="s">
        <x:v>40</x:v>
      </x:c>
      <x:c r="E23" s="7" t="s">
        <x:v>48</x:v>
      </x:c>
      <x:c r="F23" s="7" t="s">
        <x:v>42</x:v>
      </x:c>
      <x:c r="G23" s="9">
        <x:v>7192</x:v>
      </x:c>
      <x:c r="H23" s="10">
        <x:v>8.285017267053196E-3</x:v>
      </x:c>
      <x:c r="I23" s="10">
        <x:v>1.0193897918448817E-2</x:v>
      </x:c>
      <x:c r="J23" s="10">
        <x:v>4.7999239616006084E-3</x:v>
      </x:c>
      <x:c r="K23" s="10">
        <x:v>4.7127966289642938E-3</x:v>
      </x:c>
      <x:c r="L23" s="10">
        <x:v>6.9781072775084753E-3</x:v>
      </x:c>
      <x:c r="M23" s="10">
        <x:v>3.3346006399898615E-3</x:v>
      </x:c>
      <x:c r="N23" s="10">
        <x:v>7.9206666033013336E-4</x:v>
      </x:c>
      <x:c r="O23" s="10">
        <x:v>2.700947311725755E-3</x:v>
      </x:c>
      <x:c r="P23" s="10">
        <x:v>2.3682793143870989E-3</x:v>
      </x:c>
      <x:c r="Q23" s="10">
        <x:v>1.0288945917688433E-2</x:v>
      </x:c>
      <x:c r="R23" s="10">
        <x:v>2.5108513132465226E-3</x:v>
      </x:c>
      <x:c r="S23" s="15">
        <x:f t="shared" si="0"/>
        <x:v>5.6965434210943189E-2</x:v>
      </x:c>
      <x:c r="T23" t="str">
        <x:f t="shared" si="1"/>
        <x:v>OK</x:v>
      </x:c>
      <x:c r="U23" t="str">
        <x:f t="shared" si="2"/>
        <x:v>LOSS-KG01-L22-20251022-AM-ORD-2025-00057</x:v>
      </x:c>
      <x:c r="V23" t="str">
        <x:f t="shared" si="3"/>
        <x:v>OK</x:v>
      </x:c>
      <x:c r="W23" t="str">
        <x:f t="shared" si="4">IF(A23="","",IF(AND(T23="OK",V23="OK",Y23="OK",AB23="OK",AD23="OK"),"OK","CHECK"))</x:f>
        <x:v>OK</x:v>
      </x:c>
      <x:c r="X23" t="str">
        <x:f>IF(A23="","", "PE-"&amp;A23&amp;"-L"&amp;TEXT(B23,"00")&amp;"-"&amp;TEXT(C23,"yyyymmdd")&amp;"-"&amp;D23&amp;"-"&amp;E23)</x:f>
        <x:v>PE-KG01-L22-20251022-AM-ORD-2025-00057</x:v>
      </x:c>
      <x:c r="Y23" t="str">
        <x:f>IF(X23="","",IF(COUNTIF(_ProductionEventRef!$A$5:$A$500,X23)=1,"OK","CHECK"))</x:f>
        <x:v>OK</x:v>
      </x:c>
      <x:c r="Z23" t="n">
        <x:f>IF(X23="","",IFERROR(VLOOKUP(X23,_ProductionEventRef!$A$5:$I$500,7,FALSE),0))</x:f>
        <x:v>126252</x:v>
      </x:c>
      <x:c r="AA23" t="n">
        <x:f>IF(X23="","",IFERROR(VLOOKUP(X23,_ProductionEventRef!$A$5:$I$500,8,FALSE),0))</x:f>
        <x:v>7192</x:v>
      </x:c>
      <x:c r="AB23" t="str">
        <x:f>IF(X23="","",IF(ABS(G23-AA23)&lt;=1,"OK","CHECK"))</x:f>
        <x:v>OK</x:v>
      </x:c>
      <x:c r="AC23" t="n">
        <x:f>IF(X23="","",SUMIF(LossDetail!$C$5:$C$2000,X23,LossDetail!$L$5:$L$2000))</x:f>
        <x:v>0.05696543421094319</x:v>
      </x:c>
      <x:c r="AD23" t="str">
        <x:f>IF(X23="","",IF(ABS(S23-AC23)&lt;=0.000001,"OK","CHECK"))</x:f>
        <x:v>OK</x:v>
      </x:c>
      <x:c r="AE23" t="str">
        <x:v>LossPercent</x:v>
      </x:c>
      <x:c r="AJ23" t="str">
        <x:v>03_Process_Losses(6).xlsx</x:v>
      </x:c>
      <x:c r="AK23" t="str">
        <x:v>ENH-20260830-01</x:v>
      </x:c>
      <x:c r="AL23" t="str">
        <x:v>Active</x:v>
      </x:c>
      <x:c r="AM23" t="str">
        <x:f>IF(A23="","",IF(W23="OK","LOAD","QUARANTINE"))</x:f>
        <x:v>LOAD</x:v>
      </x:c>
    </x:row>
    <x:row r="24" ht="18" customHeight="1">
      <x:c r="A24" s="7" t="s">
        <x:v>39</x:v>
      </x:c>
      <x:c r="B24" s="8">
        <x:v>22</x:v>
      </x:c>
      <x:c r="C24" s="6">
        <x:v>45952</x:v>
      </x:c>
      <x:c r="D24" s="7" t="s">
        <x:v>43</x:v>
      </x:c>
      <x:c r="E24" s="7" t="s">
        <x:v>48</x:v>
      </x:c>
      <x:c r="F24" s="7" t="s">
        <x:v>42</x:v>
      </x:c>
      <x:c r="G24" s="9">
        <x:v>5375</x:v>
      </x:c>
      <x:c r="H24" s="10">
        <x:v>5.0533448673587078E-3</x:v>
      </x:c>
      <x:c r="I24" s="10">
        <x:v>8.6000576701268736E-3</x:v>
      </x:c>
      <x:c r="J24" s="10">
        <x:v>4.0224913494809689E-3</x:v>
      </x:c>
      <x:c r="K24" s="10">
        <x:v>1.2399077277970012E-3</x:v>
      </x:c>
      <x:c r="L24" s="10">
        <x:v>5.8102652825836217E-3</x:v>
      </x:c>
      <x:c r="M24" s="10">
        <x:v>2.4149365628604383E-3</x:v>
      </x:c>
      <x:c r="N24" s="10">
        <x:v>1.0308535178777394E-3</x:v>
      </x:c>
      <x:c r="O24" s="10">
        <x:v>1.1101499423298731E-3</x:v>
      </x:c>
      <x:c r="P24" s="10">
        <x:v>1.2038638985005768E-3</x:v>
      </x:c>
      <x:c r="Q24" s="10">
        <x:v>5.3200692041522491E-3</x:v>
      </x:c>
      <x:c r="R24" s="10">
        <x:v>2.9411764705882353E-3</x:v>
      </x:c>
      <x:c r="S24" s="15">
        <x:f t="shared" si="0"/>
        <x:v>3.8747116493656281E-2</x:v>
      </x:c>
      <x:c r="T24" t="str">
        <x:f t="shared" si="1"/>
        <x:v>OK</x:v>
      </x:c>
      <x:c r="U24" t="str">
        <x:f t="shared" si="2"/>
        <x:v>LOSS-KG01-L22-20251022-PM-ORD-2025-00057</x:v>
      </x:c>
      <x:c r="V24" t="str">
        <x:f t="shared" si="3"/>
        <x:v>OK</x:v>
      </x:c>
      <x:c r="W24" t="str">
        <x:f t="shared" si="4">IF(A24="","",IF(AND(T24="OK",V24="OK",Y24="OK",AB24="OK",AD24="OK"),"OK","CHECK"))</x:f>
        <x:v>OK</x:v>
      </x:c>
      <x:c r="X24" t="str">
        <x:f>IF(A24="","", "PE-"&amp;A24&amp;"-L"&amp;TEXT(B24,"00")&amp;"-"&amp;TEXT(C24,"yyyymmdd")&amp;"-"&amp;D24&amp;"-"&amp;E24)</x:f>
        <x:v>PE-KG01-L22-20251022-PM-ORD-2025-00057</x:v>
      </x:c>
      <x:c r="Y24" t="str">
        <x:f>IF(X24="","",IF(COUNTIF(_ProductionEventRef!$A$5:$A$500,X24)=1,"OK","CHECK"))</x:f>
        <x:v>OK</x:v>
      </x:c>
      <x:c r="Z24" t="n">
        <x:f>IF(X24="","",IFERROR(VLOOKUP(X24,_ProductionEventRef!$A$5:$I$500,7,FALSE),0))</x:f>
        <x:v>138720</x:v>
      </x:c>
      <x:c r="AA24" t="n">
        <x:f>IF(X24="","",IFERROR(VLOOKUP(X24,_ProductionEventRef!$A$5:$I$500,8,FALSE),0))</x:f>
        <x:v>5375</x:v>
      </x:c>
      <x:c r="AB24" t="str">
        <x:f>IF(X24="","",IF(ABS(G24-AA24)&lt;=1,"OK","CHECK"))</x:f>
        <x:v>OK</x:v>
      </x:c>
      <x:c r="AC24" t="n">
        <x:f>IF(X24="","",SUMIF(LossDetail!$C$5:$C$2000,X24,LossDetail!$L$5:$L$2000))</x:f>
        <x:v>0.03874711649365628</x:v>
      </x:c>
      <x:c r="AD24" t="str">
        <x:f>IF(X24="","",IF(ABS(S24-AC24)&lt;=0.000001,"OK","CHECK"))</x:f>
        <x:v>OK</x:v>
      </x:c>
      <x:c r="AE24" t="str">
        <x:v>LossPercent</x:v>
      </x:c>
      <x:c r="AJ24" t="str">
        <x:v>03_Process_Losses(6).xlsx</x:v>
      </x:c>
      <x:c r="AK24" t="str">
        <x:v>ENH-20260830-01</x:v>
      </x:c>
      <x:c r="AL24" t="str">
        <x:v>Active</x:v>
      </x:c>
      <x:c r="AM24" t="str">
        <x:f>IF(A24="","",IF(W24="OK","LOAD","QUARANTINE"))</x:f>
        <x:v>LOAD</x:v>
      </x:c>
    </x:row>
    <x:row r="25" ht="18" customHeight="1">
      <x:c r="A25" s="7" t="s">
        <x:v>39</x:v>
      </x:c>
      <x:c r="B25" s="8">
        <x:v>22</x:v>
      </x:c>
      <x:c r="C25" s="6">
        <x:v>45953</x:v>
      </x:c>
      <x:c r="D25" s="7" t="s">
        <x:v>40</x:v>
      </x:c>
      <x:c r="E25" s="7" t="s">
        <x:v>48</x:v>
      </x:c>
      <x:c r="F25" s="7" t="s">
        <x:v>42</x:v>
      </x:c>
      <x:c r="G25" s="9">
        <x:v>6927</x:v>
      </x:c>
      <x:c r="H25" s="10">
        <x:v>4.8646723646723648E-3</x:v>
      </x:c>
      <x:c r="I25" s="10">
        <x:v>1.3482905982905982E-2</x:v>
      </x:c>
      <x:c r="J25" s="10">
        <x:v>4.0028490028490024E-3</x:v>
      </x:c>
      <x:c r="K25" s="10">
        <x:v>5.2706552706552707E-3</x:v>
      </x:c>
      <x:c r="L25" s="10">
        <x:v>5.3917378917378916E-3</x:v>
      </x:c>
      <x:c r="M25" s="10">
        <x:v>2.905982905982906E-3</x:v>
      </x:c>
      <x:c r="N25" s="10">
        <x:v>2.4928774928774928E-3</x:v>
      </x:c>
      <x:c r="O25" s="10">
        <x:v>1.745014245014245E-3</x:v>
      </x:c>
      <x:c r="P25" s="10">
        <x:v>1.2037037037037038E-3</x:v>
      </x:c>
      <x:c r="Q25" s="10">
        <x:v>4.7150997150997151E-3</x:v>
      </x:c>
      <x:c r="R25" s="10">
        <x:v>3.2621082621082623E-3</x:v>
      </x:c>
      <x:c r="S25" s="15">
        <x:f t="shared" si="0"/>
        <x:v>4.9337606837606851E-2</x:v>
      </x:c>
      <x:c r="T25" t="str">
        <x:f t="shared" si="1"/>
        <x:v>OK</x:v>
      </x:c>
      <x:c r="U25" t="str">
        <x:f t="shared" si="2"/>
        <x:v>LOSS-KG01-L22-20251023-AM-ORD-2025-00057</x:v>
      </x:c>
      <x:c r="V25" t="str">
        <x:f t="shared" si="3"/>
        <x:v>OK</x:v>
      </x:c>
      <x:c r="W25" t="str">
        <x:f t="shared" si="4">IF(A25="","",IF(AND(T25="OK",V25="OK",Y25="OK",AB25="OK",AD25="OK"),"OK","CHECK"))</x:f>
        <x:v>OK</x:v>
      </x:c>
      <x:c r="X25" t="str">
        <x:f>IF(A25="","", "PE-"&amp;A25&amp;"-L"&amp;TEXT(B25,"00")&amp;"-"&amp;TEXT(C25,"yyyymmdd")&amp;"-"&amp;D25&amp;"-"&amp;E25)</x:f>
        <x:v>PE-KG01-L22-20251023-AM-ORD-2025-00057</x:v>
      </x:c>
      <x:c r="Y25" t="str">
        <x:f>IF(X25="","",IF(COUNTIF(_ProductionEventRef!$A$5:$A$500,X25)=1,"OK","CHECK"))</x:f>
        <x:v>OK</x:v>
      </x:c>
      <x:c r="Z25" t="n">
        <x:f>IF(X25="","",IFERROR(VLOOKUP(X25,_ProductionEventRef!$A$5:$I$500,7,FALSE),0))</x:f>
        <x:v>140400</x:v>
      </x:c>
      <x:c r="AA25" t="n">
        <x:f>IF(X25="","",IFERROR(VLOOKUP(X25,_ProductionEventRef!$A$5:$I$500,8,FALSE),0))</x:f>
        <x:v>6927</x:v>
      </x:c>
      <x:c r="AB25" t="str">
        <x:f>IF(X25="","",IF(ABS(G25-AA25)&lt;=1,"OK","CHECK"))</x:f>
        <x:v>OK</x:v>
      </x:c>
      <x:c r="AC25" t="n">
        <x:f>IF(X25="","",SUMIF(LossDetail!$C$5:$C$2000,X25,LossDetail!$L$5:$L$2000))</x:f>
        <x:v>0.04933760683760685</x:v>
      </x:c>
      <x:c r="AD25" t="str">
        <x:f>IF(X25="","",IF(ABS(S25-AC25)&lt;=0.000001,"OK","CHECK"))</x:f>
        <x:v>OK</x:v>
      </x:c>
      <x:c r="AE25" t="str">
        <x:v>LossPercent</x:v>
      </x:c>
      <x:c r="AJ25" t="str">
        <x:v>03_Process_Losses(6).xlsx</x:v>
      </x:c>
      <x:c r="AK25" t="str">
        <x:v>ENH-20260830-01</x:v>
      </x:c>
      <x:c r="AL25" t="str">
        <x:v>Active</x:v>
      </x:c>
      <x:c r="AM25" t="str">
        <x:f>IF(A25="","",IF(W25="OK","LOAD","QUARANTINE"))</x:f>
        <x:v>LOAD</x:v>
      </x:c>
    </x:row>
    <x:row r="26" ht="18" customHeight="1">
      <x:c r="A26" s="7" t="s">
        <x:v>39</x:v>
      </x:c>
      <x:c r="B26" s="8">
        <x:v>22</x:v>
      </x:c>
      <x:c r="C26" s="6">
        <x:v>45953</x:v>
      </x:c>
      <x:c r="D26" s="7" t="s">
        <x:v>43</x:v>
      </x:c>
      <x:c r="E26" s="7" t="s">
        <x:v>48</x:v>
      </x:c>
      <x:c r="F26" s="7" t="s">
        <x:v>42</x:v>
      </x:c>
      <x:c r="G26" s="9">
        <x:v>8020</x:v>
      </x:c>
      <x:c r="H26" s="10">
        <x:v>8.1917303879920703E-3</x:v>
      </x:c>
      <x:c r="I26" s="10">
        <x:v>1.2022090059473236E-2</x:v>
      </x:c>
      <x:c r="J26" s="10">
        <x:v>3.6037949589351457E-3</x:v>
      </x:c>
      <x:c r="K26" s="10">
        <x:v>2.4709713962050412E-3</x:v>
      </x:c>
      <x:c r="L26" s="10">
        <x:v>4.269328802039082E-3</x:v>
      </x:c>
      <x:c r="M26" s="10">
        <x:v>2.9453412630982725E-3</x:v>
      </x:c>
      <x:c r="N26" s="10">
        <x:v>5.4163126593033137E-3</x:v>
      </x:c>
      <x:c r="O26" s="10">
        <x:v>4.3118096856414609E-3</x:v>
      </x:c>
      <x:c r="P26" s="10">
        <x:v>2.8532993486264516E-3</x:v>
      </x:c>
      <x:c r="Q26" s="10">
        <x:v>8.3050127442650806E-3</x:v>
      </x:c>
      <x:c r="R26" s="10">
        <x:v>2.3930897762673466E-3</x:v>
      </x:c>
      <x:c r="S26" s="15">
        <x:f t="shared" si="0"/>
        <x:v>5.6782781081846492E-2</x:v>
      </x:c>
      <x:c r="T26" t="str">
        <x:f t="shared" si="1"/>
        <x:v>OK</x:v>
      </x:c>
      <x:c r="U26" t="str">
        <x:f t="shared" si="2"/>
        <x:v>LOSS-KG01-L22-20251023-PM-ORD-2025-00057</x:v>
      </x:c>
      <x:c r="V26" t="str">
        <x:f t="shared" si="3"/>
        <x:v>OK</x:v>
      </x:c>
      <x:c r="W26" t="str">
        <x:f t="shared" si="4">IF(A26="","",IF(AND(T26="OK",V26="OK",Y26="OK",AB26="OK",AD26="OK"),"OK","CHECK"))</x:f>
        <x:v>OK</x:v>
      </x:c>
      <x:c r="X26" t="str">
        <x:f>IF(A26="","", "PE-"&amp;A26&amp;"-L"&amp;TEXT(B26,"00")&amp;"-"&amp;TEXT(C26,"yyyymmdd")&amp;"-"&amp;D26&amp;"-"&amp;E26)</x:f>
        <x:v>PE-KG01-L22-20251023-PM-ORD-2025-00057</x:v>
      </x:c>
      <x:c r="Y26" t="str">
        <x:f>IF(X26="","",IF(COUNTIF(_ProductionEventRef!$A$5:$A$500,X26)=1,"OK","CHECK"))</x:f>
        <x:v>OK</x:v>
      </x:c>
      <x:c r="Z26" t="n">
        <x:f>IF(X26="","",IFERROR(VLOOKUP(X26,_ProductionEventRef!$A$5:$I$500,7,FALSE),0))</x:f>
        <x:v>141240</x:v>
      </x:c>
      <x:c r="AA26" t="n">
        <x:f>IF(X26="","",IFERROR(VLOOKUP(X26,_ProductionEventRef!$A$5:$I$500,8,FALSE),0))</x:f>
        <x:v>8020</x:v>
      </x:c>
      <x:c r="AB26" t="str">
        <x:f>IF(X26="","",IF(ABS(G26-AA26)&lt;=1,"OK","CHECK"))</x:f>
        <x:v>OK</x:v>
      </x:c>
      <x:c r="AC26" t="n">
        <x:f>IF(X26="","",SUMIF(LossDetail!$C$5:$C$2000,X26,LossDetail!$L$5:$L$2000))</x:f>
        <x:v>0.05678278108184649</x:v>
      </x:c>
      <x:c r="AD26" t="str">
        <x:f>IF(X26="","",IF(ABS(S26-AC26)&lt;=0.000001,"OK","CHECK"))</x:f>
        <x:v>OK</x:v>
      </x:c>
      <x:c r="AE26" t="str">
        <x:v>LossPercent</x:v>
      </x:c>
      <x:c r="AJ26" t="str">
        <x:v>03_Process_Losses(6).xlsx</x:v>
      </x:c>
      <x:c r="AK26" t="str">
        <x:v>ENH-20260830-01</x:v>
      </x:c>
      <x:c r="AL26" t="str">
        <x:v>Active</x:v>
      </x:c>
      <x:c r="AM26" t="str">
        <x:f>IF(A26="","",IF(W26="OK","LOAD","QUARANTINE"))</x:f>
        <x:v>LOAD</x:v>
      </x:c>
    </x:row>
    <x:row r="27" ht="18" customHeight="1">
      <x:c r="A27" s="7" t="s">
        <x:v>39</x:v>
      </x:c>
      <x:c r="B27" s="8">
        <x:v>22</x:v>
      </x:c>
      <x:c r="C27" s="6">
        <x:v>45954</x:v>
      </x:c>
      <x:c r="D27" s="7" t="s">
        <x:v>40</x:v>
      </x:c>
      <x:c r="E27" s="7" t="s">
        <x:v>48</x:v>
      </x:c>
      <x:c r="F27" s="7" t="s">
        <x:v>42</x:v>
      </x:c>
      <x:c r="G27" s="9">
        <x:v>5092</x:v>
      </x:c>
      <x:c r="H27" s="10">
        <x:v>4.3049645390070921E-3</x:v>
      </x:c>
      <x:c r="I27" s="10">
        <x:v>1.0085106382978723E-2</x:v>
      </x:c>
      <x:c r="J27" s="10">
        <x:v>5.6737588652482269E-4</x:v>
      </x:c>
      <x:c r="K27" s="10">
        <x:v>1.950354609929078E-3</x:v>
      </x:c>
      <x:c r="L27" s="10">
        <x:v>3.1843971631205672E-3</x:v>
      </x:c>
      <x:c r="M27" s="10">
        <x:v>4.0212765957446809E-3</x:v>
      </x:c>
      <x:c r="N27" s="10">
        <x:v>2.3404255319148937E-4</x:v>
      </x:c>
      <x:c r="O27" s="10">
        <x:v>1.0780141843971631E-3</x:v>
      </x:c>
      <x:c r="P27" s="10">
        <x:v>2.0212765957446808E-3</x:v>
      </x:c>
      <x:c r="Q27" s="10">
        <x:v>6.6950354609929081E-3</x:v>
      </x:c>
      <x:c r="R27" s="10">
        <x:v>1.971631205673759E-3</x:v>
      </x:c>
      <x:c r="S27" s="15">
        <x:f t="shared" si="0"/>
        <x:v>3.6113475177304961E-2</x:v>
      </x:c>
      <x:c r="T27" t="str">
        <x:f t="shared" si="1"/>
        <x:v>OK</x:v>
      </x:c>
      <x:c r="U27" t="str">
        <x:f t="shared" si="2"/>
        <x:v>LOSS-KG01-L22-20251024-AM-ORD-2025-00057</x:v>
      </x:c>
      <x:c r="V27" t="str">
        <x:f t="shared" si="3"/>
        <x:v>OK</x:v>
      </x:c>
      <x:c r="W27" t="str">
        <x:f t="shared" si="4">IF(A27="","",IF(AND(T27="OK",V27="OK",Y27="OK",AB27="OK",AD27="OK"),"OK","CHECK"))</x:f>
        <x:v>OK</x:v>
      </x:c>
      <x:c r="X27" t="str">
        <x:f>IF(A27="","", "PE-"&amp;A27&amp;"-L"&amp;TEXT(B27,"00")&amp;"-"&amp;TEXT(C27,"yyyymmdd")&amp;"-"&amp;D27&amp;"-"&amp;E27)</x:f>
        <x:v>PE-KG01-L22-20251024-AM-ORD-2025-00057</x:v>
      </x:c>
      <x:c r="Y27" t="str">
        <x:f>IF(X27="","",IF(COUNTIF(_ProductionEventRef!$A$5:$A$500,X27)=1,"OK","CHECK"))</x:f>
        <x:v>OK</x:v>
      </x:c>
      <x:c r="Z27" t="n">
        <x:f>IF(X27="","",IFERROR(VLOOKUP(X27,_ProductionEventRef!$A$5:$I$500,7,FALSE),0))</x:f>
        <x:v>141000</x:v>
      </x:c>
      <x:c r="AA27" t="n">
        <x:f>IF(X27="","",IFERROR(VLOOKUP(X27,_ProductionEventRef!$A$5:$I$500,8,FALSE),0))</x:f>
        <x:v>5092</x:v>
      </x:c>
      <x:c r="AB27" t="str">
        <x:f>IF(X27="","",IF(ABS(G27-AA27)&lt;=1,"OK","CHECK"))</x:f>
        <x:v>OK</x:v>
      </x:c>
      <x:c r="AC27" t="n">
        <x:f>IF(X27="","",SUMIF(LossDetail!$C$5:$C$2000,X27,LossDetail!$L$5:$L$2000))</x:f>
        <x:v>0.03611347517730496</x:v>
      </x:c>
      <x:c r="AD27" t="str">
        <x:f>IF(X27="","",IF(ABS(S27-AC27)&lt;=0.000001,"OK","CHECK"))</x:f>
        <x:v>OK</x:v>
      </x:c>
      <x:c r="AE27" t="str">
        <x:v>LossPercent</x:v>
      </x:c>
      <x:c r="AJ27" t="str">
        <x:v>03_Process_Losses(6).xlsx</x:v>
      </x:c>
      <x:c r="AK27" t="str">
        <x:v>ENH-20260830-01</x:v>
      </x:c>
      <x:c r="AL27" t="str">
        <x:v>Active</x:v>
      </x:c>
      <x:c r="AM27" t="str">
        <x:f>IF(A27="","",IF(W27="OK","LOAD","QUARANTINE"))</x:f>
        <x:v>LOAD</x:v>
      </x:c>
    </x:row>
    <x:row r="28" ht="18" customHeight="1">
      <x:c r="A28" s="7" t="s">
        <x:v>39</x:v>
      </x:c>
      <x:c r="B28" s="8">
        <x:v>22</x:v>
      </x:c>
      <x:c r="C28" s="6">
        <x:v>45954</x:v>
      </x:c>
      <x:c r="D28" s="7" t="s">
        <x:v>43</x:v>
      </x:c>
      <x:c r="E28" s="7" t="s">
        <x:v>48</x:v>
      </x:c>
      <x:c r="F28" s="7" t="s">
        <x:v>42</x:v>
      </x:c>
      <x:c r="G28" s="9">
        <x:v>5309</x:v>
      </x:c>
      <x:c r="H28" s="10">
        <x:v>6.4346694595195019E-3</x:v>
      </x:c>
      <x:c r="I28" s="10">
        <x:v>1.030657907264591E-2</x:v>
      </x:c>
      <x:c r="J28" s="10">
        <x:v>3.7290932749373196E-3</x:v>
      </x:c>
      <x:c r="K28" s="10">
        <x:v>1.5471769970484624E-3</x:v>
      </x:c>
      <x:c r="L28" s="10">
        <x:v>3.403789393506617E-3</x:v>
      </x:c>
      <x:c r="M28" s="10">
        <x:v>1.3964264178488687E-3</x:v>
      </x:c>
      <x:c r="N28" s="10">
        <x:v>7.6168713700847373E-4</x:v>
      </x:c>
      <x:c r="O28" s="10">
        <x:v>1.22187311561776E-3</x:v>
      </x:c>
      <x:c r="P28" s="10">
        <x:v>3.0150115839918754E-3</x:v>
      </x:c>
      <x:c r="Q28" s="10">
        <x:v>6.3632612904249578E-3</x:v>
      </x:c>
      <x:c r="R28" s="10">
        <x:v>3.9433177822209529E-3</x:v>
      </x:c>
      <x:c r="S28" s="15">
        <x:f t="shared" si="0"/>
        <x:v>4.2122885524770698E-2</x:v>
      </x:c>
      <x:c r="T28" t="str">
        <x:f t="shared" si="1"/>
        <x:v>OK</x:v>
      </x:c>
      <x:c r="U28" t="str">
        <x:f t="shared" si="2"/>
        <x:v>LOSS-KG01-L22-20251024-PM-ORD-2025-00057</x:v>
      </x:c>
      <x:c r="V28" t="str">
        <x:f t="shared" si="3"/>
        <x:v>OK</x:v>
      </x:c>
      <x:c r="W28" t="str">
        <x:f t="shared" si="4">IF(A28="","",IF(AND(T28="OK",V28="OK",Y28="OK",AB28="OK",AD28="OK"),"OK","CHECK"))</x:f>
        <x:v>OK</x:v>
      </x:c>
      <x:c r="X28" t="str">
        <x:f>IF(A28="","", "PE-"&amp;A28&amp;"-L"&amp;TEXT(B28,"00")&amp;"-"&amp;TEXT(C28,"yyyymmdd")&amp;"-"&amp;D28&amp;"-"&amp;E28)</x:f>
        <x:v>PE-KG01-L22-20251024-PM-ORD-2025-00057</x:v>
      </x:c>
      <x:c r="Y28" t="str">
        <x:f>IF(X28="","",IF(COUNTIF(_ProductionEventRef!$A$5:$A$500,X28)=1,"OK","CHECK"))</x:f>
        <x:v>OK</x:v>
      </x:c>
      <x:c r="Z28" t="n">
        <x:f>IF(X28="","",IFERROR(VLOOKUP(X28,_ProductionEventRef!$A$5:$I$500,7,FALSE),0))</x:f>
        <x:v>126036</x:v>
      </x:c>
      <x:c r="AA28" t="n">
        <x:f>IF(X28="","",IFERROR(VLOOKUP(X28,_ProductionEventRef!$A$5:$I$500,8,FALSE),0))</x:f>
        <x:v>5309</x:v>
      </x:c>
      <x:c r="AB28" t="str">
        <x:f>IF(X28="","",IF(ABS(G28-AA28)&lt;=1,"OK","CHECK"))</x:f>
        <x:v>OK</x:v>
      </x:c>
      <x:c r="AC28" t="n">
        <x:f>IF(X28="","",SUMIF(LossDetail!$C$5:$C$2000,X28,LossDetail!$L$5:$L$2000))</x:f>
        <x:v>0.0421228855247707</x:v>
      </x:c>
      <x:c r="AD28" t="str">
        <x:f>IF(X28="","",IF(ABS(S28-AC28)&lt;=0.000001,"OK","CHECK"))</x:f>
        <x:v>OK</x:v>
      </x:c>
      <x:c r="AE28" t="str">
        <x:v>LossPercent</x:v>
      </x:c>
      <x:c r="AJ28" t="str">
        <x:v>03_Process_Losses(6).xlsx</x:v>
      </x:c>
      <x:c r="AK28" t="str">
        <x:v>ENH-20260830-01</x:v>
      </x:c>
      <x:c r="AL28" t="str">
        <x:v>Active</x:v>
      </x:c>
      <x:c r="AM28" t="str">
        <x:f>IF(A28="","",IF(W28="OK","LOAD","QUARANTINE"))</x:f>
        <x:v>LOAD</x:v>
      </x:c>
    </x:row>
    <x:row r="29" ht="18" customHeight="1">
      <x:c r="A29" s="7" t="s">
        <x:v>39</x:v>
      </x:c>
      <x:c r="B29" s="8">
        <x:v>22</x:v>
      </x:c>
      <x:c r="C29" s="6">
        <x:v>45955</x:v>
      </x:c>
      <x:c r="D29" s="7" t="s">
        <x:v>40</x:v>
      </x:c>
      <x:c r="E29" s="7" t="s">
        <x:v>48</x:v>
      </x:c>
      <x:c r="F29" s="7" t="s">
        <x:v>42</x:v>
      </x:c>
      <x:c r="G29" s="9">
        <x:v>6188</x:v>
      </x:c>
      <x:c r="H29" s="10">
        <x:v>5.260196905766526E-3</x:v>
      </x:c>
      <x:c r="I29" s="10">
        <x:v>8.9873417721518991E-3</x:v>
      </x:c>
      <x:c r="J29" s="10">
        <x:v>5.1265822784810127E-3</x:v>
      </x:c>
      <x:c r="K29" s="10">
        <x:v>3.1082981715893107E-3</x:v>
      </x:c>
      <x:c r="L29" s="10">
        <x:v>4.8382559774964836E-3</x:v>
      </x:c>
      <x:c r="M29" s="10">
        <x:v>2.20112517580872E-3</x:v>
      </x:c>
      <x:c r="N29" s="10">
        <x:v>2.6652601969057665E-3</x:v>
      </x:c>
      <x:c r="O29" s="10">
        <x:v>1.4627285513361462E-3</x:v>
      </x:c>
      <x:c r="P29" s="10">
        <x:v>3.6286919831223629E-3</x:v>
      </x:c>
      <x:c r="Q29" s="10">
        <x:v>5.2390998593530242E-3</x:v>
      </x:c>
      <x:c r="R29" s="10">
        <x:v>9.985935302390999E-4</x:v>
      </x:c>
      <x:c r="S29" s="15">
        <x:f t="shared" si="0"/>
        <x:v>4.3516174402250356E-2</x:v>
      </x:c>
      <x:c r="T29" t="str">
        <x:f t="shared" si="1"/>
        <x:v>OK</x:v>
      </x:c>
      <x:c r="U29" t="str">
        <x:f t="shared" si="2"/>
        <x:v>LOSS-KG01-L22-20251025-AM-ORD-2025-00057</x:v>
      </x:c>
      <x:c r="V29" t="str">
        <x:f t="shared" si="3"/>
        <x:v>OK</x:v>
      </x:c>
      <x:c r="W29" t="str">
        <x:f t="shared" si="4">IF(A29="","",IF(AND(T29="OK",V29="OK",Y29="OK",AB29="OK",AD29="OK"),"OK","CHECK"))</x:f>
        <x:v>OK</x:v>
      </x:c>
      <x:c r="X29" t="str">
        <x:f>IF(A29="","", "PE-"&amp;A29&amp;"-L"&amp;TEXT(B29,"00")&amp;"-"&amp;TEXT(C29,"yyyymmdd")&amp;"-"&amp;D29&amp;"-"&amp;E29)</x:f>
        <x:v>PE-KG01-L22-20251025-AM-ORD-2025-00057</x:v>
      </x:c>
      <x:c r="Y29" t="str">
        <x:f>IF(X29="","",IF(COUNTIF(_ProductionEventRef!$A$5:$A$500,X29)=1,"OK","CHECK"))</x:f>
        <x:v>OK</x:v>
      </x:c>
      <x:c r="Z29" t="n">
        <x:f>IF(X29="","",IFERROR(VLOOKUP(X29,_ProductionEventRef!$A$5:$I$500,7,FALSE),0))</x:f>
        <x:v>142200</x:v>
      </x:c>
      <x:c r="AA29" t="n">
        <x:f>IF(X29="","",IFERROR(VLOOKUP(X29,_ProductionEventRef!$A$5:$I$500,8,FALSE),0))</x:f>
        <x:v>6188</x:v>
      </x:c>
      <x:c r="AB29" t="str">
        <x:f>IF(X29="","",IF(ABS(G29-AA29)&lt;=1,"OK","CHECK"))</x:f>
        <x:v>OK</x:v>
      </x:c>
      <x:c r="AC29" t="n">
        <x:f>IF(X29="","",SUMIF(LossDetail!$C$5:$C$2000,X29,LossDetail!$L$5:$L$2000))</x:f>
        <x:v>0.043516174402250356</x:v>
      </x:c>
      <x:c r="AD29" t="str">
        <x:f>IF(X29="","",IF(ABS(S29-AC29)&lt;=0.000001,"OK","CHECK"))</x:f>
        <x:v>OK</x:v>
      </x:c>
      <x:c r="AE29" t="str">
        <x:v>LossPercent</x:v>
      </x:c>
      <x:c r="AJ29" t="str">
        <x:v>03_Process_Losses(6).xlsx</x:v>
      </x:c>
      <x:c r="AK29" t="str">
        <x:v>ENH-20260830-01</x:v>
      </x:c>
      <x:c r="AL29" t="str">
        <x:v>Active</x:v>
      </x:c>
      <x:c r="AM29" t="str">
        <x:f>IF(A29="","",IF(W29="OK","LOAD","QUARANTINE"))</x:f>
        <x:v>LOAD</x:v>
      </x:c>
    </x:row>
    <x:row r="30" ht="18" customHeight="1">
      <x:c r="A30" s="7" t="s">
        <x:v>39</x:v>
      </x:c>
      <x:c r="B30" s="8">
        <x:v>22</x:v>
      </x:c>
      <x:c r="C30" s="6">
        <x:v>45955</x:v>
      </x:c>
      <x:c r="D30" s="7" t="s">
        <x:v>43</x:v>
      </x:c>
      <x:c r="E30" s="7" t="s">
        <x:v>48</x:v>
      </x:c>
      <x:c r="F30" s="7" t="s">
        <x:v>42</x:v>
      </x:c>
      <x:c r="G30" s="9">
        <x:v>5745</x:v>
      </x:c>
      <x:c r="H30" s="10">
        <x:v>4.8898655768884773E-3</x:v>
      </x:c>
      <x:c r="I30" s="10">
        <x:v>5.6288071555247125E-3</x:v>
      </x:c>
      <x:c r="J30" s="10">
        <x:v>2.6409129462564578E-3</x:v>
      </x:c>
      <x:c r="K30" s="10">
        <x:v>4.0738170509162872E-3</x:v>
      </x:c>
      <x:c r="L30" s="10">
        <x:v>6.1107255763744317E-3</x:v>
      </x:c>
      <x:c r="M30" s="10">
        <x:v>1.9855038939008405E-3</x:v>
      </x:c>
      <x:c r="N30" s="10">
        <x:v>6.8111136813426892E-4</x:v>
      </x:c>
      <x:c r="O30" s="10">
        <x:v>8.7387873647415632E-4</x:v>
      </x:c>
      <x:c r="P30" s="10">
        <x:v>2.3003572621893235E-3</x:v>
      </x:c>
      <x:c r="Q30" s="10">
        <x:v>1.869843472896908E-3</x:v>
      </x:c>
      <x:c r="R30" s="10">
        <x:v>5.8601279975325779E-3</x:v>
      </x:c>
      <x:c r="S30" s="15">
        <x:f t="shared" si="0"/>
        <x:v>3.6914951037088445E-2</x:v>
      </x:c>
      <x:c r="T30" t="str">
        <x:f t="shared" si="1"/>
        <x:v>OK</x:v>
      </x:c>
      <x:c r="U30" t="str">
        <x:f t="shared" si="2"/>
        <x:v>LOSS-KG01-L22-20251025-PM-ORD-2025-00057</x:v>
      </x:c>
      <x:c r="V30" t="str">
        <x:f t="shared" si="3"/>
        <x:v>OK</x:v>
      </x:c>
      <x:c r="W30" t="str">
        <x:f t="shared" si="4">IF(A30="","",IF(AND(T30="OK",V30="OK",Y30="OK",AB30="OK",AD30="OK"),"OK","CHECK"))</x:f>
        <x:v>OK</x:v>
      </x:c>
      <x:c r="X30" t="str">
        <x:f>IF(A30="","", "PE-"&amp;A30&amp;"-L"&amp;TEXT(B30,"00")&amp;"-"&amp;TEXT(C30,"yyyymmdd")&amp;"-"&amp;D30&amp;"-"&amp;E30)</x:f>
        <x:v>PE-KG01-L22-20251025-PM-ORD-2025-00057</x:v>
      </x:c>
      <x:c r="Y30" t="str">
        <x:f>IF(X30="","",IF(COUNTIF(_ProductionEventRef!$A$5:$A$500,X30)=1,"OK","CHECK"))</x:f>
        <x:v>OK</x:v>
      </x:c>
      <x:c r="Z30" t="n">
        <x:f>IF(X30="","",IFERROR(VLOOKUP(X30,_ProductionEventRef!$A$5:$I$500,7,FALSE),0))</x:f>
        <x:v>155628</x:v>
      </x:c>
      <x:c r="AA30" t="n">
        <x:f>IF(X30="","",IFERROR(VLOOKUP(X30,_ProductionEventRef!$A$5:$I$500,8,FALSE),0))</x:f>
        <x:v>5745</x:v>
      </x:c>
      <x:c r="AB30" t="str">
        <x:f>IF(X30="","",IF(ABS(G30-AA30)&lt;=1,"OK","CHECK"))</x:f>
        <x:v>OK</x:v>
      </x:c>
      <x:c r="AC30" t="n">
        <x:f>IF(X30="","",SUMIF(LossDetail!$C$5:$C$2000,X30,LossDetail!$L$5:$L$2000))</x:f>
        <x:v>0.036914951037088445</x:v>
      </x:c>
      <x:c r="AD30" t="str">
        <x:f>IF(X30="","",IF(ABS(S30-AC30)&lt;=0.000001,"OK","CHECK"))</x:f>
        <x:v>OK</x:v>
      </x:c>
      <x:c r="AE30" t="str">
        <x:v>LossPercent</x:v>
      </x:c>
      <x:c r="AJ30" t="str">
        <x:v>03_Process_Losses(6).xlsx</x:v>
      </x:c>
      <x:c r="AK30" t="str">
        <x:v>ENH-20260830-01</x:v>
      </x:c>
      <x:c r="AL30" t="str">
        <x:v>Active</x:v>
      </x:c>
      <x:c r="AM30" t="str">
        <x:f>IF(A30="","",IF(W30="OK","LOAD","QUARANTINE"))</x:f>
        <x:v>LOAD</x:v>
      </x:c>
    </x:row>
    <x:row r="31" ht="18" customHeight="1">
      <x:c r="A31" s="7" t="s">
        <x:v>39</x:v>
      </x:c>
      <x:c r="B31" s="8">
        <x:v>22</x:v>
      </x:c>
      <x:c r="C31" s="6">
        <x:v>45956</x:v>
      </x:c>
      <x:c r="D31" s="7" t="s">
        <x:v>40</x:v>
      </x:c>
      <x:c r="E31" s="7" t="s">
        <x:v>49</x:v>
      </x:c>
      <x:c r="F31" s="7" t="s">
        <x:v>45</x:v>
      </x:c>
      <x:c r="G31" s="9">
        <x:v>15579</x:v>
      </x:c>
      <x:c r="H31" s="10">
        <x:v>6.5935538202419233E-3</x:v>
      </x:c>
      <x:c r="I31" s="10">
        <x:v>2.6000995253406829E-2</x:v>
      </x:c>
      <x:c r="J31" s="10">
        <x:v>1.387612922982698E-2</x:v>
      </x:c>
      <x:c r="K31" s="10">
        <x:v>1.4526871841984382E-2</x:v>
      </x:c>
      <x:c r="L31" s="10">
        <x:v>1.934045322308988E-2</x:v>
      </x:c>
      <x:c r="M31" s="10">
        <x:v>1.1588960342979635E-2</x:v>
      </x:c>
      <x:c r="N31" s="10">
        <x:v>1.9043791149900475E-3</x:v>
      </x:c>
      <x:c r="O31" s="10">
        <x:v>9.9429643239932631E-3</x:v>
      </x:c>
      <x:c r="P31" s="10">
        <x:v>1.1751645996018986E-2</x:v>
      </x:c>
      <x:c r="Q31" s="10">
        <x:v>1.7340376665135507E-2</x:v>
      </x:c>
      <x:c r="R31" s="10">
        <x:v>1.6220716582452915E-2</x:v>
      </x:c>
      <x:c r="S31" s="15">
        <x:f t="shared" si="0"/>
        <x:v>0.14908704639412032</x:v>
      </x:c>
      <x:c r="T31" t="str">
        <x:f t="shared" si="1"/>
        <x:v>OK</x:v>
      </x:c>
      <x:c r="U31" t="str">
        <x:f t="shared" si="2"/>
        <x:v>LOSS-KG01-L22-20251026-AM-ORD-2025-00058</x:v>
      </x:c>
      <x:c r="V31" t="str">
        <x:f t="shared" si="3"/>
        <x:v>OK</x:v>
      </x:c>
      <x:c r="W31" t="str">
        <x:f t="shared" si="4">IF(A31="","",IF(AND(T31="OK",V31="OK",Y31="OK",AB31="OK",AD31="OK"),"OK","CHECK"))</x:f>
        <x:v>OK</x:v>
      </x:c>
      <x:c r="X31" t="str">
        <x:f>IF(A31="","", "PE-"&amp;A31&amp;"-L"&amp;TEXT(B31,"00")&amp;"-"&amp;TEXT(C31,"yyyymmdd")&amp;"-"&amp;D31&amp;"-"&amp;E31)</x:f>
        <x:v>PE-KG01-L22-20251026-AM-ORD-2025-00058</x:v>
      </x:c>
      <x:c r="Y31" t="str">
        <x:f>IF(X31="","",IF(COUNTIF(_ProductionEventRef!$A$5:$A$500,X31)=1,"OK","CHECK"))</x:f>
        <x:v>OK</x:v>
      </x:c>
      <x:c r="Z31" t="n">
        <x:f>IF(X31="","",IFERROR(VLOOKUP(X31,_ProductionEventRef!$A$5:$I$500,7,FALSE),0))</x:f>
        <x:v>104496</x:v>
      </x:c>
      <x:c r="AA31" t="n">
        <x:f>IF(X31="","",IFERROR(VLOOKUP(X31,_ProductionEventRef!$A$5:$I$500,8,FALSE),0))</x:f>
        <x:v>15579</x:v>
      </x:c>
      <x:c r="AB31" t="str">
        <x:f>IF(X31="","",IF(ABS(G31-AA31)&lt;=1,"OK","CHECK"))</x:f>
        <x:v>OK</x:v>
      </x:c>
      <x:c r="AC31" t="n">
        <x:f>IF(X31="","",SUMIF(LossDetail!$C$5:$C$2000,X31,LossDetail!$L$5:$L$2000))</x:f>
        <x:v>0.14908704639412032</x:v>
      </x:c>
      <x:c r="AD31" t="str">
        <x:f>IF(X31="","",IF(ABS(S31-AC31)&lt;=0.000001,"OK","CHECK"))</x:f>
        <x:v>OK</x:v>
      </x:c>
      <x:c r="AE31" t="str">
        <x:v>LossPercent</x:v>
      </x:c>
      <x:c r="AJ31" t="str">
        <x:v>03_Process_Losses(6).xlsx</x:v>
      </x:c>
      <x:c r="AK31" t="str">
        <x:v>ENH-20260830-01</x:v>
      </x:c>
      <x:c r="AL31" t="str">
        <x:v>Active</x:v>
      </x:c>
      <x:c r="AM31" t="str">
        <x:f>IF(A31="","",IF(W31="OK","LOAD","QUARANTINE"))</x:f>
        <x:v>LOAD</x:v>
      </x:c>
    </x:row>
    <x:row r="32" ht="18" customHeight="1">
      <x:c r="A32" s="7" t="s">
        <x:v>39</x:v>
      </x:c>
      <x:c r="B32" s="8">
        <x:v>22</x:v>
      </x:c>
      <x:c r="C32" s="6">
        <x:v>45956</x:v>
      </x:c>
      <x:c r="D32" s="7" t="s">
        <x:v>43</x:v>
      </x:c>
      <x:c r="E32" s="7" t="s">
        <x:v>49</x:v>
      </x:c>
      <x:c r="F32" s="7" t="s">
        <x:v>42</x:v>
      </x:c>
      <x:c r="G32" s="9">
        <x:v>8405</x:v>
      </x:c>
      <x:c r="H32" s="10">
        <x:v>3.2096667610686303E-3</x:v>
      </x:c>
      <x:c r="I32" s="10">
        <x:v>4.8941517983574056E-3</x:v>
      </x:c>
      <x:c r="J32" s="10">
        <x:v>2.6373548569810254E-3</x:v>
      </x:c>
      <x:c r="K32" s="10">
        <x:v>7.4931558576418387E-4</x:v>
      </x:c>
      <x:c r="L32" s="10">
        <x:v>1.5812328896441046E-3</x:v>
      </x:c>
      <x:c r="M32" s="10">
        <x:v>1.5310818465024073E-3</x:v>
      </x:c>
      <x:c r="N32" s="10">
        <x:v>1.3599782875483809E-3</x:v>
      </x:c>
      <x:c r="O32" s="10">
        <x:v>7.2571509487397341E-4</x:v>
      </x:c>
      <x:c r="P32" s="10">
        <x:v>3.0946143679788539E-3</x:v>
      </x:c>
      <x:c r="Q32" s="10">
        <x:v>2.194845652789578E-3</x:v>
      </x:c>
      <x:c r="R32" s="10">
        <x:v>2.8173086000188802E-3</x:v>
      </x:c>
      <x:c r="S32" s="15">
        <x:f t="shared" si="0"/>
        <x:v>2.4795265741527427E-2</x:v>
      </x:c>
      <x:c r="T32" t="str">
        <x:f t="shared" si="1"/>
        <x:v>OK</x:v>
      </x:c>
      <x:c r="U32" t="str">
        <x:f t="shared" si="2"/>
        <x:v>LOSS-KG01-L22-20251026-PM-ORD-2025-00058</x:v>
      </x:c>
      <x:c r="V32" t="str">
        <x:f t="shared" si="3"/>
        <x:v>OK</x:v>
      </x:c>
      <x:c r="W32" t="str">
        <x:f t="shared" si="4">IF(A32="","",IF(AND(T32="OK",V32="OK",Y32="OK",AB32="OK",AD32="OK"),"OK","CHECK"))</x:f>
        <x:v>OK</x:v>
      </x:c>
      <x:c r="X32" t="str">
        <x:f>IF(A32="","", "PE-"&amp;A32&amp;"-L"&amp;TEXT(B32,"00")&amp;"-"&amp;TEXT(C32,"yyyymmdd")&amp;"-"&amp;D32&amp;"-"&amp;E32)</x:f>
        <x:v>PE-KG01-L22-20251026-PM-ORD-2025-00058</x:v>
      </x:c>
      <x:c r="Y32" t="str">
        <x:f>IF(X32="","",IF(COUNTIF(_ProductionEventRef!$A$5:$A$500,X32)=1,"OK","CHECK"))</x:f>
        <x:v>OK</x:v>
      </x:c>
      <x:c r="Z32" t="n">
        <x:f>IF(X32="","",IFERROR(VLOOKUP(X32,_ProductionEventRef!$A$5:$I$500,7,FALSE),0))</x:f>
        <x:v>338976</x:v>
      </x:c>
      <x:c r="AA32" t="n">
        <x:f>IF(X32="","",IFERROR(VLOOKUP(X32,_ProductionEventRef!$A$5:$I$500,8,FALSE),0))</x:f>
        <x:v>8405</x:v>
      </x:c>
      <x:c r="AB32" t="str">
        <x:f>IF(X32="","",IF(ABS(G32-AA32)&lt;=1,"OK","CHECK"))</x:f>
        <x:v>OK</x:v>
      </x:c>
      <x:c r="AC32" t="n">
        <x:f>IF(X32="","",SUMIF(LossDetail!$C$5:$C$2000,X32,LossDetail!$L$5:$L$2000))</x:f>
        <x:v>0.024795265741527427</x:v>
      </x:c>
      <x:c r="AD32" t="str">
        <x:f>IF(X32="","",IF(ABS(S32-AC32)&lt;=0.000001,"OK","CHECK"))</x:f>
        <x:v>OK</x:v>
      </x:c>
      <x:c r="AE32" t="str">
        <x:v>LossPercent</x:v>
      </x:c>
      <x:c r="AJ32" t="str">
        <x:v>03_Process_Losses(6).xlsx</x:v>
      </x:c>
      <x:c r="AK32" t="str">
        <x:v>ENH-20260830-01</x:v>
      </x:c>
      <x:c r="AL32" t="str">
        <x:v>Active</x:v>
      </x:c>
      <x:c r="AM32" t="str">
        <x:f>IF(A32="","",IF(W32="OK","LOAD","QUARANTINE"))</x:f>
        <x:v>LOAD</x:v>
      </x:c>
    </x:row>
    <x:row r="33" ht="18" customHeight="1">
      <x:c r="A33" s="7" t="s">
        <x:v>39</x:v>
      </x:c>
      <x:c r="B33" s="8">
        <x:v>23</x:v>
      </x:c>
      <x:c r="C33" s="6">
        <x:v>45950</x:v>
      </x:c>
      <x:c r="D33" s="7" t="s">
        <x:v>40</x:v>
      </x:c>
      <x:c r="E33" s="7" t="s">
        <x:v>50</x:v>
      </x:c>
      <x:c r="F33" s="7" t="s">
        <x:v>42</x:v>
      </x:c>
      <x:c r="G33" s="9">
        <x:v>18278</x:v>
      </x:c>
      <x:c r="H33" s="10">
        <x:v>5.1927158334739839E-3</x:v>
      </x:c>
      <x:c r="I33" s="10">
        <x:v>9.3691532569388832E-3</x:v>
      </x:c>
      <x:c r="J33" s="10">
        <x:v>2.7579569571978008E-3</x:v>
      </x:c>
      <x:c r="K33" s="10">
        <x:v>5.5625980816398348E-3</x:v>
      </x:c>
      <x:c r="L33" s="10">
        <x:v>3.1924788215479754E-3</x:v>
      </x:c>
      <x:c r="M33" s="10">
        <x:v>8.536020426118715E-3</x:v>
      </x:c>
      <x:c r="N33" s="10">
        <x:v>4.5247731329026419E-4</x:v>
      </x:c>
      <x:c r="O33" s="10">
        <x:v>2.9411025363867173E-3</x:v>
      </x:c>
      <x:c r="P33" s="10">
        <x:v>4.6648256346353426E-3</x:v>
      </x:c>
      <x:c r="Q33" s="10">
        <x:v>1.4784516657269983E-2</x:v>
      </x:c>
      <x:c r="R33" s="10">
        <x:v>8.1840936268929524E-3</x:v>
      </x:c>
      <x:c r="S33" s="15">
        <x:f t="shared" si="0"/>
        <x:v>6.5637939145392454E-2</x:v>
      </x:c>
      <x:c r="T33" t="str">
        <x:f t="shared" si="1"/>
        <x:v>OK</x:v>
      </x:c>
      <x:c r="U33" t="str">
        <x:f t="shared" si="2"/>
        <x:v>LOSS-KG01-L23-20251020-AM-ORD-2025-00092</x:v>
      </x:c>
      <x:c r="V33" t="str">
        <x:f t="shared" si="3"/>
        <x:v>OK</x:v>
      </x:c>
      <x:c r="W33" t="str">
        <x:f t="shared" si="4">IF(A33="","",IF(AND(T33="OK",V33="OK",Y33="OK",AB33="OK",AD33="OK"),"OK","CHECK"))</x:f>
        <x:v>OK</x:v>
      </x:c>
      <x:c r="X33" t="str">
        <x:f>IF(A33="","", "PE-"&amp;A33&amp;"-L"&amp;TEXT(B33,"00")&amp;"-"&amp;TEXT(C33,"yyyymmdd")&amp;"-"&amp;D33&amp;"-"&amp;E33)</x:f>
        <x:v>PE-KG01-L23-20251020-AM-ORD-2025-00092</x:v>
      </x:c>
      <x:c r="Y33" t="str">
        <x:f>IF(X33="","",IF(COUNTIF(_ProductionEventRef!$A$5:$A$500,X33)=1,"OK","CHECK"))</x:f>
        <x:v>OK</x:v>
      </x:c>
      <x:c r="Z33" t="n">
        <x:f>IF(X33="","",IFERROR(VLOOKUP(X33,_ProductionEventRef!$A$5:$I$500,7,FALSE),0))</x:f>
        <x:v>278467</x:v>
      </x:c>
      <x:c r="AA33" t="n">
        <x:f>IF(X33="","",IFERROR(VLOOKUP(X33,_ProductionEventRef!$A$5:$I$500,8,FALSE),0))</x:f>
        <x:v>18278</x:v>
      </x:c>
      <x:c r="AB33" t="str">
        <x:f>IF(X33="","",IF(ABS(G33-AA33)&lt;=1,"OK","CHECK"))</x:f>
        <x:v>OK</x:v>
      </x:c>
      <x:c r="AC33" t="n">
        <x:f>IF(X33="","",SUMIF(LossDetail!$C$5:$C$2000,X33,LossDetail!$L$5:$L$2000))</x:f>
        <x:v>0.06563793914539245</x:v>
      </x:c>
      <x:c r="AD33" t="str">
        <x:f>IF(X33="","",IF(ABS(S33-AC33)&lt;=0.000001,"OK","CHECK"))</x:f>
        <x:v>OK</x:v>
      </x:c>
      <x:c r="AE33" t="str">
        <x:v>LossPercent</x:v>
      </x:c>
      <x:c r="AJ33" t="str">
        <x:v>03_Process_Losses(6).xlsx</x:v>
      </x:c>
      <x:c r="AK33" t="str">
        <x:v>ENH-20260830-01</x:v>
      </x:c>
      <x:c r="AL33" t="str">
        <x:v>Active</x:v>
      </x:c>
      <x:c r="AM33" t="str">
        <x:f>IF(A33="","",IF(W33="OK","LOAD","QUARANTINE"))</x:f>
        <x:v>LOAD</x:v>
      </x:c>
    </x:row>
    <x:row r="34" ht="18" customHeight="1">
      <x:c r="A34" s="7" t="s">
        <x:v>39</x:v>
      </x:c>
      <x:c r="B34" s="8">
        <x:v>23</x:v>
      </x:c>
      <x:c r="C34" s="6">
        <x:v>45950</x:v>
      </x:c>
      <x:c r="D34" s="7" t="s">
        <x:v>43</x:v>
      </x:c>
      <x:c r="E34" s="7" t="s">
        <x:v>50</x:v>
      </x:c>
      <x:c r="F34" s="7" t="s">
        <x:v>42</x:v>
      </x:c>
      <x:c r="G34" s="9">
        <x:v>15396</x:v>
      </x:c>
      <x:c r="H34" s="10">
        <x:v>6.044707212849566E-3</x:v>
      </x:c>
      <x:c r="I34" s="10">
        <x:v>1.2826661131351596E-2</x:v>
      </x:c>
      <x:c r="J34" s="10">
        <x:v>6.1735464429635888E-3</x:v>
      </x:c>
      <x:c r="K34" s="10">
        <x:v>3.6146561781989707E-3</x:v>
      </x:c>
      <x:c r="L34" s="10">
        <x:v>7.1112097287934209E-3</x:v>
      </x:c>
      <x:c r="M34" s="10">
        <x:v>5.5830333049409842E-3</x:v>
      </x:c>
      <x:c r="N34" s="10">
        <x:v>3.8365459633953433E-3</x:v>
      </x:c>
      <x:c r="O34" s="10">
        <x:v>6.0840747553844059E-4</x:v>
      </x:c>
      <x:c r="P34" s="10">
        <x:v>1.2883923011402271E-3</x:v>
      </x:c>
      <x:c r="Q34" s="10">
        <x:v>5.4613518098332965E-3</x:v>
      </x:c>
      <x:c r="R34" s="10">
        <x:v>2.5517325297582834E-3</x:v>
      </x:c>
      <x:c r="S34" s="15">
        <x:f t="shared" si="0"/>
        <x:v>5.510024407876371E-2</x:v>
      </x:c>
      <x:c r="T34" t="str">
        <x:f t="shared" si="1"/>
        <x:v>OK</x:v>
      </x:c>
      <x:c r="U34" t="str">
        <x:f t="shared" si="2"/>
        <x:v>LOSS-KG01-L23-20251020-PM-ORD-2025-00092</x:v>
      </x:c>
      <x:c r="V34" t="str">
        <x:f t="shared" si="3"/>
        <x:v>OK</x:v>
      </x:c>
      <x:c r="W34" t="str">
        <x:f t="shared" si="4">IF(A34="","",IF(AND(T34="OK",V34="OK",Y34="OK",AB34="OK",AD34="OK"),"OK","CHECK"))</x:f>
        <x:v>OK</x:v>
      </x:c>
      <x:c r="X34" t="str">
        <x:f>IF(A34="","", "PE-"&amp;A34&amp;"-L"&amp;TEXT(B34,"00")&amp;"-"&amp;TEXT(C34,"yyyymmdd")&amp;"-"&amp;D34&amp;"-"&amp;E34)</x:f>
        <x:v>PE-KG01-L23-20251020-PM-ORD-2025-00092</x:v>
      </x:c>
      <x:c r="Y34" t="str">
        <x:f>IF(X34="","",IF(COUNTIF(_ProductionEventRef!$A$5:$A$500,X34)=1,"OK","CHECK"))</x:f>
        <x:v>OK</x:v>
      </x:c>
      <x:c r="Z34" t="n">
        <x:f>IF(X34="","",IFERROR(VLOOKUP(X34,_ProductionEventRef!$A$5:$I$500,7,FALSE),0))</x:f>
        <x:v>279418</x:v>
      </x:c>
      <x:c r="AA34" t="n">
        <x:f>IF(X34="","",IFERROR(VLOOKUP(X34,_ProductionEventRef!$A$5:$I$500,8,FALSE),0))</x:f>
        <x:v>15396</x:v>
      </x:c>
      <x:c r="AB34" t="str">
        <x:f>IF(X34="","",IF(ABS(G34-AA34)&lt;=1,"OK","CHECK"))</x:f>
        <x:v>OK</x:v>
      </x:c>
      <x:c r="AC34" t="n">
        <x:f>IF(X34="","",SUMIF(LossDetail!$C$5:$C$2000,X34,LossDetail!$L$5:$L$2000))</x:f>
        <x:v>0.05510024407876371</x:v>
      </x:c>
      <x:c r="AD34" t="str">
        <x:f>IF(X34="","",IF(ABS(S34-AC34)&lt;=0.000001,"OK","CHECK"))</x:f>
        <x:v>OK</x:v>
      </x:c>
      <x:c r="AE34" t="str">
        <x:v>LossPercent</x:v>
      </x:c>
      <x:c r="AJ34" t="str">
        <x:v>03_Process_Losses(6).xlsx</x:v>
      </x:c>
      <x:c r="AK34" t="str">
        <x:v>ENH-20260830-01</x:v>
      </x:c>
      <x:c r="AL34" t="str">
        <x:v>Active</x:v>
      </x:c>
      <x:c r="AM34" t="str">
        <x:f>IF(A34="","",IF(W34="OK","LOAD","QUARANTINE"))</x:f>
        <x:v>LOAD</x:v>
      </x:c>
    </x:row>
    <x:row r="35" ht="18" customHeight="1">
      <x:c r="A35" s="7" t="s">
        <x:v>39</x:v>
      </x:c>
      <x:c r="B35" s="8">
        <x:v>23</x:v>
      </x:c>
      <x:c r="C35" s="6">
        <x:v>45951</x:v>
      </x:c>
      <x:c r="D35" s="7" t="s">
        <x:v>40</x:v>
      </x:c>
      <x:c r="E35" s="7" t="s">
        <x:v>50</x:v>
      </x:c>
      <x:c r="F35" s="7" t="s">
        <x:v>42</x:v>
      </x:c>
      <x:c r="G35" s="9">
        <x:v>17700</x:v>
      </x:c>
      <x:c r="H35" s="10">
        <x:v>4.7925738250787706E-3</x:v>
      </x:c>
      <x:c r="I35" s="10">
        <x:v>7.8724119947044067E-3</x:v>
      </x:c>
      <x:c r="J35" s="10">
        <x:v>3.752588391046867E-3</x:v>
      </x:c>
      <x:c r="K35" s="10">
        <x:v>3.5643417694565228E-3</x:v>
      </x:c>
      <x:c r="L35" s="10">
        <x:v>8.2982814009251865E-3</x:v>
      </x:c>
      <x:c r="M35" s="10">
        <x:v>2.9687418027854327E-3</x:v>
      </x:c>
      <x:c r="N35" s="10">
        <x:v>2.7588931098650486E-3</x:v>
      </x:c>
      <x:c r="O35" s="10">
        <x:v>1.2683501880923211E-3</x:v>
      </x:c>
      <x:c r="P35" s="10">
        <x:v>3.4748474739463588E-3</x:v>
      </x:c>
      <x:c r="Q35" s="10">
        <x:v>1.0338134136518918E-2</x:v>
      </x:c>
      <x:c r="R35" s="10">
        <x:v>5.5332162706801255E-3</x:v>
      </x:c>
      <x:c r="S35" s="15">
        <x:f t="shared" si="0"/>
        <x:v>5.4622380363099958E-2</x:v>
      </x:c>
      <x:c r="T35" t="str">
        <x:f t="shared" si="1"/>
        <x:v>OK</x:v>
      </x:c>
      <x:c r="U35" t="str">
        <x:f t="shared" si="2"/>
        <x:v>LOSS-KG01-L23-20251021-AM-ORD-2025-00092</x:v>
      </x:c>
      <x:c r="V35" t="str">
        <x:f t="shared" si="3"/>
        <x:v>OK</x:v>
      </x:c>
      <x:c r="W35" t="str">
        <x:f t="shared" si="4">IF(A35="","",IF(AND(T35="OK",V35="OK",Y35="OK",AB35="OK",AD35="OK"),"OK","CHECK"))</x:f>
        <x:v>OK</x:v>
      </x:c>
      <x:c r="X35" t="str">
        <x:f>IF(A35="","", "PE-"&amp;A35&amp;"-L"&amp;TEXT(B35,"00")&amp;"-"&amp;TEXT(C35,"yyyymmdd")&amp;"-"&amp;D35&amp;"-"&amp;E35)</x:f>
        <x:v>PE-KG01-L23-20251021-AM-ORD-2025-00092</x:v>
      </x:c>
      <x:c r="Y35" t="str">
        <x:f>IF(X35="","",IF(COUNTIF(_ProductionEventRef!$A$5:$A$500,X35)=1,"OK","CHECK"))</x:f>
        <x:v>OK</x:v>
      </x:c>
      <x:c r="Z35" t="n">
        <x:f>IF(X35="","",IFERROR(VLOOKUP(X35,_ProductionEventRef!$A$5:$I$500,7,FALSE),0))</x:f>
        <x:v>324043</x:v>
      </x:c>
      <x:c r="AA35" t="n">
        <x:f>IF(X35="","",IFERROR(VLOOKUP(X35,_ProductionEventRef!$A$5:$I$500,8,FALSE),0))</x:f>
        <x:v>17700</x:v>
      </x:c>
      <x:c r="AB35" t="str">
        <x:f>IF(X35="","",IF(ABS(G35-AA35)&lt;=1,"OK","CHECK"))</x:f>
        <x:v>OK</x:v>
      </x:c>
      <x:c r="AC35" t="n">
        <x:f>IF(X35="","",SUMIF(LossDetail!$C$5:$C$2000,X35,LossDetail!$L$5:$L$2000))</x:f>
        <x:v>0.05462238036309996</x:v>
      </x:c>
      <x:c r="AD35" t="str">
        <x:f>IF(X35="","",IF(ABS(S35-AC35)&lt;=0.000001,"OK","CHECK"))</x:f>
        <x:v>OK</x:v>
      </x:c>
      <x:c r="AE35" t="str">
        <x:v>LossPercent</x:v>
      </x:c>
      <x:c r="AJ35" t="str">
        <x:v>03_Process_Losses(6).xlsx</x:v>
      </x:c>
      <x:c r="AK35" t="str">
        <x:v>ENH-20260830-01</x:v>
      </x:c>
      <x:c r="AL35" t="str">
        <x:v>Active</x:v>
      </x:c>
      <x:c r="AM35" t="str">
        <x:f>IF(A35="","",IF(W35="OK","LOAD","QUARANTINE"))</x:f>
        <x:v>LOAD</x:v>
      </x:c>
    </x:row>
    <x:row r="36" ht="18" customHeight="1">
      <x:c r="A36" s="7" t="s">
        <x:v>39</x:v>
      </x:c>
      <x:c r="B36" s="8">
        <x:v>23</x:v>
      </x:c>
      <x:c r="C36" s="6">
        <x:v>45951</x:v>
      </x:c>
      <x:c r="D36" s="7" t="s">
        <x:v>43</x:v>
      </x:c>
      <x:c r="E36" s="7" t="s">
        <x:v>50</x:v>
      </x:c>
      <x:c r="F36" s="7" t="s">
        <x:v>42</x:v>
      </x:c>
      <x:c r="G36" s="9">
        <x:v>20517</x:v>
      </x:c>
      <x:c r="H36" s="10">
        <x:v>3.8295038295038295E-3</x:v>
      </x:c>
      <x:c r="I36" s="10">
        <x:v>1.4531764531764533E-2</x:v>
      </x:c>
      <x:c r="J36" s="10">
        <x:v>3.4070867404200739E-3</x:v>
      </x:c>
      <x:c r="K36" s="10">
        <x:v>6.2098395431728765E-3</x:v>
      </x:c>
      <x:c r="L36" s="10">
        <x:v>4.0453373786707124E-3</x:v>
      </x:c>
      <x:c r="M36" s="10">
        <x:v>5.0165883499216834E-3</x:v>
      </x:c>
      <x:c r="N36" s="10">
        <x:v>4.800754800754801E-3</x:v>
      </x:c>
      <x:c r="O36" s="10">
        <x:v>3.1172531172531173E-3</x:v>
      </x:c>
      <x:c r="P36" s="10">
        <x:v>2.0134186800853469E-3</x:v>
      </x:c>
      <x:c r="Q36" s="10">
        <x:v>5.3341720008386675E-3</x:v>
      </x:c>
      <x:c r="R36" s="10">
        <x:v>1.0955094288427622E-2</x:v>
      </x:c>
      <x:c r="S36" s="15">
        <x:f t="shared" si="0"/>
        <x:v>6.3260813260813259E-2</x:v>
      </x:c>
      <x:c r="T36" t="str">
        <x:f t="shared" si="1"/>
        <x:v>OK</x:v>
      </x:c>
      <x:c r="U36" t="str">
        <x:f t="shared" si="2"/>
        <x:v>LOSS-KG01-L23-20251021-PM-ORD-2025-00092</x:v>
      </x:c>
      <x:c r="V36" t="str">
        <x:f t="shared" si="3"/>
        <x:v>OK</x:v>
      </x:c>
      <x:c r="W36" t="str">
        <x:f t="shared" si="4">IF(A36="","",IF(AND(T36="OK",V36="OK",Y36="OK",AB36="OK",AD36="OK"),"OK","CHECK"))</x:f>
        <x:v>OK</x:v>
      </x:c>
      <x:c r="X36" t="str">
        <x:f>IF(A36="","", "PE-"&amp;A36&amp;"-L"&amp;TEXT(B36,"00")&amp;"-"&amp;TEXT(C36,"yyyymmdd")&amp;"-"&amp;D36&amp;"-"&amp;E36)</x:f>
        <x:v>PE-KG01-L23-20251021-PM-ORD-2025-00092</x:v>
      </x:c>
      <x:c r="Y36" t="str">
        <x:f>IF(X36="","",IF(COUNTIF(_ProductionEventRef!$A$5:$A$500,X36)=1,"OK","CHECK"))</x:f>
        <x:v>OK</x:v>
      </x:c>
      <x:c r="Z36" t="n">
        <x:f>IF(X36="","",IFERROR(VLOOKUP(X36,_ProductionEventRef!$A$5:$I$500,7,FALSE),0))</x:f>
        <x:v>324324</x:v>
      </x:c>
      <x:c r="AA36" t="n">
        <x:f>IF(X36="","",IFERROR(VLOOKUP(X36,_ProductionEventRef!$A$5:$I$500,8,FALSE),0))</x:f>
        <x:v>20517</x:v>
      </x:c>
      <x:c r="AB36" t="str">
        <x:f>IF(X36="","",IF(ABS(G36-AA36)&lt;=1,"OK","CHECK"))</x:f>
        <x:v>OK</x:v>
      </x:c>
      <x:c r="AC36" t="n">
        <x:f>IF(X36="","",SUMIF(LossDetail!$C$5:$C$2000,X36,LossDetail!$L$5:$L$2000))</x:f>
        <x:v>0.06326081326081326</x:v>
      </x:c>
      <x:c r="AD36" t="str">
        <x:f>IF(X36="","",IF(ABS(S36-AC36)&lt;=0.000001,"OK","CHECK"))</x:f>
        <x:v>OK</x:v>
      </x:c>
      <x:c r="AE36" t="str">
        <x:v>LossPercent</x:v>
      </x:c>
      <x:c r="AJ36" t="str">
        <x:v>03_Process_Losses(6).xlsx</x:v>
      </x:c>
      <x:c r="AK36" t="str">
        <x:v>ENH-20260830-01</x:v>
      </x:c>
      <x:c r="AL36" t="str">
        <x:v>Active</x:v>
      </x:c>
      <x:c r="AM36" t="str">
        <x:f>IF(A36="","",IF(W36="OK","LOAD","QUARANTINE"))</x:f>
        <x:v>LOAD</x:v>
      </x:c>
    </x:row>
    <x:row r="37" ht="18" customHeight="1">
      <x:c r="A37" s="7" t="s">
        <x:v>39</x:v>
      </x:c>
      <x:c r="B37" s="8">
        <x:v>23</x:v>
      </x:c>
      <x:c r="C37" s="6">
        <x:v>45952</x:v>
      </x:c>
      <x:c r="D37" s="7" t="s">
        <x:v>40</x:v>
      </x:c>
      <x:c r="E37" s="7" t="s">
        <x:v>51</x:v>
      </x:c>
      <x:c r="F37" s="7" t="s">
        <x:v>42</x:v>
      </x:c>
      <x:c r="G37" s="9">
        <x:v>4895</x:v>
      </x:c>
      <x:c r="H37" s="10">
        <x:v>9.7571917232097804E-3</x:v>
      </x:c>
      <x:c r="I37" s="10">
        <x:v>1.2594627936970785E-2</x:v>
      </x:c>
      <x:c r="J37" s="10">
        <x:v>3.7795098973812595E-3</x:v>
      </x:c>
      <x:c r="K37" s="10">
        <x:v>3.9253070150843941E-3</x:v>
      </x:c>
      <x:c r="L37" s="10">
        <x:v>4.6767229294005499E-3</x:v>
      </x:c>
      <x:c r="M37" s="10">
        <x:v>1.5364773173330343E-3</x:v>
      </x:c>
      <x:c r="N37" s="10">
        <x:v>5.8206695452251442E-3</x:v>
      </x:c>
      <x:c r="O37" s="10">
        <x:v>9.0842819491953122E-4</x:v>
      </x:c>
      <x:c r="P37" s="10">
        <x:v>1.7159199237368923E-3</x:v>
      </x:c>
      <x:c r="Q37" s="10">
        <x:v>4.0935344585880107E-3</x:v>
      </x:c>
      <x:c r="R37" s="10">
        <x:v>6.0898334548309318E-3</x:v>
      </x:c>
      <x:c r="S37" s="15" t="n">
        <x:f t="shared" ref="S37:S68" si="5">IF(A37="","",SUM(H37:R37))</x:f>
        <x:v>0.05489822239668032</x:v>
      </x:c>
      <x:c r="T37" t="str">
        <x:f t="shared" ref="T37:T68" si="6">IF(A37="","",IF(AND(MIN(H37:R37)&gt;=0,MAX(H37:R37)&lt;=1,S37&lt;=1),"OK","CHECK"))</x:f>
        <x:v>OK</x:v>
      </x:c>
      <x:c r="U37" t="str">
        <x:f t="shared" ref="U37:U68" si="7">IF(A37="","", "LOSS-"&amp;A37&amp;"-L"&amp;TEXT(B37,"00")&amp;"-"&amp;TEXT(C37,"yyyymmdd")&amp;"-"&amp;D37&amp;"-"&amp;E37)</x:f>
        <x:v>LOSS-KG01-L23-20251022-AM-ORD-2025-00093</x:v>
      </x:c>
      <x:c r="V37" t="str">
        <x:f t="shared" ref="V37:V68" si="8">IF(U37="","",IF(COUNTIF($U$5:$U$120,U37)=1,"OK","CHECK"))</x:f>
        <x:v>OK</x:v>
      </x:c>
      <x:c r="W37" t="str">
        <x:f t="shared" ref="W37:W68" si="9">IF(A37="","",IF(AND(T37="OK",V37="OK",Y37="OK",AB37="OK",AD37="OK"),"OK","CHECK"))</x:f>
        <x:v>OK</x:v>
      </x:c>
      <x:c r="X37" t="str">
        <x:f>IF(A37="","", "PE-"&amp;A37&amp;"-L"&amp;TEXT(B37,"00")&amp;"-"&amp;TEXT(C37,"yyyymmdd")&amp;"-"&amp;D37&amp;"-"&amp;E37)</x:f>
        <x:v>PE-KG01-L23-20251022-AM-ORD-2025-00093</x:v>
      </x:c>
      <x:c r="Y37" t="str">
        <x:f>IF(X37="","",IF(COUNTIF(_ProductionEventRef!$A$5:$A$500,X37)=1,"OK","CHECK"))</x:f>
        <x:v>OK</x:v>
      </x:c>
      <x:c r="Z37" t="n">
        <x:f>IF(X37="","",IFERROR(VLOOKUP(X37,_ProductionEventRef!$A$5:$I$500,7,FALSE),0))</x:f>
        <x:v>89165</x:v>
      </x:c>
      <x:c r="AA37" t="n">
        <x:f>IF(X37="","",IFERROR(VLOOKUP(X37,_ProductionEventRef!$A$5:$I$500,8,FALSE),0))</x:f>
        <x:v>4895</x:v>
      </x:c>
      <x:c r="AB37" t="str">
        <x:f>IF(X37="","",IF(ABS(G37-AA37)&lt;=1,"OK","CHECK"))</x:f>
        <x:v>OK</x:v>
      </x:c>
      <x:c r="AC37" t="n">
        <x:f>IF(X37="","",SUMIF(LossDetail!$C$5:$C$2000,X37,LossDetail!$L$5:$L$2000))</x:f>
        <x:v>0.05489822239668032</x:v>
      </x:c>
      <x:c r="AD37" t="str">
        <x:f>IF(X37="","",IF(ABS(S37-AC37)&lt;=0.000001,"OK","CHECK"))</x:f>
        <x:v>OK</x:v>
      </x:c>
      <x:c r="AE37" t="str">
        <x:v>LossPercent</x:v>
      </x:c>
      <x:c r="AJ37" t="str">
        <x:v>03_Process_Losses(6).xlsx</x:v>
      </x:c>
      <x:c r="AK37" t="str">
        <x:v>ENH-20260830-01</x:v>
      </x:c>
      <x:c r="AL37" t="str">
        <x:v>Active</x:v>
      </x:c>
      <x:c r="AM37" t="str">
        <x:f>IF(A37="","",IF(W37="OK","LOAD","QUARANTINE"))</x:f>
        <x:v>LOAD</x:v>
      </x:c>
    </x:row>
    <x:row r="38" ht="18" customHeight="1">
      <x:c r="A38" s="7" t="s">
        <x:v>39</x:v>
      </x:c>
      <x:c r="B38" s="8">
        <x:v>23</x:v>
      </x:c>
      <x:c r="C38" s="6">
        <x:v>45952</x:v>
      </x:c>
      <x:c r="D38" s="7" t="s">
        <x:v>43</x:v>
      </x:c>
      <x:c r="E38" s="7" t="s">
        <x:v>51</x:v>
      </x:c>
      <x:c r="F38" s="7" t="s">
        <x:v>42</x:v>
      </x:c>
      <x:c r="G38" s="9">
        <x:v>10098</x:v>
      </x:c>
      <x:c r="H38" s="10">
        <x:v>7.3067632850241544E-3</x:v>
      </x:c>
      <x:c r="I38" s="10">
        <x:v>9.5954106280193244E-3</x:v>
      </x:c>
      <x:c r="J38" s="10">
        <x:v>4.2995169082125605E-3</x:v>
      </x:c>
      <x:c r="K38" s="10">
        <x:v>3.0253623188405796E-3</x:v>
      </x:c>
      <x:c r="L38" s="10">
        <x:v>7.2101449275362318E-3</x:v>
      </x:c>
      <x:c r="M38" s="10">
        <x:v>4.9214975845410626E-3</x:v>
      </x:c>
      <x:c r="N38" s="10">
        <x:v>1.6183574879227052E-3</x:v>
      </x:c>
      <x:c r="O38" s="10">
        <x:v>1.2258454106280194E-3</x:v>
      </x:c>
      <x:c r="P38" s="10">
        <x:v>1.25E-3</x:v>
      </x:c>
      <x:c r="Q38" s="10">
        <x:v>1.5440821256038647E-2</x:v>
      </x:c>
      <x:c r="R38" s="10">
        <x:v>5.0845410628019326E-3</x:v>
      </x:c>
      <x:c r="S38" s="15">
        <x:f t="shared" si="5"/>
        <x:v>6.0978260869565225E-2</x:v>
      </x:c>
      <x:c r="T38" t="str">
        <x:f t="shared" si="6"/>
        <x:v>OK</x:v>
      </x:c>
      <x:c r="U38" t="str">
        <x:f t="shared" si="7"/>
        <x:v>LOSS-KG01-L23-20251022-PM-ORD-2025-00093</x:v>
      </x:c>
      <x:c r="V38" t="str">
        <x:f t="shared" si="8"/>
        <x:v>OK</x:v>
      </x:c>
      <x:c r="W38" t="str">
        <x:f t="shared" si="9">IF(A38="","",IF(AND(T38="OK",V38="OK",Y38="OK",AB38="OK",AD38="OK"),"OK","CHECK"))</x:f>
        <x:v>OK</x:v>
      </x:c>
      <x:c r="X38" t="str">
        <x:f>IF(A38="","", "PE-"&amp;A38&amp;"-L"&amp;TEXT(B38,"00")&amp;"-"&amp;TEXT(C38,"yyyymmdd")&amp;"-"&amp;D38&amp;"-"&amp;E38)</x:f>
        <x:v>PE-KG01-L23-20251022-PM-ORD-2025-00093</x:v>
      </x:c>
      <x:c r="Y38" t="str">
        <x:f>IF(X38="","",IF(COUNTIF(_ProductionEventRef!$A$5:$A$500,X38)=1,"OK","CHECK"))</x:f>
        <x:v>OK</x:v>
      </x:c>
      <x:c r="Z38" t="n">
        <x:f>IF(X38="","",IFERROR(VLOOKUP(X38,_ProductionEventRef!$A$5:$I$500,7,FALSE),0))</x:f>
        <x:v>165600</x:v>
      </x:c>
      <x:c r="AA38" t="n">
        <x:f>IF(X38="","",IFERROR(VLOOKUP(X38,_ProductionEventRef!$A$5:$I$500,8,FALSE),0))</x:f>
        <x:v>10098</x:v>
      </x:c>
      <x:c r="AB38" t="str">
        <x:f>IF(X38="","",IF(ABS(G38-AA38)&lt;=1,"OK","CHECK"))</x:f>
        <x:v>OK</x:v>
      </x:c>
      <x:c r="AC38" t="n">
        <x:f>IF(X38="","",SUMIF(LossDetail!$C$5:$C$2000,X38,LossDetail!$L$5:$L$2000))</x:f>
        <x:v>0.060978260869565225</x:v>
      </x:c>
      <x:c r="AD38" t="str">
        <x:f>IF(X38="","",IF(ABS(S38-AC38)&lt;=0.000001,"OK","CHECK"))</x:f>
        <x:v>OK</x:v>
      </x:c>
      <x:c r="AE38" t="str">
        <x:v>LossPercent</x:v>
      </x:c>
      <x:c r="AJ38" t="str">
        <x:v>03_Process_Losses(6).xlsx</x:v>
      </x:c>
      <x:c r="AK38" t="str">
        <x:v>ENH-20260830-01</x:v>
      </x:c>
      <x:c r="AL38" t="str">
        <x:v>Active</x:v>
      </x:c>
      <x:c r="AM38" t="str">
        <x:f>IF(A38="","",IF(W38="OK","LOAD","QUARANTINE"))</x:f>
        <x:v>LOAD</x:v>
      </x:c>
    </x:row>
    <x:row r="39" ht="18" customHeight="1">
      <x:c r="A39" s="7" t="s">
        <x:v>39</x:v>
      </x:c>
      <x:c r="B39" s="8">
        <x:v>23</x:v>
      </x:c>
      <x:c r="C39" s="6">
        <x:v>45953</x:v>
      </x:c>
      <x:c r="D39" s="7" t="s">
        <x:v>40</x:v>
      </x:c>
      <x:c r="E39" s="7" t="s">
        <x:v>51</x:v>
      </x:c>
      <x:c r="F39" s="7" t="s">
        <x:v>42</x:v>
      </x:c>
      <x:c r="G39" s="9">
        <x:v>7869</x:v>
      </x:c>
      <x:c r="H39" s="10">
        <x:v>2.9921395684849531E-3</x:v>
      </x:c>
      <x:c r="I39" s="10">
        <x:v>1.1925428334213903E-2</x:v>
      </x:c>
      <x:c r="J39" s="10">
        <x:v>6.135233926010588E-3</x:v>
      </x:c>
      <x:c r="K39" s="10">
        <x:v>4.0703880616326836E-3</x:v>
      </x:c>
      <x:c r="L39" s="10">
        <x:v>2.0378896520492113E-3</x:v>
      </x:c>
      <x:c r="M39" s="10">
        <x:v>3.7684784835513192E-3</x:v>
      </x:c>
      <x:c r="N39" s="10">
        <x:v>5.2295051917664948E-4</x:v>
      </x:c>
      <x:c r="O39" s="10">
        <x:v>1.6227639821873349E-3</x:v>
      </x:c>
      <x:c r="P39" s="10">
        <x:v>3.1107469027312033E-3</x:v>
      </x:c>
      <x:c r="Q39" s="10">
        <x:v>2.8196198095813163E-3</x:v>
      </x:c>
      <x:c r="R39" s="10">
        <x:v>3.4180477232783066E-3</x:v>
      </x:c>
      <x:c r="S39" s="15">
        <x:f t="shared" si="5"/>
        <x:v>4.2423686962897472E-2</x:v>
      </x:c>
      <x:c r="T39" t="str">
        <x:f t="shared" si="6"/>
        <x:v>OK</x:v>
      </x:c>
      <x:c r="U39" t="str">
        <x:f t="shared" si="7"/>
        <x:v>LOSS-KG01-L23-20251023-AM-ORD-2025-00093</x:v>
      </x:c>
      <x:c r="V39" t="str">
        <x:f t="shared" si="8"/>
        <x:v>OK</x:v>
      </x:c>
      <x:c r="W39" t="str">
        <x:f t="shared" si="9">IF(A39="","",IF(AND(T39="OK",V39="OK",Y39="OK",AB39="OK",AD39="OK"),"OK","CHECK"))</x:f>
        <x:v>OK</x:v>
      </x:c>
      <x:c r="X39" t="str">
        <x:f>IF(A39="","", "PE-"&amp;A39&amp;"-L"&amp;TEXT(B39,"00")&amp;"-"&amp;TEXT(C39,"yyyymmdd")&amp;"-"&amp;D39&amp;"-"&amp;E39)</x:f>
        <x:v>PE-KG01-L23-20251023-AM-ORD-2025-00093</x:v>
      </x:c>
      <x:c r="Y39" t="str">
        <x:f>IF(X39="","",IF(COUNTIF(_ProductionEventRef!$A$5:$A$500,X39)=1,"OK","CHECK"))</x:f>
        <x:v>OK</x:v>
      </x:c>
      <x:c r="Z39" t="n">
        <x:f>IF(X39="","",IFERROR(VLOOKUP(X39,_ProductionEventRef!$A$5:$I$500,7,FALSE),0))</x:f>
        <x:v>185486</x:v>
      </x:c>
      <x:c r="AA39" t="n">
        <x:f>IF(X39="","",IFERROR(VLOOKUP(X39,_ProductionEventRef!$A$5:$I$500,8,FALSE),0))</x:f>
        <x:v>7869</x:v>
      </x:c>
      <x:c r="AB39" t="str">
        <x:f>IF(X39="","",IF(ABS(G39-AA39)&lt;=1,"OK","CHECK"))</x:f>
        <x:v>OK</x:v>
      </x:c>
      <x:c r="AC39" t="n">
        <x:f>IF(X39="","",SUMIF(LossDetail!$C$5:$C$2000,X39,LossDetail!$L$5:$L$2000))</x:f>
        <x:v>0.04242368696289747</x:v>
      </x:c>
      <x:c r="AD39" t="str">
        <x:f>IF(X39="","",IF(ABS(S39-AC39)&lt;=0.000001,"OK","CHECK"))</x:f>
        <x:v>OK</x:v>
      </x:c>
      <x:c r="AE39" t="str">
        <x:v>LossPercent</x:v>
      </x:c>
      <x:c r="AJ39" t="str">
        <x:v>03_Process_Losses(6).xlsx</x:v>
      </x:c>
      <x:c r="AK39" t="str">
        <x:v>ENH-20260830-01</x:v>
      </x:c>
      <x:c r="AL39" t="str">
        <x:v>Active</x:v>
      </x:c>
      <x:c r="AM39" t="str">
        <x:f>IF(A39="","",IF(W39="OK","LOAD","QUARANTINE"))</x:f>
        <x:v>LOAD</x:v>
      </x:c>
    </x:row>
    <x:row r="40" ht="18" customHeight="1">
      <x:c r="A40" s="7" t="s">
        <x:v>39</x:v>
      </x:c>
      <x:c r="B40" s="8">
        <x:v>23</x:v>
      </x:c>
      <x:c r="C40" s="6">
        <x:v>45953</x:v>
      </x:c>
      <x:c r="D40" s="7" t="s">
        <x:v>43</x:v>
      </x:c>
      <x:c r="E40" s="7" t="s">
        <x:v>51</x:v>
      </x:c>
      <x:c r="F40" s="7" t="s">
        <x:v>42</x:v>
      </x:c>
      <x:c r="G40" s="9">
        <x:v>5160</x:v>
      </x:c>
      <x:c r="H40" s="10">
        <x:v>2.171386832232146E-3</x:v>
      </x:c>
      <x:c r="I40" s="10">
        <x:v>7.1516318602875264E-3</x:v>
      </x:c>
      <x:c r="J40" s="10">
        <x:v>1.992098011222152E-3</x:v>
      </x:c>
      <x:c r="K40" s="10">
        <x:v>3.1408745310269265E-3</x:v>
      </x:c>
      <x:c r="L40" s="10">
        <x:v>2.5166838208439857E-3</x:v>
      </x:c>
      <x:c r="M40" s="10">
        <x:v>4.083800923005412E-3</x:v>
      </x:c>
      <x:c r="N40" s="10">
        <x:v>1.3147846874066204E-3</x:v>
      </x:c>
      <x:c r="O40" s="10">
        <x:v>8.4996181812145154E-4</x:v>
      </x:c>
      <x:c r="P40" s="10">
        <x:v>6.3083103688701481E-4</x:v>
      </x:c>
      <x:c r="Q40" s="10">
        <x:v>4.2630897440154051E-3</x:v>
      </x:c>
      <x:c r="R40" s="10">
        <x:v>6.148942527972376E-3</x:v>
      </x:c>
      <x:c r="S40" s="15">
        <x:f t="shared" si="5"/>
        <x:v>3.4264085793021024E-2</x:v>
      </x:c>
      <x:c r="T40" t="str">
        <x:f t="shared" si="6"/>
        <x:v>OK</x:v>
      </x:c>
      <x:c r="U40" t="str">
        <x:f t="shared" si="7"/>
        <x:v>LOSS-KG01-L23-20251023-PM-ORD-2025-00093</x:v>
      </x:c>
      <x:c r="V40" t="str">
        <x:f t="shared" si="8"/>
        <x:v>OK</x:v>
      </x:c>
      <x:c r="W40" t="str">
        <x:f t="shared" si="9">IF(A40="","",IF(AND(T40="OK",V40="OK",Y40="OK",AB40="OK",AD40="OK"),"OK","CHECK"))</x:f>
        <x:v>OK</x:v>
      </x:c>
      <x:c r="X40" t="str">
        <x:f>IF(A40="","", "PE-"&amp;A40&amp;"-L"&amp;TEXT(B40,"00")&amp;"-"&amp;TEXT(C40,"yyyymmdd")&amp;"-"&amp;D40&amp;"-"&amp;E40)</x:f>
        <x:v>PE-KG01-L23-20251023-PM-ORD-2025-00093</x:v>
      </x:c>
      <x:c r="Y40" t="str">
        <x:f>IF(X40="","",IF(COUNTIF(_ProductionEventRef!$A$5:$A$500,X40)=1,"OK","CHECK"))</x:f>
        <x:v>OK</x:v>
      </x:c>
      <x:c r="Z40" t="n">
        <x:f>IF(X40="","",IFERROR(VLOOKUP(X40,_ProductionEventRef!$A$5:$I$500,7,FALSE),0))</x:f>
        <x:v>150595</x:v>
      </x:c>
      <x:c r="AA40" t="n">
        <x:f>IF(X40="","",IFERROR(VLOOKUP(X40,_ProductionEventRef!$A$5:$I$500,8,FALSE),0))</x:f>
        <x:v>5160</x:v>
      </x:c>
      <x:c r="AB40" t="str">
        <x:f>IF(X40="","",IF(ABS(G40-AA40)&lt;=1,"OK","CHECK"))</x:f>
        <x:v>OK</x:v>
      </x:c>
      <x:c r="AC40" t="n">
        <x:f>IF(X40="","",SUMIF(LossDetail!$C$5:$C$2000,X40,LossDetail!$L$5:$L$2000))</x:f>
        <x:v>0.034264085793021024</x:v>
      </x:c>
      <x:c r="AD40" t="str">
        <x:f>IF(X40="","",IF(ABS(S40-AC40)&lt;=0.000001,"OK","CHECK"))</x:f>
        <x:v>OK</x:v>
      </x:c>
      <x:c r="AE40" t="str">
        <x:v>LossPercent</x:v>
      </x:c>
      <x:c r="AJ40" t="str">
        <x:v>03_Process_Losses(6).xlsx</x:v>
      </x:c>
      <x:c r="AK40" t="str">
        <x:v>ENH-20260830-01</x:v>
      </x:c>
      <x:c r="AL40" t="str">
        <x:v>Active</x:v>
      </x:c>
      <x:c r="AM40" t="str">
        <x:f>IF(A40="","",IF(W40="OK","LOAD","QUARANTINE"))</x:f>
        <x:v>LOAD</x:v>
      </x:c>
    </x:row>
    <x:row r="41" ht="18" customHeight="1">
      <x:c r="A41" s="7" t="s">
        <x:v>39</x:v>
      </x:c>
      <x:c r="B41" s="8">
        <x:v>23</x:v>
      </x:c>
      <x:c r="C41" s="6">
        <x:v>45954</x:v>
      </x:c>
      <x:c r="D41" s="7" t="s">
        <x:v>40</x:v>
      </x:c>
      <x:c r="E41" s="7" t="s">
        <x:v>51</x:v>
      </x:c>
      <x:c r="F41" s="7" t="s">
        <x:v>42</x:v>
      </x:c>
      <x:c r="G41" s="9">
        <x:v>5654</x:v>
      </x:c>
      <x:c r="H41" s="10">
        <x:v>4.1739200569965249E-3</x:v>
      </x:c>
      <x:c r="I41" s="10">
        <x:v>1.1587501092209355E-2</x:v>
      </x:c>
      <x:c r="J41" s="10">
        <x:v>3.9252323885442366E-3</x:v>
      </x:c>
      <x:c r="K41" s="10">
        <x:v>2.0096652126279564E-3</x:v>
      </x:c>
      <x:c r="L41" s="10">
        <x:v>2.1373696910223752E-3</x:v>
      </x:c>
      <x:c r="M41" s="10">
        <x:v>1.6332730657812489E-3</x:v>
      </x:c>
      <x:c r="N41" s="10">
        <x:v>1.2031106122421546E-3</x:v>
      </x:c>
      <x:c r="O41" s="10">
        <x:v>1.7408136791660226E-3</x:v>
      </x:c>
      <x:c r="P41" s="10">
        <x:v>2.9775307330909191E-3</x:v>
      </x:c>
      <x:c r="Q41" s="10">
        <x:v>2.6145811629173081E-3</x:v>
      </x:c>
      <x:c r="R41" s="10">
        <x:v>3.999166560246268E-3</x:v>
      </x:c>
      <x:c r="S41" s="15">
        <x:f t="shared" si="5"/>
        <x:v>3.8002164254844373E-2</x:v>
      </x:c>
      <x:c r="T41" t="str">
        <x:f t="shared" si="6"/>
        <x:v>OK</x:v>
      </x:c>
      <x:c r="U41" t="str">
        <x:f t="shared" si="7"/>
        <x:v>LOSS-KG01-L23-20251024-AM-ORD-2025-00093</x:v>
      </x:c>
      <x:c r="V41" t="str">
        <x:f t="shared" si="8"/>
        <x:v>OK</x:v>
      </x:c>
      <x:c r="W41" t="str">
        <x:f t="shared" si="9">IF(A41="","",IF(AND(T41="OK",V41="OK",Y41="OK",AB41="OK",AD41="OK"),"OK","CHECK"))</x:f>
        <x:v>OK</x:v>
      </x:c>
      <x:c r="X41" t="str">
        <x:f>IF(A41="","", "PE-"&amp;A41&amp;"-L"&amp;TEXT(B41,"00")&amp;"-"&amp;TEXT(C41,"yyyymmdd")&amp;"-"&amp;D41&amp;"-"&amp;E41)</x:f>
        <x:v>PE-KG01-L23-20251024-AM-ORD-2025-00093</x:v>
      </x:c>
      <x:c r="Y41" t="str">
        <x:f>IF(X41="","",IF(COUNTIF(_ProductionEventRef!$A$5:$A$500,X41)=1,"OK","CHECK"))</x:f>
        <x:v>OK</x:v>
      </x:c>
      <x:c r="Z41" t="n">
        <x:f>IF(X41="","",IFERROR(VLOOKUP(X41,_ProductionEventRef!$A$5:$I$500,7,FALSE),0))</x:f>
        <x:v>148781</x:v>
      </x:c>
      <x:c r="AA41" t="n">
        <x:f>IF(X41="","",IFERROR(VLOOKUP(X41,_ProductionEventRef!$A$5:$I$500,8,FALSE),0))</x:f>
        <x:v>5654</x:v>
      </x:c>
      <x:c r="AB41" t="str">
        <x:f>IF(X41="","",IF(ABS(G41-AA41)&lt;=1,"OK","CHECK"))</x:f>
        <x:v>OK</x:v>
      </x:c>
      <x:c r="AC41" t="n">
        <x:f>IF(X41="","",SUMIF(LossDetail!$C$5:$C$2000,X41,LossDetail!$L$5:$L$2000))</x:f>
        <x:v>0.03800216425484437</x:v>
      </x:c>
      <x:c r="AD41" t="str">
        <x:f>IF(X41="","",IF(ABS(S41-AC41)&lt;=0.000001,"OK","CHECK"))</x:f>
        <x:v>OK</x:v>
      </x:c>
      <x:c r="AE41" t="str">
        <x:v>LossPercent</x:v>
      </x:c>
      <x:c r="AJ41" t="str">
        <x:v>03_Process_Losses(6).xlsx</x:v>
      </x:c>
      <x:c r="AK41" t="str">
        <x:v>ENH-20260830-01</x:v>
      </x:c>
      <x:c r="AL41" t="str">
        <x:v>Active</x:v>
      </x:c>
      <x:c r="AM41" t="str">
        <x:f>IF(A41="","",IF(W41="OK","LOAD","QUARANTINE"))</x:f>
        <x:v>LOAD</x:v>
      </x:c>
    </x:row>
    <x:row r="42" ht="18" customHeight="1">
      <x:c r="A42" s="7" t="s">
        <x:v>39</x:v>
      </x:c>
      <x:c r="B42" s="8">
        <x:v>23</x:v>
      </x:c>
      <x:c r="C42" s="6">
        <x:v>45954</x:v>
      </x:c>
      <x:c r="D42" s="7" t="s">
        <x:v>43</x:v>
      </x:c>
      <x:c r="E42" s="7" t="s">
        <x:v>51</x:v>
      </x:c>
      <x:c r="F42" s="7" t="s">
        <x:v>42</x:v>
      </x:c>
      <x:c r="G42" s="9">
        <x:v>5196</x:v>
      </x:c>
      <x:c r="H42" s="10">
        <x:v>2.0845290047321516E-3</x:v>
      </x:c>
      <x:c r="I42" s="10">
        <x:v>7.6234203601632973E-3</x:v>
      </x:c>
      <x:c r="J42" s="10">
        <x:v>2.6259651098573858E-3</x:v>
      </x:c>
      <x:c r="K42" s="10">
        <x:v>1.5972365101194408E-3</x:v>
      </x:c>
      <x:c r="L42" s="10">
        <x:v>2.5014348056785819E-3</x:v>
      </x:c>
      <x:c r="M42" s="10">
        <x:v>1.9978992279121141E-3</x:v>
      </x:c>
      <x:c r="N42" s="10">
        <x:v>1.299446652300562E-3</x:v>
      </x:c>
      <x:c r="O42" s="10">
        <x:v>6.1723715984276692E-4</x:v>
      </x:c>
      <x:c r="P42" s="10">
        <x:v>3.4110474622889753E-3</x:v>
      </x:c>
      <x:c r="Q42" s="10">
        <x:v>3.3190033244176855E-3</x:v>
      </x:c>
      <x:c r="R42" s="10">
        <x:v>1.0558004049942065E-3</x:v>
      </x:c>
      <x:c r="S42" s="15">
        <x:f t="shared" si="5"/>
        <x:v>2.8133020022307172E-2</x:v>
      </x:c>
      <x:c r="T42" t="str">
        <x:f t="shared" si="6"/>
        <x:v>OK</x:v>
      </x:c>
      <x:c r="U42" t="str">
        <x:f t="shared" si="7"/>
        <x:v>LOSS-KG01-L23-20251024-PM-ORD-2025-00093</x:v>
      </x:c>
      <x:c r="V42" t="str">
        <x:f t="shared" si="8"/>
        <x:v>OK</x:v>
      </x:c>
      <x:c r="W42" t="str">
        <x:f t="shared" si="9">IF(A42="","",IF(AND(T42="OK",V42="OK",Y42="OK",AB42="OK",AD42="OK"),"OK","CHECK"))</x:f>
        <x:v>OK</x:v>
      </x:c>
      <x:c r="X42" t="str">
        <x:f>IF(A42="","", "PE-"&amp;A42&amp;"-L"&amp;TEXT(B42,"00")&amp;"-"&amp;TEXT(C42,"yyyymmdd")&amp;"-"&amp;D42&amp;"-"&amp;E42)</x:f>
        <x:v>PE-KG01-L23-20251024-PM-ORD-2025-00093</x:v>
      </x:c>
      <x:c r="Y42" t="str">
        <x:f>IF(X42="","",IF(COUNTIF(_ProductionEventRef!$A$5:$A$500,X42)=1,"OK","CHECK"))</x:f>
        <x:v>OK</x:v>
      </x:c>
      <x:c r="Z42" t="n">
        <x:f>IF(X42="","",IFERROR(VLOOKUP(X42,_ProductionEventRef!$A$5:$I$500,7,FALSE),0))</x:f>
        <x:v>184694</x:v>
      </x:c>
      <x:c r="AA42" t="n">
        <x:f>IF(X42="","",IFERROR(VLOOKUP(X42,_ProductionEventRef!$A$5:$I$500,8,FALSE),0))</x:f>
        <x:v>5196</x:v>
      </x:c>
      <x:c r="AB42" t="str">
        <x:f>IF(X42="","",IF(ABS(G42-AA42)&lt;=1,"OK","CHECK"))</x:f>
        <x:v>OK</x:v>
      </x:c>
      <x:c r="AC42" t="n">
        <x:f>IF(X42="","",SUMIF(LossDetail!$C$5:$C$2000,X42,LossDetail!$L$5:$L$2000))</x:f>
        <x:v>0.02813302002230717</x:v>
      </x:c>
      <x:c r="AD42" t="str">
        <x:f>IF(X42="","",IF(ABS(S42-AC42)&lt;=0.000001,"OK","CHECK"))</x:f>
        <x:v>OK</x:v>
      </x:c>
      <x:c r="AE42" t="str">
        <x:v>LossPercent</x:v>
      </x:c>
      <x:c r="AJ42" t="str">
        <x:v>03_Process_Losses(6).xlsx</x:v>
      </x:c>
      <x:c r="AK42" t="str">
        <x:v>ENH-20260830-01</x:v>
      </x:c>
      <x:c r="AL42" t="str">
        <x:v>Active</x:v>
      </x:c>
      <x:c r="AM42" t="str">
        <x:f>IF(A42="","",IF(W42="OK","LOAD","QUARANTINE"))</x:f>
        <x:v>LOAD</x:v>
      </x:c>
    </x:row>
    <x:row r="43" ht="18" customHeight="1">
      <x:c r="A43" s="7" t="s">
        <x:v>39</x:v>
      </x:c>
      <x:c r="B43" s="8">
        <x:v>23</x:v>
      </x:c>
      <x:c r="C43" s="6">
        <x:v>45955</x:v>
      </x:c>
      <x:c r="D43" s="7" t="s">
        <x:v>40</x:v>
      </x:c>
      <x:c r="E43" s="7" t="s">
        <x:v>51</x:v>
      </x:c>
      <x:c r="F43" s="7" t="s">
        <x:v>42</x:v>
      </x:c>
      <x:c r="G43" s="9">
        <x:v>8874</x:v>
      </x:c>
      <x:c r="H43" s="10">
        <x:v>7.0323488045007029E-3</x:v>
      </x:c>
      <x:c r="I43" s="10">
        <x:v>1.1316221284575715E-2</x:v>
      </x:c>
      <x:c r="J43" s="10">
        <x:v>4.3073136427566805E-3</x:v>
      </x:c>
      <x:c r="K43" s="10">
        <x:v>6.3818565400843878E-3</x:v>
      </x:c>
      <x:c r="L43" s="10">
        <x:v>3.1059540553211441E-3</x:v>
      </x:c>
      <x:c r="M43" s="10">
        <x:v>2.3265353961556493E-3</x:v>
      </x:c>
      <x:c r="N43" s="10">
        <x:v>3.2993436474449134E-3</x:v>
      </x:c>
      <x:c r="O43" s="10">
        <x:v>1.0021097046413502E-3</x:v>
      </x:c>
      <x:c r="P43" s="10">
        <x:v>7.266760431317393E-3</x:v>
      </x:c>
      <x:c r="Q43" s="10">
        <x:v>4.2311298640412562E-3</x:v>
      </x:c>
      <x:c r="R43" s="10">
        <x:v>1.7346460384435069E-3</x:v>
      </x:c>
      <x:c r="S43" s="15">
        <x:f t="shared" si="5"/>
        <x:v>5.2004219409282702E-2</x:v>
      </x:c>
      <x:c r="T43" t="str">
        <x:f t="shared" si="6"/>
        <x:v>OK</x:v>
      </x:c>
      <x:c r="U43" t="str">
        <x:f t="shared" si="7"/>
        <x:v>LOSS-KG01-L23-20251025-AM-ORD-2025-00093</x:v>
      </x:c>
      <x:c r="V43" t="str">
        <x:f t="shared" si="8"/>
        <x:v>OK</x:v>
      </x:c>
      <x:c r="W43" t="str">
        <x:f t="shared" si="9">IF(A43="","",IF(AND(T43="OK",V43="OK",Y43="OK",AB43="OK",AD43="OK"),"OK","CHECK"))</x:f>
        <x:v>OK</x:v>
      </x:c>
      <x:c r="X43" t="str">
        <x:f>IF(A43="","", "PE-"&amp;A43&amp;"-L"&amp;TEXT(B43,"00")&amp;"-"&amp;TEXT(C43,"yyyymmdd")&amp;"-"&amp;D43&amp;"-"&amp;E43)</x:f>
        <x:v>PE-KG01-L23-20251025-AM-ORD-2025-00093</x:v>
      </x:c>
      <x:c r="Y43" t="str">
        <x:f>IF(X43="","",IF(COUNTIF(_ProductionEventRef!$A$5:$A$500,X43)=1,"OK","CHECK"))</x:f>
        <x:v>OK</x:v>
      </x:c>
      <x:c r="Z43" t="n">
        <x:f>IF(X43="","",IFERROR(VLOOKUP(X43,_ProductionEventRef!$A$5:$I$500,7,FALSE),0))</x:f>
        <x:v>170640</x:v>
      </x:c>
      <x:c r="AA43" t="n">
        <x:f>IF(X43="","",IFERROR(VLOOKUP(X43,_ProductionEventRef!$A$5:$I$500,8,FALSE),0))</x:f>
        <x:v>8874</x:v>
      </x:c>
      <x:c r="AB43" t="str">
        <x:f>IF(X43="","",IF(ABS(G43-AA43)&lt;=1,"OK","CHECK"))</x:f>
        <x:v>OK</x:v>
      </x:c>
      <x:c r="AC43" t="n">
        <x:f>IF(X43="","",SUMIF(LossDetail!$C$5:$C$2000,X43,LossDetail!$L$5:$L$2000))</x:f>
        <x:v>0.0520042194092827</x:v>
      </x:c>
      <x:c r="AD43" t="str">
        <x:f>IF(X43="","",IF(ABS(S43-AC43)&lt;=0.000001,"OK","CHECK"))</x:f>
        <x:v>OK</x:v>
      </x:c>
      <x:c r="AE43" t="str">
        <x:v>LossPercent</x:v>
      </x:c>
      <x:c r="AJ43" t="str">
        <x:v>03_Process_Losses(6).xlsx</x:v>
      </x:c>
      <x:c r="AK43" t="str">
        <x:v>ENH-20260830-01</x:v>
      </x:c>
      <x:c r="AL43" t="str">
        <x:v>Active</x:v>
      </x:c>
      <x:c r="AM43" t="str">
        <x:f>IF(A43="","",IF(W43="OK","LOAD","QUARANTINE"))</x:f>
        <x:v>LOAD</x:v>
      </x:c>
    </x:row>
    <x:row r="44" ht="18" customHeight="1">
      <x:c r="A44" s="7" t="s">
        <x:v>39</x:v>
      </x:c>
      <x:c r="B44" s="8">
        <x:v>23</x:v>
      </x:c>
      <x:c r="C44" s="6">
        <x:v>45955</x:v>
      </x:c>
      <x:c r="D44" s="7" t="s">
        <x:v>43</x:v>
      </x:c>
      <x:c r="E44" s="7" t="s">
        <x:v>51</x:v>
      </x:c>
      <x:c r="F44" s="7" t="s">
        <x:v>42</x:v>
      </x:c>
      <x:c r="G44" s="9">
        <x:v>7497</x:v>
      </x:c>
      <x:c r="H44" s="10">
        <x:v>5.2313477939695116E-3</x:v>
      </x:c>
      <x:c r="I44" s="10">
        <x:v>1.576791350480156E-2</x:v>
      </x:c>
      <x:c r="J44" s="10">
        <x:v>1.2826539520515749E-3</x:v>
      </x:c>
      <x:c r="K44" s="10">
        <x:v>1.9810623866765159E-3</x:v>
      </x:c>
      <x:c r="L44" s="10">
        <x:v>4.1367268820092671E-3</x:v>
      </x:c>
      <x:c r="M44" s="10">
        <x:v>3.1831307501175208E-3</x:v>
      </x:c>
      <x:c r="N44" s="10">
        <x:v>2.3168356725538916E-3</x:v>
      </x:c>
      <x:c r="O44" s="10">
        <x:v>6.8497750318984626E-4</x:v>
      </x:c>
      <x:c r="P44" s="10">
        <x:v>5.493250956953865E-3</x:v>
      </x:c>
      <x:c r="Q44" s="10">
        <x:v>5.184339533946679E-3</x:v>
      </x:c>
      <x:c r="R44" s="10">
        <x:v>5.0836075481834669E-3</x:v>
      </x:c>
      <x:c r="S44" s="15">
        <x:f t="shared" si="5"/>
        <x:v>5.0345846484453699E-2</x:v>
      </x:c>
      <x:c r="T44" t="str">
        <x:f t="shared" si="6"/>
        <x:v>OK</x:v>
      </x:c>
      <x:c r="U44" t="str">
        <x:f t="shared" si="7"/>
        <x:v>LOSS-KG01-L23-20251025-PM-ORD-2025-00093</x:v>
      </x:c>
      <x:c r="V44" t="str">
        <x:f t="shared" si="8"/>
        <x:v>OK</x:v>
      </x:c>
      <x:c r="W44" t="str">
        <x:f t="shared" si="9">IF(A44="","",IF(AND(T44="OK",V44="OK",Y44="OK",AB44="OK",AD44="OK"),"OK","CHECK"))</x:f>
        <x:v>OK</x:v>
      </x:c>
      <x:c r="X44" t="str">
        <x:f>IF(A44="","", "PE-"&amp;A44&amp;"-L"&amp;TEXT(B44,"00")&amp;"-"&amp;TEXT(C44,"yyyymmdd")&amp;"-"&amp;D44&amp;"-"&amp;E44)</x:f>
        <x:v>PE-KG01-L23-20251025-PM-ORD-2025-00093</x:v>
      </x:c>
      <x:c r="Y44" t="str">
        <x:f>IF(X44="","",IF(COUNTIF(_ProductionEventRef!$A$5:$A$500,X44)=1,"OK","CHECK"))</x:f>
        <x:v>OK</x:v>
      </x:c>
      <x:c r="Z44" t="n">
        <x:f>IF(X44="","",IFERROR(VLOOKUP(X44,_ProductionEventRef!$A$5:$I$500,7,FALSE),0))</x:f>
        <x:v>148910</x:v>
      </x:c>
      <x:c r="AA44" t="n">
        <x:f>IF(X44="","",IFERROR(VLOOKUP(X44,_ProductionEventRef!$A$5:$I$500,8,FALSE),0))</x:f>
        <x:v>7497</x:v>
      </x:c>
      <x:c r="AB44" t="str">
        <x:f>IF(X44="","",IF(ABS(G44-AA44)&lt;=1,"OK","CHECK"))</x:f>
        <x:v>OK</x:v>
      </x:c>
      <x:c r="AC44" t="n">
        <x:f>IF(X44="","",SUMIF(LossDetail!$C$5:$C$2000,X44,LossDetail!$L$5:$L$2000))</x:f>
        <x:v>0.0503458464844537</x:v>
      </x:c>
      <x:c r="AD44" t="str">
        <x:f>IF(X44="","",IF(ABS(S44-AC44)&lt;=0.000001,"OK","CHECK"))</x:f>
        <x:v>OK</x:v>
      </x:c>
      <x:c r="AE44" t="str">
        <x:v>LossPercent</x:v>
      </x:c>
      <x:c r="AJ44" t="str">
        <x:v>03_Process_Losses(6).xlsx</x:v>
      </x:c>
      <x:c r="AK44" t="str">
        <x:v>ENH-20260830-01</x:v>
      </x:c>
      <x:c r="AL44" t="str">
        <x:v>Active</x:v>
      </x:c>
      <x:c r="AM44" t="str">
        <x:f>IF(A44="","",IF(W44="OK","LOAD","QUARANTINE"))</x:f>
        <x:v>LOAD</x:v>
      </x:c>
    </x:row>
    <x:row r="45" ht="18" customHeight="1">
      <x:c r="A45" s="7" t="s">
        <x:v>39</x:v>
      </x:c>
      <x:c r="B45" s="8">
        <x:v>23</x:v>
      </x:c>
      <x:c r="C45" s="6">
        <x:v>45956</x:v>
      </x:c>
      <x:c r="D45" s="7" t="s">
        <x:v>40</x:v>
      </x:c>
      <x:c r="E45" s="7" t="s">
        <x:v>52</x:v>
      </x:c>
      <x:c r="F45" s="7" t="s">
        <x:v>45</x:v>
      </x:c>
      <x:c r="G45" s="9">
        <x:v>1161</x:v>
      </x:c>
      <x:c r="H45" s="10">
        <x:v>8.9285714285714281E-3</x:v>
      </x:c>
      <x:c r="I45" s="10">
        <x:v>2.2130647130647132E-2</x:v>
      </x:c>
      <x:c r="J45" s="10">
        <x:v>5.9523809523809521E-3</x:v>
      </x:c>
      <x:c r="K45" s="10">
        <x:v>2.670940170940171E-3</x:v>
      </x:c>
      <x:c r="L45" s="10">
        <x:v>8.318070818070818E-3</x:v>
      </x:c>
      <x:c r="M45" s="10">
        <x:v>9.0811965811965819E-3</x:v>
      </x:c>
      <x:c r="N45" s="10">
        <x:v>4.34981684981685E-3</x:v>
      </x:c>
      <x:c r="O45" s="10">
        <x:v>7.097069597069597E-3</x:v>
      </x:c>
      <x:c r="P45" s="10">
        <x:v>4.7313797313797311E-3</x:v>
      </x:c>
      <x:c r="Q45" s="10">
        <x:v>6.105006105006105E-3</x:v>
      </x:c>
      <x:c r="R45" s="10">
        <x:v>9.233821733821734E-3</x:v>
      </x:c>
      <x:c r="S45" s="15">
        <x:f t="shared" si="5"/>
        <x:v>8.8598901098901089E-2</x:v>
      </x:c>
      <x:c r="T45" t="str">
        <x:f t="shared" si="6"/>
        <x:v>OK</x:v>
      </x:c>
      <x:c r="U45" t="str">
        <x:f t="shared" si="7"/>
        <x:v>LOSS-KG01-L23-20251026-AM-ORD-2025-00094</x:v>
      </x:c>
      <x:c r="V45" t="str">
        <x:f t="shared" si="8"/>
        <x:v>OK</x:v>
      </x:c>
      <x:c r="W45" t="str">
        <x:f t="shared" si="9">IF(A45="","",IF(AND(T45="OK",V45="OK",Y45="OK",AB45="OK",AD45="OK"),"OK","CHECK"))</x:f>
        <x:v>OK</x:v>
      </x:c>
      <x:c r="X45" t="str">
        <x:f>IF(A45="","", "PE-"&amp;A45&amp;"-L"&amp;TEXT(B45,"00")&amp;"-"&amp;TEXT(C45,"yyyymmdd")&amp;"-"&amp;D45&amp;"-"&amp;E45)</x:f>
        <x:v>PE-KG01-L23-20251026-AM-ORD-2025-00094</x:v>
      </x:c>
      <x:c r="Y45" t="str">
        <x:f>IF(X45="","",IF(COUNTIF(_ProductionEventRef!$A$5:$A$500,X45)=1,"OK","CHECK"))</x:f>
        <x:v>OK</x:v>
      </x:c>
      <x:c r="Z45" t="n">
        <x:f>IF(X45="","",IFERROR(VLOOKUP(X45,_ProductionEventRef!$A$5:$I$500,7,FALSE),0))</x:f>
        <x:v>13104</x:v>
      </x:c>
      <x:c r="AA45" t="n">
        <x:f>IF(X45="","",IFERROR(VLOOKUP(X45,_ProductionEventRef!$A$5:$I$500,8,FALSE),0))</x:f>
        <x:v>1161</x:v>
      </x:c>
      <x:c r="AB45" t="str">
        <x:f>IF(X45="","",IF(ABS(G45-AA45)&lt;=1,"OK","CHECK"))</x:f>
        <x:v>OK</x:v>
      </x:c>
      <x:c r="AC45" t="n">
        <x:f>IF(X45="","",SUMIF(LossDetail!$C$5:$C$2000,X45,LossDetail!$L$5:$L$2000))</x:f>
        <x:v>0.08859890109890109</x:v>
      </x:c>
      <x:c r="AD45" t="str">
        <x:f>IF(X45="","",IF(ABS(S45-AC45)&lt;=0.000001,"OK","CHECK"))</x:f>
        <x:v>OK</x:v>
      </x:c>
      <x:c r="AE45" t="str">
        <x:v>LossPercent</x:v>
      </x:c>
      <x:c r="AJ45" t="str">
        <x:v>03_Process_Losses(6).xlsx</x:v>
      </x:c>
      <x:c r="AK45" t="str">
        <x:v>ENH-20260830-01</x:v>
      </x:c>
      <x:c r="AL45" t="str">
        <x:v>Active</x:v>
      </x:c>
      <x:c r="AM45" t="str">
        <x:f>IF(A45="","",IF(W45="OK","LOAD","QUARANTINE"))</x:f>
        <x:v>LOAD</x:v>
      </x:c>
    </x:row>
    <x:row r="46" ht="18" customHeight="1">
      <x:c r="A46" s="7" t="s">
        <x:v>39</x:v>
      </x:c>
      <x:c r="B46" s="8">
        <x:v>23</x:v>
      </x:c>
      <x:c r="C46" s="6">
        <x:v>45956</x:v>
      </x:c>
      <x:c r="D46" s="7" t="s">
        <x:v>43</x:v>
      </x:c>
      <x:c r="E46" s="7" t="s">
        <x:v>52</x:v>
      </x:c>
      <x:c r="F46" s="7" t="s">
        <x:v>42</x:v>
      </x:c>
      <x:c r="G46" s="9">
        <x:v>11865</x:v>
      </x:c>
      <x:c r="H46" s="10">
        <x:v>9.5434868162140897E-3</x:v>
      </x:c>
      <x:c r="I46" s="10">
        <x:v>1.6386811841357297E-2</x:v>
      </x:c>
      <x:c r="J46" s="10">
        <x:v>6.0507674144037781E-3</x:v>
      </x:c>
      <x:c r="K46" s="10">
        <x:v>1.4976605885696794E-3</x:v>
      </x:c>
      <x:c r="L46" s="10">
        <x:v>6.2803358257903716E-3</x:v>
      </x:c>
      <x:c r="M46" s="10">
        <x:v>6.8214613669159126E-3</x:v>
      </x:c>
      <x:c r="N46" s="10">
        <x:v>3.6621627530718438E-4</x:v>
      </x:c>
      <x:c r="O46" s="10">
        <x:v>2.9187983733438279E-3</x:v>
      </x:c>
      <x:c r="P46" s="10">
        <x:v>4.7389479207661026E-3</x:v>
      </x:c>
      <x:c r="Q46" s="10">
        <x:v>6.9963706327342695E-3</x:v>
      </x:c>
      <x:c r="R46" s="10">
        <x:v>3.2522191613100705E-3</x:v>
      </x:c>
      <x:c r="S46" s="15">
        <x:f t="shared" si="5"/>
        <x:v>6.4853076216712588E-2</x:v>
      </x:c>
      <x:c r="T46" t="str">
        <x:f t="shared" si="6"/>
        <x:v>OK</x:v>
      </x:c>
      <x:c r="U46" t="str">
        <x:f t="shared" si="7"/>
        <x:v>LOSS-KG01-L23-20251026-PM-ORD-2025-00094</x:v>
      </x:c>
      <x:c r="V46" t="str">
        <x:f t="shared" si="8"/>
        <x:v>OK</x:v>
      </x:c>
      <x:c r="W46" t="str">
        <x:f t="shared" si="9">IF(A46="","",IF(AND(T46="OK",V46="OK",Y46="OK",AB46="OK",AD46="OK"),"OK","CHECK"))</x:f>
        <x:v>OK</x:v>
      </x:c>
      <x:c r="X46" t="str">
        <x:f>IF(A46="","", "PE-"&amp;A46&amp;"-L"&amp;TEXT(B46,"00")&amp;"-"&amp;TEXT(C46,"yyyymmdd")&amp;"-"&amp;D46&amp;"-"&amp;E46)</x:f>
        <x:v>PE-KG01-L23-20251026-PM-ORD-2025-00094</x:v>
      </x:c>
      <x:c r="Y46" t="str">
        <x:f>IF(X46="","",IF(COUNTIF(_ProductionEventRef!$A$5:$A$500,X46)=1,"OK","CHECK"))</x:f>
        <x:v>OK</x:v>
      </x:c>
      <x:c r="Z46" t="n">
        <x:f>IF(X46="","",IFERROR(VLOOKUP(X46,_ProductionEventRef!$A$5:$I$500,7,FALSE),0))</x:f>
        <x:v>182952</x:v>
      </x:c>
      <x:c r="AA46" t="n">
        <x:f>IF(X46="","",IFERROR(VLOOKUP(X46,_ProductionEventRef!$A$5:$I$500,8,FALSE),0))</x:f>
        <x:v>11865</x:v>
      </x:c>
      <x:c r="AB46" t="str">
        <x:f>IF(X46="","",IF(ABS(G46-AA46)&lt;=1,"OK","CHECK"))</x:f>
        <x:v>OK</x:v>
      </x:c>
      <x:c r="AC46" t="n">
        <x:f>IF(X46="","",SUMIF(LossDetail!$C$5:$C$2000,X46,LossDetail!$L$5:$L$2000))</x:f>
        <x:v>0.06485307621671259</x:v>
      </x:c>
      <x:c r="AD46" t="str">
        <x:f>IF(X46="","",IF(ABS(S46-AC46)&lt;=0.000001,"OK","CHECK"))</x:f>
        <x:v>OK</x:v>
      </x:c>
      <x:c r="AE46" t="str">
        <x:v>LossPercent</x:v>
      </x:c>
      <x:c r="AJ46" t="str">
        <x:v>03_Process_Losses(6).xlsx</x:v>
      </x:c>
      <x:c r="AK46" t="str">
        <x:v>ENH-20260830-01</x:v>
      </x:c>
      <x:c r="AL46" t="str">
        <x:v>Active</x:v>
      </x:c>
      <x:c r="AM46" t="str">
        <x:f>IF(A46="","",IF(W46="OK","LOAD","QUARANTINE"))</x:f>
        <x:v>LOAD</x:v>
      </x:c>
    </x:row>
    <x:row r="47" ht="18" customHeight="1">
      <x:c r="A47" s="7" t="s">
        <x:v>39</x:v>
      </x:c>
      <x:c r="B47" s="8">
        <x:v>24</x:v>
      </x:c>
      <x:c r="C47" s="6">
        <x:v>45950</x:v>
      </x:c>
      <x:c r="D47" s="7" t="s">
        <x:v>40</x:v>
      </x:c>
      <x:c r="E47" s="7" t="s">
        <x:v>53</x:v>
      </x:c>
      <x:c r="F47" s="7" t="s">
        <x:v>42</x:v>
      </x:c>
      <x:c r="G47" s="9">
        <x:v>14398</x:v>
      </x:c>
      <x:c r="H47" s="10">
        <x:v>3.5853976531942632E-3</x:v>
      </x:c>
      <x:c r="I47" s="10">
        <x:v>6.3830943068231205E-3</x:v>
      </x:c>
      <x:c r="J47" s="10">
        <x:v>3.0896892655367233E-3</x:v>
      </x:c>
      <x:c r="K47" s="10">
        <x:v>1.8832391713747645E-3</x:v>
      </x:c>
      <x:c r="L47" s="10">
        <x:v>2.4355352745183256E-3</x:v>
      </x:c>
      <x:c r="M47" s="10">
        <x:v>2.4310082572794435E-3</x:v>
      </x:c>
      <x:c r="N47" s="10">
        <x:v>3.1689120672171518E-4</x:v>
      </x:c>
      <x:c r="O47" s="10">
        <x:v>2.349521946979574E-3</x:v>
      </x:c>
      <x:c r="P47" s="10">
        <x:v>9.8688975807619873E-4</x:v>
      </x:c>
      <x:c r="Q47" s="10">
        <x:v>3.7189446617412721E-3</x:v>
      </x:c>
      <x:c r="R47" s="10">
        <x:v>5.4097856004635663E-3</x:v>
      </x:c>
      <x:c r="S47" s="15">
        <x:f t="shared" si="5"/>
        <x:v>3.2589997102708969E-2</x:v>
      </x:c>
      <x:c r="T47" t="str">
        <x:f t="shared" si="6"/>
        <x:v>OK</x:v>
      </x:c>
      <x:c r="U47" t="str">
        <x:f t="shared" si="7"/>
        <x:v>LOSS-KG01-L24-20251020-AM-ORD-2025-00124</x:v>
      </x:c>
      <x:c r="V47" t="str">
        <x:f t="shared" si="8"/>
        <x:v>OK</x:v>
      </x:c>
      <x:c r="W47" t="str">
        <x:f t="shared" si="9">IF(A47="","",IF(AND(T47="OK",V47="OK",Y47="OK",AB47="OK",AD47="OK"),"OK","CHECK"))</x:f>
        <x:v>OK</x:v>
      </x:c>
      <x:c r="X47" t="str">
        <x:f>IF(A47="","", "PE-"&amp;A47&amp;"-L"&amp;TEXT(B47,"00")&amp;"-"&amp;TEXT(C47,"yyyymmdd")&amp;"-"&amp;D47&amp;"-"&amp;E47)</x:f>
        <x:v>PE-KG01-L24-20251020-AM-ORD-2025-00124</x:v>
      </x:c>
      <x:c r="Y47" t="str">
        <x:f>IF(X47="","",IF(COUNTIF(_ProductionEventRef!$A$5:$A$500,X47)=1,"OK","CHECK"))</x:f>
        <x:v>OK</x:v>
      </x:c>
      <x:c r="Z47" t="n">
        <x:f>IF(X47="","",IFERROR(VLOOKUP(X47,_ProductionEventRef!$A$5:$I$500,7,FALSE),0))</x:f>
        <x:v>441792</x:v>
      </x:c>
      <x:c r="AA47" t="n">
        <x:f>IF(X47="","",IFERROR(VLOOKUP(X47,_ProductionEventRef!$A$5:$I$500,8,FALSE),0))</x:f>
        <x:v>14398</x:v>
      </x:c>
      <x:c r="AB47" t="str">
        <x:f>IF(X47="","",IF(ABS(G47-AA47)&lt;=1,"OK","CHECK"))</x:f>
        <x:v>OK</x:v>
      </x:c>
      <x:c r="AC47" t="n">
        <x:f>IF(X47="","",SUMIF(LossDetail!$C$5:$C$2000,X47,LossDetail!$L$5:$L$2000))</x:f>
        <x:v>0.03258999710270897</x:v>
      </x:c>
      <x:c r="AD47" t="str">
        <x:f>IF(X47="","",IF(ABS(S47-AC47)&lt;=0.000001,"OK","CHECK"))</x:f>
        <x:v>OK</x:v>
      </x:c>
      <x:c r="AE47" t="str">
        <x:v>LossPercent</x:v>
      </x:c>
      <x:c r="AJ47" t="str">
        <x:v>03_Process_Losses(6).xlsx</x:v>
      </x:c>
      <x:c r="AK47" t="str">
        <x:v>ENH-20260830-01</x:v>
      </x:c>
      <x:c r="AL47" t="str">
        <x:v>Active</x:v>
      </x:c>
      <x:c r="AM47" t="str">
        <x:f>IF(A47="","",IF(W47="OK","LOAD","QUARANTINE"))</x:f>
        <x:v>LOAD</x:v>
      </x:c>
    </x:row>
    <x:row r="48" ht="18" customHeight="1">
      <x:c r="A48" s="7" t="s">
        <x:v>39</x:v>
      </x:c>
      <x:c r="B48" s="8">
        <x:v>24</x:v>
      </x:c>
      <x:c r="C48" s="6">
        <x:v>45950</x:v>
      </x:c>
      <x:c r="D48" s="7" t="s">
        <x:v>43</x:v>
      </x:c>
      <x:c r="E48" s="7" t="s">
        <x:v>53</x:v>
      </x:c>
      <x:c r="F48" s="7" t="s">
        <x:v>42</x:v>
      </x:c>
      <x:c r="G48" s="9">
        <x:v>17796</x:v>
      </x:c>
      <x:c r="H48" s="10">
        <x:v>5.4259199534856259E-3</x:v>
      </x:c>
      <x:c r="I48" s="10">
        <x:v>1.3702208070062276E-2</x:v>
      </x:c>
      <x:c r="J48" s="10">
        <x:v>1.6398133974117293E-3</x:v>
      </x:c>
      <x:c r="K48" s="10">
        <x:v>4.058651719078616E-3</x:v>
      </x:c>
      <x:c r="L48" s="10">
        <x:v>2.2939217886230566E-3</x:v>
      </x:c>
      <x:c r="M48" s="10">
        <x:v>1.1537745233866463E-3</x:v>
      </x:c>
      <x:c r="N48" s="10">
        <x:v>2.8889787278500276E-3</x:v>
      </x:c>
      <x:c r="O48" s="10">
        <x:v>1.2105547656792962E-3</x:v>
      </x:c>
      <x:c r="P48" s="10">
        <x:v>1.8533071084320932E-3</x:v>
      </x:c>
      <x:c r="Q48" s="10">
        <x:v>4.2721454300989796E-3</x:v>
      </x:c>
      <x:c r="R48" s="10">
        <x:v>1.919172189491567E-3</x:v>
      </x:c>
      <x:c r="S48" s="15">
        <x:f t="shared" si="5"/>
        <x:v>4.0418447673599915E-2</x:v>
      </x:c>
      <x:c r="T48" t="str">
        <x:f t="shared" si="6"/>
        <x:v>OK</x:v>
      </x:c>
      <x:c r="U48" t="str">
        <x:f t="shared" si="7"/>
        <x:v>LOSS-KG01-L24-20251020-PM-ORD-2025-00124</x:v>
      </x:c>
      <x:c r="V48" t="str">
        <x:f t="shared" si="8"/>
        <x:v>OK</x:v>
      </x:c>
      <x:c r="W48" t="str">
        <x:f t="shared" si="9">IF(A48="","",IF(AND(T48="OK",V48="OK",Y48="OK",AB48="OK",AD48="OK"),"OK","CHECK"))</x:f>
        <x:v>OK</x:v>
      </x:c>
      <x:c r="X48" t="str">
        <x:f>IF(A48="","", "PE-"&amp;A48&amp;"-L"&amp;TEXT(B48,"00")&amp;"-"&amp;TEXT(C48,"yyyymmdd")&amp;"-"&amp;D48&amp;"-"&amp;E48)</x:f>
        <x:v>PE-KG01-L24-20251020-PM-ORD-2025-00124</x:v>
      </x:c>
      <x:c r="Y48" t="str">
        <x:f>IF(X48="","",IF(COUNTIF(_ProductionEventRef!$A$5:$A$500,X48)=1,"OK","CHECK"))</x:f>
        <x:v>OK</x:v>
      </x:c>
      <x:c r="Z48" t="n">
        <x:f>IF(X48="","",IFERROR(VLOOKUP(X48,_ProductionEventRef!$A$5:$I$500,7,FALSE),0))</x:f>
        <x:v>440294</x:v>
      </x:c>
      <x:c r="AA48" t="n">
        <x:f>IF(X48="","",IFERROR(VLOOKUP(X48,_ProductionEventRef!$A$5:$I$500,8,FALSE),0))</x:f>
        <x:v>17796</x:v>
      </x:c>
      <x:c r="AB48" t="str">
        <x:f>IF(X48="","",IF(ABS(G48-AA48)&lt;=1,"OK","CHECK"))</x:f>
        <x:v>OK</x:v>
      </x:c>
      <x:c r="AC48" t="n">
        <x:f>IF(X48="","",SUMIF(LossDetail!$C$5:$C$2000,X48,LossDetail!$L$5:$L$2000))</x:f>
        <x:v>0.040418447673599915</x:v>
      </x:c>
      <x:c r="AD48" t="str">
        <x:f>IF(X48="","",IF(ABS(S48-AC48)&lt;=0.000001,"OK","CHECK"))</x:f>
        <x:v>OK</x:v>
      </x:c>
      <x:c r="AE48" t="str">
        <x:v>LossPercent</x:v>
      </x:c>
      <x:c r="AJ48" t="str">
        <x:v>03_Process_Losses(6).xlsx</x:v>
      </x:c>
      <x:c r="AK48" t="str">
        <x:v>ENH-20260830-01</x:v>
      </x:c>
      <x:c r="AL48" t="str">
        <x:v>Active</x:v>
      </x:c>
      <x:c r="AM48" t="str">
        <x:f>IF(A48="","",IF(W48="OK","LOAD","QUARANTINE"))</x:f>
        <x:v>LOAD</x:v>
      </x:c>
    </x:row>
    <x:row r="49" ht="18" customHeight="1">
      <x:c r="A49" s="7" t="s">
        <x:v>39</x:v>
      </x:c>
      <x:c r="B49" s="8">
        <x:v>24</x:v>
      </x:c>
      <x:c r="C49" s="6">
        <x:v>45951</x:v>
      </x:c>
      <x:c r="D49" s="7" t="s">
        <x:v>40</x:v>
      </x:c>
      <x:c r="E49" s="7" t="s">
        <x:v>54</x:v>
      </x:c>
      <x:c r="F49" s="7" t="s">
        <x:v>42</x:v>
      </x:c>
      <x:c r="G49" s="9">
        <x:v>6939</x:v>
      </x:c>
      <x:c r="H49" s="10">
        <x:v>4.0729971602158684E-3</x:v>
      </x:c>
      <x:c r="I49" s="10">
        <x:v>1.1251654655096338E-2</x:v>
      </x:c>
      <x:c r="J49" s="10">
        <x:v>2.6135065111385159E-3</x:v>
      </x:c>
      <x:c r="K49" s="10">
        <x:v>2.8058424881487096E-3</x:v>
      </x:c>
      <x:c r="L49" s="10">
        <x:v>2.6644189756412141E-3</x:v>
      </x:c>
      <x:c r="M49" s="10">
        <x:v>2.9925215246586036E-3</x:v>
      </x:c>
      <x:c r="N49" s="10">
        <x:v>3.1226311561654996E-3</x:v>
      </x:c>
      <x:c r="O49" s="10">
        <x:v>1.0635048140563658E-3</x:v>
      </x:c>
      <x:c r="P49" s="10">
        <x:v>9.3905212304976982E-4</x:v>
      </x:c>
      <x:c r="Q49" s="10">
        <x:v>6.1321235023250025E-3</x:v>
      </x:c>
      <x:c r="R49" s="10">
        <x:v>1.5952572210845486E-3</x:v>
      </x:c>
      <x:c r="S49" s="15">
        <x:f t="shared" si="5"/>
        <x:v>3.9253510131580439E-2</x:v>
      </x:c>
      <x:c r="T49" t="str">
        <x:f t="shared" si="6"/>
        <x:v>OK</x:v>
      </x:c>
      <x:c r="U49" t="str">
        <x:f t="shared" si="7"/>
        <x:v>LOSS-KG01-L24-20251021-AM-ORD-2025-00125</x:v>
      </x:c>
      <x:c r="V49" t="str">
        <x:f t="shared" si="8"/>
        <x:v>OK</x:v>
      </x:c>
      <x:c r="W49" t="str">
        <x:f t="shared" si="9">IF(A49="","",IF(AND(T49="OK",V49="OK",Y49="OK",AB49="OK",AD49="OK"),"OK","CHECK"))</x:f>
        <x:v>OK</x:v>
      </x:c>
      <x:c r="X49" t="str">
        <x:f>IF(A49="","", "PE-"&amp;A49&amp;"-L"&amp;TEXT(B49,"00")&amp;"-"&amp;TEXT(C49,"yyyymmdd")&amp;"-"&amp;D49&amp;"-"&amp;E49)</x:f>
        <x:v>PE-KG01-L24-20251021-AM-ORD-2025-00125</x:v>
      </x:c>
      <x:c r="Y49" t="str">
        <x:f>IF(X49="","",IF(COUNTIF(_ProductionEventRef!$A$5:$A$500,X49)=1,"OK","CHECK"))</x:f>
        <x:v>OK</x:v>
      </x:c>
      <x:c r="Z49" t="n">
        <x:f>IF(X49="","",IFERROR(VLOOKUP(X49,_ProductionEventRef!$A$5:$I$500,7,FALSE),0))</x:f>
        <x:v>176774</x:v>
      </x:c>
      <x:c r="AA49" t="n">
        <x:f>IF(X49="","",IFERROR(VLOOKUP(X49,_ProductionEventRef!$A$5:$I$500,8,FALSE),0))</x:f>
        <x:v>6939</x:v>
      </x:c>
      <x:c r="AB49" t="str">
        <x:f>IF(X49="","",IF(ABS(G49-AA49)&lt;=1,"OK","CHECK"))</x:f>
        <x:v>OK</x:v>
      </x:c>
      <x:c r="AC49" t="n">
        <x:f>IF(X49="","",SUMIF(LossDetail!$C$5:$C$2000,X49,LossDetail!$L$5:$L$2000))</x:f>
        <x:v>0.03925351013158044</x:v>
      </x:c>
      <x:c r="AD49" t="str">
        <x:f>IF(X49="","",IF(ABS(S49-AC49)&lt;=0.000001,"OK","CHECK"))</x:f>
        <x:v>OK</x:v>
      </x:c>
      <x:c r="AE49" t="str">
        <x:v>LossPercent</x:v>
      </x:c>
      <x:c r="AJ49" t="str">
        <x:v>03_Process_Losses(6).xlsx</x:v>
      </x:c>
      <x:c r="AK49" t="str">
        <x:v>ENH-20260830-01</x:v>
      </x:c>
      <x:c r="AL49" t="str">
        <x:v>Active</x:v>
      </x:c>
      <x:c r="AM49" t="str">
        <x:f>IF(A49="","",IF(W49="OK","LOAD","QUARANTINE"))</x:f>
        <x:v>LOAD</x:v>
      </x:c>
    </x:row>
    <x:row r="50" ht="18" customHeight="1">
      <x:c r="A50" s="7" t="s">
        <x:v>39</x:v>
      </x:c>
      <x:c r="B50" s="8">
        <x:v>24</x:v>
      </x:c>
      <x:c r="C50" s="6">
        <x:v>45951</x:v>
      </x:c>
      <x:c r="D50" s="7" t="s">
        <x:v>43</x:v>
      </x:c>
      <x:c r="E50" s="7" t="s">
        <x:v>54</x:v>
      </x:c>
      <x:c r="F50" s="7" t="s">
        <x:v>42</x:v>
      </x:c>
      <x:c r="G50" s="9">
        <x:v>11230</x:v>
      </x:c>
      <x:c r="H50" s="10">
        <x:v>4.5993219624212989E-3</x:v>
      </x:c>
      <x:c r="I50" s="10">
        <x:v>6.1873400038876787E-3</x:v>
      </x:c>
      <x:c r="J50" s="10">
        <x:v>2.8894021210913176E-3</x:v>
      </x:c>
      <x:c r="K50" s="10">
        <x:v>2.9552949858824536E-3</x:v>
      </x:c>
      <x:c r="L50" s="10">
        <x:v>2.7938574671441704E-3</x:v>
      </x:c>
      <x:c r="M50" s="10">
        <x:v>2.9454110561637835E-3</x:v>
      </x:c>
      <x:c r="N50" s="10">
        <x:v>8.4342866932654202E-4</x:v>
      </x:c>
      <x:c r="O50" s="10">
        <x:v>1.2915001499062674E-3</x:v>
      </x:c>
      <x:c r="P50" s="10">
        <x:v>2.0031430896505372E-3</x:v>
      </x:c>
      <x:c r="Q50" s="10">
        <x:v>7.9499741370505691E-3</x:v>
      </x:c>
      <x:c r="R50" s="10">
        <x:v>2.5401699376982963E-3</x:v>
      </x:c>
      <x:c r="S50" s="15">
        <x:f t="shared" si="5"/>
        <x:v>3.6998843580222915E-2</x:v>
      </x:c>
      <x:c r="T50" t="str">
        <x:f t="shared" si="6"/>
        <x:v>OK</x:v>
      </x:c>
      <x:c r="U50" t="str">
        <x:f t="shared" si="7"/>
        <x:v>LOSS-KG01-L24-20251021-PM-ORD-2025-00125</x:v>
      </x:c>
      <x:c r="V50" t="str">
        <x:f t="shared" si="8"/>
        <x:v>OK</x:v>
      </x:c>
      <x:c r="W50" t="str">
        <x:f t="shared" si="9">IF(A50="","",IF(AND(T50="OK",V50="OK",Y50="OK",AB50="OK",AD50="OK"),"OK","CHECK"))</x:f>
        <x:v>OK</x:v>
      </x:c>
      <x:c r="X50" t="str">
        <x:f>IF(A50="","", "PE-"&amp;A50&amp;"-L"&amp;TEXT(B50,"00")&amp;"-"&amp;TEXT(C50,"yyyymmdd")&amp;"-"&amp;D50&amp;"-"&amp;E50)</x:f>
        <x:v>PE-KG01-L24-20251021-PM-ORD-2025-00125</x:v>
      </x:c>
      <x:c r="Y50" t="str">
        <x:f>IF(X50="","",IF(COUNTIF(_ProductionEventRef!$A$5:$A$500,X50)=1,"OK","CHECK"))</x:f>
        <x:v>OK</x:v>
      </x:c>
      <x:c r="Z50" t="n">
        <x:f>IF(X50="","",IFERROR(VLOOKUP(X50,_ProductionEventRef!$A$5:$I$500,7,FALSE),0))</x:f>
        <x:v>303523</x:v>
      </x:c>
      <x:c r="AA50" t="n">
        <x:f>IF(X50="","",IFERROR(VLOOKUP(X50,_ProductionEventRef!$A$5:$I$500,8,FALSE),0))</x:f>
        <x:v>11230</x:v>
      </x:c>
      <x:c r="AB50" t="str">
        <x:f>IF(X50="","",IF(ABS(G50-AA50)&lt;=1,"OK","CHECK"))</x:f>
        <x:v>OK</x:v>
      </x:c>
      <x:c r="AC50" t="n">
        <x:f>IF(X50="","",SUMIF(LossDetail!$C$5:$C$2000,X50,LossDetail!$L$5:$L$2000))</x:f>
        <x:v>0.036998843580222915</x:v>
      </x:c>
      <x:c r="AD50" t="str">
        <x:f>IF(X50="","",IF(ABS(S50-AC50)&lt;=0.000001,"OK","CHECK"))</x:f>
        <x:v>OK</x:v>
      </x:c>
      <x:c r="AE50" t="str">
        <x:v>LossPercent</x:v>
      </x:c>
      <x:c r="AJ50" t="str">
        <x:v>03_Process_Losses(6).xlsx</x:v>
      </x:c>
      <x:c r="AK50" t="str">
        <x:v>ENH-20260830-01</x:v>
      </x:c>
      <x:c r="AL50" t="str">
        <x:v>Active</x:v>
      </x:c>
      <x:c r="AM50" t="str">
        <x:f>IF(A50="","",IF(W50="OK","LOAD","QUARANTINE"))</x:f>
        <x:v>LOAD</x:v>
      </x:c>
    </x:row>
    <x:row r="51" ht="18" customHeight="1">
      <x:c r="A51" s="7" t="s">
        <x:v>39</x:v>
      </x:c>
      <x:c r="B51" s="8">
        <x:v>24</x:v>
      </x:c>
      <x:c r="C51" s="6">
        <x:v>45952</x:v>
      </x:c>
      <x:c r="D51" s="7" t="s">
        <x:v>40</x:v>
      </x:c>
      <x:c r="E51" s="7" t="s">
        <x:v>54</x:v>
      </x:c>
      <x:c r="F51" s="7" t="s">
        <x:v>42</x:v>
      </x:c>
      <x:c r="G51" s="9">
        <x:v>6331</x:v>
      </x:c>
      <x:c r="H51" s="10">
        <x:v>1.6322412155745489E-3</x:v>
      </x:c>
      <x:c r="I51" s="10">
        <x:v>5.1901973198269493E-3</x:v>
      </x:c>
      <x:c r="J51" s="10">
        <x:v>3.0237680700643662E-3</x:v>
      </x:c>
      <x:c r="K51" s="10">
        <x:v>1.5662920755513349E-3</x:v>
      </x:c>
      <x:c r="L51" s="10">
        <x:v>1.0848633533818719E-3</x:v>
      </x:c>
      <x:c r="M51" s="10">
        <x:v>2.0444233407196371E-4</x:v>
      </x:c>
      <x:c r="N51" s="10">
        <x:v>1.408014139495621E-3</x:v>
      </x:c>
      <x:c r="O51" s="10">
        <x:v>1.342064999472407E-3</x:v>
      </x:c>
      <x:c r="P51" s="10">
        <x:v>1.8333860926453519E-3</x:v>
      </x:c>
      <x:c r="Q51" s="10">
        <x:v>1.9389047166824944E-3</x:v>
      </x:c>
      <x:c r="R51" s="10">
        <x:v>1.6520259575815131E-3</x:v>
      </x:c>
      <x:c r="S51" s="15">
        <x:f t="shared" si="5"/>
        <x:v>2.087620027434842E-2</x:v>
      </x:c>
      <x:c r="T51" t="str">
        <x:f t="shared" si="6"/>
        <x:v>OK</x:v>
      </x:c>
      <x:c r="U51" t="str">
        <x:f t="shared" si="7"/>
        <x:v>LOSS-KG01-L24-20251022-AM-ORD-2025-00125</x:v>
      </x:c>
      <x:c r="V51" t="str">
        <x:f t="shared" si="8"/>
        <x:v>OK</x:v>
      </x:c>
      <x:c r="W51" t="str">
        <x:f t="shared" si="9">IF(A51="","",IF(AND(T51="OK",V51="OK",Y51="OK",AB51="OK",AD51="OK"),"OK","CHECK"))</x:f>
        <x:v>OK</x:v>
      </x:c>
      <x:c r="X51" t="str">
        <x:f>IF(A51="","", "PE-"&amp;A51&amp;"-L"&amp;TEXT(B51,"00")&amp;"-"&amp;TEXT(C51,"yyyymmdd")&amp;"-"&amp;D51&amp;"-"&amp;E51)</x:f>
        <x:v>PE-KG01-L24-20251022-AM-ORD-2025-00125</x:v>
      </x:c>
      <x:c r="Y51" t="str">
        <x:f>IF(X51="","",IF(COUNTIF(_ProductionEventRef!$A$5:$A$500,X51)=1,"OK","CHECK"))</x:f>
        <x:v>OK</x:v>
      </x:c>
      <x:c r="Z51" t="n">
        <x:f>IF(X51="","",IFERROR(VLOOKUP(X51,_ProductionEventRef!$A$5:$I$500,7,FALSE),0))</x:f>
        <x:v>303264</x:v>
      </x:c>
      <x:c r="AA51" t="n">
        <x:f>IF(X51="","",IFERROR(VLOOKUP(X51,_ProductionEventRef!$A$5:$I$500,8,FALSE),0))</x:f>
        <x:v>6331</x:v>
      </x:c>
      <x:c r="AB51" t="str">
        <x:f>IF(X51="","",IF(ABS(G51-AA51)&lt;=1,"OK","CHECK"))</x:f>
        <x:v>OK</x:v>
      </x:c>
      <x:c r="AC51" t="n">
        <x:f>IF(X51="","",SUMIF(LossDetail!$C$5:$C$2000,X51,LossDetail!$L$5:$L$2000))</x:f>
        <x:v>0.02087620027434842</x:v>
      </x:c>
      <x:c r="AD51" t="str">
        <x:f>IF(X51="","",IF(ABS(S51-AC51)&lt;=0.000001,"OK","CHECK"))</x:f>
        <x:v>OK</x:v>
      </x:c>
      <x:c r="AE51" t="str">
        <x:v>LossPercent</x:v>
      </x:c>
      <x:c r="AJ51" t="str">
        <x:v>03_Process_Losses(6).xlsx</x:v>
      </x:c>
      <x:c r="AK51" t="str">
        <x:v>ENH-20260830-01</x:v>
      </x:c>
      <x:c r="AL51" t="str">
        <x:v>Active</x:v>
      </x:c>
      <x:c r="AM51" t="str">
        <x:f>IF(A51="","",IF(W51="OK","LOAD","QUARANTINE"))</x:f>
        <x:v>LOAD</x:v>
      </x:c>
    </x:row>
    <x:row r="52" ht="18" customHeight="1">
      <x:c r="A52" s="7" t="s">
        <x:v>39</x:v>
      </x:c>
      <x:c r="B52" s="8">
        <x:v>24</x:v>
      </x:c>
      <x:c r="C52" s="6">
        <x:v>45952</x:v>
      </x:c>
      <x:c r="D52" s="7" t="s">
        <x:v>43</x:v>
      </x:c>
      <x:c r="E52" s="7" t="s">
        <x:v>54</x:v>
      </x:c>
      <x:c r="F52" s="7" t="s">
        <x:v>42</x:v>
      </x:c>
      <x:c r="G52" s="9">
        <x:v>12526</x:v>
      </x:c>
      <x:c r="H52" s="10">
        <x:v>4.5021415053620641E-3</x:v>
      </x:c>
      <x:c r="I52" s="10">
        <x:v>1.0352269331651117E-2</x:v>
      </x:c>
      <x:c r="J52" s="10">
        <x:v>3.8713104684750489E-3</x:v>
      </x:c>
      <x:c r="K52" s="10">
        <x:v>4.4290979116172512E-3</x:v>
      </x:c>
      <x:c r="L52" s="10">
        <x:v>1.7762873933397524E-3</x:v>
      </x:c>
      <x:c r="M52" s="10">
        <x:v>1.7065639629469771E-3</x:v>
      </x:c>
      <x:c r="N52" s="10">
        <x:v>1.00268933231515E-3</x:v>
      </x:c>
      <x:c r="O52" s="10">
        <x:v>1.9090939274212292E-3</x:v>
      </x:c>
      <x:c r="P52" s="10">
        <x:v>3.6986619741691293E-3</x:v>
      </x:c>
      <x:c r="Q52" s="10">
        <x:v>4.9835651914074174E-3</x:v>
      </x:c>
      <x:c r="R52" s="10">
        <x:v>3.3566851489093262E-3</x:v>
      </x:c>
      <x:c r="S52" s="15">
        <x:f t="shared" si="5"/>
        <x:v>4.1588366147614464E-2</x:v>
      </x:c>
      <x:c r="T52" t="str">
        <x:f t="shared" si="6"/>
        <x:v>OK</x:v>
      </x:c>
      <x:c r="U52" t="str">
        <x:f t="shared" si="7"/>
        <x:v>LOSS-KG01-L24-20251022-PM-ORD-2025-00125</x:v>
      </x:c>
      <x:c r="V52" t="str">
        <x:f t="shared" si="8"/>
        <x:v>OK</x:v>
      </x:c>
      <x:c r="W52" t="str">
        <x:f t="shared" si="9">IF(A52="","",IF(AND(T52="OK",V52="OK",Y52="OK",AB52="OK",AD52="OK"),"OK","CHECK"))</x:f>
        <x:v>OK</x:v>
      </x:c>
      <x:c r="X52" t="str">
        <x:f>IF(A52="","", "PE-"&amp;A52&amp;"-L"&amp;TEXT(B52,"00")&amp;"-"&amp;TEXT(C52,"yyyymmdd")&amp;"-"&amp;D52&amp;"-"&amp;E52)</x:f>
        <x:v>PE-KG01-L24-20251022-PM-ORD-2025-00125</x:v>
      </x:c>
      <x:c r="Y52" t="str">
        <x:f>IF(X52="","",IF(COUNTIF(_ProductionEventRef!$A$5:$A$500,X52)=1,"OK","CHECK"))</x:f>
        <x:v>OK</x:v>
      </x:c>
      <x:c r="Z52" t="n">
        <x:f>IF(X52="","",IFERROR(VLOOKUP(X52,_ProductionEventRef!$A$5:$I$500,7,FALSE),0))</x:f>
        <x:v>301190</x:v>
      </x:c>
      <x:c r="AA52" t="n">
        <x:f>IF(X52="","",IFERROR(VLOOKUP(X52,_ProductionEventRef!$A$5:$I$500,8,FALSE),0))</x:f>
        <x:v>12526</x:v>
      </x:c>
      <x:c r="AB52" t="str">
        <x:f>IF(X52="","",IF(ABS(G52-AA52)&lt;=1,"OK","CHECK"))</x:f>
        <x:v>OK</x:v>
      </x:c>
      <x:c r="AC52" t="n">
        <x:f>IF(X52="","",SUMIF(LossDetail!$C$5:$C$2000,X52,LossDetail!$L$5:$L$2000))</x:f>
        <x:v>0.041588366147614464</x:v>
      </x:c>
      <x:c r="AD52" t="str">
        <x:f>IF(X52="","",IF(ABS(S52-AC52)&lt;=0.000001,"OK","CHECK"))</x:f>
        <x:v>OK</x:v>
      </x:c>
      <x:c r="AE52" t="str">
        <x:v>LossPercent</x:v>
      </x:c>
      <x:c r="AJ52" t="str">
        <x:v>03_Process_Losses(6).xlsx</x:v>
      </x:c>
      <x:c r="AK52" t="str">
        <x:v>ENH-20260830-01</x:v>
      </x:c>
      <x:c r="AL52" t="str">
        <x:v>Active</x:v>
      </x:c>
      <x:c r="AM52" t="str">
        <x:f>IF(A52="","",IF(W52="OK","LOAD","QUARANTINE"))</x:f>
        <x:v>LOAD</x:v>
      </x:c>
    </x:row>
    <x:row r="53" ht="18" customHeight="1">
      <x:c r="A53" s="7" t="s">
        <x:v>39</x:v>
      </x:c>
      <x:c r="B53" s="8">
        <x:v>24</x:v>
      </x:c>
      <x:c r="C53" s="6">
        <x:v>45953</x:v>
      </x:c>
      <x:c r="D53" s="7" t="s">
        <x:v>40</x:v>
      </x:c>
      <x:c r="E53" s="7" t="s">
        <x:v>54</x:v>
      </x:c>
      <x:c r="F53" s="7" t="s">
        <x:v>42</x:v>
      </x:c>
      <x:c r="G53" s="9">
        <x:v>16477</x:v>
      </x:c>
      <x:c r="H53" s="10">
        <x:v>6.0818934737895724E-3</x:v>
      </x:c>
      <x:c r="I53" s="10">
        <x:v>9.9635635684510553E-3</x:v>
      </x:c>
      <x:c r="J53" s="10">
        <x:v>3.3384804116035082E-3</x:v>
      </x:c>
      <x:c r="K53" s="10">
        <x:v>3.13402137359854E-3</x:v>
      </x:c>
      <x:c r="L53" s="10">
        <x:v>2.9661818647884917E-3</x:v>
      </x:c>
      <x:c r="M53" s="10">
        <x:v>3.3262739018718682E-3</x:v>
      </x:c>
      <x:c r="N53" s="10">
        <x:v>1.6387239314726543E-3</x:v>
      </x:c>
      <x:c r="O53" s="10">
        <x:v>6.7746129010601351E-4</x:v>
      </x:c>
      <x:c r="P53" s="10">
        <x:v>1.480039304961336E-3</x:v>
      </x:c>
      <x:c r="Q53" s="10">
        <x:v>1.0473185349747021E-2</x:v>
      </x:c>
      <x:c r="R53" s="10">
        <x:v>7.2018407416675314E-3</x:v>
      </x:c>
      <x:c r="S53" s="15">
        <x:f t="shared" si="5"/>
        <x:v>5.028166521205759E-2</x:v>
      </x:c>
      <x:c r="T53" t="str">
        <x:f t="shared" si="6"/>
        <x:v>OK</x:v>
      </x:c>
      <x:c r="U53" t="str">
        <x:f t="shared" si="7"/>
        <x:v>LOSS-KG01-L24-20251023-AM-ORD-2025-00125</x:v>
      </x:c>
      <x:c r="V53" t="str">
        <x:f t="shared" si="8"/>
        <x:v>OK</x:v>
      </x:c>
      <x:c r="W53" t="str">
        <x:f t="shared" si="9">IF(A53="","",IF(AND(T53="OK",V53="OK",Y53="OK",AB53="OK",AD53="OK"),"OK","CHECK"))</x:f>
        <x:v>OK</x:v>
      </x:c>
      <x:c r="X53" t="str">
        <x:f>IF(A53="","", "PE-"&amp;A53&amp;"-L"&amp;TEXT(B53,"00")&amp;"-"&amp;TEXT(C53,"yyyymmdd")&amp;"-"&amp;D53&amp;"-"&amp;E53)</x:f>
        <x:v>PE-KG01-L24-20251023-AM-ORD-2025-00125</x:v>
      </x:c>
      <x:c r="Y53" t="str">
        <x:f>IF(X53="","",IF(COUNTIF(_ProductionEventRef!$A$5:$A$500,X53)=1,"OK","CHECK"))</x:f>
        <x:v>OK</x:v>
      </x:c>
      <x:c r="Z53" t="n">
        <x:f>IF(X53="","",IFERROR(VLOOKUP(X53,_ProductionEventRef!$A$5:$I$500,7,FALSE),0))</x:f>
        <x:v>327694</x:v>
      </x:c>
      <x:c r="AA53" t="n">
        <x:f>IF(X53="","",IFERROR(VLOOKUP(X53,_ProductionEventRef!$A$5:$I$500,8,FALSE),0))</x:f>
        <x:v>16477</x:v>
      </x:c>
      <x:c r="AB53" t="str">
        <x:f>IF(X53="","",IF(ABS(G53-AA53)&lt;=1,"OK","CHECK"))</x:f>
        <x:v>OK</x:v>
      </x:c>
      <x:c r="AC53" t="n">
        <x:f>IF(X53="","",SUMIF(LossDetail!$C$5:$C$2000,X53,LossDetail!$L$5:$L$2000))</x:f>
        <x:v>0.05028166521205759</x:v>
      </x:c>
      <x:c r="AD53" t="str">
        <x:f>IF(X53="","",IF(ABS(S53-AC53)&lt;=0.000001,"OK","CHECK"))</x:f>
        <x:v>OK</x:v>
      </x:c>
      <x:c r="AE53" t="str">
        <x:v>LossPercent</x:v>
      </x:c>
      <x:c r="AJ53" t="str">
        <x:v>03_Process_Losses(6).xlsx</x:v>
      </x:c>
      <x:c r="AK53" t="str">
        <x:v>ENH-20260830-01</x:v>
      </x:c>
      <x:c r="AL53" t="str">
        <x:v>Active</x:v>
      </x:c>
      <x:c r="AM53" t="str">
        <x:f>IF(A53="","",IF(W53="OK","LOAD","QUARANTINE"))</x:f>
        <x:v>LOAD</x:v>
      </x:c>
    </x:row>
    <x:row r="54" ht="18" customHeight="1">
      <x:c r="A54" s="7" t="s">
        <x:v>39</x:v>
      </x:c>
      <x:c r="B54" s="8">
        <x:v>24</x:v>
      </x:c>
      <x:c r="C54" s="6">
        <x:v>45953</x:v>
      </x:c>
      <x:c r="D54" s="7" t="s">
        <x:v>43</x:v>
      </x:c>
      <x:c r="E54" s="7" t="s">
        <x:v>54</x:v>
      </x:c>
      <x:c r="F54" s="7" t="s">
        <x:v>42</x:v>
      </x:c>
      <x:c r="G54" s="9">
        <x:v>9377</x:v>
      </x:c>
      <x:c r="H54" s="10">
        <x:v>2.4183276223964409E-3</x:v>
      </x:c>
      <x:c r="I54" s="10">
        <x:v>7.2765110062611004E-3</x:v>
      </x:c>
      <x:c r="J54" s="10">
        <x:v>4.2482194434976051E-3</x:v>
      </x:c>
      <x:c r="K54" s="10">
        <x:v>4.0114099137080429E-3</x:v>
      </x:c>
      <x:c r="L54" s="10">
        <x:v>3.6310794567732908E-3</x:v>
      </x:c>
      <x:c r="M54" s="10">
        <x:v>1.4675014800595613E-3</x:v>
      </x:c>
      <x:c r="N54" s="10">
        <x:v>1.1302273012683663E-3</x:v>
      </x:c>
      <x:c r="O54" s="10">
        <x:v>1.5428499668107857E-4</x:v>
      </x:c>
      <x:c r="P54" s="10">
        <x:v>4.3558601388564971E-3</x:v>
      </x:c>
      <x:c r="Q54" s="10">
        <x:v>3.9396494501354479E-3</x:v>
      </x:c>
      <x:c r="R54" s="10">
        <x:v>1.011822536373585E-3</x:v>
      </x:c>
      <x:c r="S54" s="15">
        <x:f t="shared" si="5"/>
        <x:v>3.3644893346011021E-2</x:v>
      </x:c>
      <x:c r="T54" t="str">
        <x:f t="shared" si="6"/>
        <x:v>OK</x:v>
      </x:c>
      <x:c r="U54" t="str">
        <x:f t="shared" si="7"/>
        <x:v>LOSS-KG01-L24-20251023-PM-ORD-2025-00125</x:v>
      </x:c>
      <x:c r="V54" t="str">
        <x:f t="shared" si="8"/>
        <x:v>OK</x:v>
      </x:c>
      <x:c r="W54" t="str">
        <x:f t="shared" si="9">IF(A54="","",IF(AND(T54="OK",V54="OK",Y54="OK",AB54="OK",AD54="OK"),"OK","CHECK"))</x:f>
        <x:v>OK</x:v>
      </x:c>
      <x:c r="X54" t="str">
        <x:f>IF(A54="","", "PE-"&amp;A54&amp;"-L"&amp;TEXT(B54,"00")&amp;"-"&amp;TEXT(C54,"yyyymmdd")&amp;"-"&amp;D54&amp;"-"&amp;E54)</x:f>
        <x:v>PE-KG01-L24-20251023-PM-ORD-2025-00125</x:v>
      </x:c>
      <x:c r="Y54" t="str">
        <x:f>IF(X54="","",IF(COUNTIF(_ProductionEventRef!$A$5:$A$500,X54)=1,"OK","CHECK"))</x:f>
        <x:v>OK</x:v>
      </x:c>
      <x:c r="Z54" t="n">
        <x:f>IF(X54="","",IFERROR(VLOOKUP(X54,_ProductionEventRef!$A$5:$I$500,7,FALSE),0))</x:f>
        <x:v>278705</x:v>
      </x:c>
      <x:c r="AA54" t="n">
        <x:f>IF(X54="","",IFERROR(VLOOKUP(X54,_ProductionEventRef!$A$5:$I$500,8,FALSE),0))</x:f>
        <x:v>9377</x:v>
      </x:c>
      <x:c r="AB54" t="str">
        <x:f>IF(X54="","",IF(ABS(G54-AA54)&lt;=1,"OK","CHECK"))</x:f>
        <x:v>OK</x:v>
      </x:c>
      <x:c r="AC54" t="n">
        <x:f>IF(X54="","",SUMIF(LossDetail!$C$5:$C$2000,X54,LossDetail!$L$5:$L$2000))</x:f>
        <x:v>0.03364489334601102</x:v>
      </x:c>
      <x:c r="AD54" t="str">
        <x:f>IF(X54="","",IF(ABS(S54-AC54)&lt;=0.000001,"OK","CHECK"))</x:f>
        <x:v>OK</x:v>
      </x:c>
      <x:c r="AE54" t="str">
        <x:v>LossPercent</x:v>
      </x:c>
      <x:c r="AJ54" t="str">
        <x:v>03_Process_Losses(6).xlsx</x:v>
      </x:c>
      <x:c r="AK54" t="str">
        <x:v>ENH-20260830-01</x:v>
      </x:c>
      <x:c r="AL54" t="str">
        <x:v>Active</x:v>
      </x:c>
      <x:c r="AM54" t="str">
        <x:f>IF(A54="","",IF(W54="OK","LOAD","QUARANTINE"))</x:f>
        <x:v>LOAD</x:v>
      </x:c>
    </x:row>
    <x:row r="55" ht="18" customHeight="1">
      <x:c r="A55" s="7" t="s">
        <x:v>39</x:v>
      </x:c>
      <x:c r="B55" s="8">
        <x:v>24</x:v>
      </x:c>
      <x:c r="C55" s="6">
        <x:v>45954</x:v>
      </x:c>
      <x:c r="D55" s="7" t="s">
        <x:v>40</x:v>
      </x:c>
      <x:c r="E55" s="7" t="s">
        <x:v>54</x:v>
      </x:c>
      <x:c r="F55" s="7" t="s">
        <x:v>42</x:v>
      </x:c>
      <x:c r="G55" s="9">
        <x:v>13071</x:v>
      </x:c>
      <x:c r="H55" s="10">
        <x:v>7.0775443208970943E-3</x:v>
      </x:c>
      <x:c r="I55" s="10">
        <x:v>1.2688014293080783E-2</x:v>
      </x:c>
      <x:c r="J55" s="10">
        <x:v>5.7847758353971636E-3</x:v>
      </x:c>
      <x:c r="K55" s="10">
        <x:v>2.0045174269549492E-3</x:v>
      </x:c>
      <x:c r="L55" s="10">
        <x:v>4.3394897195854426E-3</x:v>
      </x:c>
      <x:c r="M55" s="10">
        <x:v>1.4815998373145277E-3</x:v>
      </x:c>
      <x:c r="N55" s="10">
        <x:v>1.0966743893847729E-3</x:v>
      </x:c>
      <x:c r="O55" s="10">
        <x:v>1.7103762827822121E-3</x:v>
      </x:c>
      <x:c r="P55" s="10">
        <x:v>3.2101329808481432E-3</x:v>
      </x:c>
      <x:c r="Q55" s="10">
        <x:v>4.190603461423934E-3</x:v>
      </x:c>
      <x:c r="R55" s="10">
        <x:v>3.8819368286500738E-3</x:v>
      </x:c>
      <x:c r="S55" s="15">
        <x:f t="shared" si="5"/>
        <x:v>4.7465665376319105E-2</x:v>
      </x:c>
      <x:c r="T55" t="str">
        <x:f t="shared" si="6"/>
        <x:v>OK</x:v>
      </x:c>
      <x:c r="U55" t="str">
        <x:f t="shared" si="7"/>
        <x:v>LOSS-KG01-L24-20251024-AM-ORD-2025-00125</x:v>
      </x:c>
      <x:c r="V55" t="str">
        <x:f t="shared" si="8"/>
        <x:v>OK</x:v>
      </x:c>
      <x:c r="W55" t="str">
        <x:f t="shared" si="9">IF(A55="","",IF(AND(T55="OK",V55="OK",Y55="OK",AB55="OK",AD55="OK"),"OK","CHECK"))</x:f>
        <x:v>OK</x:v>
      </x:c>
      <x:c r="X55" t="str">
        <x:f>IF(A55="","", "PE-"&amp;A55&amp;"-L"&amp;TEXT(B55,"00")&amp;"-"&amp;TEXT(C55,"yyyymmdd")&amp;"-"&amp;D55&amp;"-"&amp;E55)</x:f>
        <x:v>PE-KG01-L24-20251024-AM-ORD-2025-00125</x:v>
      </x:c>
      <x:c r="Y55" t="str">
        <x:f>IF(X55="","",IF(COUNTIF(_ProductionEventRef!$A$5:$A$500,X55)=1,"OK","CHECK"))</x:f>
        <x:v>OK</x:v>
      </x:c>
      <x:c r="Z55" t="n">
        <x:f>IF(X55="","",IFERROR(VLOOKUP(X55,_ProductionEventRef!$A$5:$I$500,7,FALSE),0))</x:f>
        <x:v>275378</x:v>
      </x:c>
      <x:c r="AA55" t="n">
        <x:f>IF(X55="","",IFERROR(VLOOKUP(X55,_ProductionEventRef!$A$5:$I$500,8,FALSE),0))</x:f>
        <x:v>13071</x:v>
      </x:c>
      <x:c r="AB55" t="str">
        <x:f>IF(X55="","",IF(ABS(G55-AA55)&lt;=1,"OK","CHECK"))</x:f>
        <x:v>OK</x:v>
      </x:c>
      <x:c r="AC55" t="n">
        <x:f>IF(X55="","",SUMIF(LossDetail!$C$5:$C$2000,X55,LossDetail!$L$5:$L$2000))</x:f>
        <x:v>0.047465665376319105</x:v>
      </x:c>
      <x:c r="AD55" t="str">
        <x:f>IF(X55="","",IF(ABS(S55-AC55)&lt;=0.000001,"OK","CHECK"))</x:f>
        <x:v>OK</x:v>
      </x:c>
      <x:c r="AE55" t="str">
        <x:v>LossPercent</x:v>
      </x:c>
      <x:c r="AJ55" t="str">
        <x:v>03_Process_Losses(6).xlsx</x:v>
      </x:c>
      <x:c r="AK55" t="str">
        <x:v>ENH-20260830-01</x:v>
      </x:c>
      <x:c r="AL55" t="str">
        <x:v>Active</x:v>
      </x:c>
      <x:c r="AM55" t="str">
        <x:f>IF(A55="","",IF(W55="OK","LOAD","QUARANTINE"))</x:f>
        <x:v>LOAD</x:v>
      </x:c>
    </x:row>
    <x:row r="56" ht="18" customHeight="1">
      <x:c r="A56" s="7" t="s">
        <x:v>39</x:v>
      </x:c>
      <x:c r="B56" s="8">
        <x:v>24</x:v>
      </x:c>
      <x:c r="C56" s="6">
        <x:v>45954</x:v>
      </x:c>
      <x:c r="D56" s="7" t="s">
        <x:v>43</x:v>
      </x:c>
      <x:c r="E56" s="7" t="s">
        <x:v>54</x:v>
      </x:c>
      <x:c r="F56" s="7" t="s">
        <x:v>42</x:v>
      </x:c>
      <x:c r="G56" s="9">
        <x:v>14154</x:v>
      </x:c>
      <x:c r="H56" s="10">
        <x:v>5.3449053815475094E-3</x:v>
      </x:c>
      <x:c r="I56" s="10">
        <x:v>9.9266854621601897E-3</x:v>
      </x:c>
      <x:c r="J56" s="10">
        <x:v>6.0959175824674989E-3</x:v>
      </x:c>
      <x:c r="K56" s="10">
        <x:v>3.0252467287059273E-3</x:v>
      </x:c>
      <x:c r="L56" s="10">
        <x:v>2.4529027530048059E-3</x:v>
      </x:c>
      <x:c r="M56" s="10">
        <x:v>3.0101053536873792E-3</x:v>
      </x:c>
      <x:c r="N56" s="10">
        <x:v>2.2227538527228733E-3</x:v>
      </x:c>
      <x:c r="O56" s="10">
        <x:v>1.6625229770365906E-3</x:v>
      </x:c>
      <x:c r="P56" s="10">
        <x:v>2.2712062527822274E-3</x:v>
      </x:c>
      <x:c r="Q56" s="10">
        <x:v>5.6780156319555693E-3</x:v>
      </x:c>
      <x:c r="R56" s="10">
        <x:v>1.1719424264356295E-3</x:v>
      </x:c>
      <x:c r="S56" s="15">
        <x:f t="shared" si="5"/>
        <x:v>4.286220440250621E-2</x:v>
      </x:c>
      <x:c r="T56" t="str">
        <x:f t="shared" si="6"/>
        <x:v>OK</x:v>
      </x:c>
      <x:c r="U56" t="str">
        <x:f t="shared" si="7"/>
        <x:v>LOSS-KG01-L24-20251024-PM-ORD-2025-00125</x:v>
      </x:c>
      <x:c r="V56" t="str">
        <x:f t="shared" si="8"/>
        <x:v>OK</x:v>
      </x:c>
      <x:c r="W56" t="str">
        <x:f t="shared" si="9">IF(A56="","",IF(AND(T56="OK",V56="OK",Y56="OK",AB56="OK",AD56="OK"),"OK","CHECK"))</x:f>
        <x:v>OK</x:v>
      </x:c>
      <x:c r="X56" t="str">
        <x:f>IF(A56="","", "PE-"&amp;A56&amp;"-L"&amp;TEXT(B56,"00")&amp;"-"&amp;TEXT(C56,"yyyymmdd")&amp;"-"&amp;D56&amp;"-"&amp;E56)</x:f>
        <x:v>PE-KG01-L24-20251024-PM-ORD-2025-00125</x:v>
      </x:c>
      <x:c r="Y56" t="str">
        <x:f>IF(X56="","",IF(COUNTIF(_ProductionEventRef!$A$5:$A$500,X56)=1,"OK","CHECK"))</x:f>
        <x:v>OK</x:v>
      </x:c>
      <x:c r="Z56" t="n">
        <x:f>IF(X56="","",IFERROR(VLOOKUP(X56,_ProductionEventRef!$A$5:$I$500,7,FALSE),0))</x:f>
        <x:v>330221</x:v>
      </x:c>
      <x:c r="AA56" t="n">
        <x:f>IF(X56="","",IFERROR(VLOOKUP(X56,_ProductionEventRef!$A$5:$I$500,8,FALSE),0))</x:f>
        <x:v>14154</x:v>
      </x:c>
      <x:c r="AB56" t="str">
        <x:f>IF(X56="","",IF(ABS(G56-AA56)&lt;=1,"OK","CHECK"))</x:f>
        <x:v>OK</x:v>
      </x:c>
      <x:c r="AC56" t="n">
        <x:f>IF(X56="","",SUMIF(LossDetail!$C$5:$C$2000,X56,LossDetail!$L$5:$L$2000))</x:f>
        <x:v>0.04286220440250621</x:v>
      </x:c>
      <x:c r="AD56" t="str">
        <x:f>IF(X56="","",IF(ABS(S56-AC56)&lt;=0.000001,"OK","CHECK"))</x:f>
        <x:v>OK</x:v>
      </x:c>
      <x:c r="AE56" t="str">
        <x:v>LossPercent</x:v>
      </x:c>
      <x:c r="AJ56" t="str">
        <x:v>03_Process_Losses(6).xlsx</x:v>
      </x:c>
      <x:c r="AK56" t="str">
        <x:v>ENH-20260830-01</x:v>
      </x:c>
      <x:c r="AL56" t="str">
        <x:v>Active</x:v>
      </x:c>
      <x:c r="AM56" t="str">
        <x:f>IF(A56="","",IF(W56="OK","LOAD","QUARANTINE"))</x:f>
        <x:v>LOAD</x:v>
      </x:c>
    </x:row>
    <x:row r="57" ht="18" customHeight="1">
      <x:c r="A57" s="7" t="s">
        <x:v>39</x:v>
      </x:c>
      <x:c r="B57" s="8">
        <x:v>24</x:v>
      </x:c>
      <x:c r="C57" s="6">
        <x:v>45955</x:v>
      </x:c>
      <x:c r="D57" s="7" t="s">
        <x:v>40</x:v>
      </x:c>
      <x:c r="E57" s="7" t="s">
        <x:v>55</x:v>
      </x:c>
      <x:c r="F57" s="7" t="s">
        <x:v>42</x:v>
      </x:c>
      <x:c r="G57" s="9">
        <x:v>4816</x:v>
      </x:c>
      <x:c r="H57" s="10">
        <x:v>5.4007272532102463E-3</x:v>
      </x:c>
      <x:c r="I57" s="10">
        <x:v>6.5747983952124736E-3</x:v>
      </x:c>
      <x:c r="J57" s="10">
        <x:v>8.4533122224160376E-4</x:v>
      </x:c>
      <x:c r="K57" s="10">
        <x:v>4.1327304198478408E-3</x:v>
      </x:c>
      <x:c r="L57" s="10">
        <x:v>2.8848605203483303E-3</x:v>
      </x:c>
      <x:c r="M57" s="10">
        <x:v>2.9720772337542101E-3</x:v>
      </x:c>
      <x:c r="N57" s="10">
        <x:v>2.334724328095858E-3</x:v>
      </x:c>
      <x:c r="O57" s="10">
        <x:v>2.1468729453755016E-3</x:v>
      </x:c>
      <x:c r="P57" s="10">
        <x:v>1.4692661719913588E-3</x:v>
      </x:c>
      <x:c r="Q57" s="10">
        <x:v>2.5225757108162145E-3</x:v>
      </x:c>
      <x:c r="R57" s="10">
        <x:v>1.0264736270076617E-3</x:v>
      </x:c>
      <x:c r="S57" s="15">
        <x:f t="shared" si="5"/>
        <x:v>3.23104378279013E-2</x:v>
      </x:c>
      <x:c r="T57" t="str">
        <x:f t="shared" si="6"/>
        <x:v>OK</x:v>
      </x:c>
      <x:c r="U57" t="str">
        <x:f t="shared" si="7"/>
        <x:v>LOSS-KG01-L24-20251025-AM-ORD-2025-00126</x:v>
      </x:c>
      <x:c r="V57" t="str">
        <x:f t="shared" si="8"/>
        <x:v>OK</x:v>
      </x:c>
      <x:c r="W57" t="str">
        <x:f t="shared" si="9">IF(A57="","",IF(AND(T57="OK",V57="OK",Y57="OK",AB57="OK",AD57="OK"),"OK","CHECK"))</x:f>
        <x:v>OK</x:v>
      </x:c>
      <x:c r="X57" t="str">
        <x:f>IF(A57="","", "PE-"&amp;A57&amp;"-L"&amp;TEXT(B57,"00")&amp;"-"&amp;TEXT(C57,"yyyymmdd")&amp;"-"&amp;D57&amp;"-"&amp;E57)</x:f>
        <x:v>PE-KG01-L24-20251025-AM-ORD-2025-00126</x:v>
      </x:c>
      <x:c r="Y57" t="str">
        <x:f>IF(X57="","",IF(COUNTIF(_ProductionEventRef!$A$5:$A$500,X57)=1,"OK","CHECK"))</x:f>
        <x:v>OK</x:v>
      </x:c>
      <x:c r="Z57" t="n">
        <x:f>IF(X57="","",IFERROR(VLOOKUP(X57,_ProductionEventRef!$A$5:$I$500,7,FALSE),0))</x:f>
        <x:v>149054</x:v>
      </x:c>
      <x:c r="AA57" t="n">
        <x:f>IF(X57="","",IFERROR(VLOOKUP(X57,_ProductionEventRef!$A$5:$I$500,8,FALSE),0))</x:f>
        <x:v>4816</x:v>
      </x:c>
      <x:c r="AB57" t="str">
        <x:f>IF(X57="","",IF(ABS(G57-AA57)&lt;=1,"OK","CHECK"))</x:f>
        <x:v>OK</x:v>
      </x:c>
      <x:c r="AC57" t="n">
        <x:f>IF(X57="","",SUMIF(LossDetail!$C$5:$C$2000,X57,LossDetail!$L$5:$L$2000))</x:f>
        <x:v>0.0323104378279013</x:v>
      </x:c>
      <x:c r="AD57" t="str">
        <x:f>IF(X57="","",IF(ABS(S57-AC57)&lt;=0.000001,"OK","CHECK"))</x:f>
        <x:v>OK</x:v>
      </x:c>
      <x:c r="AE57" t="str">
        <x:v>LossPercent</x:v>
      </x:c>
      <x:c r="AJ57" t="str">
        <x:v>03_Process_Losses(6).xlsx</x:v>
      </x:c>
      <x:c r="AK57" t="str">
        <x:v>ENH-20260830-01</x:v>
      </x:c>
      <x:c r="AL57" t="str">
        <x:v>Active</x:v>
      </x:c>
      <x:c r="AM57" t="str">
        <x:f>IF(A57="","",IF(W57="OK","LOAD","QUARANTINE"))</x:f>
        <x:v>LOAD</x:v>
      </x:c>
    </x:row>
    <x:row r="58" ht="18" customHeight="1">
      <x:c r="A58" s="7" t="s">
        <x:v>39</x:v>
      </x:c>
      <x:c r="B58" s="8">
        <x:v>24</x:v>
      </x:c>
      <x:c r="C58" s="6">
        <x:v>45955</x:v>
      </x:c>
      <x:c r="D58" s="7" t="s">
        <x:v>43</x:v>
      </x:c>
      <x:c r="E58" s="7" t="s">
        <x:v>55</x:v>
      </x:c>
      <x:c r="F58" s="7" t="s">
        <x:v>42</x:v>
      </x:c>
      <x:c r="G58" s="9">
        <x:v>6779</x:v>
      </x:c>
      <x:c r="H58" s="10">
        <x:v>8.54678133265987E-3</x:v>
      </x:c>
      <x:c r="I58" s="10">
        <x:v>1.3105950846038307E-2</x:v>
      </x:c>
      <x:c r="J58" s="10">
        <x:v>1.4621243337365252E-3</x:v>
      </x:c>
      <x:c r="K58" s="10">
        <x:v>3.3163638297023911E-3</x:v>
      </x:c>
      <x:c r="L58" s="10">
        <x:v>3.7151250116305343E-3</x:v>
      </x:c>
      <x:c r="M58" s="10">
        <x:v>1.9672218308455064E-3</x:v>
      </x:c>
      <x:c r="N58" s="10">
        <x:v>2.7049300174125717E-3</x:v>
      </x:c>
      <x:c r="O58" s="10">
        <x:v>6.7124798957904114E-4</x:v>
      </x:c>
      <x:c r="P58" s="10">
        <x:v>1.8276554171706564E-3</x:v>
      </x:c>
      <x:c r="Q58" s="10">
        <x:v>5.5228423697047842E-3</x:v>
      </x:c>
      <x:c r="R58" s="10">
        <x:v>2.213124559701195E-3</x:v>
      </x:c>
      <x:c r="S58" s="15">
        <x:f t="shared" si="5"/>
        <x:v>4.5053367538181378E-2</x:v>
      </x:c>
      <x:c r="T58" t="str">
        <x:f t="shared" si="6"/>
        <x:v>OK</x:v>
      </x:c>
      <x:c r="U58" t="str">
        <x:f t="shared" si="7"/>
        <x:v>LOSS-KG01-L24-20251025-PM-ORD-2025-00126</x:v>
      </x:c>
      <x:c r="V58" t="str">
        <x:f t="shared" si="8"/>
        <x:v>OK</x:v>
      </x:c>
      <x:c r="W58" t="str">
        <x:f t="shared" si="9">IF(A58="","",IF(AND(T58="OK",V58="OK",Y58="OK",AB58="OK",AD58="OK"),"OK","CHECK"))</x:f>
        <x:v>OK</x:v>
      </x:c>
      <x:c r="X58" t="str">
        <x:f>IF(A58="","", "PE-"&amp;A58&amp;"-L"&amp;TEXT(B58,"00")&amp;"-"&amp;TEXT(C58,"yyyymmdd")&amp;"-"&amp;D58&amp;"-"&amp;E58)</x:f>
        <x:v>PE-KG01-L24-20251025-PM-ORD-2025-00126</x:v>
      </x:c>
      <x:c r="Y58" t="str">
        <x:f>IF(X58="","",IF(COUNTIF(_ProductionEventRef!$A$5:$A$500,X58)=1,"OK","CHECK"))</x:f>
        <x:v>OK</x:v>
      </x:c>
      <x:c r="Z58" t="n">
        <x:f>IF(X58="","",IFERROR(VLOOKUP(X58,_ProductionEventRef!$A$5:$I$500,7,FALSE),0))</x:f>
        <x:v>150466</x:v>
      </x:c>
      <x:c r="AA58" t="n">
        <x:f>IF(X58="","",IFERROR(VLOOKUP(X58,_ProductionEventRef!$A$5:$I$500,8,FALSE),0))</x:f>
        <x:v>6779</x:v>
      </x:c>
      <x:c r="AB58" t="str">
        <x:f>IF(X58="","",IF(ABS(G58-AA58)&lt;=1,"OK","CHECK"))</x:f>
        <x:v>OK</x:v>
      </x:c>
      <x:c r="AC58" t="n">
        <x:f>IF(X58="","",SUMIF(LossDetail!$C$5:$C$2000,X58,LossDetail!$L$5:$L$2000))</x:f>
        <x:v>0.04505336753818138</x:v>
      </x:c>
      <x:c r="AD58" t="str">
        <x:f>IF(X58="","",IF(ABS(S58-AC58)&lt;=0.000001,"OK","CHECK"))</x:f>
        <x:v>OK</x:v>
      </x:c>
      <x:c r="AE58" t="str">
        <x:v>LossPercent</x:v>
      </x:c>
      <x:c r="AJ58" t="str">
        <x:v>03_Process_Losses(6).xlsx</x:v>
      </x:c>
      <x:c r="AK58" t="str">
        <x:v>ENH-20260830-01</x:v>
      </x:c>
      <x:c r="AL58" t="str">
        <x:v>Active</x:v>
      </x:c>
      <x:c r="AM58" t="str">
        <x:f>IF(A58="","",IF(W58="OK","LOAD","QUARANTINE"))</x:f>
        <x:v>LOAD</x:v>
      </x:c>
    </x:row>
    <x:row r="59" ht="18" customHeight="1">
      <x:c r="A59" s="7" t="s">
        <x:v>39</x:v>
      </x:c>
      <x:c r="B59" s="8">
        <x:v>24</x:v>
      </x:c>
      <x:c r="C59" s="6">
        <x:v>45956</x:v>
      </x:c>
      <x:c r="D59" s="7" t="s">
        <x:v>40</x:v>
      </x:c>
      <x:c r="E59" s="7" t="s">
        <x:v>55</x:v>
      </x:c>
      <x:c r="F59" s="7" t="s">
        <x:v>42</x:v>
      </x:c>
      <x:c r="G59" s="9">
        <x:v>7322</x:v>
      </x:c>
      <x:c r="H59" s="10">
        <x:v>2.7094723800802608E-3</x:v>
      </x:c>
      <x:c r="I59" s="10">
        <x:v>5.289665759918123E-3</x:v>
      </x:c>
      <x:c r="J59" s="10">
        <x:v>2.4293678795550646E-3</x:v>
      </x:c>
      <x:c r="K59" s="10">
        <x:v>1.4813218777774786E-3</x:v>
      </x:c>
      <x:c r="L59" s="10">
        <x:v>4.7132968838374317E-3</x:v>
      </x:c>
      <x:c r="M59" s="10">
        <x:v>3.0057367556357564E-3</x:v>
      </x:c>
      <x:c r="N59" s="10">
        <x:v>1.5190282528481779E-3</x:v>
      </x:c>
      <x:c r="O59" s="10">
        <x:v>3.3828005063427508E-3</x:v>
      </x:c>
      <x:c r="P59" s="10">
        <x:v>2.7848851302216598E-3</x:v>
      </x:c>
      <x:c r="Q59" s="10">
        <x:v>8.0853241401599822E-3</x:v>
      </x:c>
      <x:c r="R59" s="10">
        <x:v>4.0399687575749417E-3</x:v>
      </x:c>
      <x:c r="S59" s="15">
        <x:f t="shared" si="5"/>
        <x:v>3.9440868323951633E-2</x:v>
      </x:c>
      <x:c r="T59" t="str">
        <x:f t="shared" si="6"/>
        <x:v>OK</x:v>
      </x:c>
      <x:c r="U59" t="str">
        <x:f t="shared" si="7"/>
        <x:v>LOSS-KG01-L24-20251026-AM-ORD-2025-00126</x:v>
      </x:c>
      <x:c r="V59" t="str">
        <x:f t="shared" si="8"/>
        <x:v>OK</x:v>
      </x:c>
      <x:c r="W59" t="str">
        <x:f t="shared" si="9">IF(A59="","",IF(AND(T59="OK",V59="OK",Y59="OK",AB59="OK",AD59="OK"),"OK","CHECK"))</x:f>
        <x:v>OK</x:v>
      </x:c>
      <x:c r="X59" t="str">
        <x:f>IF(A59="","", "PE-"&amp;A59&amp;"-L"&amp;TEXT(B59,"00")&amp;"-"&amp;TEXT(C59,"yyyymmdd")&amp;"-"&amp;D59&amp;"-"&amp;E59)</x:f>
        <x:v>PE-KG01-L24-20251026-AM-ORD-2025-00126</x:v>
      </x:c>
      <x:c r="Y59" t="str">
        <x:f>IF(X59="","",IF(COUNTIF(_ProductionEventRef!$A$5:$A$500,X59)=1,"OK","CHECK"))</x:f>
        <x:v>OK</x:v>
      </x:c>
      <x:c r="Z59" t="n">
        <x:f>IF(X59="","",IFERROR(VLOOKUP(X59,_ProductionEventRef!$A$5:$I$500,7,FALSE),0))</x:f>
        <x:v>185645</x:v>
      </x:c>
      <x:c r="AA59" t="n">
        <x:f>IF(X59="","",IFERROR(VLOOKUP(X59,_ProductionEventRef!$A$5:$I$500,8,FALSE),0))</x:f>
        <x:v>7322</x:v>
      </x:c>
      <x:c r="AB59" t="str">
        <x:f>IF(X59="","",IF(ABS(G59-AA59)&lt;=1,"OK","CHECK"))</x:f>
        <x:v>OK</x:v>
      </x:c>
      <x:c r="AC59" t="n">
        <x:f>IF(X59="","",SUMIF(LossDetail!$C$5:$C$2000,X59,LossDetail!$L$5:$L$2000))</x:f>
        <x:v>0.03944086832395163</x:v>
      </x:c>
      <x:c r="AD59" t="str">
        <x:f>IF(X59="","",IF(ABS(S59-AC59)&lt;=0.000001,"OK","CHECK"))</x:f>
        <x:v>OK</x:v>
      </x:c>
      <x:c r="AE59" t="str">
        <x:v>LossPercent</x:v>
      </x:c>
      <x:c r="AJ59" t="str">
        <x:v>03_Process_Losses(6).xlsx</x:v>
      </x:c>
      <x:c r="AK59" t="str">
        <x:v>ENH-20260830-01</x:v>
      </x:c>
      <x:c r="AL59" t="str">
        <x:v>Active</x:v>
      </x:c>
      <x:c r="AM59" t="str">
        <x:f>IF(A59="","",IF(W59="OK","LOAD","QUARANTINE"))</x:f>
        <x:v>LOAD</x:v>
      </x:c>
    </x:row>
    <x:row r="60" ht="18" customHeight="1">
      <x:c r="A60" s="7" t="s">
        <x:v>39</x:v>
      </x:c>
      <x:c r="B60" s="8">
        <x:v>24</x:v>
      </x:c>
      <x:c r="C60" s="6">
        <x:v>45956</x:v>
      </x:c>
      <x:c r="D60" s="7" t="s">
        <x:v>43</x:v>
      </x:c>
      <x:c r="E60" s="7" t="s">
        <x:v>55</x:v>
      </x:c>
      <x:c r="F60" s="7" t="s">
        <x:v>42</x:v>
      </x:c>
      <x:c r="G60" s="9">
        <x:v>7085</x:v>
      </x:c>
      <x:c r="H60" s="10">
        <x:v>1.2550121346417642E-2</x:v>
      </x:c>
      <x:c r="I60" s="10">
        <x:v>8.1776933628785482E-3</x:v>
      </x:c>
      <x:c r="J60" s="10">
        <x:v>3.4689247652210614E-3</x:v>
      </x:c>
      <x:c r="K60" s="10">
        <x:v>2.1631317927614225E-3</x:v>
      </x:c>
      <x:c r="L60" s="10">
        <x:v>5.928827688086947E-3</x:v>
      </x:c>
      <x:c r="M60" s="10">
        <x:v>4.814287221694629E-4</x:v>
      </x:c>
      <x:c r="N60" s="10">
        <x:v>3.6601772712883825E-3</x:v>
      </x:c>
      <x:c r="O60" s="10">
        <x:v>1.5563997045478528E-3</x:v>
      </x:c>
      <x:c r="P60" s="10">
        <x:v>3.6469874432837395E-3</x:v>
      </x:c>
      <x:c r="Q60" s="10">
        <x:v>2.9017621610214202E-3</x:v>
      </x:c>
      <x:c r="R60" s="10">
        <x:v>2.189511448770708E-3</x:v>
      </x:c>
      <x:c r="S60" s="15">
        <x:f t="shared" si="5"/>
        <x:v>4.6724965706447179E-2</x:v>
      </x:c>
      <x:c r="T60" t="str">
        <x:f t="shared" si="6"/>
        <x:v>OK</x:v>
      </x:c>
      <x:c r="U60" t="str">
        <x:f t="shared" si="7"/>
        <x:v>LOSS-KG01-L24-20251026-PM-ORD-2025-00126</x:v>
      </x:c>
      <x:c r="V60" t="str">
        <x:f t="shared" si="8"/>
        <x:v>OK</x:v>
      </x:c>
      <x:c r="W60" t="str">
        <x:f t="shared" si="9">IF(A60="","",IF(AND(T60="OK",V60="OK",Y60="OK",AB60="OK",AD60="OK"),"OK","CHECK"))</x:f>
        <x:v>OK</x:v>
      </x:c>
      <x:c r="X60" t="str">
        <x:f>IF(A60="","", "PE-"&amp;A60&amp;"-L"&amp;TEXT(B60,"00")&amp;"-"&amp;TEXT(C60,"yyyymmdd")&amp;"-"&amp;D60&amp;"-"&amp;E60)</x:f>
        <x:v>PE-KG01-L24-20251026-PM-ORD-2025-00126</x:v>
      </x:c>
      <x:c r="Y60" t="str">
        <x:f>IF(X60="","",IF(COUNTIF(_ProductionEventRef!$A$5:$A$500,X60)=1,"OK","CHECK"))</x:f>
        <x:v>OK</x:v>
      </x:c>
      <x:c r="Z60" t="n">
        <x:f>IF(X60="","",IFERROR(VLOOKUP(X60,_ProductionEventRef!$A$5:$I$500,7,FALSE),0))</x:f>
        <x:v>151632</x:v>
      </x:c>
      <x:c r="AA60" t="n">
        <x:f>IF(X60="","",IFERROR(VLOOKUP(X60,_ProductionEventRef!$A$5:$I$500,8,FALSE),0))</x:f>
        <x:v>7085</x:v>
      </x:c>
      <x:c r="AB60" t="str">
        <x:f>IF(X60="","",IF(ABS(G60-AA60)&lt;=1,"OK","CHECK"))</x:f>
        <x:v>OK</x:v>
      </x:c>
      <x:c r="AC60" t="n">
        <x:f>IF(X60="","",SUMIF(LossDetail!$C$5:$C$2000,X60,LossDetail!$L$5:$L$2000))</x:f>
        <x:v>0.04672496570644718</x:v>
      </x:c>
      <x:c r="AD60" t="str">
        <x:f>IF(X60="","",IF(ABS(S60-AC60)&lt;=0.000001,"OK","CHECK"))</x:f>
        <x:v>OK</x:v>
      </x:c>
      <x:c r="AE60" t="str">
        <x:v>LossPercent</x:v>
      </x:c>
      <x:c r="AJ60" t="str">
        <x:v>03_Process_Losses(6).xlsx</x:v>
      </x:c>
      <x:c r="AK60" t="str">
        <x:v>ENH-20260830-01</x:v>
      </x:c>
      <x:c r="AL60" t="str">
        <x:v>Active</x:v>
      </x:c>
      <x:c r="AM60" t="str">
        <x:f>IF(A60="","",IF(W60="OK","LOAD","QUARANTINE"))</x:f>
        <x:v>LOAD</x:v>
      </x:c>
    </x:row>
    <x:row r="61" ht="18" customHeight="1">
      <x:c r="A61" s="7" t="s">
        <x:v>39</x:v>
      </x:c>
      <x:c r="B61" s="8">
        <x:v>25</x:v>
      </x:c>
      <x:c r="C61" s="6">
        <x:v>45950</x:v>
      </x:c>
      <x:c r="D61" s="7" t="s">
        <x:v>40</x:v>
      </x:c>
      <x:c r="E61" s="7" t="s">
        <x:v>56</x:v>
      </x:c>
      <x:c r="F61" s="7" t="s">
        <x:v>42</x:v>
      </x:c>
      <x:c r="G61" s="9">
        <x:v>2749</x:v>
      </x:c>
      <x:c r="H61" s="10">
        <x:v>3.1595157179269331E-3</x:v>
      </x:c>
      <x:c r="I61" s="10">
        <x:v>6.6464882469555366E-3</x:v>
      </x:c>
      <x:c r="J61" s="10">
        <x:v>2.7081563296516569E-3</x:v>
      </x:c>
      <x:c r="K61" s="10">
        <x:v>1.0089209855564996E-3</x:v>
      </x:c>
      <x:c r="L61" s="10">
        <x:v>2.0620928915321439E-3</x:v>
      </x:c>
      <x:c r="M61" s="10">
        <x:v>1.0089209855564996E-3</x:v>
      </x:c>
      <x:c r="N61" s="10">
        <x:v>8.1421693571226287E-4</x:v>
      </x:c>
      <x:c r="O61" s="10">
        <x:v>1.3540781648258284E-3</x:v>
      </x:c>
      <x:c r="P61" s="10">
        <x:v>2.1505947323704334E-3</x:v>
      </x:c>
      <x:c r="Q61" s="10">
        <x:v>2.3364485981308409E-3</x:v>
      </x:c>
      <x:c r="R61" s="10">
        <x:v>1.0797224582271311E-3</x:v>
      </x:c>
      <x:c r="S61" s="15">
        <x:f t="shared" si="5"/>
        <x:v>2.4329156046445768E-2</x:v>
      </x:c>
      <x:c r="T61" t="str">
        <x:f t="shared" si="6"/>
        <x:v>OK</x:v>
      </x:c>
      <x:c r="U61" t="str">
        <x:f t="shared" si="7"/>
        <x:v>LOSS-KG01-L25-20251020-AM-ORD-2025-00161</x:v>
      </x:c>
      <x:c r="V61" t="str">
        <x:f t="shared" si="8"/>
        <x:v>OK</x:v>
      </x:c>
      <x:c r="W61" t="str">
        <x:f t="shared" si="9">IF(A61="","",IF(AND(T61="OK",V61="OK",Y61="OK",AB61="OK",AD61="OK"),"OK","CHECK"))</x:f>
        <x:v>OK</x:v>
      </x:c>
      <x:c r="X61" t="str">
        <x:f>IF(A61="","", "PE-"&amp;A61&amp;"-L"&amp;TEXT(B61,"00")&amp;"-"&amp;TEXT(C61,"yyyymmdd")&amp;"-"&amp;D61&amp;"-"&amp;E61)</x:f>
        <x:v>PE-KG01-L25-20251020-AM-ORD-2025-00161</x:v>
      </x:c>
      <x:c r="Y61" t="str">
        <x:f>IF(X61="","",IF(COUNTIF(_ProductionEventRef!$A$5:$A$500,X61)=1,"OK","CHECK"))</x:f>
        <x:v>OK</x:v>
      </x:c>
      <x:c r="Z61" t="n">
        <x:f>IF(X61="","",IFERROR(VLOOKUP(X61,_ProductionEventRef!$A$5:$I$500,7,FALSE),0))</x:f>
        <x:v>112992</x:v>
      </x:c>
      <x:c r="AA61" t="n">
        <x:f>IF(X61="","",IFERROR(VLOOKUP(X61,_ProductionEventRef!$A$5:$I$500,8,FALSE),0))</x:f>
        <x:v>2749</x:v>
      </x:c>
      <x:c r="AB61" t="str">
        <x:f>IF(X61="","",IF(ABS(G61-AA61)&lt;=1,"OK","CHECK"))</x:f>
        <x:v>OK</x:v>
      </x:c>
      <x:c r="AC61" t="n">
        <x:f>IF(X61="","",SUMIF(LossDetail!$C$5:$C$2000,X61,LossDetail!$L$5:$L$2000))</x:f>
        <x:v>0.02432915604644577</x:v>
      </x:c>
      <x:c r="AD61" t="str">
        <x:f>IF(X61="","",IF(ABS(S61-AC61)&lt;=0.000001,"OK","CHECK"))</x:f>
        <x:v>OK</x:v>
      </x:c>
      <x:c r="AE61" t="str">
        <x:v>LossPercent</x:v>
      </x:c>
      <x:c r="AJ61" t="str">
        <x:v>03_Process_Losses(6).xlsx</x:v>
      </x:c>
      <x:c r="AK61" t="str">
        <x:v>ENH-20260830-01</x:v>
      </x:c>
      <x:c r="AL61" t="str">
        <x:v>Active</x:v>
      </x:c>
      <x:c r="AM61" t="str">
        <x:f>IF(A61="","",IF(W61="OK","LOAD","QUARANTINE"))</x:f>
        <x:v>LOAD</x:v>
      </x:c>
    </x:row>
    <x:row r="62" ht="18" customHeight="1">
      <x:c r="A62" s="7" t="s">
        <x:v>39</x:v>
      </x:c>
      <x:c r="B62" s="8">
        <x:v>25</x:v>
      </x:c>
      <x:c r="C62" s="6">
        <x:v>45950</x:v>
      </x:c>
      <x:c r="D62" s="7" t="s">
        <x:v>43</x:v>
      </x:c>
      <x:c r="E62" s="7" t="s">
        <x:v>56</x:v>
      </x:c>
      <x:c r="F62" s="7" t="s">
        <x:v>42</x:v>
      </x:c>
      <x:c r="G62" s="9">
        <x:v>5916</x:v>
      </x:c>
      <x:c r="H62" s="10">
        <x:v>4.5477423065861371E-3</x:v>
      </x:c>
      <x:c r="I62" s="10">
        <x:v>1.1881650848432557E-2</x:v>
      </x:c>
      <x:c r="J62" s="10">
        <x:v>3.3793500143802129E-3</x:v>
      </x:c>
      <x:c r="K62" s="10">
        <x:v>3.8646821972965202E-3</x:v>
      </x:c>
      <x:c r="L62" s="10">
        <x:v>2.6154012079378777E-3</x:v>
      </x:c>
      <x:c r="M62" s="10">
        <x:v>2.9569312625826864E-3</x:v>
      </x:c>
      <x:c r="N62" s="10">
        <x:v>1.4470089157319528E-3</x:v>
      </x:c>
      <x:c r="O62" s="10">
        <x:v>2.7592033362093759E-3</x:v>
      </x:c>
      <x:c r="P62" s="10">
        <x:v>3.7029048029910841E-3</x:v>
      </x:c>
      <x:c r="Q62" s="10">
        <x:v>1.2438884095484614E-2</x:v>
      </x:c>
      <x:c r="R62" s="10">
        <x:v>3.5770779407535229E-3</x:v>
      </x:c>
      <x:c r="S62" s="15">
        <x:f t="shared" si="5"/>
        <x:v>5.317083692838654E-2</x:v>
      </x:c>
      <x:c r="T62" t="str">
        <x:f t="shared" si="6"/>
        <x:v>OK</x:v>
      </x:c>
      <x:c r="U62" t="str">
        <x:f t="shared" si="7"/>
        <x:v>LOSS-KG01-L25-20251020-PM-ORD-2025-00161</x:v>
      </x:c>
      <x:c r="V62" t="str">
        <x:f t="shared" si="8"/>
        <x:v>OK</x:v>
      </x:c>
      <x:c r="W62" t="str">
        <x:f t="shared" si="9">IF(A62="","",IF(AND(T62="OK",V62="OK",Y62="OK",AB62="OK",AD62="OK"),"OK","CHECK"))</x:f>
        <x:v>OK</x:v>
      </x:c>
      <x:c r="X62" t="str">
        <x:f>IF(A62="","", "PE-"&amp;A62&amp;"-L"&amp;TEXT(B62,"00")&amp;"-"&amp;TEXT(C62,"yyyymmdd")&amp;"-"&amp;D62&amp;"-"&amp;E62)</x:f>
        <x:v>PE-KG01-L25-20251020-PM-ORD-2025-00161</x:v>
      </x:c>
      <x:c r="Y62" t="str">
        <x:f>IF(X62="","",IF(COUNTIF(_ProductionEventRef!$A$5:$A$500,X62)=1,"OK","CHECK"))</x:f>
        <x:v>OK</x:v>
      </x:c>
      <x:c r="Z62" t="n">
        <x:f>IF(X62="","",IFERROR(VLOOKUP(X62,_ProductionEventRef!$A$5:$I$500,7,FALSE),0))</x:f>
        <x:v>111264</x:v>
      </x:c>
      <x:c r="AA62" t="n">
        <x:f>IF(X62="","",IFERROR(VLOOKUP(X62,_ProductionEventRef!$A$5:$I$500,8,FALSE),0))</x:f>
        <x:v>5916</x:v>
      </x:c>
      <x:c r="AB62" t="str">
        <x:f>IF(X62="","",IF(ABS(G62-AA62)&lt;=1,"OK","CHECK"))</x:f>
        <x:v>OK</x:v>
      </x:c>
      <x:c r="AC62" t="n">
        <x:f>IF(X62="","",SUMIF(LossDetail!$C$5:$C$2000,X62,LossDetail!$L$5:$L$2000))</x:f>
        <x:v>0.05317083692838654</x:v>
      </x:c>
      <x:c r="AD62" t="str">
        <x:f>IF(X62="","",IF(ABS(S62-AC62)&lt;=0.000001,"OK","CHECK"))</x:f>
        <x:v>OK</x:v>
      </x:c>
      <x:c r="AE62" t="str">
        <x:v>LossPercent</x:v>
      </x:c>
      <x:c r="AJ62" t="str">
        <x:v>03_Process_Losses(6).xlsx</x:v>
      </x:c>
      <x:c r="AK62" t="str">
        <x:v>ENH-20260830-01</x:v>
      </x:c>
      <x:c r="AL62" t="str">
        <x:v>Active</x:v>
      </x:c>
      <x:c r="AM62" t="str">
        <x:f>IF(A62="","",IF(W62="OK","LOAD","QUARANTINE"))</x:f>
        <x:v>LOAD</x:v>
      </x:c>
    </x:row>
    <x:row r="63" ht="18" customHeight="1">
      <x:c r="A63" s="7" t="s">
        <x:v>39</x:v>
      </x:c>
      <x:c r="B63" s="8">
        <x:v>25</x:v>
      </x:c>
      <x:c r="C63" s="6">
        <x:v>45951</x:v>
      </x:c>
      <x:c r="D63" s="7" t="s">
        <x:v>40</x:v>
      </x:c>
      <x:c r="E63" s="7" t="s">
        <x:v>56</x:v>
      </x:c>
      <x:c r="F63" s="7" t="s">
        <x:v>42</x:v>
      </x:c>
      <x:c r="G63" s="9">
        <x:v>5268</x:v>
      </x:c>
      <x:c r="H63" s="10">
        <x:v>7.6672136271292391E-3</x:v>
      </x:c>
      <x:c r="I63" s="10">
        <x:v>8.2532426941709647E-3</x:v>
      </x:c>
      <x:c r="J63" s="10">
        <x:v>2.7152680106266604E-3</x:v>
      </x:c>
      <x:c r="K63" s="10">
        <x:v>4.7761368963900605E-3</x:v>
      </x:c>
      <x:c r="L63" s="10">
        <x:v>2.1194717924675728E-3</x:v>
      </x:c>
      <x:c r="M63" s="10">
        <x:v>1.8166901078293482E-3</x:v>
      </x:c>
      <x:c r="N63" s="10">
        <x:v>3.6333802156586965E-3</x:v>
      </x:c>
      <x:c r="O63" s="10">
        <x:v>1.4943741209563993E-3</x:v>
      </x:c>
      <x:c r="P63" s="10">
        <x:v>4.4928895139865607E-3</x:v>
      </x:c>
      <x:c r="Q63" s="10">
        <x:v>1.1115017971558056E-2</x:v>
      </x:c>
      <x:c r="R63" s="10">
        <x:v>3.3696671354899203E-3</x:v>
      </x:c>
      <x:c r="S63" s="15">
        <x:f t="shared" si="5"/>
        <x:v>5.1453352086263476E-2</x:v>
      </x:c>
      <x:c r="T63" t="str">
        <x:f t="shared" si="6"/>
        <x:v>OK</x:v>
      </x:c>
      <x:c r="U63" t="str">
        <x:f t="shared" si="7"/>
        <x:v>LOSS-KG01-L25-20251021-AM-ORD-2025-00161</x:v>
      </x:c>
      <x:c r="V63" t="str">
        <x:f t="shared" si="8"/>
        <x:v>OK</x:v>
      </x:c>
      <x:c r="W63" t="str">
        <x:f t="shared" si="9">IF(A63="","",IF(AND(T63="OK",V63="OK",Y63="OK",AB63="OK",AD63="OK"),"OK","CHECK"))</x:f>
        <x:v>OK</x:v>
      </x:c>
      <x:c r="X63" t="str">
        <x:f>IF(A63="","", "PE-"&amp;A63&amp;"-L"&amp;TEXT(B63,"00")&amp;"-"&amp;TEXT(C63,"yyyymmdd")&amp;"-"&amp;D63&amp;"-"&amp;E63)</x:f>
        <x:v>PE-KG01-L25-20251021-AM-ORD-2025-00161</x:v>
      </x:c>
      <x:c r="Y63" t="str">
        <x:f>IF(X63="","",IF(COUNTIF(_ProductionEventRef!$A$5:$A$500,X63)=1,"OK","CHECK"))</x:f>
        <x:v>OK</x:v>
      </x:c>
      <x:c r="Z63" t="n">
        <x:f>IF(X63="","",IFERROR(VLOOKUP(X63,_ProductionEventRef!$A$5:$I$500,7,FALSE),0))</x:f>
        <x:v>102384</x:v>
      </x:c>
      <x:c r="AA63" t="n">
        <x:f>IF(X63="","",IFERROR(VLOOKUP(X63,_ProductionEventRef!$A$5:$I$500,8,FALSE),0))</x:f>
        <x:v>5268</x:v>
      </x:c>
      <x:c r="AB63" t="str">
        <x:f>IF(X63="","",IF(ABS(G63-AA63)&lt;=1,"OK","CHECK"))</x:f>
        <x:v>OK</x:v>
      </x:c>
      <x:c r="AC63" t="n">
        <x:f>IF(X63="","",SUMIF(LossDetail!$C$5:$C$2000,X63,LossDetail!$L$5:$L$2000))</x:f>
        <x:v>0.051453352086263476</x:v>
      </x:c>
      <x:c r="AD63" t="str">
        <x:f>IF(X63="","",IF(ABS(S63-AC63)&lt;=0.000001,"OK","CHECK"))</x:f>
        <x:v>OK</x:v>
      </x:c>
      <x:c r="AE63" t="str">
        <x:v>LossPercent</x:v>
      </x:c>
      <x:c r="AJ63" t="str">
        <x:v>03_Process_Losses(6).xlsx</x:v>
      </x:c>
      <x:c r="AK63" t="str">
        <x:v>ENH-20260830-01</x:v>
      </x:c>
      <x:c r="AL63" t="str">
        <x:v>Active</x:v>
      </x:c>
      <x:c r="AM63" t="str">
        <x:f>IF(A63="","",IF(W63="OK","LOAD","QUARANTINE"))</x:f>
        <x:v>LOAD</x:v>
      </x:c>
    </x:row>
    <x:row r="64" ht="18" customHeight="1">
      <x:c r="A64" s="7" t="s">
        <x:v>39</x:v>
      </x:c>
      <x:c r="B64" s="8">
        <x:v>25</x:v>
      </x:c>
      <x:c r="C64" s="6">
        <x:v>45951</x:v>
      </x:c>
      <x:c r="D64" s="7" t="s">
        <x:v>43</x:v>
      </x:c>
      <x:c r="E64" s="7" t="s">
        <x:v>56</x:v>
      </x:c>
      <x:c r="F64" s="7" t="s">
        <x:v>42</x:v>
      </x:c>
      <x:c r="G64" s="9">
        <x:v>5792</x:v>
      </x:c>
      <x:c r="H64" s="10">
        <x:v>8.3121272561137369E-3</x:v>
      </x:c>
      <x:c r="I64" s="10">
        <x:v>8.2335255799329925E-3</x:v>
      </x:c>
      <x:c r="J64" s="10">
        <x:v>6.6123660087051353E-3</x:v>
      </x:c>
      <x:c r="K64" s="10">
        <x:v>5.6789711040587942E-3</x:v>
      </x:c>
      <x:c r="L64" s="10">
        <x:v>2.4366519616030812E-3</x:v>
      </x:c>
      <x:c r="M64" s="10">
        <x:v>1.8569645997700902E-3</x:v>
      </x:c>
      <x:c r="N64" s="10">
        <x:v>1.1888503522337614E-3</x:v>
      </x:c>
      <x:c r="O64" s="10">
        <x:v>2.0436435806993583E-3</x:v>
      </x:c>
      <x:c r="P64" s="10">
        <x:v>3.2914451900686783E-3</x:v>
      </x:c>
      <x:c r="Q64" s="10">
        <x:v>1.0915807779600901E-2</x:v>
      </x:c>
      <x:c r="R64" s="10">
        <x:v>6.3372601420725299E-3</x:v>
      </x:c>
      <x:c r="S64" s="15">
        <x:f t="shared" si="5"/>
        <x:v>5.6907613554859071E-2</x:v>
      </x:c>
      <x:c r="T64" t="str">
        <x:f t="shared" si="6"/>
        <x:v>OK</x:v>
      </x:c>
      <x:c r="U64" t="str">
        <x:f t="shared" si="7"/>
        <x:v>LOSS-KG01-L25-20251021-PM-ORD-2025-00161</x:v>
      </x:c>
      <x:c r="V64" t="str">
        <x:f t="shared" si="8"/>
        <x:v>OK</x:v>
      </x:c>
      <x:c r="W64" t="str">
        <x:f t="shared" si="9">IF(A64="","",IF(AND(T64="OK",V64="OK",Y64="OK",AB64="OK",AD64="OK"),"OK","CHECK"))</x:f>
        <x:v>OK</x:v>
      </x:c>
      <x:c r="X64" t="str">
        <x:f>IF(A64="","", "PE-"&amp;A64&amp;"-L"&amp;TEXT(B64,"00")&amp;"-"&amp;TEXT(C64,"yyyymmdd")&amp;"-"&amp;D64&amp;"-"&amp;E64)</x:f>
        <x:v>PE-KG01-L25-20251021-PM-ORD-2025-00161</x:v>
      </x:c>
      <x:c r="Y64" t="str">
        <x:f>IF(X64="","",IF(COUNTIF(_ProductionEventRef!$A$5:$A$500,X64)=1,"OK","CHECK"))</x:f>
        <x:v>OK</x:v>
      </x:c>
      <x:c r="Z64" t="n">
        <x:f>IF(X64="","",IFERROR(VLOOKUP(X64,_ProductionEventRef!$A$5:$I$500,7,FALSE),0))</x:f>
        <x:v>101779</x:v>
      </x:c>
      <x:c r="AA64" t="n">
        <x:f>IF(X64="","",IFERROR(VLOOKUP(X64,_ProductionEventRef!$A$5:$I$500,8,FALSE),0))</x:f>
        <x:v>5792</x:v>
      </x:c>
      <x:c r="AB64" t="str">
        <x:f>IF(X64="","",IF(ABS(G64-AA64)&lt;=1,"OK","CHECK"))</x:f>
        <x:v>OK</x:v>
      </x:c>
      <x:c r="AC64" t="n">
        <x:f>IF(X64="","",SUMIF(LossDetail!$C$5:$C$2000,X64,LossDetail!$L$5:$L$2000))</x:f>
        <x:v>0.05690761355485907</x:v>
      </x:c>
      <x:c r="AD64" t="str">
        <x:f>IF(X64="","",IF(ABS(S64-AC64)&lt;=0.000001,"OK","CHECK"))</x:f>
        <x:v>OK</x:v>
      </x:c>
      <x:c r="AE64" t="str">
        <x:v>LossPercent</x:v>
      </x:c>
      <x:c r="AJ64" t="str">
        <x:v>03_Process_Losses(6).xlsx</x:v>
      </x:c>
      <x:c r="AK64" t="str">
        <x:v>ENH-20260830-01</x:v>
      </x:c>
      <x:c r="AL64" t="str">
        <x:v>Active</x:v>
      </x:c>
      <x:c r="AM64" t="str">
        <x:f>IF(A64="","",IF(W64="OK","LOAD","QUARANTINE"))</x:f>
        <x:v>LOAD</x:v>
      </x:c>
    </x:row>
    <x:row r="65" ht="18" customHeight="1">
      <x:c r="A65" s="7" t="s">
        <x:v>39</x:v>
      </x:c>
      <x:c r="B65" s="8">
        <x:v>25</x:v>
      </x:c>
      <x:c r="C65" s="6">
        <x:v>45952</x:v>
      </x:c>
      <x:c r="D65" s="7" t="s">
        <x:v>40</x:v>
      </x:c>
      <x:c r="E65" s="7" t="s">
        <x:v>56</x:v>
      </x:c>
      <x:c r="F65" s="7" t="s">
        <x:v>42</x:v>
      </x:c>
      <x:c r="G65" s="9">
        <x:v>4270</x:v>
      </x:c>
      <x:c r="H65" s="10">
        <x:v>6.0491798320344396E-3</x:v>
      </x:c>
      <x:c r="I65" s="10">
        <x:v>9.4770484035206232E-3</x:v>
      </x:c>
      <x:c r="J65" s="10">
        <x:v>3.5690161009003197E-3</x:v>
      </x:c>
      <x:c r="K65" s="10">
        <x:v>2.2079506386925708E-3</x:v>
      </x:c>
      <x:c r="L65" s="10">
        <x:v>6.8154092774254695E-3</x:v>
      </x:c>
      <x:c r="M65" s="10">
        <x:v>3.2161472773649773E-3</x:v>
      </x:c>
      <x:c r="N65" s="10">
        <x:v>2.2583604706261909E-3</x:v>
      </x:c>
      <x:c r="O65" s="10">
        <x:v>1.7139342857430914E-3</x:v>
      </x:c>
      <x:c r="P65" s="10">
        <x:v>3.8412291933418692E-3</x:v>
      </x:c>
      <x:c r="Q65" s="10">
        <x:v>2.7725407563491183E-3</x:v>
      </x:c>
      <x:c r="R65" s="10">
        <x:v>1.1291802353130954E-3</x:v>
      </x:c>
      <x:c r="S65" s="15">
        <x:f t="shared" si="5"/>
        <x:v>4.3049996471311767E-2</x:v>
      </x:c>
      <x:c r="T65" t="str">
        <x:f t="shared" si="6"/>
        <x:v>OK</x:v>
      </x:c>
      <x:c r="U65" t="str">
        <x:f t="shared" si="7"/>
        <x:v>LOSS-KG01-L25-20251022-AM-ORD-2025-00161</x:v>
      </x:c>
      <x:c r="V65" t="str">
        <x:f t="shared" si="8"/>
        <x:v>OK</x:v>
      </x:c>
      <x:c r="W65" t="str">
        <x:f t="shared" si="9">IF(A65="","",IF(AND(T65="OK",V65="OK",Y65="OK",AB65="OK",AD65="OK"),"OK","CHECK"))</x:f>
        <x:v>OK</x:v>
      </x:c>
      <x:c r="X65" t="str">
        <x:f>IF(A65="","", "PE-"&amp;A65&amp;"-L"&amp;TEXT(B65,"00")&amp;"-"&amp;TEXT(C65,"yyyymmdd")&amp;"-"&amp;D65&amp;"-"&amp;E65)</x:f>
        <x:v>PE-KG01-L25-20251022-AM-ORD-2025-00161</x:v>
      </x:c>
      <x:c r="Y65" t="str">
        <x:f>IF(X65="","",IF(COUNTIF(_ProductionEventRef!$A$5:$A$500,X65)=1,"OK","CHECK"))</x:f>
        <x:v>OK</x:v>
      </x:c>
      <x:c r="Z65" t="n">
        <x:f>IF(X65="","",IFERROR(VLOOKUP(X65,_ProductionEventRef!$A$5:$I$500,7,FALSE),0))</x:f>
        <x:v>99187</x:v>
      </x:c>
      <x:c r="AA65" t="n">
        <x:f>IF(X65="","",IFERROR(VLOOKUP(X65,_ProductionEventRef!$A$5:$I$500,8,FALSE),0))</x:f>
        <x:v>4270</x:v>
      </x:c>
      <x:c r="AB65" t="str">
        <x:f>IF(X65="","",IF(ABS(G65-AA65)&lt;=1,"OK","CHECK"))</x:f>
        <x:v>OK</x:v>
      </x:c>
      <x:c r="AC65" t="n">
        <x:f>IF(X65="","",SUMIF(LossDetail!$C$5:$C$2000,X65,LossDetail!$L$5:$L$2000))</x:f>
        <x:v>0.04304999647131177</x:v>
      </x:c>
      <x:c r="AD65" t="str">
        <x:f>IF(X65="","",IF(ABS(S65-AC65)&lt;=0.000001,"OK","CHECK"))</x:f>
        <x:v>OK</x:v>
      </x:c>
      <x:c r="AE65" t="str">
        <x:v>LossPercent</x:v>
      </x:c>
      <x:c r="AJ65" t="str">
        <x:v>03_Process_Losses(6).xlsx</x:v>
      </x:c>
      <x:c r="AK65" t="str">
        <x:v>ENH-20260830-01</x:v>
      </x:c>
      <x:c r="AL65" t="str">
        <x:v>Active</x:v>
      </x:c>
      <x:c r="AM65" t="str">
        <x:f>IF(A65="","",IF(W65="OK","LOAD","QUARANTINE"))</x:f>
        <x:v>LOAD</x:v>
      </x:c>
    </x:row>
    <x:row r="66" ht="18" customHeight="1">
      <x:c r="A66" s="7" t="s">
        <x:v>39</x:v>
      </x:c>
      <x:c r="B66" s="8">
        <x:v>25</x:v>
      </x:c>
      <x:c r="C66" s="6">
        <x:v>45952</x:v>
      </x:c>
      <x:c r="D66" s="7" t="s">
        <x:v>43</x:v>
      </x:c>
      <x:c r="E66" s="7" t="s">
        <x:v>56</x:v>
      </x:c>
      <x:c r="F66" s="7" t="s">
        <x:v>42</x:v>
      </x:c>
      <x:c r="G66" s="9">
        <x:v>6183</x:v>
      </x:c>
      <x:c r="H66" s="10">
        <x:v>9.5043854801924992E-3</x:v>
      </x:c>
      <x:c r="I66" s="10">
        <x:v>1.5683240734228849E-2</x:v>
      </x:c>
      <x:c r="J66" s="10">
        <x:v>6.751529643434841E-3</x:v>
      </x:c>
      <x:c r="K66" s="10">
        <x:v>3.3456240643806577E-3</x:v>
      </x:c>
      <x:c r="L66" s="10">
        <x:v>4.4105974902796056E-3</x:v>
      </x:c>
      <x:c r="M66" s="10">
        <x:v>7.1333125697005016E-4</x:v>
      </x:c>
      <x:c r="N66" s="10">
        <x:v>2.3811198296042517E-3</x:v>
      </x:c>
      <x:c r="O66" s="10">
        <x:v>2.5318236162880652E-3</x:v>
      </x:c>
      <x:c r="P66" s="10">
        <x:v>1.3864748374910834E-3</x:v>
      </x:c>
      <x:c r="Q66" s="10">
        <x:v>9.9564968402439391E-3</x:v>
      </x:c>
      <x:c r="R66" s="10">
        <x:v>5.4554770779540454E-3</x:v>
      </x:c>
      <x:c r="S66" s="15">
        <x:f t="shared" si="5"/>
        <x:v>6.2120100871067882E-2</x:v>
      </x:c>
      <x:c r="T66" t="str">
        <x:f t="shared" si="6"/>
        <x:v>OK</x:v>
      </x:c>
      <x:c r="U66" t="str">
        <x:f t="shared" si="7"/>
        <x:v>LOSS-KG01-L25-20251022-PM-ORD-2025-00161</x:v>
      </x:c>
      <x:c r="V66" t="str">
        <x:f t="shared" si="8"/>
        <x:v>OK</x:v>
      </x:c>
      <x:c r="W66" t="str">
        <x:f t="shared" si="9">IF(A66="","",IF(AND(T66="OK",V66="OK",Y66="OK",AB66="OK",AD66="OK"),"OK","CHECK"))</x:f>
        <x:v>OK</x:v>
      </x:c>
      <x:c r="X66" t="str">
        <x:f>IF(A66="","", "PE-"&amp;A66&amp;"-L"&amp;TEXT(B66,"00")&amp;"-"&amp;TEXT(C66,"yyyymmdd")&amp;"-"&amp;D66&amp;"-"&amp;E66)</x:f>
        <x:v>PE-KG01-L25-20251022-PM-ORD-2025-00161</x:v>
      </x:c>
      <x:c r="Y66" t="str">
        <x:f>IF(X66="","",IF(COUNTIF(_ProductionEventRef!$A$5:$A$500,X66)=1,"OK","CHECK"))</x:f>
        <x:v>OK</x:v>
      </x:c>
      <x:c r="Z66" t="n">
        <x:f>IF(X66="","",IFERROR(VLOOKUP(X66,_ProductionEventRef!$A$5:$I$500,7,FALSE),0))</x:f>
        <x:v>99533</x:v>
      </x:c>
      <x:c r="AA66" t="n">
        <x:f>IF(X66="","",IFERROR(VLOOKUP(X66,_ProductionEventRef!$A$5:$I$500,8,FALSE),0))</x:f>
        <x:v>6183</x:v>
      </x:c>
      <x:c r="AB66" t="str">
        <x:f>IF(X66="","",IF(ABS(G66-AA66)&lt;=1,"OK","CHECK"))</x:f>
        <x:v>OK</x:v>
      </x:c>
      <x:c r="AC66" t="n">
        <x:f>IF(X66="","",SUMIF(LossDetail!$C$5:$C$2000,X66,LossDetail!$L$5:$L$2000))</x:f>
        <x:v>0.06212010087106788</x:v>
      </x:c>
      <x:c r="AD66" t="str">
        <x:f>IF(X66="","",IF(ABS(S66-AC66)&lt;=0.000001,"OK","CHECK"))</x:f>
        <x:v>OK</x:v>
      </x:c>
      <x:c r="AE66" t="str">
        <x:v>LossPercent</x:v>
      </x:c>
      <x:c r="AJ66" t="str">
        <x:v>03_Process_Losses(6).xlsx</x:v>
      </x:c>
      <x:c r="AK66" t="str">
        <x:v>ENH-20260830-01</x:v>
      </x:c>
      <x:c r="AL66" t="str">
        <x:v>Active</x:v>
      </x:c>
      <x:c r="AM66" t="str">
        <x:f>IF(A66="","",IF(W66="OK","LOAD","QUARANTINE"))</x:f>
        <x:v>LOAD</x:v>
      </x:c>
    </x:row>
    <x:row r="67" ht="18" customHeight="1">
      <x:c r="A67" s="7" t="s">
        <x:v>39</x:v>
      </x:c>
      <x:c r="B67" s="8">
        <x:v>25</x:v>
      </x:c>
      <x:c r="C67" s="6">
        <x:v>45953</x:v>
      </x:c>
      <x:c r="D67" s="7" t="s">
        <x:v>40</x:v>
      </x:c>
      <x:c r="E67" s="7" t="s">
        <x:v>57</x:v>
      </x:c>
      <x:c r="F67" s="7" t="s">
        <x:v>42</x:v>
      </x:c>
      <x:c r="G67" s="9">
        <x:v>6613</x:v>
      </x:c>
      <x:c r="H67" s="10">
        <x:v>8.455577190110853E-3</x:v>
      </x:c>
      <x:c r="I67" s="10">
        <x:v>1.1643872809501276E-2</x:v>
      </x:c>
      <x:c r="J67" s="10">
        <x:v>1.6368135661590734E-3</x:v>
      </x:c>
      <x:c r="K67" s="10">
        <x:v>1.4273634889728412E-3</x:v>
      </x:c>
      <x:c r="L67" s="10">
        <x:v>5.5155186992374462E-3</x:v>
      </x:c>
      <x:c r="M67" s="10">
        <x:v>2.6375194904932936E-3</x:v>
      </x:c>
      <x:c r="N67" s="10">
        <x:v>2.7538806444856448E-3</x:v>
      </x:c>
      <x:c r="O67" s="10">
        <x:v>5.0423166730018847E-4</x:v>
      </x:c>
      <x:c r="P67" s="10">
        <x:v>6.9816692395410712E-3</x:v>
      </x:c>
      <x:c r="Q67" s="10">
        <x:v>3.7235569277552383E-3</x:v>
      </x:c>
      <x:c r="R67" s="10">
        <x:v>6.0197503665376352E-3</x:v>
      </x:c>
      <x:c r="S67" s="15">
        <x:f t="shared" si="5"/>
        <x:v>5.129975409009456E-2</x:v>
      </x:c>
      <x:c r="T67" t="str">
        <x:f t="shared" si="6"/>
        <x:v>OK</x:v>
      </x:c>
      <x:c r="U67" t="str">
        <x:f t="shared" si="7"/>
        <x:v>LOSS-KG01-L25-20251023-AM-ORD-2025-00162</x:v>
      </x:c>
      <x:c r="V67" t="str">
        <x:f t="shared" si="8"/>
        <x:v>OK</x:v>
      </x:c>
      <x:c r="W67" t="str">
        <x:f t="shared" si="9">IF(A67="","",IF(AND(T67="OK",V67="OK",Y67="OK",AB67="OK",AD67="OK"),"OK","CHECK"))</x:f>
        <x:v>OK</x:v>
      </x:c>
      <x:c r="X67" t="str">
        <x:f>IF(A67="","", "PE-"&amp;A67&amp;"-L"&amp;TEXT(B67,"00")&amp;"-"&amp;TEXT(C67,"yyyymmdd")&amp;"-"&amp;D67&amp;"-"&amp;E67)</x:f>
        <x:v>PE-KG01-L25-20251023-AM-ORD-2025-00162</x:v>
      </x:c>
      <x:c r="Y67" t="str">
        <x:f>IF(X67="","",IF(COUNTIF(_ProductionEventRef!$A$5:$A$500,X67)=1,"OK","CHECK"))</x:f>
        <x:v>OK</x:v>
      </x:c>
      <x:c r="Z67" t="n">
        <x:f>IF(X67="","",IFERROR(VLOOKUP(X67,_ProductionEventRef!$A$5:$I$500,7,FALSE),0))</x:f>
        <x:v>128909</x:v>
      </x:c>
      <x:c r="AA67" t="n">
        <x:f>IF(X67="","",IFERROR(VLOOKUP(X67,_ProductionEventRef!$A$5:$I$500,8,FALSE),0))</x:f>
        <x:v>6613</x:v>
      </x:c>
      <x:c r="AB67" t="str">
        <x:f>IF(X67="","",IF(ABS(G67-AA67)&lt;=1,"OK","CHECK"))</x:f>
        <x:v>OK</x:v>
      </x:c>
      <x:c r="AC67" t="n">
        <x:f>IF(X67="","",SUMIF(LossDetail!$C$5:$C$2000,X67,LossDetail!$L$5:$L$2000))</x:f>
        <x:v>0.05129975409009456</x:v>
      </x:c>
      <x:c r="AD67" t="str">
        <x:f>IF(X67="","",IF(ABS(S67-AC67)&lt;=0.000001,"OK","CHECK"))</x:f>
        <x:v>OK</x:v>
      </x:c>
      <x:c r="AE67" t="str">
        <x:v>LossPercent</x:v>
      </x:c>
      <x:c r="AJ67" t="str">
        <x:v>03_Process_Losses(6).xlsx</x:v>
      </x:c>
      <x:c r="AK67" t="str">
        <x:v>ENH-20260830-01</x:v>
      </x:c>
      <x:c r="AL67" t="str">
        <x:v>Active</x:v>
      </x:c>
      <x:c r="AM67" t="str">
        <x:f>IF(A67="","",IF(W67="OK","LOAD","QUARANTINE"))</x:f>
        <x:v>LOAD</x:v>
      </x:c>
    </x:row>
    <x:row r="68" ht="18" customHeight="1">
      <x:c r="A68" s="7" t="s">
        <x:v>39</x:v>
      </x:c>
      <x:c r="B68" s="8">
        <x:v>25</x:v>
      </x:c>
      <x:c r="C68" s="6">
        <x:v>45953</x:v>
      </x:c>
      <x:c r="D68" s="7" t="s">
        <x:v>43</x:v>
      </x:c>
      <x:c r="E68" s="7" t="s">
        <x:v>57</x:v>
      </x:c>
      <x:c r="F68" s="7" t="s">
        <x:v>42</x:v>
      </x:c>
      <x:c r="G68" s="9">
        <x:v>12718</x:v>
      </x:c>
      <x:c r="H68" s="10">
        <x:v>6.4972021737926032E-3</x:v>
      </x:c>
      <x:c r="I68" s="10">
        <x:v>1.0380413705570973E-2</x:v>
      </x:c>
      <x:c r="J68" s="10">
        <x:v>3.2334913143991094E-3</x:v>
      </x:c>
      <x:c r="K68" s="10">
        <x:v>4.9006028799226378E-3</x:v>
      </x:c>
      <x:c r="L68" s="10">
        <x:v>6.6936292162561003E-3</x:v>
      </x:c>
      <x:c r="M68" s="10">
        <x:v>5.1423592398777114E-3</x:v>
      </x:c>
      <x:c r="N68" s="10">
        <x:v>5.5402499156371032E-3</x:v>
      </x:c>
      <x:c r="O68" s="10">
        <x:v>7.6354717019144081E-3</x:v>
      </x:c>
      <x:c r="P68" s="10">
        <x:v>5.797116048089369E-3</x:v>
      </x:c>
      <x:c r="Q68" s="10">
        <x:v>3.2838572227230833E-3</x:v>
      </x:c>
      <x:c r="R68" s="10">
        <x:v>4.9509687882466112E-3</x:v>
      </x:c>
      <x:c r="S68" s="15">
        <x:f t="shared" si="5"/>
        <x:v>6.4055362206429711E-2</x:v>
      </x:c>
      <x:c r="T68" t="str">
        <x:f t="shared" si="6"/>
        <x:v>OK</x:v>
      </x:c>
      <x:c r="U68" t="str">
        <x:f t="shared" si="7"/>
        <x:v>LOSS-KG01-L25-20251023-PM-ORD-2025-00162</x:v>
      </x:c>
      <x:c r="V68" t="str">
        <x:f t="shared" si="8"/>
        <x:v>OK</x:v>
      </x:c>
      <x:c r="W68" t="str">
        <x:f t="shared" si="9">IF(A68="","",IF(AND(T68="OK",V68="OK",Y68="OK",AB68="OK",AD68="OK"),"OK","CHECK"))</x:f>
        <x:v>OK</x:v>
      </x:c>
      <x:c r="X68" t="str">
        <x:f>IF(A68="","", "PE-"&amp;A68&amp;"-L"&amp;TEXT(B68,"00")&amp;"-"&amp;TEXT(C68,"yyyymmdd")&amp;"-"&amp;D68&amp;"-"&amp;E68)</x:f>
        <x:v>PE-KG01-L25-20251023-PM-ORD-2025-00162</x:v>
      </x:c>
      <x:c r="Y68" t="str">
        <x:f>IF(X68="","",IF(COUNTIF(_ProductionEventRef!$A$5:$A$500,X68)=1,"OK","CHECK"))</x:f>
        <x:v>OK</x:v>
      </x:c>
      <x:c r="Z68" t="n">
        <x:f>IF(X68="","",IFERROR(VLOOKUP(X68,_ProductionEventRef!$A$5:$I$500,7,FALSE),0))</x:f>
        <x:v>198547</x:v>
      </x:c>
      <x:c r="AA68" t="n">
        <x:f>IF(X68="","",IFERROR(VLOOKUP(X68,_ProductionEventRef!$A$5:$I$500,8,FALSE),0))</x:f>
        <x:v>12718</x:v>
      </x:c>
      <x:c r="AB68" t="str">
        <x:f>IF(X68="","",IF(ABS(G68-AA68)&lt;=1,"OK","CHECK"))</x:f>
        <x:v>OK</x:v>
      </x:c>
      <x:c r="AC68" t="n">
        <x:f>IF(X68="","",SUMIF(LossDetail!$C$5:$C$2000,X68,LossDetail!$L$5:$L$2000))</x:f>
        <x:v>0.06405536220642971</x:v>
      </x:c>
      <x:c r="AD68" t="str">
        <x:f>IF(X68="","",IF(ABS(S68-AC68)&lt;=0.000001,"OK","CHECK"))</x:f>
        <x:v>OK</x:v>
      </x:c>
      <x:c r="AE68" t="str">
        <x:v>LossPercent</x:v>
      </x:c>
      <x:c r="AJ68" t="str">
        <x:v>03_Process_Losses(6).xlsx</x:v>
      </x:c>
      <x:c r="AK68" t="str">
        <x:v>ENH-20260830-01</x:v>
      </x:c>
      <x:c r="AL68" t="str">
        <x:v>Active</x:v>
      </x:c>
      <x:c r="AM68" t="str">
        <x:f>IF(A68="","",IF(W68="OK","LOAD","QUARANTINE"))</x:f>
        <x:v>LOAD</x:v>
      </x:c>
    </x:row>
    <x:row r="69" ht="18" customHeight="1">
      <x:c r="A69" s="7" t="s">
        <x:v>39</x:v>
      </x:c>
      <x:c r="B69" s="8">
        <x:v>25</x:v>
      </x:c>
      <x:c r="C69" s="6">
        <x:v>45954</x:v>
      </x:c>
      <x:c r="D69" s="7" t="s">
        <x:v>40</x:v>
      </x:c>
      <x:c r="E69" s="7" t="s">
        <x:v>57</x:v>
      </x:c>
      <x:c r="F69" s="7" t="s">
        <x:v>42</x:v>
      </x:c>
      <x:c r="G69" s="9">
        <x:v>10139</x:v>
      </x:c>
      <x:c r="H69" s="10">
        <x:v>5.3414685781596905E-3</x:v>
      </x:c>
      <x:c r="I69" s="10">
        <x:v>1.3511092775446615E-2</x:v>
      </x:c>
      <x:c r="J69" s="10">
        <x:v>5.1731906046607566E-3</x:v>
      </x:c>
      <x:c r="K69" s="10">
        <x:v>3.5121241565745118E-3</x:v>
      </x:c>
      <x:c r="L69" s="10">
        <x:v>4.5163636758423402E-3</x:v>
      </x:c>
      <x:c r="M69" s="10">
        <x:v>3.3655594699786668E-3</x:v>
      </x:c>
      <x:c r="N69" s="10">
        <x:v>2.9367220536426755E-3</x:v>
      </x:c>
      <x:c r="O69" s="10">
        <x:v>2.3124650551788902E-3</x:v>
      </x:c>
      <x:c r="P69" s="10">
        <x:v>3.6478321997188128E-3</x:v>
      </x:c>
      <x:c r="Q69" s="10">
        <x:v>7.442229086033471E-3</x:v>
      </x:c>
      <x:c r="R69" s="10">
        <x:v>3.2787063223663139E-3</x:v>
      </x:c>
      <x:c r="S69" s="15" t="n">
        <x:f t="shared" ref="S69:S100" si="10">IF(A69="","",SUM(H69:R69))</x:f>
        <x:v>0.05503775397760275</x:v>
      </x:c>
      <x:c r="T69" t="str">
        <x:f t="shared" ref="T69:T100" si="11">IF(A69="","",IF(AND(MIN(H69:R69)&gt;=0,MAX(H69:R69)&lt;=1,S69&lt;=1),"OK","CHECK"))</x:f>
        <x:v>OK</x:v>
      </x:c>
      <x:c r="U69" t="str">
        <x:f t="shared" ref="U69:U100" si="12">IF(A69="","", "LOSS-"&amp;A69&amp;"-L"&amp;TEXT(B69,"00")&amp;"-"&amp;TEXT(C69,"yyyymmdd")&amp;"-"&amp;D69&amp;"-"&amp;E69)</x:f>
        <x:v>LOSS-KG01-L25-20251024-AM-ORD-2025-00162</x:v>
      </x:c>
      <x:c r="V69" t="str">
        <x:f t="shared" ref="V69:V100" si="13">IF(U69="","",IF(COUNTIF($U$5:$U$120,U69)=1,"OK","CHECK"))</x:f>
        <x:v>OK</x:v>
      </x:c>
      <x:c r="W69" t="str">
        <x:f t="shared" ref="W69:W100" si="14">IF(A69="","",IF(AND(T69="OK",V69="OK",Y69="OK",AB69="OK",AD69="OK"),"OK","CHECK"))</x:f>
        <x:v>OK</x:v>
      </x:c>
      <x:c r="X69" t="str">
        <x:f>IF(A69="","", "PE-"&amp;A69&amp;"-L"&amp;TEXT(B69,"00")&amp;"-"&amp;TEXT(C69,"yyyymmdd")&amp;"-"&amp;D69&amp;"-"&amp;E69)</x:f>
        <x:v>PE-KG01-L25-20251024-AM-ORD-2025-00162</x:v>
      </x:c>
      <x:c r="Y69" t="str">
        <x:f>IF(X69="","",IF(COUNTIF(_ProductionEventRef!$A$5:$A$500,X69)=1,"OK","CHECK"))</x:f>
        <x:v>OK</x:v>
      </x:c>
      <x:c r="Z69" t="n">
        <x:f>IF(X69="","",IFERROR(VLOOKUP(X69,_ProductionEventRef!$A$5:$I$500,7,FALSE),0))</x:f>
        <x:v>184219</x:v>
      </x:c>
      <x:c r="AA69" t="n">
        <x:f>IF(X69="","",IFERROR(VLOOKUP(X69,_ProductionEventRef!$A$5:$I$500,8,FALSE),0))</x:f>
        <x:v>10139</x:v>
      </x:c>
      <x:c r="AB69" t="str">
        <x:f>IF(X69="","",IF(ABS(G69-AA69)&lt;=1,"OK","CHECK"))</x:f>
        <x:v>OK</x:v>
      </x:c>
      <x:c r="AC69" t="n">
        <x:f>IF(X69="","",SUMIF(LossDetail!$C$5:$C$2000,X69,LossDetail!$L$5:$L$2000))</x:f>
        <x:v>0.05503775397760275</x:v>
      </x:c>
      <x:c r="AD69" t="str">
        <x:f>IF(X69="","",IF(ABS(S69-AC69)&lt;=0.000001,"OK","CHECK"))</x:f>
        <x:v>OK</x:v>
      </x:c>
      <x:c r="AE69" t="str">
        <x:v>LossPercent</x:v>
      </x:c>
      <x:c r="AJ69" t="str">
        <x:v>03_Process_Losses(6).xlsx</x:v>
      </x:c>
      <x:c r="AK69" t="str">
        <x:v>ENH-20260830-01</x:v>
      </x:c>
      <x:c r="AL69" t="str">
        <x:v>Active</x:v>
      </x:c>
      <x:c r="AM69" t="str">
        <x:f>IF(A69="","",IF(W69="OK","LOAD","QUARANTINE"))</x:f>
        <x:v>LOAD</x:v>
      </x:c>
    </x:row>
    <x:row r="70" ht="18" customHeight="1">
      <x:c r="A70" s="7" t="s">
        <x:v>39</x:v>
      </x:c>
      <x:c r="B70" s="8">
        <x:v>25</x:v>
      </x:c>
      <x:c r="C70" s="6">
        <x:v>45954</x:v>
      </x:c>
      <x:c r="D70" s="7" t="s">
        <x:v>43</x:v>
      </x:c>
      <x:c r="E70" s="7" t="s">
        <x:v>57</x:v>
      </x:c>
      <x:c r="F70" s="7" t="s">
        <x:v>42</x:v>
      </x:c>
      <x:c r="G70" s="9">
        <x:v>11342</x:v>
      </x:c>
      <x:c r="H70" s="10">
        <x:v>9.3089887028422642E-3</x:v>
      </x:c>
      <x:c r="I70" s="10">
        <x:v>1.1177322889544955E-2</x:v>
      </x:c>
      <x:c r="J70" s="10">
        <x:v>1.3726536881897313E-2</x:v>
      </x:c>
      <x:c r="K70" s="10">
        <x:v>1.0349373045874957E-3</x:v>
      </x:c>
      <x:c r="L70" s="10">
        <x:v>5.485167714313728E-3</x:v>
      </x:c>
      <x:c r="M70" s="10">
        <x:v>1.6286644951140066E-3</x:v>
      </x:c>
      <x:c r="N70" s="10">
        <x:v>1.3998888804157179E-3</x:v>
      </x:c>
      <x:c r="O70" s="10">
        <x:v>1.7484993409083481E-3</x:v>
      </x:c>
      <x:c r="P70" s="10">
        <x:v>2.8106718377218305E-3</x:v>
      </x:c>
      <x:c r="Q70" s="10">
        <x:v>7.7838179381870074E-3</x:v>
      </x:c>
      <x:c r="R70" s="10">
        <x:v>5.6758140598956348E-3</x:v>
      </x:c>
      <x:c r="S70" s="15">
        <x:f t="shared" si="10"/>
        <x:v>6.1780310045428305E-2</x:v>
      </x:c>
      <x:c r="T70" t="str">
        <x:f t="shared" si="11"/>
        <x:v>OK</x:v>
      </x:c>
      <x:c r="U70" t="str">
        <x:f t="shared" si="12"/>
        <x:v>LOSS-KG01-L25-20251024-PM-ORD-2025-00162</x:v>
      </x:c>
      <x:c r="V70" t="str">
        <x:f t="shared" si="13"/>
        <x:v>OK</x:v>
      </x:c>
      <x:c r="W70" t="str">
        <x:f t="shared" si="14">IF(A70="","",IF(AND(T70="OK",V70="OK",Y70="OK",AB70="OK",AD70="OK"),"OK","CHECK"))</x:f>
        <x:v>OK</x:v>
      </x:c>
      <x:c r="X70" t="str">
        <x:f>IF(A70="","", "PE-"&amp;A70&amp;"-L"&amp;TEXT(B70,"00")&amp;"-"&amp;TEXT(C70,"yyyymmdd")&amp;"-"&amp;D70&amp;"-"&amp;E70)</x:f>
        <x:v>PE-KG01-L25-20251024-PM-ORD-2025-00162</x:v>
      </x:c>
      <x:c r="Y70" t="str">
        <x:f>IF(X70="","",IF(COUNTIF(_ProductionEventRef!$A$5:$A$500,X70)=1,"OK","CHECK"))</x:f>
        <x:v>OK</x:v>
      </x:c>
      <x:c r="Z70" t="n">
        <x:f>IF(X70="","",IFERROR(VLOOKUP(X70,_ProductionEventRef!$A$5:$I$500,7,FALSE),0))</x:f>
        <x:v>183586</x:v>
      </x:c>
      <x:c r="AA70" t="n">
        <x:f>IF(X70="","",IFERROR(VLOOKUP(X70,_ProductionEventRef!$A$5:$I$500,8,FALSE),0))</x:f>
        <x:v>11342</x:v>
      </x:c>
      <x:c r="AB70" t="str">
        <x:f>IF(X70="","",IF(ABS(G70-AA70)&lt;=1,"OK","CHECK"))</x:f>
        <x:v>OK</x:v>
      </x:c>
      <x:c r="AC70" t="n">
        <x:f>IF(X70="","",SUMIF(LossDetail!$C$5:$C$2000,X70,LossDetail!$L$5:$L$2000))</x:f>
        <x:v>0.061780310045428305</x:v>
      </x:c>
      <x:c r="AD70" t="str">
        <x:f>IF(X70="","",IF(ABS(S70-AC70)&lt;=0.000001,"OK","CHECK"))</x:f>
        <x:v>OK</x:v>
      </x:c>
      <x:c r="AE70" t="str">
        <x:v>LossPercent</x:v>
      </x:c>
      <x:c r="AJ70" t="str">
        <x:v>03_Process_Losses(6).xlsx</x:v>
      </x:c>
      <x:c r="AK70" t="str">
        <x:v>ENH-20260830-01</x:v>
      </x:c>
      <x:c r="AL70" t="str">
        <x:v>Active</x:v>
      </x:c>
      <x:c r="AM70" t="str">
        <x:f>IF(A70="","",IF(W70="OK","LOAD","QUARANTINE"))</x:f>
        <x:v>LOAD</x:v>
      </x:c>
    </x:row>
    <x:row r="71" ht="18" customHeight="1">
      <x:c r="A71" s="7" t="s">
        <x:v>39</x:v>
      </x:c>
      <x:c r="B71" s="8">
        <x:v>25</x:v>
      </x:c>
      <x:c r="C71" s="6">
        <x:v>45955</x:v>
      </x:c>
      <x:c r="D71" s="7" t="s">
        <x:v>40</x:v>
      </x:c>
      <x:c r="E71" s="7" t="s">
        <x:v>57</x:v>
      </x:c>
      <x:c r="F71" s="7" t="s">
        <x:v>42</x:v>
      </x:c>
      <x:c r="G71" s="9">
        <x:v>9330</x:v>
      </x:c>
      <x:c r="H71" s="10">
        <x:v>1.0208212523386983E-2</x:v>
      </x:c>
      <x:c r="I71" s="10">
        <x:v>1.4086895631147631E-2</x:v>
      </x:c>
      <x:c r="J71" s="10">
        <x:v>1.2308937930128998E-3</x:v>
      </x:c>
      <x:c r="K71" s="10">
        <x:v>1.3403065746140463E-3</x:v>
      </x:c>
      <x:c r="L71" s="10">
        <x:v>7.2321848638357937E-3</x:v>
      </x:c>
      <x:c r="M71" s="10">
        <x:v>2.0460190159414422E-3</x:v>
      </x:c>
      <x:c r="N71" s="10">
        <x:v>2.9377331859907875E-3</x:v>
      </x:c>
      <x:c r="O71" s="10">
        <x:v>1.3348359355339892E-3</x:v>
      </x:c>
      <x:c r="P71" s="10">
        <x:v>5.9082902064619186E-4</x:v>
      </x:c>
      <x:c r="Q71" s="10">
        <x:v>6.7234154293904615E-3</x:v>
      </x:c>
      <x:c r="R71" s="10">
        <x:v>3.3097366434346859E-3</x:v>
      </x:c>
      <x:c r="S71" s="15">
        <x:f t="shared" si="10"/>
        <x:v>5.1041062616934918E-2</x:v>
      </x:c>
      <x:c r="T71" t="str">
        <x:f t="shared" si="11"/>
        <x:v>OK</x:v>
      </x:c>
      <x:c r="U71" t="str">
        <x:f t="shared" si="12"/>
        <x:v>LOSS-KG01-L25-20251025-AM-ORD-2025-00162</x:v>
      </x:c>
      <x:c r="V71" t="str">
        <x:f t="shared" si="13"/>
        <x:v>OK</x:v>
      </x:c>
      <x:c r="W71" t="str">
        <x:f t="shared" si="14">IF(A71="","",IF(AND(T71="OK",V71="OK",Y71="OK",AB71="OK",AD71="OK"),"OK","CHECK"))</x:f>
        <x:v>OK</x:v>
      </x:c>
      <x:c r="X71" t="str">
        <x:f>IF(A71="","", "PE-"&amp;A71&amp;"-L"&amp;TEXT(B71,"00")&amp;"-"&amp;TEXT(C71,"yyyymmdd")&amp;"-"&amp;D71&amp;"-"&amp;E71)</x:f>
        <x:v>PE-KG01-L25-20251025-AM-ORD-2025-00162</x:v>
      </x:c>
      <x:c r="Y71" t="str">
        <x:f>IF(X71="","",IF(COUNTIF(_ProductionEventRef!$A$5:$A$500,X71)=1,"OK","CHECK"))</x:f>
        <x:v>OK</x:v>
      </x:c>
      <x:c r="Z71" t="n">
        <x:f>IF(X71="","",IFERROR(VLOOKUP(X71,_ProductionEventRef!$A$5:$I$500,7,FALSE),0))</x:f>
        <x:v>182794</x:v>
      </x:c>
      <x:c r="AA71" t="n">
        <x:f>IF(X71="","",IFERROR(VLOOKUP(X71,_ProductionEventRef!$A$5:$I$500,8,FALSE),0))</x:f>
        <x:v>9330</x:v>
      </x:c>
      <x:c r="AB71" t="str">
        <x:f>IF(X71="","",IF(ABS(G71-AA71)&lt;=1,"OK","CHECK"))</x:f>
        <x:v>OK</x:v>
      </x:c>
      <x:c r="AC71" t="n">
        <x:f>IF(X71="","",SUMIF(LossDetail!$C$5:$C$2000,X71,LossDetail!$L$5:$L$2000))</x:f>
        <x:v>0.05104106261693492</x:v>
      </x:c>
      <x:c r="AD71" t="str">
        <x:f>IF(X71="","",IF(ABS(S71-AC71)&lt;=0.000001,"OK","CHECK"))</x:f>
        <x:v>OK</x:v>
      </x:c>
      <x:c r="AE71" t="str">
        <x:v>LossPercent</x:v>
      </x:c>
      <x:c r="AJ71" t="str">
        <x:v>03_Process_Losses(6).xlsx</x:v>
      </x:c>
      <x:c r="AK71" t="str">
        <x:v>ENH-20260830-01</x:v>
      </x:c>
      <x:c r="AL71" t="str">
        <x:v>Active</x:v>
      </x:c>
      <x:c r="AM71" t="str">
        <x:f>IF(A71="","",IF(W71="OK","LOAD","QUARANTINE"))</x:f>
        <x:v>LOAD</x:v>
      </x:c>
    </x:row>
    <x:row r="72" ht="18" customHeight="1">
      <x:c r="A72" s="7" t="s">
        <x:v>39</x:v>
      </x:c>
      <x:c r="B72" s="8">
        <x:v>25</x:v>
      </x:c>
      <x:c r="C72" s="6">
        <x:v>45955</x:v>
      </x:c>
      <x:c r="D72" s="7" t="s">
        <x:v>43</x:v>
      </x:c>
      <x:c r="E72" s="7" t="s">
        <x:v>57</x:v>
      </x:c>
      <x:c r="F72" s="7" t="s">
        <x:v>42</x:v>
      </x:c>
      <x:c r="G72" s="9">
        <x:v>6003</x:v>
      </x:c>
      <x:c r="H72" s="10">
        <x:v>3.9123013014692098E-3</x:v>
      </x:c>
      <x:c r="I72" s="10">
        <x:v>5.2098236750964507E-3</x:v>
      </x:c>
      <x:c r="J72" s="10">
        <x:v>3.4633486931038905E-3</x:v>
      </x:c>
      <x:c r="K72" s="10">
        <x:v>1.5441996309708231E-3</x:v>
      </x:c>
      <x:c r="L72" s="10">
        <x:v>3.2413391614946668E-3</x:v>
      </x:c>
      <x:c r="M72" s="10">
        <x:v>2.9354593623886253E-3</x:v>
      </x:c>
      <x:c r="N72" s="10">
        <x:v>7.8443367835259064E-4</x:v>
      </x:c>
      <x:c r="O72" s="10">
        <x:v>2.308899128735927E-3</x:v>
      </x:c>
      <x:c r="P72" s="10">
        <x:v>6.8082923026828619E-4</x:v>
      </x:c>
      <x:c r="Q72" s="10">
        <x:v>3.6113550475100399E-3</x:v>
      </x:c>
      <x:c r="R72" s="10">
        <x:v>1.9240826072799391E-3</x:v>
      </x:c>
      <x:c r="S72" s="15">
        <x:f t="shared" si="10"/>
        <x:v>2.9616071516670447E-2</x:v>
      </x:c>
      <x:c r="T72" t="str">
        <x:f t="shared" si="11"/>
        <x:v>OK</x:v>
      </x:c>
      <x:c r="U72" t="str">
        <x:f t="shared" si="12"/>
        <x:v>LOSS-KG01-L25-20251025-PM-ORD-2025-00162</x:v>
      </x:c>
      <x:c r="V72" t="str">
        <x:f t="shared" si="13"/>
        <x:v>OK</x:v>
      </x:c>
      <x:c r="W72" t="str">
        <x:f t="shared" si="14">IF(A72="","",IF(AND(T72="OK",V72="OK",Y72="OK",AB72="OK",AD72="OK"),"OK","CHECK"))</x:f>
        <x:v>OK</x:v>
      </x:c>
      <x:c r="X72" t="str">
        <x:f>IF(A72="","", "PE-"&amp;A72&amp;"-L"&amp;TEXT(B72,"00")&amp;"-"&amp;TEXT(C72,"yyyymmdd")&amp;"-"&amp;D72&amp;"-"&amp;E72)</x:f>
        <x:v>PE-KG01-L25-20251025-PM-ORD-2025-00162</x:v>
      </x:c>
      <x:c r="Y72" t="str">
        <x:f>IF(X72="","",IF(COUNTIF(_ProductionEventRef!$A$5:$A$500,X72)=1,"OK","CHECK"))</x:f>
        <x:v>OK</x:v>
      </x:c>
      <x:c r="Z72" t="n">
        <x:f>IF(X72="","",IFERROR(VLOOKUP(X72,_ProductionEventRef!$A$5:$I$500,7,FALSE),0))</x:f>
        <x:v>202694</x:v>
      </x:c>
      <x:c r="AA72" t="n">
        <x:f>IF(X72="","",IFERROR(VLOOKUP(X72,_ProductionEventRef!$A$5:$I$500,8,FALSE),0))</x:f>
        <x:v>6003</x:v>
      </x:c>
      <x:c r="AB72" t="str">
        <x:f>IF(X72="","",IF(ABS(G72-AA72)&lt;=1,"OK","CHECK"))</x:f>
        <x:v>OK</x:v>
      </x:c>
      <x:c r="AC72" t="n">
        <x:f>IF(X72="","",SUMIF(LossDetail!$C$5:$C$2000,X72,LossDetail!$L$5:$L$2000))</x:f>
        <x:v>0.029616071516670447</x:v>
      </x:c>
      <x:c r="AD72" t="str">
        <x:f>IF(X72="","",IF(ABS(S72-AC72)&lt;=0.000001,"OK","CHECK"))</x:f>
        <x:v>OK</x:v>
      </x:c>
      <x:c r="AE72" t="str">
        <x:v>LossPercent</x:v>
      </x:c>
      <x:c r="AJ72" t="str">
        <x:v>03_Process_Losses(6).xlsx</x:v>
      </x:c>
      <x:c r="AK72" t="str">
        <x:v>ENH-20260830-01</x:v>
      </x:c>
      <x:c r="AL72" t="str">
        <x:v>Active</x:v>
      </x:c>
      <x:c r="AM72" t="str">
        <x:f>IF(A72="","",IF(W72="OK","LOAD","QUARANTINE"))</x:f>
        <x:v>LOAD</x:v>
      </x:c>
    </x:row>
    <x:row r="73" ht="18" customHeight="1">
      <x:c r="A73" s="7" t="s">
        <x:v>39</x:v>
      </x:c>
      <x:c r="B73" s="8">
        <x:v>25</x:v>
      </x:c>
      <x:c r="C73" s="6">
        <x:v>45956</x:v>
      </x:c>
      <x:c r="D73" s="7" t="s">
        <x:v>40</x:v>
      </x:c>
      <x:c r="E73" s="7" t="s">
        <x:v>57</x:v>
      </x:c>
      <x:c r="F73" s="7" t="s">
        <x:v>42</x:v>
      </x:c>
      <x:c r="G73" s="9">
        <x:v>13046</x:v>
      </x:c>
      <x:c r="H73" s="10">
        <x:v>6.8618572295811231E-3</x:v>
      </x:c>
      <x:c r="I73" s="10">
        <x:v>1.566931719793398E-2</x:v>
      </x:c>
      <x:c r="J73" s="10">
        <x:v>3.1149547684682982E-3</x:v>
      </x:c>
      <x:c r="K73" s="10">
        <x:v>4.4932973736851014E-3</x:v>
      </x:c>
      <x:c r="L73" s="10">
        <x:v>5.9512554362429462E-3</x:v>
      </x:c>
      <x:c r="M73" s="10">
        <x:v>5.6726013355492969E-3</x:v>
      </x:c>
      <x:c r="N73" s="10">
        <x:v>3.1000268702168527E-3</x:v>
      </x:c>
      <x:c r="O73" s="10">
        <x:v>3.6274792751012611E-3</x:v>
      </x:c>
      <x:c r="P73" s="10">
        <x:v>5.4735626921966895E-4</x:v>
      </x:c>
      <x:c r="Q73" s="10">
        <x:v>1.1832847347312481E-2</x:v>
      </x:c>
      <x:c r="R73" s="10">
        <x:v>4.0454604261417355E-3</x:v>
      </x:c>
      <x:c r="S73" s="15">
        <x:f t="shared" si="10"/>
        <x:v>6.4916453529452744E-2</x:v>
      </x:c>
      <x:c r="T73" t="str">
        <x:f t="shared" si="11"/>
        <x:v>OK</x:v>
      </x:c>
      <x:c r="U73" t="str">
        <x:f t="shared" si="12"/>
        <x:v>LOSS-KG01-L25-20251026-AM-ORD-2025-00162</x:v>
      </x:c>
      <x:c r="V73" t="str">
        <x:f t="shared" si="13"/>
        <x:v>OK</x:v>
      </x:c>
      <x:c r="W73" t="str">
        <x:f t="shared" si="14">IF(A73="","",IF(AND(T73="OK",V73="OK",Y73="OK",AB73="OK",AD73="OK"),"OK","CHECK"))</x:f>
        <x:v>OK</x:v>
      </x:c>
      <x:c r="X73" t="str">
        <x:f>IF(A73="","", "PE-"&amp;A73&amp;"-L"&amp;TEXT(B73,"00")&amp;"-"&amp;TEXT(C73,"yyyymmdd")&amp;"-"&amp;D73&amp;"-"&amp;E73)</x:f>
        <x:v>PE-KG01-L25-20251026-AM-ORD-2025-00162</x:v>
      </x:c>
      <x:c r="Y73" t="str">
        <x:f>IF(X73="","",IF(COUNTIF(_ProductionEventRef!$A$5:$A$500,X73)=1,"OK","CHECK"))</x:f>
        <x:v>OK</x:v>
      </x:c>
      <x:c r="Z73" t="n">
        <x:f>IF(X73="","",IFERROR(VLOOKUP(X73,_ProductionEventRef!$A$5:$I$500,7,FALSE),0))</x:f>
        <x:v>200966</x:v>
      </x:c>
      <x:c r="AA73" t="n">
        <x:f>IF(X73="","",IFERROR(VLOOKUP(X73,_ProductionEventRef!$A$5:$I$500,8,FALSE),0))</x:f>
        <x:v>13046</x:v>
      </x:c>
      <x:c r="AB73" t="str">
        <x:f>IF(X73="","",IF(ABS(G73-AA73)&lt;=1,"OK","CHECK"))</x:f>
        <x:v>OK</x:v>
      </x:c>
      <x:c r="AC73" t="n">
        <x:f>IF(X73="","",SUMIF(LossDetail!$C$5:$C$2000,X73,LossDetail!$L$5:$L$2000))</x:f>
        <x:v>0.06491645352945274</x:v>
      </x:c>
      <x:c r="AD73" t="str">
        <x:f>IF(X73="","",IF(ABS(S73-AC73)&lt;=0.000001,"OK","CHECK"))</x:f>
        <x:v>OK</x:v>
      </x:c>
      <x:c r="AE73" t="str">
        <x:v>LossPercent</x:v>
      </x:c>
      <x:c r="AJ73" t="str">
        <x:v>03_Process_Losses(6).xlsx</x:v>
      </x:c>
      <x:c r="AK73" t="str">
        <x:v>ENH-20260830-01</x:v>
      </x:c>
      <x:c r="AL73" t="str">
        <x:v>Active</x:v>
      </x:c>
      <x:c r="AM73" t="str">
        <x:f>IF(A73="","",IF(W73="OK","LOAD","QUARANTINE"))</x:f>
        <x:v>LOAD</x:v>
      </x:c>
    </x:row>
    <x:row r="74" ht="18" customHeight="1">
      <x:c r="A74" s="7" t="s">
        <x:v>39</x:v>
      </x:c>
      <x:c r="B74" s="8">
        <x:v>25</x:v>
      </x:c>
      <x:c r="C74" s="6">
        <x:v>45956</x:v>
      </x:c>
      <x:c r="D74" s="7" t="s">
        <x:v>43</x:v>
      </x:c>
      <x:c r="E74" s="7" t="s">
        <x:v>57</x:v>
      </x:c>
      <x:c r="F74" s="7" t="s">
        <x:v>42</x:v>
      </x:c>
      <x:c r="G74" s="9">
        <x:v>8299</x:v>
      </x:c>
      <x:c r="H74" s="10">
        <x:v>6.4690635721276393E-3</x:v>
      </x:c>
      <x:c r="I74" s="10">
        <x:v>7.2541702068164467E-3</x:v>
      </x:c>
      <x:c r="J74" s="10">
        <x:v>5.5548983125584799E-3</x:v>
      </x:c>
      <x:c r="K74" s="10">
        <x:v>2.3176778051429863E-3</x:v>
      </x:c>
      <x:c r="L74" s="10">
        <x:v>4.6945074800228007E-3</x:v>
      </x:c>
      <x:c r="M74" s="10">
        <x:v>5.8829223174627077E-3</x:v>
      </x:c>
      <x:c r="N74" s="10">
        <x:v>2.6026822684204298E-3</x:v>
      </x:c>
      <x:c r="O74" s="10">
        <x:v>2.0111635710521503E-3</x:v>
      </x:c>
      <x:c r="P74" s="10">
        <x:v>1.7745560921048386E-3</x:v>
      </x:c>
      <x:c r="Q74" s="10">
        <x:v>4.0384594702143452E-3</x:v>
      </x:c>
      <x:c r="R74" s="10">
        <x:v>2.0272958991621945E-3</x:v>
      </x:c>
      <x:c r="S74" s="15">
        <x:f t="shared" si="10"/>
        <x:v>4.4627396995085028E-2</x:v>
      </x:c>
      <x:c r="T74" t="str">
        <x:f t="shared" si="11"/>
        <x:v>OK</x:v>
      </x:c>
      <x:c r="U74" t="str">
        <x:f t="shared" si="12"/>
        <x:v>LOSS-KG01-L25-20251026-PM-ORD-2025-00162</x:v>
      </x:c>
      <x:c r="V74" t="str">
        <x:f t="shared" si="13"/>
        <x:v>OK</x:v>
      </x:c>
      <x:c r="W74" t="str">
        <x:f t="shared" si="14">IF(A74="","",IF(AND(T74="OK",V74="OK",Y74="OK",AB74="OK",AD74="OK"),"OK","CHECK"))</x:f>
        <x:v>OK</x:v>
      </x:c>
      <x:c r="X74" t="str">
        <x:f>IF(A74="","", "PE-"&amp;A74&amp;"-L"&amp;TEXT(B74,"00")&amp;"-"&amp;TEXT(C74,"yyyymmdd")&amp;"-"&amp;D74&amp;"-"&amp;E74)</x:f>
        <x:v>PE-KG01-L25-20251026-PM-ORD-2025-00162</x:v>
      </x:c>
      <x:c r="Y74" t="str">
        <x:f>IF(X74="","",IF(COUNTIF(_ProductionEventRef!$A$5:$A$500,X74)=1,"OK","CHECK"))</x:f>
        <x:v>OK</x:v>
      </x:c>
      <x:c r="Z74" t="n">
        <x:f>IF(X74="","",IFERROR(VLOOKUP(X74,_ProductionEventRef!$A$5:$I$500,7,FALSE),0))</x:f>
        <x:v>185962</x:v>
      </x:c>
      <x:c r="AA74" t="n">
        <x:f>IF(X74="","",IFERROR(VLOOKUP(X74,_ProductionEventRef!$A$5:$I$500,8,FALSE),0))</x:f>
        <x:v>8299</x:v>
      </x:c>
      <x:c r="AB74" t="str">
        <x:f>IF(X74="","",IF(ABS(G74-AA74)&lt;=1,"OK","CHECK"))</x:f>
        <x:v>OK</x:v>
      </x:c>
      <x:c r="AC74" t="n">
        <x:f>IF(X74="","",SUMIF(LossDetail!$C$5:$C$2000,X74,LossDetail!$L$5:$L$2000))</x:f>
        <x:v>0.04462739699508503</x:v>
      </x:c>
      <x:c r="AD74" t="str">
        <x:f>IF(X74="","",IF(ABS(S74-AC74)&lt;=0.000001,"OK","CHECK"))</x:f>
        <x:v>OK</x:v>
      </x:c>
      <x:c r="AE74" t="str">
        <x:v>LossPercent</x:v>
      </x:c>
      <x:c r="AJ74" t="str">
        <x:v>03_Process_Losses(6).xlsx</x:v>
      </x:c>
      <x:c r="AK74" t="str">
        <x:v>ENH-20260830-01</x:v>
      </x:c>
      <x:c r="AL74" t="str">
        <x:v>Active</x:v>
      </x:c>
      <x:c r="AM74" t="str">
        <x:f>IF(A74="","",IF(W74="OK","LOAD","QUARANTINE"))</x:f>
        <x:v>LOAD</x:v>
      </x:c>
    </x:row>
    <x:row r="75" ht="18" customHeight="1">
      <x:c r="S75" t="str">
        <x:f t="shared" si="10"/>
      </x:c>
      <x:c r="T75" t="str">
        <x:f t="shared" si="11"/>
      </x:c>
      <x:c r="U75" t="str">
        <x:f t="shared" si="12"/>
      </x:c>
      <x:c r="V75" t="str">
        <x:f t="shared" si="13"/>
      </x:c>
      <x:c r="W75" t="str">
        <x:f t="shared" si="14"/>
      </x:c>
    </x:row>
    <x:row r="76" ht="18" customHeight="1">
      <x:c r="S76" t="str">
        <x:f t="shared" si="10"/>
      </x:c>
      <x:c r="T76" t="str">
        <x:f t="shared" si="11"/>
      </x:c>
      <x:c r="U76" t="str">
        <x:f t="shared" si="12"/>
      </x:c>
      <x:c r="V76" t="str">
        <x:f t="shared" si="13"/>
      </x:c>
      <x:c r="W76" t="str">
        <x:f t="shared" si="14"/>
      </x:c>
    </x:row>
    <x:row r="77" ht="18" customHeight="1">
      <x:c r="S77" t="str">
        <x:f t="shared" si="10"/>
      </x:c>
      <x:c r="T77" t="str">
        <x:f t="shared" si="11"/>
      </x:c>
      <x:c r="U77" t="str">
        <x:f t="shared" si="12"/>
      </x:c>
      <x:c r="V77" t="str">
        <x:f t="shared" si="13"/>
      </x:c>
      <x:c r="W77" t="str">
        <x:f t="shared" si="14"/>
      </x:c>
    </x:row>
    <x:row r="78" ht="18" customHeight="1">
      <x:c r="S78" t="str">
        <x:f t="shared" si="10"/>
      </x:c>
      <x:c r="T78" t="str">
        <x:f t="shared" si="11"/>
      </x:c>
      <x:c r="U78" t="str">
        <x:f t="shared" si="12"/>
      </x:c>
      <x:c r="V78" t="str">
        <x:f t="shared" si="13"/>
      </x:c>
      <x:c r="W78" t="str">
        <x:f t="shared" si="14"/>
      </x:c>
    </x:row>
    <x:row r="79" ht="18" customHeight="1">
      <x:c r="S79" t="str">
        <x:f t="shared" si="10"/>
      </x:c>
      <x:c r="T79" t="str">
        <x:f t="shared" si="11"/>
      </x:c>
      <x:c r="U79" t="str">
        <x:f t="shared" si="12"/>
      </x:c>
      <x:c r="V79" t="str">
        <x:f t="shared" si="13"/>
      </x:c>
      <x:c r="W79" t="str">
        <x:f t="shared" si="14"/>
      </x:c>
    </x:row>
    <x:row r="80" ht="18" customHeight="1">
      <x:c r="S80" t="str">
        <x:f t="shared" si="10"/>
      </x:c>
      <x:c r="T80" t="str">
        <x:f t="shared" si="11"/>
      </x:c>
      <x:c r="U80" t="str">
        <x:f t="shared" si="12"/>
      </x:c>
      <x:c r="V80" t="str">
        <x:f t="shared" si="13"/>
      </x:c>
      <x:c r="W80" t="str">
        <x:f t="shared" si="14"/>
      </x:c>
    </x:row>
    <x:row r="81" ht="18" customHeight="1">
      <x:c r="S81" t="str">
        <x:f t="shared" si="10"/>
      </x:c>
      <x:c r="T81" t="str">
        <x:f t="shared" si="11"/>
      </x:c>
      <x:c r="U81" t="str">
        <x:f t="shared" si="12"/>
      </x:c>
      <x:c r="V81" t="str">
        <x:f t="shared" si="13"/>
      </x:c>
      <x:c r="W81" t="str">
        <x:f t="shared" si="14"/>
      </x:c>
    </x:row>
    <x:row r="82" ht="18" customHeight="1">
      <x:c r="S82" t="str">
        <x:f t="shared" si="10"/>
      </x:c>
      <x:c r="T82" t="str">
        <x:f t="shared" si="11"/>
      </x:c>
      <x:c r="U82" t="str">
        <x:f t="shared" si="12"/>
      </x:c>
      <x:c r="V82" t="str">
        <x:f t="shared" si="13"/>
      </x:c>
      <x:c r="W82" t="str">
        <x:f t="shared" si="14"/>
      </x:c>
    </x:row>
    <x:row r="83" ht="18" customHeight="1">
      <x:c r="S83" t="str">
        <x:f t="shared" si="10"/>
      </x:c>
      <x:c r="T83" t="str">
        <x:f t="shared" si="11"/>
      </x:c>
      <x:c r="U83" t="str">
        <x:f t="shared" si="12"/>
      </x:c>
      <x:c r="V83" t="str">
        <x:f t="shared" si="13"/>
      </x:c>
      <x:c r="W83" t="str">
        <x:f t="shared" si="14"/>
      </x:c>
    </x:row>
    <x:row r="84" ht="18" customHeight="1">
      <x:c r="S84" t="str">
        <x:f t="shared" si="10"/>
      </x:c>
      <x:c r="T84" t="str">
        <x:f t="shared" si="11"/>
      </x:c>
      <x:c r="U84" t="str">
        <x:f t="shared" si="12"/>
      </x:c>
      <x:c r="V84" t="str">
        <x:f t="shared" si="13"/>
      </x:c>
      <x:c r="W84" t="str">
        <x:f t="shared" si="14"/>
      </x:c>
    </x:row>
    <x:row r="85" ht="18" customHeight="1">
      <x:c r="S85" t="str">
        <x:f t="shared" si="10"/>
      </x:c>
      <x:c r="T85" t="str">
        <x:f t="shared" si="11"/>
      </x:c>
      <x:c r="U85" t="str">
        <x:f t="shared" si="12"/>
      </x:c>
      <x:c r="V85" t="str">
        <x:f t="shared" si="13"/>
      </x:c>
      <x:c r="W85" t="str">
        <x:f t="shared" si="14"/>
      </x:c>
    </x:row>
    <x:row r="86" ht="18" customHeight="1">
      <x:c r="S86" t="str">
        <x:f t="shared" si="10"/>
      </x:c>
      <x:c r="T86" t="str">
        <x:f t="shared" si="11"/>
      </x:c>
      <x:c r="U86" t="str">
        <x:f t="shared" si="12"/>
      </x:c>
      <x:c r="V86" t="str">
        <x:f t="shared" si="13"/>
      </x:c>
      <x:c r="W86" t="str">
        <x:f t="shared" si="14"/>
      </x:c>
    </x:row>
    <x:row r="87" ht="18" customHeight="1">
      <x:c r="S87" t="str">
        <x:f t="shared" si="10"/>
      </x:c>
      <x:c r="T87" t="str">
        <x:f t="shared" si="11"/>
      </x:c>
      <x:c r="U87" t="str">
        <x:f t="shared" si="12"/>
      </x:c>
      <x:c r="V87" t="str">
        <x:f t="shared" si="13"/>
      </x:c>
      <x:c r="W87" t="str">
        <x:f t="shared" si="14"/>
      </x:c>
    </x:row>
    <x:row r="88" ht="18" customHeight="1">
      <x:c r="S88" t="str">
        <x:f t="shared" si="10"/>
      </x:c>
      <x:c r="T88" t="str">
        <x:f t="shared" si="11"/>
      </x:c>
      <x:c r="U88" t="str">
        <x:f t="shared" si="12"/>
      </x:c>
      <x:c r="V88" t="str">
        <x:f t="shared" si="13"/>
      </x:c>
      <x:c r="W88" t="str">
        <x:f t="shared" si="14"/>
      </x:c>
    </x:row>
    <x:row r="89" ht="18" customHeight="1">
      <x:c r="S89" t="str">
        <x:f t="shared" si="10"/>
      </x:c>
      <x:c r="T89" t="str">
        <x:f t="shared" si="11"/>
      </x:c>
      <x:c r="U89" t="str">
        <x:f t="shared" si="12"/>
      </x:c>
      <x:c r="V89" t="str">
        <x:f t="shared" si="13"/>
      </x:c>
      <x:c r="W89" t="str">
        <x:f t="shared" si="14"/>
      </x:c>
    </x:row>
    <x:row r="90" ht="18" customHeight="1">
      <x:c r="S90" t="str">
        <x:f t="shared" si="10"/>
      </x:c>
      <x:c r="T90" t="str">
        <x:f t="shared" si="11"/>
      </x:c>
      <x:c r="U90" t="str">
        <x:f t="shared" si="12"/>
      </x:c>
      <x:c r="V90" t="str">
        <x:f t="shared" si="13"/>
      </x:c>
      <x:c r="W90" t="str">
        <x:f t="shared" si="14"/>
      </x:c>
    </x:row>
    <x:row r="91" ht="18" customHeight="1">
      <x:c r="S91" t="str">
        <x:f t="shared" si="10"/>
      </x:c>
      <x:c r="T91" t="str">
        <x:f t="shared" si="11"/>
      </x:c>
      <x:c r="U91" t="str">
        <x:f t="shared" si="12"/>
      </x:c>
      <x:c r="V91" t="str">
        <x:f t="shared" si="13"/>
      </x:c>
      <x:c r="W91" t="str">
        <x:f t="shared" si="14"/>
      </x:c>
    </x:row>
    <x:row r="92" ht="18" customHeight="1">
      <x:c r="S92" t="str">
        <x:f t="shared" si="10"/>
      </x:c>
      <x:c r="T92" t="str">
        <x:f t="shared" si="11"/>
      </x:c>
      <x:c r="U92" t="str">
        <x:f t="shared" si="12"/>
      </x:c>
      <x:c r="V92" t="str">
        <x:f t="shared" si="13"/>
      </x:c>
      <x:c r="W92" t="str">
        <x:f t="shared" si="14"/>
      </x:c>
    </x:row>
    <x:row r="93" ht="18" customHeight="1">
      <x:c r="S93" t="str">
        <x:f t="shared" si="10"/>
      </x:c>
      <x:c r="T93" t="str">
        <x:f t="shared" si="11"/>
      </x:c>
      <x:c r="U93" t="str">
        <x:f t="shared" si="12"/>
      </x:c>
      <x:c r="V93" t="str">
        <x:f t="shared" si="13"/>
      </x:c>
      <x:c r="W93" t="str">
        <x:f t="shared" si="14"/>
      </x:c>
    </x:row>
    <x:row r="94" ht="18" customHeight="1">
      <x:c r="S94" t="str">
        <x:f t="shared" si="10"/>
      </x:c>
      <x:c r="T94" t="str">
        <x:f t="shared" si="11"/>
      </x:c>
      <x:c r="U94" t="str">
        <x:f t="shared" si="12"/>
      </x:c>
      <x:c r="V94" t="str">
        <x:f t="shared" si="13"/>
      </x:c>
      <x:c r="W94" t="str">
        <x:f t="shared" si="14"/>
      </x:c>
    </x:row>
    <x:row r="95" ht="18" customHeight="1">
      <x:c r="S95" t="str">
        <x:f t="shared" si="10"/>
      </x:c>
      <x:c r="T95" t="str">
        <x:f t="shared" si="11"/>
      </x:c>
      <x:c r="U95" t="str">
        <x:f t="shared" si="12"/>
      </x:c>
      <x:c r="V95" t="str">
        <x:f t="shared" si="13"/>
      </x:c>
      <x:c r="W95" t="str">
        <x:f t="shared" si="14"/>
      </x:c>
    </x:row>
    <x:row r="96" ht="18" customHeight="1">
      <x:c r="S96" t="str">
        <x:f t="shared" si="10"/>
      </x:c>
      <x:c r="T96" t="str">
        <x:f t="shared" si="11"/>
      </x:c>
      <x:c r="U96" t="str">
        <x:f t="shared" si="12"/>
      </x:c>
      <x:c r="V96" t="str">
        <x:f t="shared" si="13"/>
      </x:c>
      <x:c r="W96" t="str">
        <x:f t="shared" si="14"/>
      </x:c>
    </x:row>
    <x:row r="97" ht="18" customHeight="1">
      <x:c r="S97" t="str">
        <x:f t="shared" si="10"/>
      </x:c>
      <x:c r="T97" t="str">
        <x:f t="shared" si="11"/>
      </x:c>
      <x:c r="U97" t="str">
        <x:f t="shared" si="12"/>
      </x:c>
      <x:c r="V97" t="str">
        <x:f t="shared" si="13"/>
      </x:c>
      <x:c r="W97" t="str">
        <x:f t="shared" si="14"/>
      </x:c>
    </x:row>
    <x:row r="98" ht="18" customHeight="1">
      <x:c r="S98" t="str">
        <x:f t="shared" si="10"/>
      </x:c>
      <x:c r="T98" t="str">
        <x:f t="shared" si="11"/>
      </x:c>
      <x:c r="U98" t="str">
        <x:f t="shared" si="12"/>
      </x:c>
      <x:c r="V98" t="str">
        <x:f t="shared" si="13"/>
      </x:c>
      <x:c r="W98" t="str">
        <x:f t="shared" si="14"/>
      </x:c>
    </x:row>
    <x:row r="99" ht="18" customHeight="1">
      <x:c r="S99" t="str">
        <x:f t="shared" si="10"/>
      </x:c>
      <x:c r="T99" t="str">
        <x:f t="shared" si="11"/>
      </x:c>
      <x:c r="U99" t="str">
        <x:f t="shared" si="12"/>
      </x:c>
      <x:c r="V99" t="str">
        <x:f t="shared" si="13"/>
      </x:c>
      <x:c r="W99" t="str">
        <x:f t="shared" si="14"/>
      </x:c>
    </x:row>
    <x:row r="100" ht="18" customHeight="1">
      <x:c r="S100" t="str">
        <x:f t="shared" si="10"/>
      </x:c>
      <x:c r="T100" t="str">
        <x:f t="shared" si="11"/>
      </x:c>
      <x:c r="U100" t="str">
        <x:f t="shared" si="12"/>
      </x:c>
      <x:c r="V100" t="str">
        <x:f t="shared" si="13"/>
      </x:c>
      <x:c r="W100" t="str">
        <x:f t="shared" si="14"/>
      </x:c>
    </x:row>
    <x:row r="101" ht="18" customHeight="1">
      <x:c r="S101" t="str">
        <x:f t="shared" ref="S101:S120" si="15">IF(A101="","",SUM(H101:R101))</x:f>
      </x:c>
      <x:c r="T101" t="str">
        <x:f t="shared" ref="T101:T120" si="16">IF(A101="","",IF(AND(MIN(H101:R101)&gt;=0,MAX(H101:R101)&lt;=1,S101&lt;=1),"OK","CHECK"))</x:f>
      </x:c>
      <x:c r="U101" t="str">
        <x:f t="shared" ref="U101:U120" si="17">IF(A101="","", "LOSS-"&amp;A101&amp;"-L"&amp;TEXT(B101,"00")&amp;"-"&amp;TEXT(C101,"yyyymmdd")&amp;"-"&amp;D101&amp;"-"&amp;E101)</x:f>
      </x:c>
      <x:c r="V101" t="str">
        <x:f t="shared" ref="V101:V120" si="18">IF(U101="","",IF(COUNTIF($U$5:$U$120,U101)=1,"OK","CHECK"))</x:f>
      </x:c>
      <x:c r="W101" t="str">
        <x:f t="shared" ref="W101:W120" si="19">IF(A101="","",IF(AND(T101="OK",V101="OK",G101&gt;=0),"OK","CHECK"))</x:f>
      </x:c>
    </x:row>
    <x:row r="102" ht="18" customHeight="1">
      <x:c r="S102" t="str">
        <x:f t="shared" si="15"/>
      </x:c>
      <x:c r="T102" t="str">
        <x:f t="shared" si="16"/>
      </x:c>
      <x:c r="U102" t="str">
        <x:f t="shared" si="17"/>
      </x:c>
      <x:c r="V102" t="str">
        <x:f t="shared" si="18"/>
      </x:c>
      <x:c r="W102" t="str">
        <x:f t="shared" si="19"/>
      </x:c>
    </x:row>
    <x:row r="103" ht="18" customHeight="1">
      <x:c r="S103" t="str">
        <x:f t="shared" si="15"/>
      </x:c>
      <x:c r="T103" t="str">
        <x:f t="shared" si="16"/>
      </x:c>
      <x:c r="U103" t="str">
        <x:f t="shared" si="17"/>
      </x:c>
      <x:c r="V103" t="str">
        <x:f t="shared" si="18"/>
      </x:c>
      <x:c r="W103" t="str">
        <x:f t="shared" si="19"/>
      </x:c>
    </x:row>
    <x:row r="104" ht="18" customHeight="1">
      <x:c r="S104" t="str">
        <x:f t="shared" si="15"/>
      </x:c>
      <x:c r="T104" t="str">
        <x:f t="shared" si="16"/>
      </x:c>
      <x:c r="U104" t="str">
        <x:f t="shared" si="17"/>
      </x:c>
      <x:c r="V104" t="str">
        <x:f t="shared" si="18"/>
      </x:c>
      <x:c r="W104" t="str">
        <x:f t="shared" si="19"/>
      </x:c>
    </x:row>
    <x:row r="105" ht="18" customHeight="1">
      <x:c r="S105" t="str">
        <x:f t="shared" si="15"/>
      </x:c>
      <x:c r="T105" t="str">
        <x:f t="shared" si="16"/>
      </x:c>
      <x:c r="U105" t="str">
        <x:f t="shared" si="17"/>
      </x:c>
      <x:c r="V105" t="str">
        <x:f t="shared" si="18"/>
      </x:c>
      <x:c r="W105" t="str">
        <x:f t="shared" si="19"/>
      </x:c>
    </x:row>
    <x:row r="106" ht="18" customHeight="1">
      <x:c r="S106" t="str">
        <x:f t="shared" si="15"/>
      </x:c>
      <x:c r="T106" t="str">
        <x:f t="shared" si="16"/>
      </x:c>
      <x:c r="U106" t="str">
        <x:f t="shared" si="17"/>
      </x:c>
      <x:c r="V106" t="str">
        <x:f t="shared" si="18"/>
      </x:c>
      <x:c r="W106" t="str">
        <x:f t="shared" si="19"/>
      </x:c>
    </x:row>
    <x:row r="107" ht="18" customHeight="1">
      <x:c r="S107" t="str">
        <x:f t="shared" si="15"/>
      </x:c>
      <x:c r="T107" t="str">
        <x:f t="shared" si="16"/>
      </x:c>
      <x:c r="U107" t="str">
        <x:f t="shared" si="17"/>
      </x:c>
      <x:c r="V107" t="str">
        <x:f t="shared" si="18"/>
      </x:c>
      <x:c r="W107" t="str">
        <x:f t="shared" si="19"/>
      </x:c>
    </x:row>
    <x:row r="108" ht="18" customHeight="1">
      <x:c r="S108" t="str">
        <x:f t="shared" si="15"/>
      </x:c>
      <x:c r="T108" t="str">
        <x:f t="shared" si="16"/>
      </x:c>
      <x:c r="U108" t="str">
        <x:f t="shared" si="17"/>
      </x:c>
      <x:c r="V108" t="str">
        <x:f t="shared" si="18"/>
      </x:c>
      <x:c r="W108" t="str">
        <x:f t="shared" si="19"/>
      </x:c>
    </x:row>
    <x:row r="109" ht="18" customHeight="1">
      <x:c r="S109" t="str">
        <x:f t="shared" si="15"/>
      </x:c>
      <x:c r="T109" t="str">
        <x:f t="shared" si="16"/>
      </x:c>
      <x:c r="U109" t="str">
        <x:f t="shared" si="17"/>
      </x:c>
      <x:c r="V109" t="str">
        <x:f t="shared" si="18"/>
      </x:c>
      <x:c r="W109" t="str">
        <x:f t="shared" si="19"/>
      </x:c>
    </x:row>
    <x:row r="110" ht="18" customHeight="1">
      <x:c r="S110" t="str">
        <x:f t="shared" si="15"/>
      </x:c>
      <x:c r="T110" t="str">
        <x:f t="shared" si="16"/>
      </x:c>
      <x:c r="U110" t="str">
        <x:f t="shared" si="17"/>
      </x:c>
      <x:c r="V110" t="str">
        <x:f t="shared" si="18"/>
      </x:c>
      <x:c r="W110" t="str">
        <x:f t="shared" si="19"/>
      </x:c>
    </x:row>
    <x:row r="111" ht="18" customHeight="1">
      <x:c r="S111" t="str">
        <x:f t="shared" si="15"/>
      </x:c>
      <x:c r="T111" t="str">
        <x:f t="shared" si="16"/>
      </x:c>
      <x:c r="U111" t="str">
        <x:f t="shared" si="17"/>
      </x:c>
      <x:c r="V111" t="str">
        <x:f t="shared" si="18"/>
      </x:c>
      <x:c r="W111" t="str">
        <x:f t="shared" si="19"/>
      </x:c>
    </x:row>
    <x:row r="112" ht="18" customHeight="1">
      <x:c r="S112" t="str">
        <x:f t="shared" si="15"/>
      </x:c>
      <x:c r="T112" t="str">
        <x:f t="shared" si="16"/>
      </x:c>
      <x:c r="U112" t="str">
        <x:f t="shared" si="17"/>
      </x:c>
      <x:c r="V112" t="str">
        <x:f t="shared" si="18"/>
      </x:c>
      <x:c r="W112" t="str">
        <x:f t="shared" si="19"/>
      </x:c>
    </x:row>
    <x:row r="113" ht="18" customHeight="1">
      <x:c r="S113" t="str">
        <x:f t="shared" si="15"/>
      </x:c>
      <x:c r="T113" t="str">
        <x:f t="shared" si="16"/>
      </x:c>
      <x:c r="U113" t="str">
        <x:f t="shared" si="17"/>
      </x:c>
      <x:c r="V113" t="str">
        <x:f t="shared" si="18"/>
      </x:c>
      <x:c r="W113" t="str">
        <x:f t="shared" si="19"/>
      </x:c>
    </x:row>
    <x:row r="114" ht="18" customHeight="1">
      <x:c r="S114" t="str">
        <x:f t="shared" si="15"/>
      </x:c>
      <x:c r="T114" t="str">
        <x:f t="shared" si="16"/>
      </x:c>
      <x:c r="U114" t="str">
        <x:f t="shared" si="17"/>
      </x:c>
      <x:c r="V114" t="str">
        <x:f t="shared" si="18"/>
      </x:c>
      <x:c r="W114" t="str">
        <x:f t="shared" si="19"/>
      </x:c>
    </x:row>
    <x:row r="115" ht="18" customHeight="1">
      <x:c r="S115" t="str">
        <x:f t="shared" si="15"/>
      </x:c>
      <x:c r="T115" t="str">
        <x:f t="shared" si="16"/>
      </x:c>
      <x:c r="U115" t="str">
        <x:f t="shared" si="17"/>
      </x:c>
      <x:c r="V115" t="str">
        <x:f t="shared" si="18"/>
      </x:c>
      <x:c r="W115" t="str">
        <x:f t="shared" si="19"/>
      </x:c>
    </x:row>
    <x:row r="116" ht="18" customHeight="1">
      <x:c r="S116" t="str">
        <x:f t="shared" si="15"/>
      </x:c>
      <x:c r="T116" t="str">
        <x:f t="shared" si="16"/>
      </x:c>
      <x:c r="U116" t="str">
        <x:f t="shared" si="17"/>
      </x:c>
      <x:c r="V116" t="str">
        <x:f t="shared" si="18"/>
      </x:c>
      <x:c r="W116" t="str">
        <x:f t="shared" si="19"/>
      </x:c>
    </x:row>
    <x:row r="117" ht="18" customHeight="1">
      <x:c r="S117" t="str">
        <x:f t="shared" si="15"/>
      </x:c>
      <x:c r="T117" t="str">
        <x:f t="shared" si="16"/>
      </x:c>
      <x:c r="U117" t="str">
        <x:f t="shared" si="17"/>
      </x:c>
      <x:c r="V117" t="str">
        <x:f t="shared" si="18"/>
      </x:c>
      <x:c r="W117" t="str">
        <x:f t="shared" si="19"/>
      </x:c>
    </x:row>
    <x:row r="118" ht="18" customHeight="1">
      <x:c r="S118" t="str">
        <x:f t="shared" si="15"/>
      </x:c>
      <x:c r="T118" t="str">
        <x:f t="shared" si="16"/>
      </x:c>
      <x:c r="U118" t="str">
        <x:f t="shared" si="17"/>
      </x:c>
      <x:c r="V118" t="str">
        <x:f t="shared" si="18"/>
      </x:c>
      <x:c r="W118" t="str">
        <x:f t="shared" si="19"/>
      </x:c>
    </x:row>
    <x:row r="119" ht="18" customHeight="1">
      <x:c r="S119" t="str">
        <x:f t="shared" si="15"/>
      </x:c>
      <x:c r="T119" t="str">
        <x:f t="shared" si="16"/>
      </x:c>
      <x:c r="U119" t="str">
        <x:f t="shared" si="17"/>
      </x:c>
      <x:c r="V119" t="str">
        <x:f t="shared" si="18"/>
      </x:c>
      <x:c r="W119" t="str">
        <x:f t="shared" si="19"/>
      </x:c>
    </x:row>
    <x:row r="120" ht="18" customHeight="1">
      <x:c r="S120" t="str">
        <x:f t="shared" si="15"/>
      </x:c>
      <x:c r="T120" t="str">
        <x:f t="shared" si="16"/>
      </x:c>
      <x:c r="U120" t="str">
        <x:f t="shared" si="17"/>
      </x:c>
      <x:c r="V120" t="str">
        <x:f t="shared" si="18"/>
      </x:c>
      <x:c r="W120" t="str">
        <x:f t="shared" si="19"/>
      </x:c>
    </x:row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  <x:row r="3001" ht="18" customHeight="1"/>
    <x:row r="3002" ht="18" customHeight="1"/>
    <x:row r="3003" ht="18" customHeight="1"/>
    <x:row r="3004" ht="18" customHeight="1"/>
    <x:row r="3005" ht="18" customHeight="1"/>
    <x:row r="3006" ht="18" customHeight="1"/>
    <x:row r="3007" ht="18" customHeight="1"/>
    <x:row r="3008" ht="18" customHeight="1"/>
    <x:row r="3009" ht="18" customHeight="1"/>
    <x:row r="3010" ht="18" customHeight="1"/>
    <x:row r="3011" ht="18" customHeight="1"/>
    <x:row r="3012" ht="18" customHeight="1"/>
    <x:row r="3013" ht="18" customHeight="1"/>
    <x:row r="3014" ht="18" customHeight="1"/>
    <x:row r="3015" ht="18" customHeight="1"/>
    <x:row r="3016" ht="18" customHeight="1"/>
    <x:row r="3017" ht="18" customHeight="1"/>
    <x:row r="3018" ht="18" customHeight="1"/>
    <x:row r="3019" ht="18" customHeight="1"/>
    <x:row r="3020" ht="18" customHeight="1"/>
    <x:row r="3021" ht="18" customHeight="1"/>
    <x:row r="3022" ht="18" customHeight="1"/>
    <x:row r="3023" ht="18" customHeight="1"/>
    <x:row r="3024" ht="18" customHeight="1"/>
    <x:row r="3025" ht="18" customHeight="1"/>
    <x:row r="3026" ht="18" customHeight="1"/>
    <x:row r="3027" ht="18" customHeight="1"/>
    <x:row r="3028" ht="18" customHeight="1"/>
    <x:row r="3029" ht="18" customHeight="1"/>
    <x:row r="3030" ht="18" customHeight="1"/>
    <x:row r="3031" ht="18" customHeight="1"/>
    <x:row r="3032" ht="18" customHeight="1"/>
    <x:row r="3033" ht="18" customHeight="1"/>
    <x:row r="3034" ht="18" customHeight="1"/>
    <x:row r="3035" ht="18" customHeight="1"/>
    <x:row r="3036" ht="18" customHeight="1"/>
    <x:row r="3037" ht="18" customHeight="1"/>
    <x:row r="3038" ht="18" customHeight="1"/>
    <x:row r="3039" ht="18" customHeight="1"/>
    <x:row r="3040" ht="18" customHeight="1"/>
    <x:row r="3041" ht="18" customHeight="1"/>
    <x:row r="3042" ht="18" customHeight="1"/>
    <x:row r="3043" ht="18" customHeight="1"/>
    <x:row r="3044" ht="18" customHeight="1"/>
    <x:row r="3045" ht="18" customHeight="1"/>
    <x:row r="3046" ht="18" customHeight="1"/>
    <x:row r="3047" ht="18" customHeight="1"/>
    <x:row r="3048" ht="18" customHeight="1"/>
    <x:row r="3049" ht="18" customHeight="1"/>
    <x:row r="3050" ht="18" customHeight="1"/>
    <x:row r="3051" ht="18" customHeight="1"/>
    <x:row r="3052" ht="18" customHeight="1"/>
    <x:row r="3053" ht="18" customHeight="1"/>
    <x:row r="3054" ht="18" customHeight="1"/>
    <x:row r="3055" ht="18" customHeight="1"/>
    <x:row r="3056" ht="18" customHeight="1"/>
    <x:row r="3057" ht="18" customHeight="1"/>
    <x:row r="3058" ht="18" customHeight="1"/>
    <x:row r="3059" ht="18" customHeight="1"/>
    <x:row r="3060" ht="18" customHeight="1"/>
    <x:row r="3061" ht="18" customHeight="1"/>
    <x:row r="3062" ht="18" customHeight="1"/>
    <x:row r="3063" ht="18" customHeight="1"/>
    <x:row r="3064" ht="18" customHeight="1"/>
    <x:row r="3065" ht="18" customHeight="1"/>
    <x:row r="3066" ht="18" customHeight="1"/>
    <x:row r="3067" ht="18" customHeight="1"/>
    <x:row r="3068" ht="18" customHeight="1"/>
    <x:row r="3069" ht="18" customHeight="1"/>
    <x:row r="3070" ht="18" customHeight="1"/>
    <x:row r="3071" ht="18" customHeight="1"/>
    <x:row r="3072" ht="18" customHeight="1"/>
    <x:row r="3073" ht="18" customHeight="1"/>
    <x:row r="3074" ht="18" customHeight="1"/>
    <x:row r="3075" ht="18" customHeight="1"/>
    <x:row r="3076" ht="18" customHeight="1"/>
    <x:row r="3077" ht="18" customHeight="1"/>
    <x:row r="3078" ht="18" customHeight="1"/>
    <x:row r="3079" ht="18" customHeight="1"/>
    <x:row r="3080" ht="18" customHeight="1"/>
    <x:row r="3081" ht="18" customHeight="1"/>
    <x:row r="3082" ht="18" customHeight="1"/>
    <x:row r="3083" ht="18" customHeight="1"/>
    <x:row r="3084" ht="18" customHeight="1"/>
    <x:row r="3085" ht="18" customHeight="1"/>
    <x:row r="3086" ht="18" customHeight="1"/>
    <x:row r="3087" ht="18" customHeight="1"/>
    <x:row r="3088" ht="18" customHeight="1"/>
    <x:row r="3089" ht="18" customHeight="1"/>
    <x:row r="3090" ht="18" customHeight="1"/>
    <x:row r="3091" ht="18" customHeight="1"/>
    <x:row r="3092" ht="18" customHeight="1"/>
    <x:row r="3093" ht="18" customHeight="1"/>
    <x:row r="3094" ht="18" customHeight="1"/>
    <x:row r="3095" ht="18" customHeight="1"/>
    <x:row r="3096" ht="18" customHeight="1"/>
    <x:row r="3097" ht="18" customHeight="1"/>
    <x:row r="3098" ht="18" customHeight="1"/>
    <x:row r="3099" ht="18" customHeight="1"/>
    <x:row r="3100" ht="18" customHeight="1"/>
    <x:row r="3101" ht="18" customHeight="1"/>
    <x:row r="3102" ht="18" customHeight="1"/>
    <x:row r="3103" ht="18" customHeight="1"/>
    <x:row r="3104" ht="18" customHeight="1"/>
    <x:row r="3105" ht="18" customHeight="1"/>
    <x:row r="3106" ht="18" customHeight="1"/>
    <x:row r="3107" ht="18" customHeight="1"/>
    <x:row r="3108" ht="18" customHeight="1"/>
    <x:row r="3109" ht="18" customHeight="1"/>
    <x:row r="3110" ht="18" customHeight="1"/>
    <x:row r="3111" ht="18" customHeight="1"/>
    <x:row r="3112" ht="18" customHeight="1"/>
    <x:row r="3113" ht="18" customHeight="1"/>
    <x:row r="3114" ht="18" customHeight="1"/>
    <x:row r="3115" ht="18" customHeight="1"/>
    <x:row r="3116" ht="18" customHeight="1"/>
    <x:row r="3117" ht="18" customHeight="1"/>
    <x:row r="3118" ht="18" customHeight="1"/>
    <x:row r="3119" ht="18" customHeight="1"/>
    <x:row r="3120" ht="18" customHeight="1"/>
    <x:row r="3121" ht="18" customHeight="1"/>
    <x:row r="3122" ht="18" customHeight="1"/>
    <x:row r="3123" ht="18" customHeight="1"/>
    <x:row r="3124" ht="18" customHeight="1"/>
    <x:row r="3125" ht="18" customHeight="1"/>
    <x:row r="3126" ht="18" customHeight="1"/>
    <x:row r="3127" ht="18" customHeight="1"/>
    <x:row r="3128" ht="18" customHeight="1"/>
    <x:row r="3129" ht="18" customHeight="1"/>
    <x:row r="3130" ht="18" customHeight="1"/>
    <x:row r="3131" ht="18" customHeight="1"/>
    <x:row r="3132" ht="18" customHeight="1"/>
    <x:row r="3133" ht="18" customHeight="1"/>
    <x:row r="3134" ht="18" customHeight="1"/>
    <x:row r="3135" ht="18" customHeight="1"/>
    <x:row r="3136" ht="18" customHeight="1"/>
    <x:row r="3137" ht="18" customHeight="1"/>
    <x:row r="3138" ht="18" customHeight="1"/>
    <x:row r="3139" ht="18" customHeight="1"/>
    <x:row r="3140" ht="18" customHeight="1"/>
    <x:row r="3141" ht="18" customHeight="1"/>
    <x:row r="3142" ht="18" customHeight="1"/>
    <x:row r="3143" ht="18" customHeight="1"/>
    <x:row r="3144" ht="18" customHeight="1"/>
    <x:row r="3145" ht="18" customHeight="1"/>
    <x:row r="3146" ht="18" customHeight="1"/>
    <x:row r="3147" ht="18" customHeight="1"/>
    <x:row r="3148" ht="18" customHeight="1"/>
    <x:row r="3149" ht="18" customHeight="1"/>
    <x:row r="3150" ht="18" customHeight="1"/>
    <x:row r="3151" ht="18" customHeight="1"/>
    <x:row r="3152" ht="18" customHeight="1"/>
    <x:row r="3153" ht="18" customHeight="1"/>
    <x:row r="3154" ht="18" customHeight="1"/>
    <x:row r="3155" ht="18" customHeight="1"/>
    <x:row r="3156" ht="18" customHeight="1"/>
    <x:row r="3157" ht="18" customHeight="1"/>
    <x:row r="3158" ht="18" customHeight="1"/>
    <x:row r="3159" ht="18" customHeight="1"/>
    <x:row r="3160" ht="18" customHeight="1"/>
    <x:row r="3161" ht="18" customHeight="1"/>
    <x:row r="3162" ht="18" customHeight="1"/>
    <x:row r="3163" ht="18" customHeight="1"/>
    <x:row r="3164" ht="18" customHeight="1"/>
    <x:row r="3165" ht="18" customHeight="1"/>
    <x:row r="3166" ht="18" customHeight="1"/>
    <x:row r="3167" ht="18" customHeight="1"/>
    <x:row r="3168" ht="18" customHeight="1"/>
    <x:row r="3169" ht="18" customHeight="1"/>
    <x:row r="3170" ht="18" customHeight="1"/>
    <x:row r="3171" ht="18" customHeight="1"/>
    <x:row r="3172" ht="18" customHeight="1"/>
    <x:row r="3173" ht="18" customHeight="1"/>
    <x:row r="3174" ht="18" customHeight="1"/>
    <x:row r="3175" ht="18" customHeight="1"/>
    <x:row r="3176" ht="18" customHeight="1"/>
    <x:row r="3177" ht="18" customHeight="1"/>
    <x:row r="3178" ht="18" customHeight="1"/>
    <x:row r="3179" ht="18" customHeight="1"/>
    <x:row r="3180" ht="18" customHeight="1"/>
    <x:row r="3181" ht="18" customHeight="1"/>
    <x:row r="3182" ht="18" customHeight="1"/>
    <x:row r="3183" ht="18" customHeight="1"/>
    <x:row r="3184" ht="18" customHeight="1"/>
    <x:row r="3185" ht="18" customHeight="1"/>
    <x:row r="3186" ht="18" customHeight="1"/>
    <x:row r="3187" ht="18" customHeight="1"/>
    <x:row r="3188" ht="18" customHeight="1"/>
    <x:row r="3189" ht="18" customHeight="1"/>
    <x:row r="3190" ht="18" customHeight="1"/>
    <x:row r="3191" ht="18" customHeight="1"/>
    <x:row r="3192" ht="18" customHeight="1"/>
    <x:row r="3193" ht="18" customHeight="1"/>
    <x:row r="3194" ht="18" customHeight="1"/>
    <x:row r="3195" ht="18" customHeight="1"/>
    <x:row r="3196" ht="18" customHeight="1"/>
    <x:row r="3197" ht="18" customHeight="1"/>
    <x:row r="3198" ht="18" customHeight="1"/>
    <x:row r="3199" ht="18" customHeight="1"/>
    <x:row r="3200" ht="18" customHeight="1"/>
    <x:row r="3201" ht="18" customHeight="1"/>
    <x:row r="3202" ht="18" customHeight="1"/>
    <x:row r="3203" ht="18" customHeight="1"/>
    <x:row r="3204" ht="18" customHeight="1"/>
    <x:row r="3205" ht="18" customHeight="1"/>
    <x:row r="3206" ht="18" customHeight="1"/>
    <x:row r="3207" ht="18" customHeight="1"/>
    <x:row r="3208" ht="18" customHeight="1"/>
    <x:row r="3209" ht="18" customHeight="1"/>
    <x:row r="3210" ht="18" customHeight="1"/>
    <x:row r="3211" ht="18" customHeight="1"/>
    <x:row r="3212" ht="18" customHeight="1"/>
    <x:row r="3213" ht="18" customHeight="1"/>
    <x:row r="3214" ht="18" customHeight="1"/>
    <x:row r="3215" ht="18" customHeight="1"/>
    <x:row r="3216" ht="18" customHeight="1"/>
    <x:row r="3217" ht="18" customHeight="1"/>
    <x:row r="3218" ht="18" customHeight="1"/>
    <x:row r="3219" ht="18" customHeight="1"/>
    <x:row r="3220" ht="18" customHeight="1"/>
    <x:row r="3221" ht="18" customHeight="1"/>
    <x:row r="3222" ht="18" customHeight="1"/>
    <x:row r="3223" ht="18" customHeight="1"/>
    <x:row r="3224" ht="18" customHeight="1"/>
    <x:row r="3225" ht="18" customHeight="1"/>
    <x:row r="3226" ht="18" customHeight="1"/>
    <x:row r="3227" ht="18" customHeight="1"/>
    <x:row r="3228" ht="18" customHeight="1"/>
    <x:row r="3229" ht="18" customHeight="1"/>
    <x:row r="3230" ht="18" customHeight="1"/>
    <x:row r="3231" ht="18" customHeight="1"/>
    <x:row r="3232" ht="18" customHeight="1"/>
    <x:row r="3233" ht="18" customHeight="1"/>
    <x:row r="3234" ht="18" customHeight="1"/>
    <x:row r="3235" ht="18" customHeight="1"/>
    <x:row r="3236" ht="18" customHeight="1"/>
    <x:row r="3237" ht="18" customHeight="1"/>
    <x:row r="3238" ht="18" customHeight="1"/>
    <x:row r="3239" ht="18" customHeight="1"/>
    <x:row r="3240" ht="18" customHeight="1"/>
    <x:row r="3241" ht="18" customHeight="1"/>
    <x:row r="3242" ht="18" customHeight="1"/>
    <x:row r="3243" ht="18" customHeight="1"/>
    <x:row r="3244" ht="18" customHeight="1"/>
    <x:row r="3245" ht="18" customHeight="1"/>
    <x:row r="3246" ht="18" customHeight="1"/>
    <x:row r="3247" ht="18" customHeight="1"/>
    <x:row r="3248" ht="18" customHeight="1"/>
    <x:row r="3249" ht="18" customHeight="1"/>
    <x:row r="3250" ht="18" customHeight="1"/>
    <x:row r="3251" ht="18" customHeight="1"/>
    <x:row r="3252" ht="18" customHeight="1"/>
    <x:row r="3253" ht="18" customHeight="1"/>
    <x:row r="3254" ht="18" customHeight="1"/>
    <x:row r="3255" ht="18" customHeight="1"/>
    <x:row r="3256" ht="18" customHeight="1"/>
    <x:row r="3257" ht="18" customHeight="1"/>
    <x:row r="3258" ht="18" customHeight="1"/>
    <x:row r="3259" ht="18" customHeight="1"/>
    <x:row r="3260" ht="18" customHeight="1"/>
    <x:row r="3261" ht="18" customHeight="1"/>
    <x:row r="3262" ht="18" customHeight="1"/>
    <x:row r="3263" ht="18" customHeight="1"/>
    <x:row r="3264" ht="18" customHeight="1"/>
    <x:row r="3265" ht="18" customHeight="1"/>
    <x:row r="3266" ht="18" customHeight="1"/>
    <x:row r="3267" ht="18" customHeight="1"/>
    <x:row r="3268" ht="18" customHeight="1"/>
    <x:row r="3269" ht="18" customHeight="1"/>
    <x:row r="3270" ht="18" customHeight="1"/>
    <x:row r="3271" ht="18" customHeight="1"/>
    <x:row r="3272" ht="18" customHeight="1"/>
    <x:row r="3273" ht="18" customHeight="1"/>
    <x:row r="3274" ht="18" customHeight="1"/>
    <x:row r="3275" ht="18" customHeight="1"/>
    <x:row r="3276" ht="18" customHeight="1"/>
    <x:row r="3277" ht="18" customHeight="1"/>
    <x:row r="3278" ht="18" customHeight="1"/>
    <x:row r="3279" ht="18" customHeight="1"/>
    <x:row r="3280" ht="18" customHeight="1"/>
    <x:row r="3281" ht="18" customHeight="1"/>
    <x:row r="3282" ht="18" customHeight="1"/>
    <x:row r="3283" ht="18" customHeight="1"/>
    <x:row r="3284" ht="18" customHeight="1"/>
    <x:row r="3285" ht="18" customHeight="1"/>
    <x:row r="3286" ht="18" customHeight="1"/>
    <x:row r="3287" ht="18" customHeight="1"/>
    <x:row r="3288" ht="18" customHeight="1"/>
    <x:row r="3289" ht="18" customHeight="1"/>
    <x:row r="3290" ht="18" customHeight="1"/>
    <x:row r="3291" ht="18" customHeight="1"/>
    <x:row r="3292" ht="18" customHeight="1"/>
    <x:row r="3293" ht="18" customHeight="1"/>
    <x:row r="3294" ht="18" customHeight="1"/>
    <x:row r="3295" ht="18" customHeight="1"/>
    <x:row r="3296" ht="18" customHeight="1"/>
    <x:row r="3297" ht="18" customHeight="1"/>
    <x:row r="3298" ht="18" customHeight="1"/>
    <x:row r="3299" ht="18" customHeight="1"/>
    <x:row r="3300" ht="18" customHeight="1"/>
    <x:row r="3301" ht="18" customHeight="1"/>
    <x:row r="3302" ht="18" customHeight="1"/>
    <x:row r="3303" ht="18" customHeight="1"/>
    <x:row r="3304" ht="18" customHeight="1"/>
    <x:row r="3305" ht="18" customHeight="1"/>
    <x:row r="3306" ht="18" customHeight="1"/>
    <x:row r="3307" ht="18" customHeight="1"/>
    <x:row r="3308" ht="18" customHeight="1"/>
    <x:row r="3309" ht="18" customHeight="1"/>
    <x:row r="3310" ht="18" customHeight="1"/>
    <x:row r="3311" ht="18" customHeight="1"/>
    <x:row r="3312" ht="18" customHeight="1"/>
    <x:row r="3313" ht="18" customHeight="1"/>
    <x:row r="3314" ht="18" customHeight="1"/>
    <x:row r="3315" ht="18" customHeight="1"/>
    <x:row r="3316" ht="18" customHeight="1"/>
    <x:row r="3317" ht="18" customHeight="1"/>
    <x:row r="3318" ht="18" customHeight="1"/>
    <x:row r="3319" ht="18" customHeight="1"/>
    <x:row r="3320" ht="18" customHeight="1"/>
    <x:row r="3321" ht="18" customHeight="1"/>
    <x:row r="3322" ht="18" customHeight="1"/>
    <x:row r="3323" ht="18" customHeight="1"/>
    <x:row r="3324" ht="18" customHeight="1"/>
    <x:row r="3325" ht="18" customHeight="1"/>
    <x:row r="3326" ht="18" customHeight="1"/>
    <x:row r="3327" ht="18" customHeight="1"/>
    <x:row r="3328" ht="18" customHeight="1"/>
    <x:row r="3329" ht="18" customHeight="1"/>
    <x:row r="3330" ht="18" customHeight="1"/>
    <x:row r="3331" ht="18" customHeight="1"/>
    <x:row r="3332" ht="18" customHeight="1"/>
    <x:row r="3333" ht="18" customHeight="1"/>
    <x:row r="3334" ht="18" customHeight="1"/>
    <x:row r="3335" ht="18" customHeight="1"/>
    <x:row r="3336" ht="18" customHeight="1"/>
    <x:row r="3337" ht="18" customHeight="1"/>
    <x:row r="3338" ht="18" customHeight="1"/>
    <x:row r="3339" ht="18" customHeight="1"/>
    <x:row r="3340" ht="18" customHeight="1"/>
    <x:row r="3341" ht="18" customHeight="1"/>
    <x:row r="3342" ht="18" customHeight="1"/>
    <x:row r="3343" ht="18" customHeight="1"/>
    <x:row r="3344" ht="18" customHeight="1"/>
    <x:row r="3345" ht="18" customHeight="1"/>
    <x:row r="3346" ht="18" customHeight="1"/>
    <x:row r="3347" ht="18" customHeight="1"/>
    <x:row r="3348" ht="18" customHeight="1"/>
    <x:row r="3349" ht="18" customHeight="1"/>
    <x:row r="3350" ht="18" customHeight="1"/>
    <x:row r="3351" ht="18" customHeight="1"/>
    <x:row r="3352" ht="18" customHeight="1"/>
    <x:row r="3353" ht="18" customHeight="1"/>
    <x:row r="3354" ht="18" customHeight="1"/>
    <x:row r="3355" ht="18" customHeight="1"/>
    <x:row r="3356" ht="18" customHeight="1"/>
    <x:row r="3357" ht="18" customHeight="1"/>
    <x:row r="3358" ht="18" customHeight="1"/>
    <x:row r="3359" ht="18" customHeight="1"/>
    <x:row r="3360" ht="18" customHeight="1"/>
    <x:row r="3361" ht="18" customHeight="1"/>
    <x:row r="3362" ht="18" customHeight="1"/>
    <x:row r="3363" ht="18" customHeight="1"/>
    <x:row r="3364" ht="18" customHeight="1"/>
    <x:row r="3365" ht="18" customHeight="1"/>
    <x:row r="3366" ht="18" customHeight="1"/>
    <x:row r="3367" ht="18" customHeight="1"/>
    <x:row r="3368" ht="18" customHeight="1"/>
    <x:row r="3369" ht="18" customHeight="1"/>
    <x:row r="3370" ht="18" customHeight="1"/>
    <x:row r="3371" ht="18" customHeight="1"/>
    <x:row r="3372" ht="18" customHeight="1"/>
    <x:row r="3373" ht="18" customHeight="1"/>
    <x:row r="3374" ht="18" customHeight="1"/>
    <x:row r="3375" ht="18" customHeight="1"/>
    <x:row r="3376" ht="18" customHeight="1"/>
    <x:row r="3377" ht="18" customHeight="1"/>
    <x:row r="3378" ht="18" customHeight="1"/>
    <x:row r="3379" ht="18" customHeight="1"/>
    <x:row r="3380" ht="18" customHeight="1"/>
    <x:row r="3381" ht="18" customHeight="1"/>
    <x:row r="3382" ht="18" customHeight="1"/>
    <x:row r="3383" ht="18" customHeight="1"/>
    <x:row r="3384" ht="18" customHeight="1"/>
    <x:row r="3385" ht="18" customHeight="1"/>
    <x:row r="3386" ht="18" customHeight="1"/>
    <x:row r="3387" ht="18" customHeight="1"/>
    <x:row r="3388" ht="18" customHeight="1"/>
    <x:row r="3389" ht="18" customHeight="1"/>
    <x:row r="3390" ht="18" customHeight="1"/>
    <x:row r="3391" ht="18" customHeight="1"/>
    <x:row r="3392" ht="18" customHeight="1"/>
    <x:row r="3393" ht="18" customHeight="1"/>
    <x:row r="3394" ht="18" customHeight="1"/>
    <x:row r="3395" ht="18" customHeight="1"/>
    <x:row r="3396" ht="18" customHeight="1"/>
    <x:row r="3397" ht="18" customHeight="1"/>
    <x:row r="3398" ht="18" customHeight="1"/>
    <x:row r="3399" ht="18" customHeight="1"/>
    <x:row r="3400" ht="18" customHeight="1"/>
    <x:row r="3401" ht="18" customHeight="1"/>
    <x:row r="3402" ht="18" customHeight="1"/>
    <x:row r="3403" ht="18" customHeight="1"/>
    <x:row r="3404" ht="18" customHeight="1"/>
    <x:row r="3405" ht="18" customHeight="1"/>
    <x:row r="3406" ht="18" customHeight="1"/>
    <x:row r="3407" ht="18" customHeight="1"/>
    <x:row r="3408" ht="18" customHeight="1"/>
    <x:row r="3409" ht="18" customHeight="1"/>
    <x:row r="3410" ht="18" customHeight="1"/>
    <x:row r="3411" ht="18" customHeight="1"/>
    <x:row r="3412" ht="18" customHeight="1"/>
    <x:row r="3413" ht="18" customHeight="1"/>
    <x:row r="3414" ht="18" customHeight="1"/>
    <x:row r="3415" ht="18" customHeight="1"/>
    <x:row r="3416" ht="18" customHeight="1"/>
    <x:row r="3417" ht="18" customHeight="1"/>
    <x:row r="3418" ht="18" customHeight="1"/>
    <x:row r="3419" ht="18" customHeight="1"/>
    <x:row r="3420" ht="18" customHeight="1"/>
    <x:row r="3421" ht="18" customHeight="1"/>
    <x:row r="3422" ht="18" customHeight="1"/>
    <x:row r="3423" ht="18" customHeight="1"/>
    <x:row r="3424" ht="18" customHeight="1"/>
    <x:row r="3425" ht="18" customHeight="1"/>
    <x:row r="3426" ht="18" customHeight="1"/>
    <x:row r="3427" ht="18" customHeight="1"/>
    <x:row r="3428" ht="18" customHeight="1"/>
    <x:row r="3429" ht="18" customHeight="1"/>
    <x:row r="3430" ht="18" customHeight="1"/>
    <x:row r="3431" ht="18" customHeight="1"/>
    <x:row r="3432" ht="18" customHeight="1"/>
    <x:row r="3433" ht="18" customHeight="1"/>
    <x:row r="3434" ht="18" customHeight="1"/>
    <x:row r="3435" ht="18" customHeight="1"/>
    <x:row r="3436" ht="18" customHeight="1"/>
    <x:row r="3437" ht="18" customHeight="1"/>
    <x:row r="3438" ht="18" customHeight="1"/>
    <x:row r="3439" ht="18" customHeight="1"/>
    <x:row r="3440" ht="18" customHeight="1"/>
    <x:row r="3441" ht="18" customHeight="1"/>
    <x:row r="3442" ht="18" customHeight="1"/>
    <x:row r="3443" ht="18" customHeight="1"/>
    <x:row r="3444" ht="18" customHeight="1"/>
    <x:row r="3445" ht="18" customHeight="1"/>
    <x:row r="3446" ht="18" customHeight="1"/>
    <x:row r="3447" ht="18" customHeight="1"/>
    <x:row r="3448" ht="18" customHeight="1"/>
    <x:row r="3449" ht="18" customHeight="1"/>
    <x:row r="3450" ht="18" customHeight="1"/>
    <x:row r="3451" ht="18" customHeight="1"/>
    <x:row r="3452" ht="18" customHeight="1"/>
    <x:row r="3453" ht="18" customHeight="1"/>
    <x:row r="3454" ht="18" customHeight="1"/>
    <x:row r="3455" ht="18" customHeight="1"/>
    <x:row r="3456" ht="18" customHeight="1"/>
    <x:row r="3457" ht="18" customHeight="1"/>
    <x:row r="3458" ht="18" customHeight="1"/>
    <x:row r="3459" ht="18" customHeight="1"/>
    <x:row r="3460" ht="18" customHeight="1"/>
    <x:row r="3461" ht="18" customHeight="1"/>
    <x:row r="3462" ht="18" customHeight="1"/>
    <x:row r="3463" ht="18" customHeight="1"/>
    <x:row r="3464" ht="18" customHeight="1"/>
    <x:row r="3465" ht="18" customHeight="1"/>
    <x:row r="3466" ht="18" customHeight="1"/>
    <x:row r="3467" ht="18" customHeight="1"/>
    <x:row r="3468" ht="18" customHeight="1"/>
    <x:row r="3469" ht="18" customHeight="1"/>
    <x:row r="3470" ht="18" customHeight="1"/>
    <x:row r="3471" ht="18" customHeight="1"/>
    <x:row r="3472" ht="18" customHeight="1"/>
    <x:row r="3473" ht="18" customHeight="1"/>
    <x:row r="3474" ht="18" customHeight="1"/>
    <x:row r="3475" ht="18" customHeight="1"/>
    <x:row r="3476" ht="18" customHeight="1"/>
    <x:row r="3477" ht="18" customHeight="1"/>
    <x:row r="3478" ht="18" customHeight="1"/>
    <x:row r="3479" ht="18" customHeight="1"/>
    <x:row r="3480" ht="18" customHeight="1"/>
    <x:row r="3481" ht="18" customHeight="1"/>
    <x:row r="3482" ht="18" customHeight="1"/>
    <x:row r="3483" ht="18" customHeight="1"/>
    <x:row r="3484" ht="18" customHeight="1"/>
    <x:row r="3485" ht="18" customHeight="1"/>
    <x:row r="3486" ht="18" customHeight="1"/>
    <x:row r="3487" ht="18" customHeight="1"/>
    <x:row r="3488" ht="18" customHeight="1"/>
    <x:row r="3489" ht="18" customHeight="1"/>
    <x:row r="3490" ht="18" customHeight="1"/>
    <x:row r="3491" ht="18" customHeight="1"/>
    <x:row r="3492" ht="18" customHeight="1"/>
    <x:row r="3493" ht="18" customHeight="1"/>
    <x:row r="3494" ht="18" customHeight="1"/>
    <x:row r="3495" ht="18" customHeight="1"/>
    <x:row r="3496" ht="18" customHeight="1"/>
    <x:row r="3497" ht="18" customHeight="1"/>
    <x:row r="3498" ht="18" customHeight="1"/>
    <x:row r="3499" ht="18" customHeight="1"/>
    <x:row r="3500" ht="18" customHeight="1"/>
    <x:row r="3501" ht="18" customHeight="1"/>
    <x:row r="3502" ht="18" customHeight="1"/>
    <x:row r="3503" ht="18" customHeight="1"/>
    <x:row r="3504" ht="18" customHeight="1"/>
    <x:row r="3505" ht="18" customHeight="1"/>
    <x:row r="3506" ht="18" customHeight="1"/>
    <x:row r="3507" ht="18" customHeight="1"/>
    <x:row r="3508" ht="18" customHeight="1"/>
    <x:row r="3509" ht="18" customHeight="1"/>
    <x:row r="3510" ht="18" customHeight="1"/>
    <x:row r="3511" ht="18" customHeight="1"/>
    <x:row r="3512" ht="18" customHeight="1"/>
    <x:row r="3513" ht="18" customHeight="1"/>
    <x:row r="3514" ht="18" customHeight="1"/>
    <x:row r="3515" ht="18" customHeight="1"/>
    <x:row r="3516" ht="18" customHeight="1"/>
    <x:row r="3517" ht="18" customHeight="1"/>
    <x:row r="3518" ht="18" customHeight="1"/>
    <x:row r="3519" ht="18" customHeight="1"/>
    <x:row r="3520" ht="18" customHeight="1"/>
    <x:row r="3521" ht="18" customHeight="1"/>
    <x:row r="3522" ht="18" customHeight="1"/>
    <x:row r="3523" ht="18" customHeight="1"/>
    <x:row r="3524" ht="18" customHeight="1"/>
    <x:row r="3525" ht="18" customHeight="1"/>
    <x:row r="3526" ht="18" customHeight="1"/>
    <x:row r="3527" ht="18" customHeight="1"/>
    <x:row r="3528" ht="18" customHeight="1"/>
    <x:row r="3529" ht="18" customHeight="1"/>
    <x:row r="3530" ht="18" customHeight="1"/>
    <x:row r="3531" ht="18" customHeight="1"/>
    <x:row r="3532" ht="18" customHeight="1"/>
    <x:row r="3533" ht="18" customHeight="1"/>
    <x:row r="3534" ht="18" customHeight="1"/>
    <x:row r="3535" ht="18" customHeight="1"/>
    <x:row r="3536" ht="18" customHeight="1"/>
    <x:row r="3537" ht="18" customHeight="1"/>
    <x:row r="3538" ht="18" customHeight="1"/>
    <x:row r="3539" ht="18" customHeight="1"/>
    <x:row r="3540" ht="18" customHeight="1"/>
    <x:row r="3541" ht="18" customHeight="1"/>
    <x:row r="3542" ht="18" customHeight="1"/>
    <x:row r="3543" ht="18" customHeight="1"/>
    <x:row r="3544" ht="18" customHeight="1"/>
    <x:row r="3545" ht="18" customHeight="1"/>
    <x:row r="3546" ht="18" customHeight="1"/>
    <x:row r="3547" ht="18" customHeight="1"/>
    <x:row r="3548" ht="18" customHeight="1"/>
    <x:row r="3549" ht="18" customHeight="1"/>
    <x:row r="3550" ht="18" customHeight="1"/>
    <x:row r="3551" ht="18" customHeight="1"/>
    <x:row r="3552" ht="18" customHeight="1"/>
    <x:row r="3553" ht="18" customHeight="1"/>
    <x:row r="3554" ht="18" customHeight="1"/>
    <x:row r="3555" ht="18" customHeight="1"/>
    <x:row r="3556" ht="18" customHeight="1"/>
    <x:row r="3557" ht="18" customHeight="1"/>
    <x:row r="3558" ht="18" customHeight="1"/>
    <x:row r="3559" ht="18" customHeight="1"/>
    <x:row r="3560" ht="18" customHeight="1"/>
    <x:row r="3561" ht="18" customHeight="1"/>
    <x:row r="3562" ht="18" customHeight="1"/>
    <x:row r="3563" ht="18" customHeight="1"/>
    <x:row r="3564" ht="18" customHeight="1"/>
    <x:row r="3565" ht="18" customHeight="1"/>
    <x:row r="3566" ht="18" customHeight="1"/>
    <x:row r="3567" ht="18" customHeight="1"/>
    <x:row r="3568" ht="18" customHeight="1"/>
    <x:row r="3569" ht="18" customHeight="1"/>
    <x:row r="3570" ht="18" customHeight="1"/>
    <x:row r="3571" ht="18" customHeight="1"/>
    <x:row r="3572" ht="18" customHeight="1"/>
    <x:row r="3573" ht="18" customHeight="1"/>
    <x:row r="3574" ht="18" customHeight="1"/>
    <x:row r="3575" ht="18" customHeight="1"/>
    <x:row r="3576" ht="18" customHeight="1"/>
    <x:row r="3577" ht="18" customHeight="1"/>
    <x:row r="3578" ht="18" customHeight="1"/>
    <x:row r="3579" ht="18" customHeight="1"/>
    <x:row r="3580" ht="18" customHeight="1"/>
    <x:row r="3581" ht="18" customHeight="1"/>
    <x:row r="3582" ht="18" customHeight="1"/>
    <x:row r="3583" ht="18" customHeight="1"/>
    <x:row r="3584" ht="18" customHeight="1"/>
    <x:row r="3585" ht="18" customHeight="1"/>
    <x:row r="3586" ht="18" customHeight="1"/>
    <x:row r="3587" ht="18" customHeight="1"/>
    <x:row r="3588" ht="18" customHeight="1"/>
    <x:row r="3589" ht="18" customHeight="1"/>
    <x:row r="3590" ht="18" customHeight="1"/>
    <x:row r="3591" ht="18" customHeight="1"/>
    <x:row r="3592" ht="18" customHeight="1"/>
    <x:row r="3593" ht="18" customHeight="1"/>
    <x:row r="3594" ht="18" customHeight="1"/>
    <x:row r="3595" ht="18" customHeight="1"/>
    <x:row r="3596" ht="18" customHeight="1"/>
    <x:row r="3597" ht="18" customHeight="1"/>
    <x:row r="3598" ht="18" customHeight="1"/>
    <x:row r="3599" ht="18" customHeight="1"/>
    <x:row r="3600" ht="18" customHeight="1"/>
    <x:row r="3601" ht="18" customHeight="1"/>
    <x:row r="3602" ht="18" customHeight="1"/>
    <x:row r="3603" ht="18" customHeight="1"/>
    <x:row r="3604" ht="18" customHeight="1"/>
    <x:row r="3605" ht="18" customHeight="1"/>
    <x:row r="3606" ht="18" customHeight="1"/>
    <x:row r="3607" ht="18" customHeight="1"/>
    <x:row r="3608" ht="18" customHeight="1"/>
    <x:row r="3609" ht="18" customHeight="1"/>
    <x:row r="3610" ht="18" customHeight="1"/>
    <x:row r="3611" ht="18" customHeight="1"/>
    <x:row r="3612" ht="18" customHeight="1"/>
    <x:row r="3613" ht="18" customHeight="1"/>
    <x:row r="3614" ht="18" customHeight="1"/>
    <x:row r="3615" ht="18" customHeight="1"/>
    <x:row r="3616" ht="18" customHeight="1"/>
    <x:row r="3617" ht="18" customHeight="1"/>
    <x:row r="3618" ht="18" customHeight="1"/>
    <x:row r="3619" ht="18" customHeight="1"/>
    <x:row r="3620" ht="18" customHeight="1"/>
    <x:row r="3621" ht="18" customHeight="1"/>
    <x:row r="3622" ht="18" customHeight="1"/>
    <x:row r="3623" ht="18" customHeight="1"/>
    <x:row r="3624" ht="18" customHeight="1"/>
    <x:row r="3625" ht="18" customHeight="1"/>
    <x:row r="3626" ht="18" customHeight="1"/>
    <x:row r="3627" ht="18" customHeight="1"/>
    <x:row r="3628" ht="18" customHeight="1"/>
    <x:row r="3629" ht="18" customHeight="1"/>
    <x:row r="3630" ht="18" customHeight="1"/>
    <x:row r="3631" ht="18" customHeight="1"/>
    <x:row r="3632" ht="18" customHeight="1"/>
    <x:row r="3633" ht="18" customHeight="1"/>
    <x:row r="3634" ht="18" customHeight="1"/>
    <x:row r="3635" ht="18" customHeight="1"/>
    <x:row r="3636" ht="18" customHeight="1"/>
    <x:row r="3637" ht="18" customHeight="1"/>
    <x:row r="3638" ht="18" customHeight="1"/>
    <x:row r="3639" ht="18" customHeight="1"/>
    <x:row r="3640" ht="18" customHeight="1"/>
    <x:row r="3641" ht="18" customHeight="1"/>
    <x:row r="3642" ht="18" customHeight="1"/>
    <x:row r="3643" ht="18" customHeight="1"/>
    <x:row r="3644" ht="18" customHeight="1"/>
    <x:row r="3645" ht="18" customHeight="1"/>
    <x:row r="3646" ht="18" customHeight="1"/>
    <x:row r="3647" ht="18" customHeight="1"/>
    <x:row r="3648" ht="18" customHeight="1"/>
    <x:row r="3649" ht="18" customHeight="1"/>
    <x:row r="3650" ht="18" customHeight="1"/>
    <x:row r="3651" ht="18" customHeight="1"/>
    <x:row r="3652" ht="18" customHeight="1"/>
    <x:row r="3653" ht="18" customHeight="1"/>
    <x:row r="3654" ht="18" customHeight="1"/>
  </x:sheetData>
  <x:dataValidations count="3">
    <x:dataValidation type="list" sqref="B5:B120">
      <x:formula1>"21,22,23,24,25"</x:formula1>
    </x:dataValidation>
    <x:dataValidation type="list" sqref="D5:D120">
      <x:formula1>"AM,PM"</x:formula1>
    </x:dataValidation>
    <x:dataValidation type="decimal" sqref="H5:R120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862df97699a4a7b"/>
  </x:tableParts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3" t="str">
        <x:v>PRODUCTION EVENT REFERENCE SNAPSHOT</x:v>
      </x:c>
      <x:c r="B1" s="33"/>
      <x:c r="C1" s="33"/>
      <x:c r="D1" s="33"/>
      <x:c r="E1" s="33"/>
      <x:c r="F1" s="33"/>
      <x:c r="G1" s="33"/>
      <x:c r="H1" s="33"/>
      <x:c r="I1" s="33"/>
    </x:row>
    <x:row r="2">
      <x:c r="A2" s="38" t="str">
        <x:v>Internal validation snapshot copied from the supervisor production fact for this package. Refresh with ETL when production input changes.</x:v>
      </x:c>
      <x:c r="B2" s="38"/>
      <x:c r="C2" s="38"/>
      <x:c r="D2" s="38"/>
      <x:c r="E2" s="38"/>
      <x:c r="F2" s="38"/>
      <x:c r="G2" s="38"/>
      <x:c r="H2" s="38"/>
      <x:c r="I2" s="38"/>
    </x:row>
    <x:row r="4">
      <x:c r="A4" s="46" t="str">
        <x:v>ProductionEventID</x:v>
      </x:c>
      <x:c r="B4" s="46" t="str">
        <x:v>FactoryCode</x:v>
      </x:c>
      <x:c r="C4" s="46" t="str">
        <x:v>LineNumber</x:v>
      </x:c>
      <x:c r="D4" s="46" t="str">
        <x:v>EventDate</x:v>
      </x:c>
      <x:c r="E4" s="46" t="str">
        <x:v>ShiftCode</x:v>
      </x:c>
      <x:c r="F4" s="46" t="str">
        <x:v>OrderNumber</x:v>
      </x:c>
      <x:c r="G4" s="46" t="str">
        <x:v>DesignOutput</x:v>
      </x:c>
      <x:c r="H4" s="46" t="str">
        <x:v>TotalReject</x:v>
      </x:c>
      <x:c r="I4" s="46" t="str">
        <x:v>ProductionDataQualityCheck</x:v>
      </x:c>
    </x:row>
    <x:row r="5">
      <x:c r="A5" t="str">
        <x:v>PE-KG01-L21-20251020-AM-ORD-2025-00019</x:v>
      </x:c>
      <x:c r="B5" t="str">
        <x:v>KG01</x:v>
      </x:c>
      <x:c r="C5" t="n">
        <x:v>21</x:v>
      </x:c>
      <x:c r="D5" s="52" t="n">
        <x:v>45950</x:v>
      </x:c>
      <x:c r="E5" t="str">
        <x:v>AM</x:v>
      </x:c>
      <x:c r="F5" t="str">
        <x:v>ORD-2025-00019</x:v>
      </x:c>
      <x:c r="G5" t="n">
        <x:v>253368</x:v>
      </x:c>
      <x:c r="H5" t="n">
        <x:v>13161</x:v>
      </x:c>
      <x:c r="I5" t="str">
        <x:v>OK</x:v>
      </x:c>
    </x:row>
    <x:row r="6">
      <x:c r="A6" t="str">
        <x:v>PE-KG01-L21-20251020-PM-ORD-2025-00019</x:v>
      </x:c>
      <x:c r="B6" t="str">
        <x:v>KG01</x:v>
      </x:c>
      <x:c r="C6" t="n">
        <x:v>21</x:v>
      </x:c>
      <x:c r="D6" s="52" t="n">
        <x:v>45950</x:v>
      </x:c>
      <x:c r="E6" t="str">
        <x:v>PM</x:v>
      </x:c>
      <x:c r="F6" t="str">
        <x:v>ORD-2025-00019</x:v>
      </x:c>
      <x:c r="G6" t="n">
        <x:v>228690</x:v>
      </x:c>
      <x:c r="H6" t="n">
        <x:v>10575</x:v>
      </x:c>
      <x:c r="I6" t="str">
        <x:v>OK</x:v>
      </x:c>
    </x:row>
    <x:row r="7">
      <x:c r="A7" t="str">
        <x:v>PE-KG01-L21-20251021-AM-ORD-2025-00020</x:v>
      </x:c>
      <x:c r="B7" t="str">
        <x:v>KG01</x:v>
      </x:c>
      <x:c r="C7" t="n">
        <x:v>21</x:v>
      </x:c>
      <x:c r="D7" s="52" t="n">
        <x:v>45951</x:v>
      </x:c>
      <x:c r="E7" t="str">
        <x:v>AM</x:v>
      </x:c>
      <x:c r="F7" t="str">
        <x:v>ORD-2025-00020</x:v>
      </x:c>
      <x:c r="G7" t="n">
        <x:v>89880</x:v>
      </x:c>
      <x:c r="H7" t="n">
        <x:v>9054</x:v>
      </x:c>
      <x:c r="I7" t="str">
        <x:v>OK</x:v>
      </x:c>
    </x:row>
    <x:row r="8">
      <x:c r="A8" t="str">
        <x:v>PE-KG01-L21-20251021-PM-ORD-2025-00020</x:v>
      </x:c>
      <x:c r="B8" t="str">
        <x:v>KG01</x:v>
      </x:c>
      <x:c r="C8" t="n">
        <x:v>21</x:v>
      </x:c>
      <x:c r="D8" s="52" t="n">
        <x:v>45951</x:v>
      </x:c>
      <x:c r="E8" t="str">
        <x:v>PM</x:v>
      </x:c>
      <x:c r="F8" t="str">
        <x:v>ORD-2025-00020</x:v>
      </x:c>
      <x:c r="G8" t="n">
        <x:v>139440</x:v>
      </x:c>
      <x:c r="H8" t="n">
        <x:v>6646</x:v>
      </x:c>
      <x:c r="I8" t="str">
        <x:v>OK</x:v>
      </x:c>
    </x:row>
    <x:row r="9">
      <x:c r="A9" t="str">
        <x:v>PE-KG01-L21-20251022-AM-ORD-2025-00020</x:v>
      </x:c>
      <x:c r="B9" t="str">
        <x:v>KG01</x:v>
      </x:c>
      <x:c r="C9" t="n">
        <x:v>21</x:v>
      </x:c>
      <x:c r="D9" s="52" t="n">
        <x:v>45952</x:v>
      </x:c>
      <x:c r="E9" t="str">
        <x:v>AM</x:v>
      </x:c>
      <x:c r="F9" t="str">
        <x:v>ORD-2025-00020</x:v>
      </x:c>
      <x:c r="G9" t="n">
        <x:v>124632</x:v>
      </x:c>
      <x:c r="H9" t="n">
        <x:v>6951</x:v>
      </x:c>
      <x:c r="I9" t="str">
        <x:v>OK</x:v>
      </x:c>
    </x:row>
    <x:row r="10">
      <x:c r="A10" t="str">
        <x:v>PE-KG01-L21-20251022-PM-ORD-2025-00020</x:v>
      </x:c>
      <x:c r="B10" t="str">
        <x:v>KG01</x:v>
      </x:c>
      <x:c r="C10" t="n">
        <x:v>21</x:v>
      </x:c>
      <x:c r="D10" s="52" t="n">
        <x:v>45952</x:v>
      </x:c>
      <x:c r="E10" t="str">
        <x:v>PM</x:v>
      </x:c>
      <x:c r="F10" t="str">
        <x:v>ORD-2025-00020</x:v>
      </x:c>
      <x:c r="G10" t="n">
        <x:v>154176</x:v>
      </x:c>
      <x:c r="H10" t="n">
        <x:v>6388</x:v>
      </x:c>
      <x:c r="I10" t="str">
        <x:v>OK</x:v>
      </x:c>
    </x:row>
    <x:row r="11">
      <x:c r="A11" t="str">
        <x:v>PE-KG01-L21-20251023-AM-ORD-2025-00020</x:v>
      </x:c>
      <x:c r="B11" t="str">
        <x:v>KG01</x:v>
      </x:c>
      <x:c r="C11" t="n">
        <x:v>21</x:v>
      </x:c>
      <x:c r="D11" s="52" t="n">
        <x:v>45953</x:v>
      </x:c>
      <x:c r="E11" t="str">
        <x:v>AM</x:v>
      </x:c>
      <x:c r="F11" t="str">
        <x:v>ORD-2025-00020</x:v>
      </x:c>
      <x:c r="G11" t="n">
        <x:v>137400</x:v>
      </x:c>
      <x:c r="H11" t="n">
        <x:v>5426</x:v>
      </x:c>
      <x:c r="I11" t="str">
        <x:v>OK</x:v>
      </x:c>
    </x:row>
    <x:row r="12">
      <x:c r="A12" t="str">
        <x:v>PE-KG01-L21-20251023-PM-ORD-2025-00020</x:v>
      </x:c>
      <x:c r="B12" t="str">
        <x:v>KG01</x:v>
      </x:c>
      <x:c r="C12" t="n">
        <x:v>21</x:v>
      </x:c>
      <x:c r="D12" s="52" t="n">
        <x:v>45953</x:v>
      </x:c>
      <x:c r="E12" t="str">
        <x:v>PM</x:v>
      </x:c>
      <x:c r="F12" t="str">
        <x:v>ORD-2025-00020</x:v>
      </x:c>
      <x:c r="G12" t="n">
        <x:v>126252</x:v>
      </x:c>
      <x:c r="H12" t="n">
        <x:v>3550</x:v>
      </x:c>
      <x:c r="I12" t="str">
        <x:v>OK</x:v>
      </x:c>
    </x:row>
    <x:row r="13">
      <x:c r="A13" t="str">
        <x:v>PE-KG01-L21-20251024-AM-ORD-2025-00020</x:v>
      </x:c>
      <x:c r="B13" t="str">
        <x:v>KG01</x:v>
      </x:c>
      <x:c r="C13" t="n">
        <x:v>21</x:v>
      </x:c>
      <x:c r="D13" s="52" t="n">
        <x:v>45954</x:v>
      </x:c>
      <x:c r="E13" t="str">
        <x:v>AM</x:v>
      </x:c>
      <x:c r="F13" t="str">
        <x:v>ORD-2025-00020</x:v>
      </x:c>
      <x:c r="G13" t="n">
        <x:v>154968</x:v>
      </x:c>
      <x:c r="H13" t="n">
        <x:v>4499</x:v>
      </x:c>
      <x:c r="I13" t="str">
        <x:v>OK</x:v>
      </x:c>
    </x:row>
    <x:row r="14">
      <x:c r="A14" t="str">
        <x:v>PE-KG01-L21-20251024-PM-ORD-2025-00020</x:v>
      </x:c>
      <x:c r="B14" t="str">
        <x:v>KG01</x:v>
      </x:c>
      <x:c r="C14" t="n">
        <x:v>21</x:v>
      </x:c>
      <x:c r="D14" s="52" t="n">
        <x:v>45954</x:v>
      </x:c>
      <x:c r="E14" t="str">
        <x:v>PM</x:v>
      </x:c>
      <x:c r="F14" t="str">
        <x:v>ORD-2025-00020</x:v>
      </x:c>
      <x:c r="G14" t="n">
        <x:v>123660</x:v>
      </x:c>
      <x:c r="H14" t="n">
        <x:v>3759</x:v>
      </x:c>
      <x:c r="I14" t="str">
        <x:v>OK</x:v>
      </x:c>
    </x:row>
    <x:row r="15">
      <x:c r="A15" t="str">
        <x:v>PE-KG01-L21-20251025-AM-ORD-2025-00021</x:v>
      </x:c>
      <x:c r="B15" t="str">
        <x:v>KG01</x:v>
      </x:c>
      <x:c r="C15" t="n">
        <x:v>21</x:v>
      </x:c>
      <x:c r="D15" s="52" t="n">
        <x:v>45955</x:v>
      </x:c>
      <x:c r="E15" t="str">
        <x:v>AM</x:v>
      </x:c>
      <x:c r="F15" t="str">
        <x:v>ORD-2025-00021</x:v>
      </x:c>
      <x:c r="G15" t="n">
        <x:v>131076</x:v>
      </x:c>
      <x:c r="H15" t="n">
        <x:v>14048</x:v>
      </x:c>
      <x:c r="I15" t="str">
        <x:v>OK</x:v>
      </x:c>
    </x:row>
    <x:row r="16">
      <x:c r="A16" t="str">
        <x:v>PE-KG01-L21-20251025-PM-ORD-2025-00021</x:v>
      </x:c>
      <x:c r="B16" t="str">
        <x:v>KG01</x:v>
      </x:c>
      <x:c r="C16" t="n">
        <x:v>21</x:v>
      </x:c>
      <x:c r="D16" s="52" t="n">
        <x:v>45955</x:v>
      </x:c>
      <x:c r="E16" t="str">
        <x:v>PM</x:v>
      </x:c>
      <x:c r="F16" t="str">
        <x:v>ORD-2025-00021</x:v>
      </x:c>
      <x:c r="G16" t="n">
        <x:v>272376</x:v>
      </x:c>
      <x:c r="H16" t="n">
        <x:v>13535</x:v>
      </x:c>
      <x:c r="I16" t="str">
        <x:v>OK</x:v>
      </x:c>
    </x:row>
    <x:row r="17">
      <x:c r="A17" t="str">
        <x:v>PE-KG01-L21-20251026-AM-ORD-2025-00021</x:v>
      </x:c>
      <x:c r="B17" t="str">
        <x:v>KG01</x:v>
      </x:c>
      <x:c r="C17" t="n">
        <x:v>21</x:v>
      </x:c>
      <x:c r="D17" s="52" t="n">
        <x:v>45956</x:v>
      </x:c>
      <x:c r="E17" t="str">
        <x:v>AM</x:v>
      </x:c>
      <x:c r="F17" t="str">
        <x:v>ORD-2025-00021</x:v>
      </x:c>
      <x:c r="G17" t="n">
        <x:v>275886</x:v>
      </x:c>
      <x:c r="H17" t="n">
        <x:v>12922</x:v>
      </x:c>
      <x:c r="I17" t="str">
        <x:v>OK</x:v>
      </x:c>
    </x:row>
    <x:row r="18">
      <x:c r="A18" t="str">
        <x:v>PE-KG01-L21-20251026-PM-ORD-2025-00021</x:v>
      </x:c>
      <x:c r="B18" t="str">
        <x:v>KG01</x:v>
      </x:c>
      <x:c r="C18" t="n">
        <x:v>21</x:v>
      </x:c>
      <x:c r="D18" s="52" t="n">
        <x:v>45956</x:v>
      </x:c>
      <x:c r="E18" t="str">
        <x:v>PM</x:v>
      </x:c>
      <x:c r="F18" t="str">
        <x:v>ORD-2025-00021</x:v>
      </x:c>
      <x:c r="G18" t="n">
        <x:v>276588</x:v>
      </x:c>
      <x:c r="H18" t="n">
        <x:v>10955</x:v>
      </x:c>
      <x:c r="I18" t="str">
        <x:v>OK</x:v>
      </x:c>
    </x:row>
    <x:row r="19">
      <x:c r="A19" t="str">
        <x:v>PE-KG01-L22-20251020-AM-ORD-2025-00056</x:v>
      </x:c>
      <x:c r="B19" t="str">
        <x:v>KG01</x:v>
      </x:c>
      <x:c r="C19" t="n">
        <x:v>22</x:v>
      </x:c>
      <x:c r="D19" s="52" t="n">
        <x:v>45950</x:v>
      </x:c>
      <x:c r="E19" t="str">
        <x:v>AM</x:v>
      </x:c>
      <x:c r="F19" t="str">
        <x:v>ORD-2025-00056</x:v>
      </x:c>
      <x:c r="G19" t="n">
        <x:v>26880</x:v>
      </x:c>
      <x:c r="H19" t="n">
        <x:v>3024</x:v>
      </x:c>
      <x:c r="I19" t="str">
        <x:v>OK</x:v>
      </x:c>
    </x:row>
    <x:row r="20">
      <x:c r="A20" t="str">
        <x:v>PE-KG01-L22-20251020-PM-ORD-2025-00056</x:v>
      </x:c>
      <x:c r="B20" t="str">
        <x:v>KG01</x:v>
      </x:c>
      <x:c r="C20" t="n">
        <x:v>22</x:v>
      </x:c>
      <x:c r="D20" s="52" t="n">
        <x:v>45950</x:v>
      </x:c>
      <x:c r="E20" t="str">
        <x:v>PM</x:v>
      </x:c>
      <x:c r="F20" t="str">
        <x:v>ORD-2025-00056</x:v>
      </x:c>
      <x:c r="G20" t="n">
        <x:v>156288</x:v>
      </x:c>
      <x:c r="H20" t="n">
        <x:v>8503</x:v>
      </x:c>
      <x:c r="I20" t="str">
        <x:v>OK</x:v>
      </x:c>
    </x:row>
    <x:row r="21">
      <x:c r="A21" t="str">
        <x:v>PE-KG01-L22-20251021-AM-ORD-2025-00056</x:v>
      </x:c>
      <x:c r="B21" t="str">
        <x:v>KG01</x:v>
      </x:c>
      <x:c r="C21" t="n">
        <x:v>22</x:v>
      </x:c>
      <x:c r="D21" s="52" t="n">
        <x:v>45951</x:v>
      </x:c>
      <x:c r="E21" t="str">
        <x:v>AM</x:v>
      </x:c>
      <x:c r="F21" t="str">
        <x:v>ORD-2025-00056</x:v>
      </x:c>
      <x:c r="G21" t="n">
        <x:v>140160</x:v>
      </x:c>
      <x:c r="H21" t="n">
        <x:v>5551</x:v>
      </x:c>
      <x:c r="I21" t="str">
        <x:v>OK</x:v>
      </x:c>
    </x:row>
    <x:row r="22">
      <x:c r="A22" t="str">
        <x:v>PE-KG01-L22-20251021-PM-ORD-2025-00056</x:v>
      </x:c>
      <x:c r="B22" t="str">
        <x:v>KG01</x:v>
      </x:c>
      <x:c r="C22" t="n">
        <x:v>22</x:v>
      </x:c>
      <x:c r="D22" s="52" t="n">
        <x:v>45951</x:v>
      </x:c>
      <x:c r="E22" t="str">
        <x:v>PM</x:v>
      </x:c>
      <x:c r="F22" t="str">
        <x:v>ORD-2025-00056</x:v>
      </x:c>
      <x:c r="G22" t="n">
        <x:v>138840</x:v>
      </x:c>
      <x:c r="H22" t="n">
        <x:v>6335</x:v>
      </x:c>
      <x:c r="I22" t="str">
        <x:v>OK</x:v>
      </x:c>
    </x:row>
    <x:row r="23">
      <x:c r="A23" t="str">
        <x:v>PE-KG01-L22-20251022-AM-ORD-2025-00057</x:v>
      </x:c>
      <x:c r="B23" t="str">
        <x:v>KG01</x:v>
      </x:c>
      <x:c r="C23" t="n">
        <x:v>22</x:v>
      </x:c>
      <x:c r="D23" s="52" t="n">
        <x:v>45952</x:v>
      </x:c>
      <x:c r="E23" t="str">
        <x:v>AM</x:v>
      </x:c>
      <x:c r="F23" t="str">
        <x:v>ORD-2025-00057</x:v>
      </x:c>
      <x:c r="G23" t="n">
        <x:v>126252</x:v>
      </x:c>
      <x:c r="H23" t="n">
        <x:v>7192</x:v>
      </x:c>
      <x:c r="I23" t="str">
        <x:v>OK</x:v>
      </x:c>
    </x:row>
    <x:row r="24">
      <x:c r="A24" t="str">
        <x:v>PE-KG01-L22-20251022-PM-ORD-2025-00057</x:v>
      </x:c>
      <x:c r="B24" t="str">
        <x:v>KG01</x:v>
      </x:c>
      <x:c r="C24" t="n">
        <x:v>22</x:v>
      </x:c>
      <x:c r="D24" s="52" t="n">
        <x:v>45952</x:v>
      </x:c>
      <x:c r="E24" t="str">
        <x:v>PM</x:v>
      </x:c>
      <x:c r="F24" t="str">
        <x:v>ORD-2025-00057</x:v>
      </x:c>
      <x:c r="G24" t="n">
        <x:v>138720</x:v>
      </x:c>
      <x:c r="H24" t="n">
        <x:v>5375</x:v>
      </x:c>
      <x:c r="I24" t="str">
        <x:v>OK</x:v>
      </x:c>
    </x:row>
    <x:row r="25">
      <x:c r="A25" t="str">
        <x:v>PE-KG01-L22-20251023-AM-ORD-2025-00057</x:v>
      </x:c>
      <x:c r="B25" t="str">
        <x:v>KG01</x:v>
      </x:c>
      <x:c r="C25" t="n">
        <x:v>22</x:v>
      </x:c>
      <x:c r="D25" s="52" t="n">
        <x:v>45953</x:v>
      </x:c>
      <x:c r="E25" t="str">
        <x:v>AM</x:v>
      </x:c>
      <x:c r="F25" t="str">
        <x:v>ORD-2025-00057</x:v>
      </x:c>
      <x:c r="G25" t="n">
        <x:v>140400</x:v>
      </x:c>
      <x:c r="H25" t="n">
        <x:v>6927</x:v>
      </x:c>
      <x:c r="I25" t="str">
        <x:v>OK</x:v>
      </x:c>
    </x:row>
    <x:row r="26">
      <x:c r="A26" t="str">
        <x:v>PE-KG01-L22-20251023-PM-ORD-2025-00057</x:v>
      </x:c>
      <x:c r="B26" t="str">
        <x:v>KG01</x:v>
      </x:c>
      <x:c r="C26" t="n">
        <x:v>22</x:v>
      </x:c>
      <x:c r="D26" s="52" t="n">
        <x:v>45953</x:v>
      </x:c>
      <x:c r="E26" t="str">
        <x:v>PM</x:v>
      </x:c>
      <x:c r="F26" t="str">
        <x:v>ORD-2025-00057</x:v>
      </x:c>
      <x:c r="G26" t="n">
        <x:v>141240</x:v>
      </x:c>
      <x:c r="H26" t="n">
        <x:v>8020</x:v>
      </x:c>
      <x:c r="I26" t="str">
        <x:v>OK</x:v>
      </x:c>
    </x:row>
    <x:row r="27">
      <x:c r="A27" t="str">
        <x:v>PE-KG01-L22-20251024-AM-ORD-2025-00057</x:v>
      </x:c>
      <x:c r="B27" t="str">
        <x:v>KG01</x:v>
      </x:c>
      <x:c r="C27" t="n">
        <x:v>22</x:v>
      </x:c>
      <x:c r="D27" s="52" t="n">
        <x:v>45954</x:v>
      </x:c>
      <x:c r="E27" t="str">
        <x:v>AM</x:v>
      </x:c>
      <x:c r="F27" t="str">
        <x:v>ORD-2025-00057</x:v>
      </x:c>
      <x:c r="G27" t="n">
        <x:v>141000</x:v>
      </x:c>
      <x:c r="H27" t="n">
        <x:v>5092</x:v>
      </x:c>
      <x:c r="I27" t="str">
        <x:v>OK</x:v>
      </x:c>
    </x:row>
    <x:row r="28">
      <x:c r="A28" t="str">
        <x:v>PE-KG01-L22-20251024-PM-ORD-2025-00057</x:v>
      </x:c>
      <x:c r="B28" t="str">
        <x:v>KG01</x:v>
      </x:c>
      <x:c r="C28" t="n">
        <x:v>22</x:v>
      </x:c>
      <x:c r="D28" s="52" t="n">
        <x:v>45954</x:v>
      </x:c>
      <x:c r="E28" t="str">
        <x:v>PM</x:v>
      </x:c>
      <x:c r="F28" t="str">
        <x:v>ORD-2025-00057</x:v>
      </x:c>
      <x:c r="G28" t="n">
        <x:v>126036</x:v>
      </x:c>
      <x:c r="H28" t="n">
        <x:v>5309</x:v>
      </x:c>
      <x:c r="I28" t="str">
        <x:v>OK</x:v>
      </x:c>
    </x:row>
    <x:row r="29">
      <x:c r="A29" t="str">
        <x:v>PE-KG01-L22-20251025-AM-ORD-2025-00057</x:v>
      </x:c>
      <x:c r="B29" t="str">
        <x:v>KG01</x:v>
      </x:c>
      <x:c r="C29" t="n">
        <x:v>22</x:v>
      </x:c>
      <x:c r="D29" s="52" t="n">
        <x:v>45955</x:v>
      </x:c>
      <x:c r="E29" t="str">
        <x:v>AM</x:v>
      </x:c>
      <x:c r="F29" t="str">
        <x:v>ORD-2025-00057</x:v>
      </x:c>
      <x:c r="G29" t="n">
        <x:v>142200</x:v>
      </x:c>
      <x:c r="H29" t="n">
        <x:v>6188</x:v>
      </x:c>
      <x:c r="I29" t="str">
        <x:v>OK</x:v>
      </x:c>
    </x:row>
    <x:row r="30">
      <x:c r="A30" t="str">
        <x:v>PE-KG01-L22-20251025-PM-ORD-2025-00057</x:v>
      </x:c>
      <x:c r="B30" t="str">
        <x:v>KG01</x:v>
      </x:c>
      <x:c r="C30" t="n">
        <x:v>22</x:v>
      </x:c>
      <x:c r="D30" s="52" t="n">
        <x:v>45955</x:v>
      </x:c>
      <x:c r="E30" t="str">
        <x:v>PM</x:v>
      </x:c>
      <x:c r="F30" t="str">
        <x:v>ORD-2025-00057</x:v>
      </x:c>
      <x:c r="G30" t="n">
        <x:v>155628</x:v>
      </x:c>
      <x:c r="H30" t="n">
        <x:v>5745</x:v>
      </x:c>
      <x:c r="I30" t="str">
        <x:v>OK</x:v>
      </x:c>
    </x:row>
    <x:row r="31">
      <x:c r="A31" t="str">
        <x:v>PE-KG01-L22-20251026-AM-ORD-2025-00058</x:v>
      </x:c>
      <x:c r="B31" t="str">
        <x:v>KG01</x:v>
      </x:c>
      <x:c r="C31" t="n">
        <x:v>22</x:v>
      </x:c>
      <x:c r="D31" s="52" t="n">
        <x:v>45956</x:v>
      </x:c>
      <x:c r="E31" t="str">
        <x:v>AM</x:v>
      </x:c>
      <x:c r="F31" t="str">
        <x:v>ORD-2025-00058</x:v>
      </x:c>
      <x:c r="G31" t="n">
        <x:v>104496</x:v>
      </x:c>
      <x:c r="H31" t="n">
        <x:v>15579</x:v>
      </x:c>
      <x:c r="I31" t="str">
        <x:v>CHECK</x:v>
      </x:c>
    </x:row>
    <x:row r="32">
      <x:c r="A32" t="str">
        <x:v>PE-KG01-L22-20251026-PM-ORD-2025-00058</x:v>
      </x:c>
      <x:c r="B32" t="str">
        <x:v>KG01</x:v>
      </x:c>
      <x:c r="C32" t="n">
        <x:v>22</x:v>
      </x:c>
      <x:c r="D32" s="52" t="n">
        <x:v>45956</x:v>
      </x:c>
      <x:c r="E32" t="str">
        <x:v>PM</x:v>
      </x:c>
      <x:c r="F32" t="str">
        <x:v>ORD-2025-00058</x:v>
      </x:c>
      <x:c r="G32" t="n">
        <x:v>338976</x:v>
      </x:c>
      <x:c r="H32" t="n">
        <x:v>8405</x:v>
      </x:c>
      <x:c r="I32" t="str">
        <x:v>CHECK</x:v>
      </x:c>
    </x:row>
    <x:row r="33">
      <x:c r="A33" t="str">
        <x:v>PE-KG01-L23-20251020-AM-ORD-2025-00092</x:v>
      </x:c>
      <x:c r="B33" t="str">
        <x:v>KG01</x:v>
      </x:c>
      <x:c r="C33" t="n">
        <x:v>23</x:v>
      </x:c>
      <x:c r="D33" s="52" t="n">
        <x:v>45950</x:v>
      </x:c>
      <x:c r="E33" t="str">
        <x:v>AM</x:v>
      </x:c>
      <x:c r="F33" t="str">
        <x:v>ORD-2025-00092</x:v>
      </x:c>
      <x:c r="G33" t="n">
        <x:v>278467</x:v>
      </x:c>
      <x:c r="H33" t="n">
        <x:v>18278</x:v>
      </x:c>
      <x:c r="I33" t="str">
        <x:v>OK</x:v>
      </x:c>
    </x:row>
    <x:row r="34">
      <x:c r="A34" t="str">
        <x:v>PE-KG01-L23-20251020-PM-ORD-2025-00092</x:v>
      </x:c>
      <x:c r="B34" t="str">
        <x:v>KG01</x:v>
      </x:c>
      <x:c r="C34" t="n">
        <x:v>23</x:v>
      </x:c>
      <x:c r="D34" s="52" t="n">
        <x:v>45950</x:v>
      </x:c>
      <x:c r="E34" t="str">
        <x:v>PM</x:v>
      </x:c>
      <x:c r="F34" t="str">
        <x:v>ORD-2025-00092</x:v>
      </x:c>
      <x:c r="G34" t="n">
        <x:v>279418</x:v>
      </x:c>
      <x:c r="H34" t="n">
        <x:v>15396</x:v>
      </x:c>
      <x:c r="I34" t="str">
        <x:v>OK</x:v>
      </x:c>
    </x:row>
    <x:row r="35">
      <x:c r="A35" t="str">
        <x:v>PE-KG01-L23-20251021-AM-ORD-2025-00092</x:v>
      </x:c>
      <x:c r="B35" t="str">
        <x:v>KG01</x:v>
      </x:c>
      <x:c r="C35" t="n">
        <x:v>23</x:v>
      </x:c>
      <x:c r="D35" s="52" t="n">
        <x:v>45951</x:v>
      </x:c>
      <x:c r="E35" t="str">
        <x:v>AM</x:v>
      </x:c>
      <x:c r="F35" t="str">
        <x:v>ORD-2025-00092</x:v>
      </x:c>
      <x:c r="G35" t="n">
        <x:v>324043</x:v>
      </x:c>
      <x:c r="H35" t="n">
        <x:v>17700</x:v>
      </x:c>
      <x:c r="I35" t="str">
        <x:v>OK</x:v>
      </x:c>
    </x:row>
    <x:row r="36">
      <x:c r="A36" t="str">
        <x:v>PE-KG01-L23-20251021-PM-ORD-2025-00092</x:v>
      </x:c>
      <x:c r="B36" t="str">
        <x:v>KG01</x:v>
      </x:c>
      <x:c r="C36" t="n">
        <x:v>23</x:v>
      </x:c>
      <x:c r="D36" s="52" t="n">
        <x:v>45951</x:v>
      </x:c>
      <x:c r="E36" t="str">
        <x:v>PM</x:v>
      </x:c>
      <x:c r="F36" t="str">
        <x:v>ORD-2025-00092</x:v>
      </x:c>
      <x:c r="G36" t="n">
        <x:v>324324</x:v>
      </x:c>
      <x:c r="H36" t="n">
        <x:v>20517</x:v>
      </x:c>
      <x:c r="I36" t="str">
        <x:v>OK</x:v>
      </x:c>
    </x:row>
    <x:row r="37">
      <x:c r="A37" t="str">
        <x:v>PE-KG01-L23-20251022-AM-ORD-2025-00093</x:v>
      </x:c>
      <x:c r="B37" t="str">
        <x:v>KG01</x:v>
      </x:c>
      <x:c r="C37" t="n">
        <x:v>23</x:v>
      </x:c>
      <x:c r="D37" s="52" t="n">
        <x:v>45952</x:v>
      </x:c>
      <x:c r="E37" t="str">
        <x:v>AM</x:v>
      </x:c>
      <x:c r="F37" t="str">
        <x:v>ORD-2025-00093</x:v>
      </x:c>
      <x:c r="G37" t="n">
        <x:v>89165</x:v>
      </x:c>
      <x:c r="H37" t="n">
        <x:v>4895</x:v>
      </x:c>
      <x:c r="I37" t="str">
        <x:v>OK</x:v>
      </x:c>
    </x:row>
    <x:row r="38">
      <x:c r="A38" t="str">
        <x:v>PE-KG01-L23-20251022-PM-ORD-2025-00093</x:v>
      </x:c>
      <x:c r="B38" t="str">
        <x:v>KG01</x:v>
      </x:c>
      <x:c r="C38" t="n">
        <x:v>23</x:v>
      </x:c>
      <x:c r="D38" s="52" t="n">
        <x:v>45952</x:v>
      </x:c>
      <x:c r="E38" t="str">
        <x:v>PM</x:v>
      </x:c>
      <x:c r="F38" t="str">
        <x:v>ORD-2025-00093</x:v>
      </x:c>
      <x:c r="G38" t="n">
        <x:v>165600</x:v>
      </x:c>
      <x:c r="H38" t="n">
        <x:v>10098</x:v>
      </x:c>
      <x:c r="I38" t="str">
        <x:v>OK</x:v>
      </x:c>
    </x:row>
    <x:row r="39">
      <x:c r="A39" t="str">
        <x:v>PE-KG01-L23-20251023-AM-ORD-2025-00093</x:v>
      </x:c>
      <x:c r="B39" t="str">
        <x:v>KG01</x:v>
      </x:c>
      <x:c r="C39" t="n">
        <x:v>23</x:v>
      </x:c>
      <x:c r="D39" s="52" t="n">
        <x:v>45953</x:v>
      </x:c>
      <x:c r="E39" t="str">
        <x:v>AM</x:v>
      </x:c>
      <x:c r="F39" t="str">
        <x:v>ORD-2025-00093</x:v>
      </x:c>
      <x:c r="G39" t="n">
        <x:v>185486</x:v>
      </x:c>
      <x:c r="H39" t="n">
        <x:v>7869</x:v>
      </x:c>
      <x:c r="I39" t="str">
        <x:v>OK</x:v>
      </x:c>
    </x:row>
    <x:row r="40">
      <x:c r="A40" t="str">
        <x:v>PE-KG01-L23-20251023-PM-ORD-2025-00093</x:v>
      </x:c>
      <x:c r="B40" t="str">
        <x:v>KG01</x:v>
      </x:c>
      <x:c r="C40" t="n">
        <x:v>23</x:v>
      </x:c>
      <x:c r="D40" s="52" t="n">
        <x:v>45953</x:v>
      </x:c>
      <x:c r="E40" t="str">
        <x:v>PM</x:v>
      </x:c>
      <x:c r="F40" t="str">
        <x:v>ORD-2025-00093</x:v>
      </x:c>
      <x:c r="G40" t="n">
        <x:v>150595</x:v>
      </x:c>
      <x:c r="H40" t="n">
        <x:v>5160</x:v>
      </x:c>
      <x:c r="I40" t="str">
        <x:v>OK</x:v>
      </x:c>
    </x:row>
    <x:row r="41">
      <x:c r="A41" t="str">
        <x:v>PE-KG01-L23-20251024-AM-ORD-2025-00093</x:v>
      </x:c>
      <x:c r="B41" t="str">
        <x:v>KG01</x:v>
      </x:c>
      <x:c r="C41" t="n">
        <x:v>23</x:v>
      </x:c>
      <x:c r="D41" s="52" t="n">
        <x:v>45954</x:v>
      </x:c>
      <x:c r="E41" t="str">
        <x:v>AM</x:v>
      </x:c>
      <x:c r="F41" t="str">
        <x:v>ORD-2025-00093</x:v>
      </x:c>
      <x:c r="G41" t="n">
        <x:v>148781</x:v>
      </x:c>
      <x:c r="H41" t="n">
        <x:v>5654</x:v>
      </x:c>
      <x:c r="I41" t="str">
        <x:v>OK</x:v>
      </x:c>
    </x:row>
    <x:row r="42">
      <x:c r="A42" t="str">
        <x:v>PE-KG01-L23-20251024-PM-ORD-2025-00093</x:v>
      </x:c>
      <x:c r="B42" t="str">
        <x:v>KG01</x:v>
      </x:c>
      <x:c r="C42" t="n">
        <x:v>23</x:v>
      </x:c>
      <x:c r="D42" s="52" t="n">
        <x:v>45954</x:v>
      </x:c>
      <x:c r="E42" t="str">
        <x:v>PM</x:v>
      </x:c>
      <x:c r="F42" t="str">
        <x:v>ORD-2025-00093</x:v>
      </x:c>
      <x:c r="G42" t="n">
        <x:v>184694</x:v>
      </x:c>
      <x:c r="H42" t="n">
        <x:v>5196</x:v>
      </x:c>
      <x:c r="I42" t="str">
        <x:v>OK</x:v>
      </x:c>
    </x:row>
    <x:row r="43">
      <x:c r="A43" t="str">
        <x:v>PE-KG01-L23-20251025-AM-ORD-2025-00093</x:v>
      </x:c>
      <x:c r="B43" t="str">
        <x:v>KG01</x:v>
      </x:c>
      <x:c r="C43" t="n">
        <x:v>23</x:v>
      </x:c>
      <x:c r="D43" s="52" t="n">
        <x:v>45955</x:v>
      </x:c>
      <x:c r="E43" t="str">
        <x:v>AM</x:v>
      </x:c>
      <x:c r="F43" t="str">
        <x:v>ORD-2025-00093</x:v>
      </x:c>
      <x:c r="G43" t="n">
        <x:v>170640</x:v>
      </x:c>
      <x:c r="H43" t="n">
        <x:v>8874</x:v>
      </x:c>
      <x:c r="I43" t="str">
        <x:v>OK</x:v>
      </x:c>
    </x:row>
    <x:row r="44">
      <x:c r="A44" t="str">
        <x:v>PE-KG01-L23-20251025-PM-ORD-2025-00093</x:v>
      </x:c>
      <x:c r="B44" t="str">
        <x:v>KG01</x:v>
      </x:c>
      <x:c r="C44" t="n">
        <x:v>23</x:v>
      </x:c>
      <x:c r="D44" s="52" t="n">
        <x:v>45955</x:v>
      </x:c>
      <x:c r="E44" t="str">
        <x:v>PM</x:v>
      </x:c>
      <x:c r="F44" t="str">
        <x:v>ORD-2025-00093</x:v>
      </x:c>
      <x:c r="G44" t="n">
        <x:v>148910</x:v>
      </x:c>
      <x:c r="H44" t="n">
        <x:v>7497</x:v>
      </x:c>
      <x:c r="I44" t="str">
        <x:v>OK</x:v>
      </x:c>
    </x:row>
    <x:row r="45">
      <x:c r="A45" t="str">
        <x:v>PE-KG01-L23-20251026-AM-ORD-2025-00094</x:v>
      </x:c>
      <x:c r="B45" t="str">
        <x:v>KG01</x:v>
      </x:c>
      <x:c r="C45" t="n">
        <x:v>23</x:v>
      </x:c>
      <x:c r="D45" s="52" t="n">
        <x:v>45956</x:v>
      </x:c>
      <x:c r="E45" t="str">
        <x:v>AM</x:v>
      </x:c>
      <x:c r="F45" t="str">
        <x:v>ORD-2025-00094</x:v>
      </x:c>
      <x:c r="G45" t="n">
        <x:v>13104</x:v>
      </x:c>
      <x:c r="H45" t="n">
        <x:v>1161</x:v>
      </x:c>
      <x:c r="I45" t="str">
        <x:v>OK</x:v>
      </x:c>
    </x:row>
    <x:row r="46">
      <x:c r="A46" t="str">
        <x:v>PE-KG01-L23-20251026-PM-ORD-2025-00094</x:v>
      </x:c>
      <x:c r="B46" t="str">
        <x:v>KG01</x:v>
      </x:c>
      <x:c r="C46" t="n">
        <x:v>23</x:v>
      </x:c>
      <x:c r="D46" s="52" t="n">
        <x:v>45956</x:v>
      </x:c>
      <x:c r="E46" t="str">
        <x:v>PM</x:v>
      </x:c>
      <x:c r="F46" t="str">
        <x:v>ORD-2025-00094</x:v>
      </x:c>
      <x:c r="G46" t="n">
        <x:v>182952</x:v>
      </x:c>
      <x:c r="H46" t="n">
        <x:v>11865</x:v>
      </x:c>
      <x:c r="I46" t="str">
        <x:v>OK</x:v>
      </x:c>
    </x:row>
    <x:row r="47">
      <x:c r="A47" t="str">
        <x:v>PE-KG01-L24-20251020-AM-ORD-2025-00124</x:v>
      </x:c>
      <x:c r="B47" t="str">
        <x:v>KG01</x:v>
      </x:c>
      <x:c r="C47" t="n">
        <x:v>24</x:v>
      </x:c>
      <x:c r="D47" s="52" t="n">
        <x:v>45950</x:v>
      </x:c>
      <x:c r="E47" t="str">
        <x:v>AM</x:v>
      </x:c>
      <x:c r="F47" t="str">
        <x:v>ORD-2025-00124</x:v>
      </x:c>
      <x:c r="G47" t="n">
        <x:v>441792</x:v>
      </x:c>
      <x:c r="H47" t="n">
        <x:v>14398</x:v>
      </x:c>
      <x:c r="I47" t="str">
        <x:v>CHECK</x:v>
      </x:c>
    </x:row>
    <x:row r="48">
      <x:c r="A48" t="str">
        <x:v>PE-KG01-L24-20251020-PM-ORD-2025-00124</x:v>
      </x:c>
      <x:c r="B48" t="str">
        <x:v>KG01</x:v>
      </x:c>
      <x:c r="C48" t="n">
        <x:v>24</x:v>
      </x:c>
      <x:c r="D48" s="52" t="n">
        <x:v>45950</x:v>
      </x:c>
      <x:c r="E48" t="str">
        <x:v>PM</x:v>
      </x:c>
      <x:c r="F48" t="str">
        <x:v>ORD-2025-00124</x:v>
      </x:c>
      <x:c r="G48" t="n">
        <x:v>440294</x:v>
      </x:c>
      <x:c r="H48" t="n">
        <x:v>17796</x:v>
      </x:c>
      <x:c r="I48" t="str">
        <x:v>CHECK</x:v>
      </x:c>
    </x:row>
    <x:row r="49">
      <x:c r="A49" t="str">
        <x:v>PE-KG01-L24-20251021-AM-ORD-2025-00125</x:v>
      </x:c>
      <x:c r="B49" t="str">
        <x:v>KG01</x:v>
      </x:c>
      <x:c r="C49" t="n">
        <x:v>24</x:v>
      </x:c>
      <x:c r="D49" s="52" t="n">
        <x:v>45951</x:v>
      </x:c>
      <x:c r="E49" t="str">
        <x:v>AM</x:v>
      </x:c>
      <x:c r="F49" t="str">
        <x:v>ORD-2025-00125</x:v>
      </x:c>
      <x:c r="G49" t="n">
        <x:v>176774</x:v>
      </x:c>
      <x:c r="H49" t="n">
        <x:v>6939</x:v>
      </x:c>
      <x:c r="I49" t="str">
        <x:v>OK</x:v>
      </x:c>
    </x:row>
    <x:row r="50">
      <x:c r="A50" t="str">
        <x:v>PE-KG01-L24-20251021-PM-ORD-2025-00125</x:v>
      </x:c>
      <x:c r="B50" t="str">
        <x:v>KG01</x:v>
      </x:c>
      <x:c r="C50" t="n">
        <x:v>24</x:v>
      </x:c>
      <x:c r="D50" s="52" t="n">
        <x:v>45951</x:v>
      </x:c>
      <x:c r="E50" t="str">
        <x:v>PM</x:v>
      </x:c>
      <x:c r="F50" t="str">
        <x:v>ORD-2025-00125</x:v>
      </x:c>
      <x:c r="G50" t="n">
        <x:v>303523</x:v>
      </x:c>
      <x:c r="H50" t="n">
        <x:v>11230</x:v>
      </x:c>
      <x:c r="I50" t="str">
        <x:v>OK</x:v>
      </x:c>
    </x:row>
    <x:row r="51">
      <x:c r="A51" t="str">
        <x:v>PE-KG01-L24-20251022-AM-ORD-2025-00125</x:v>
      </x:c>
      <x:c r="B51" t="str">
        <x:v>KG01</x:v>
      </x:c>
      <x:c r="C51" t="n">
        <x:v>24</x:v>
      </x:c>
      <x:c r="D51" s="52" t="n">
        <x:v>45952</x:v>
      </x:c>
      <x:c r="E51" t="str">
        <x:v>AM</x:v>
      </x:c>
      <x:c r="F51" t="str">
        <x:v>ORD-2025-00125</x:v>
      </x:c>
      <x:c r="G51" t="n">
        <x:v>303264</x:v>
      </x:c>
      <x:c r="H51" t="n">
        <x:v>6331</x:v>
      </x:c>
      <x:c r="I51" t="str">
        <x:v>OK</x:v>
      </x:c>
    </x:row>
    <x:row r="52">
      <x:c r="A52" t="str">
        <x:v>PE-KG01-L24-20251022-PM-ORD-2025-00125</x:v>
      </x:c>
      <x:c r="B52" t="str">
        <x:v>KG01</x:v>
      </x:c>
      <x:c r="C52" t="n">
        <x:v>24</x:v>
      </x:c>
      <x:c r="D52" s="52" t="n">
        <x:v>45952</x:v>
      </x:c>
      <x:c r="E52" t="str">
        <x:v>PM</x:v>
      </x:c>
      <x:c r="F52" t="str">
        <x:v>ORD-2025-00125</x:v>
      </x:c>
      <x:c r="G52" t="n">
        <x:v>301190</x:v>
      </x:c>
      <x:c r="H52" t="n">
        <x:v>12526</x:v>
      </x:c>
      <x:c r="I52" t="str">
        <x:v>OK</x:v>
      </x:c>
    </x:row>
    <x:row r="53">
      <x:c r="A53" t="str">
        <x:v>PE-KG01-L24-20251023-AM-ORD-2025-00125</x:v>
      </x:c>
      <x:c r="B53" t="str">
        <x:v>KG01</x:v>
      </x:c>
      <x:c r="C53" t="n">
        <x:v>24</x:v>
      </x:c>
      <x:c r="D53" s="52" t="n">
        <x:v>45953</x:v>
      </x:c>
      <x:c r="E53" t="str">
        <x:v>AM</x:v>
      </x:c>
      <x:c r="F53" t="str">
        <x:v>ORD-2025-00125</x:v>
      </x:c>
      <x:c r="G53" t="n">
        <x:v>327694</x:v>
      </x:c>
      <x:c r="H53" t="n">
        <x:v>16477</x:v>
      </x:c>
      <x:c r="I53" t="str">
        <x:v>OK</x:v>
      </x:c>
    </x:row>
    <x:row r="54">
      <x:c r="A54" t="str">
        <x:v>PE-KG01-L24-20251023-PM-ORD-2025-00125</x:v>
      </x:c>
      <x:c r="B54" t="str">
        <x:v>KG01</x:v>
      </x:c>
      <x:c r="C54" t="n">
        <x:v>24</x:v>
      </x:c>
      <x:c r="D54" s="52" t="n">
        <x:v>45953</x:v>
      </x:c>
      <x:c r="E54" t="str">
        <x:v>PM</x:v>
      </x:c>
      <x:c r="F54" t="str">
        <x:v>ORD-2025-00125</x:v>
      </x:c>
      <x:c r="G54" t="n">
        <x:v>278705</x:v>
      </x:c>
      <x:c r="H54" t="n">
        <x:v>9377</x:v>
      </x:c>
      <x:c r="I54" t="str">
        <x:v>OK</x:v>
      </x:c>
    </x:row>
    <x:row r="55">
      <x:c r="A55" t="str">
        <x:v>PE-KG01-L24-20251024-AM-ORD-2025-00125</x:v>
      </x:c>
      <x:c r="B55" t="str">
        <x:v>KG01</x:v>
      </x:c>
      <x:c r="C55" t="n">
        <x:v>24</x:v>
      </x:c>
      <x:c r="D55" s="52" t="n">
        <x:v>45954</x:v>
      </x:c>
      <x:c r="E55" t="str">
        <x:v>AM</x:v>
      </x:c>
      <x:c r="F55" t="str">
        <x:v>ORD-2025-00125</x:v>
      </x:c>
      <x:c r="G55" t="n">
        <x:v>275378</x:v>
      </x:c>
      <x:c r="H55" t="n">
        <x:v>13071</x:v>
      </x:c>
      <x:c r="I55" t="str">
        <x:v>OK</x:v>
      </x:c>
    </x:row>
    <x:row r="56">
      <x:c r="A56" t="str">
        <x:v>PE-KG01-L24-20251024-PM-ORD-2025-00125</x:v>
      </x:c>
      <x:c r="B56" t="str">
        <x:v>KG01</x:v>
      </x:c>
      <x:c r="C56" t="n">
        <x:v>24</x:v>
      </x:c>
      <x:c r="D56" s="52" t="n">
        <x:v>45954</x:v>
      </x:c>
      <x:c r="E56" t="str">
        <x:v>PM</x:v>
      </x:c>
      <x:c r="F56" t="str">
        <x:v>ORD-2025-00125</x:v>
      </x:c>
      <x:c r="G56" t="n">
        <x:v>330221</x:v>
      </x:c>
      <x:c r="H56" t="n">
        <x:v>14154</x:v>
      </x:c>
      <x:c r="I56" t="str">
        <x:v>OK</x:v>
      </x:c>
    </x:row>
    <x:row r="57">
      <x:c r="A57" t="str">
        <x:v>PE-KG01-L24-20251025-AM-ORD-2025-00126</x:v>
      </x:c>
      <x:c r="B57" t="str">
        <x:v>KG01</x:v>
      </x:c>
      <x:c r="C57" t="n">
        <x:v>24</x:v>
      </x:c>
      <x:c r="D57" s="52" t="n">
        <x:v>45955</x:v>
      </x:c>
      <x:c r="E57" t="str">
        <x:v>AM</x:v>
      </x:c>
      <x:c r="F57" t="str">
        <x:v>ORD-2025-00126</x:v>
      </x:c>
      <x:c r="G57" t="n">
        <x:v>149054</x:v>
      </x:c>
      <x:c r="H57" t="n">
        <x:v>4816</x:v>
      </x:c>
      <x:c r="I57" t="str">
        <x:v>OK</x:v>
      </x:c>
    </x:row>
    <x:row r="58">
      <x:c r="A58" t="str">
        <x:v>PE-KG01-L24-20251025-PM-ORD-2025-00126</x:v>
      </x:c>
      <x:c r="B58" t="str">
        <x:v>KG01</x:v>
      </x:c>
      <x:c r="C58" t="n">
        <x:v>24</x:v>
      </x:c>
      <x:c r="D58" s="52" t="n">
        <x:v>45955</x:v>
      </x:c>
      <x:c r="E58" t="str">
        <x:v>PM</x:v>
      </x:c>
      <x:c r="F58" t="str">
        <x:v>ORD-2025-00126</x:v>
      </x:c>
      <x:c r="G58" t="n">
        <x:v>150466</x:v>
      </x:c>
      <x:c r="H58" t="n">
        <x:v>6779</x:v>
      </x:c>
      <x:c r="I58" t="str">
        <x:v>OK</x:v>
      </x:c>
    </x:row>
    <x:row r="59">
      <x:c r="A59" t="str">
        <x:v>PE-KG01-L24-20251026-AM-ORD-2025-00126</x:v>
      </x:c>
      <x:c r="B59" t="str">
        <x:v>KG01</x:v>
      </x:c>
      <x:c r="C59" t="n">
        <x:v>24</x:v>
      </x:c>
      <x:c r="D59" s="52" t="n">
        <x:v>45956</x:v>
      </x:c>
      <x:c r="E59" t="str">
        <x:v>AM</x:v>
      </x:c>
      <x:c r="F59" t="str">
        <x:v>ORD-2025-00126</x:v>
      </x:c>
      <x:c r="G59" t="n">
        <x:v>185645</x:v>
      </x:c>
      <x:c r="H59" t="n">
        <x:v>7322</x:v>
      </x:c>
      <x:c r="I59" t="str">
        <x:v>OK</x:v>
      </x:c>
    </x:row>
    <x:row r="60">
      <x:c r="A60" t="str">
        <x:v>PE-KG01-L24-20251026-PM-ORD-2025-00126</x:v>
      </x:c>
      <x:c r="B60" t="str">
        <x:v>KG01</x:v>
      </x:c>
      <x:c r="C60" t="n">
        <x:v>24</x:v>
      </x:c>
      <x:c r="D60" s="52" t="n">
        <x:v>45956</x:v>
      </x:c>
      <x:c r="E60" t="str">
        <x:v>PM</x:v>
      </x:c>
      <x:c r="F60" t="str">
        <x:v>ORD-2025-00126</x:v>
      </x:c>
      <x:c r="G60" t="n">
        <x:v>151632</x:v>
      </x:c>
      <x:c r="H60" t="n">
        <x:v>7085</x:v>
      </x:c>
      <x:c r="I60" t="str">
        <x:v>OK</x:v>
      </x:c>
    </x:row>
    <x:row r="61">
      <x:c r="A61" t="str">
        <x:v>PE-KG01-L25-20251020-AM-ORD-2025-00161</x:v>
      </x:c>
      <x:c r="B61" t="str">
        <x:v>KG01</x:v>
      </x:c>
      <x:c r="C61" t="n">
        <x:v>25</x:v>
      </x:c>
      <x:c r="D61" s="52" t="n">
        <x:v>45950</x:v>
      </x:c>
      <x:c r="E61" t="str">
        <x:v>AM</x:v>
      </x:c>
      <x:c r="F61" t="str">
        <x:v>ORD-2025-00161</x:v>
      </x:c>
      <x:c r="G61" t="n">
        <x:v>112992</x:v>
      </x:c>
      <x:c r="H61" t="n">
        <x:v>2749</x:v>
      </x:c>
      <x:c r="I61" t="str">
        <x:v>OK</x:v>
      </x:c>
    </x:row>
    <x:row r="62">
      <x:c r="A62" t="str">
        <x:v>PE-KG01-L25-20251020-PM-ORD-2025-00161</x:v>
      </x:c>
      <x:c r="B62" t="str">
        <x:v>KG01</x:v>
      </x:c>
      <x:c r="C62" t="n">
        <x:v>25</x:v>
      </x:c>
      <x:c r="D62" s="52" t="n">
        <x:v>45950</x:v>
      </x:c>
      <x:c r="E62" t="str">
        <x:v>PM</x:v>
      </x:c>
      <x:c r="F62" t="str">
        <x:v>ORD-2025-00161</x:v>
      </x:c>
      <x:c r="G62" t="n">
        <x:v>111264</x:v>
      </x:c>
      <x:c r="H62" t="n">
        <x:v>5916</x:v>
      </x:c>
      <x:c r="I62" t="str">
        <x:v>OK</x:v>
      </x:c>
    </x:row>
    <x:row r="63">
      <x:c r="A63" t="str">
        <x:v>PE-KG01-L25-20251021-AM-ORD-2025-00161</x:v>
      </x:c>
      <x:c r="B63" t="str">
        <x:v>KG01</x:v>
      </x:c>
      <x:c r="C63" t="n">
        <x:v>25</x:v>
      </x:c>
      <x:c r="D63" s="52" t="n">
        <x:v>45951</x:v>
      </x:c>
      <x:c r="E63" t="str">
        <x:v>AM</x:v>
      </x:c>
      <x:c r="F63" t="str">
        <x:v>ORD-2025-00161</x:v>
      </x:c>
      <x:c r="G63" t="n">
        <x:v>102384</x:v>
      </x:c>
      <x:c r="H63" t="n">
        <x:v>5268</x:v>
      </x:c>
      <x:c r="I63" t="str">
        <x:v>OK</x:v>
      </x:c>
    </x:row>
    <x:row r="64">
      <x:c r="A64" t="str">
        <x:v>PE-KG01-L25-20251021-PM-ORD-2025-00161</x:v>
      </x:c>
      <x:c r="B64" t="str">
        <x:v>KG01</x:v>
      </x:c>
      <x:c r="C64" t="n">
        <x:v>25</x:v>
      </x:c>
      <x:c r="D64" s="52" t="n">
        <x:v>45951</x:v>
      </x:c>
      <x:c r="E64" t="str">
        <x:v>PM</x:v>
      </x:c>
      <x:c r="F64" t="str">
        <x:v>ORD-2025-00161</x:v>
      </x:c>
      <x:c r="G64" t="n">
        <x:v>101779</x:v>
      </x:c>
      <x:c r="H64" t="n">
        <x:v>5792</x:v>
      </x:c>
      <x:c r="I64" t="str">
        <x:v>OK</x:v>
      </x:c>
    </x:row>
    <x:row r="65">
      <x:c r="A65" t="str">
        <x:v>PE-KG01-L25-20251022-AM-ORD-2025-00161</x:v>
      </x:c>
      <x:c r="B65" t="str">
        <x:v>KG01</x:v>
      </x:c>
      <x:c r="C65" t="n">
        <x:v>25</x:v>
      </x:c>
      <x:c r="D65" s="52" t="n">
        <x:v>45952</x:v>
      </x:c>
      <x:c r="E65" t="str">
        <x:v>AM</x:v>
      </x:c>
      <x:c r="F65" t="str">
        <x:v>ORD-2025-00161</x:v>
      </x:c>
      <x:c r="G65" t="n">
        <x:v>99187</x:v>
      </x:c>
      <x:c r="H65" t="n">
        <x:v>4270</x:v>
      </x:c>
      <x:c r="I65" t="str">
        <x:v>OK</x:v>
      </x:c>
    </x:row>
    <x:row r="66">
      <x:c r="A66" t="str">
        <x:v>PE-KG01-L25-20251022-PM-ORD-2025-00161</x:v>
      </x:c>
      <x:c r="B66" t="str">
        <x:v>KG01</x:v>
      </x:c>
      <x:c r="C66" t="n">
        <x:v>25</x:v>
      </x:c>
      <x:c r="D66" s="52" t="n">
        <x:v>45952</x:v>
      </x:c>
      <x:c r="E66" t="str">
        <x:v>PM</x:v>
      </x:c>
      <x:c r="F66" t="str">
        <x:v>ORD-2025-00161</x:v>
      </x:c>
      <x:c r="G66" t="n">
        <x:v>99533</x:v>
      </x:c>
      <x:c r="H66" t="n">
        <x:v>6183</x:v>
      </x:c>
      <x:c r="I66" t="str">
        <x:v>OK</x:v>
      </x:c>
    </x:row>
    <x:row r="67">
      <x:c r="A67" t="str">
        <x:v>PE-KG01-L25-20251023-AM-ORD-2025-00162</x:v>
      </x:c>
      <x:c r="B67" t="str">
        <x:v>KG01</x:v>
      </x:c>
      <x:c r="C67" t="n">
        <x:v>25</x:v>
      </x:c>
      <x:c r="D67" s="52" t="n">
        <x:v>45953</x:v>
      </x:c>
      <x:c r="E67" t="str">
        <x:v>AM</x:v>
      </x:c>
      <x:c r="F67" t="str">
        <x:v>ORD-2025-00162</x:v>
      </x:c>
      <x:c r="G67" t="n">
        <x:v>128909</x:v>
      </x:c>
      <x:c r="H67" t="n">
        <x:v>6613</x:v>
      </x:c>
      <x:c r="I67" t="str">
        <x:v>OK</x:v>
      </x:c>
    </x:row>
    <x:row r="68">
      <x:c r="A68" t="str">
        <x:v>PE-KG01-L25-20251023-PM-ORD-2025-00162</x:v>
      </x:c>
      <x:c r="B68" t="str">
        <x:v>KG01</x:v>
      </x:c>
      <x:c r="C68" t="n">
        <x:v>25</x:v>
      </x:c>
      <x:c r="D68" s="52" t="n">
        <x:v>45953</x:v>
      </x:c>
      <x:c r="E68" t="str">
        <x:v>PM</x:v>
      </x:c>
      <x:c r="F68" t="str">
        <x:v>ORD-2025-00162</x:v>
      </x:c>
      <x:c r="G68" t="n">
        <x:v>198547</x:v>
      </x:c>
      <x:c r="H68" t="n">
        <x:v>12718</x:v>
      </x:c>
      <x:c r="I68" t="str">
        <x:v>OK</x:v>
      </x:c>
    </x:row>
    <x:row r="69">
      <x:c r="A69" t="str">
        <x:v>PE-KG01-L25-20251024-AM-ORD-2025-00162</x:v>
      </x:c>
      <x:c r="B69" t="str">
        <x:v>KG01</x:v>
      </x:c>
      <x:c r="C69" t="n">
        <x:v>25</x:v>
      </x:c>
      <x:c r="D69" s="52" t="n">
        <x:v>45954</x:v>
      </x:c>
      <x:c r="E69" t="str">
        <x:v>AM</x:v>
      </x:c>
      <x:c r="F69" t="str">
        <x:v>ORD-2025-00162</x:v>
      </x:c>
      <x:c r="G69" t="n">
        <x:v>184219</x:v>
      </x:c>
      <x:c r="H69" t="n">
        <x:v>10139</x:v>
      </x:c>
      <x:c r="I69" t="str">
        <x:v>OK</x:v>
      </x:c>
    </x:row>
    <x:row r="70">
      <x:c r="A70" t="str">
        <x:v>PE-KG01-L25-20251024-PM-ORD-2025-00162</x:v>
      </x:c>
      <x:c r="B70" t="str">
        <x:v>KG01</x:v>
      </x:c>
      <x:c r="C70" t="n">
        <x:v>25</x:v>
      </x:c>
      <x:c r="D70" s="52" t="n">
        <x:v>45954</x:v>
      </x:c>
      <x:c r="E70" t="str">
        <x:v>PM</x:v>
      </x:c>
      <x:c r="F70" t="str">
        <x:v>ORD-2025-00162</x:v>
      </x:c>
      <x:c r="G70" t="n">
        <x:v>183586</x:v>
      </x:c>
      <x:c r="H70" t="n">
        <x:v>11342</x:v>
      </x:c>
      <x:c r="I70" t="str">
        <x:v>OK</x:v>
      </x:c>
    </x:row>
    <x:row r="71">
      <x:c r="A71" t="str">
        <x:v>PE-KG01-L25-20251025-AM-ORD-2025-00162</x:v>
      </x:c>
      <x:c r="B71" t="str">
        <x:v>KG01</x:v>
      </x:c>
      <x:c r="C71" t="n">
        <x:v>25</x:v>
      </x:c>
      <x:c r="D71" s="52" t="n">
        <x:v>45955</x:v>
      </x:c>
      <x:c r="E71" t="str">
        <x:v>AM</x:v>
      </x:c>
      <x:c r="F71" t="str">
        <x:v>ORD-2025-00162</x:v>
      </x:c>
      <x:c r="G71" t="n">
        <x:v>182794</x:v>
      </x:c>
      <x:c r="H71" t="n">
        <x:v>9330</x:v>
      </x:c>
      <x:c r="I71" t="str">
        <x:v>OK</x:v>
      </x:c>
    </x:row>
    <x:row r="72">
      <x:c r="A72" t="str">
        <x:v>PE-KG01-L25-20251025-PM-ORD-2025-00162</x:v>
      </x:c>
      <x:c r="B72" t="str">
        <x:v>KG01</x:v>
      </x:c>
      <x:c r="C72" t="n">
        <x:v>25</x:v>
      </x:c>
      <x:c r="D72" s="52" t="n">
        <x:v>45955</x:v>
      </x:c>
      <x:c r="E72" t="str">
        <x:v>PM</x:v>
      </x:c>
      <x:c r="F72" t="str">
        <x:v>ORD-2025-00162</x:v>
      </x:c>
      <x:c r="G72" t="n">
        <x:v>202694</x:v>
      </x:c>
      <x:c r="H72" t="n">
        <x:v>6003</x:v>
      </x:c>
      <x:c r="I72" t="str">
        <x:v>OK</x:v>
      </x:c>
    </x:row>
    <x:row r="73">
      <x:c r="A73" t="str">
        <x:v>PE-KG01-L25-20251026-AM-ORD-2025-00162</x:v>
      </x:c>
      <x:c r="B73" t="str">
        <x:v>KG01</x:v>
      </x:c>
      <x:c r="C73" t="n">
        <x:v>25</x:v>
      </x:c>
      <x:c r="D73" s="52" t="n">
        <x:v>45956</x:v>
      </x:c>
      <x:c r="E73" t="str">
        <x:v>AM</x:v>
      </x:c>
      <x:c r="F73" t="str">
        <x:v>ORD-2025-00162</x:v>
      </x:c>
      <x:c r="G73" t="n">
        <x:v>200966</x:v>
      </x:c>
      <x:c r="H73" t="n">
        <x:v>13046</x:v>
      </x:c>
      <x:c r="I73" t="str">
        <x:v>OK</x:v>
      </x:c>
    </x:row>
    <x:row r="74">
      <x:c r="A74" t="str">
        <x:v>PE-KG01-L25-20251026-PM-ORD-2025-00162</x:v>
      </x:c>
      <x:c r="B74" t="str">
        <x:v>KG01</x:v>
      </x:c>
      <x:c r="C74" t="n">
        <x:v>25</x:v>
      </x:c>
      <x:c r="D74" s="52" t="n">
        <x:v>45956</x:v>
      </x:c>
      <x:c r="E74" t="str">
        <x:v>PM</x:v>
      </x:c>
      <x:c r="F74" t="str">
        <x:v>ORD-2025-00162</x:v>
      </x:c>
      <x:c r="G74" t="n">
        <x:v>185962</x:v>
      </x:c>
      <x:c r="H74" t="n">
        <x:v>8299</x:v>
      </x:c>
      <x:c r="I74" t="str">
        <x:v>OK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7a4d557a40f4b96"/>
  </x:tableParts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3" t="str">
        <x:v>VALIDATION LISTS</x:v>
      </x:c>
      <x:c r="B1" s="33"/>
      <x:c r="C1" s="33"/>
      <x:c r="D1" s="33"/>
      <x:c r="E1" s="33"/>
    </x:row>
    <x:row r="2">
      <x:c r="A2" s="38" t="str">
        <x:v>Supporting lists for normalized loss/action entry.</x:v>
      </x:c>
      <x:c r="B2" s="38"/>
      <x:c r="C2" s="38"/>
      <x:c r="D2" s="38"/>
      <x:c r="E2" s="38"/>
    </x:row>
    <x:row r="4">
      <x:c r="A4" s="46" t="str">
        <x:v>RootCauseCode</x:v>
      </x:c>
      <x:c r="B4" s="46" t="str">
        <x:v>DepartmentCode</x:v>
      </x:c>
      <x:c r="C4" s="46" t="str">
        <x:v>ActionStatusCode</x:v>
      </x:c>
      <x:c r="D4" s="46" t="str">
        <x:v>RecordStatus</x:v>
      </x:c>
      <x:c r="E4" s="46" t="str">
        <x:v>LossTypeCode</x:v>
      </x:c>
    </x:row>
    <x:row r="5">
      <x:c r="A5" t="str">
        <x:v>RC_SETUP</x:v>
      </x:c>
      <x:c r="B5" t="str">
        <x:v>DEP_PROD</x:v>
      </x:c>
      <x:c r="C5" t="str">
        <x:v>ACT_OPEN</x:v>
      </x:c>
      <x:c r="D5" t="str">
        <x:v>Active</x:v>
      </x:c>
      <x:c r="E5" t="str">
        <x:v>PROC_FIXED</x:v>
      </x:c>
    </x:row>
    <x:row r="6">
      <x:c r="A6" t="str">
        <x:v>RC_MECH</x:v>
      </x:c>
      <x:c r="B6" t="str">
        <x:v>DEP_FORM</x:v>
      </x:c>
      <x:c r="C6" t="str">
        <x:v>ACT_PROGRESS</x:v>
      </x:c>
      <x:c r="D6" t="str">
        <x:v>Inactive</x:v>
      </x:c>
      <x:c r="E6" t="str">
        <x:v>PROC_IS</x:v>
      </x:c>
    </x:row>
    <x:row r="7">
      <x:c r="A7" t="str">
        <x:v>RC_PROCESS</x:v>
      </x:c>
      <x:c r="B7" t="str">
        <x:v>DEP_HE</x:v>
      </x:c>
      <x:c r="C7" t="str">
        <x:v>ACT_MONITOR</x:v>
      </x:c>
      <x:c r="D7" t="str">
        <x:v>Archived</x:v>
      </x:c>
      <x:c r="E7" t="str">
        <x:v>PROC_HE_CONVEYER</x:v>
      </x:c>
    </x:row>
    <x:row r="8">
      <x:c r="A8" t="str">
        <x:v>RC_MATERIAL</x:v>
      </x:c>
      <x:c r="B8" t="str">
        <x:v>DEP_CE</x:v>
      </x:c>
      <x:c r="C8" t="str">
        <x:v>ACT_CLOSED</x:v>
      </x:c>
      <x:c r="E8" t="str">
        <x:v>PROC_STUCKDOWN</x:v>
      </x:c>
    </x:row>
    <x:row r="9">
      <x:c r="A9" t="str">
        <x:v>RC_HANDLING</x:v>
      </x:c>
      <x:c r="B9" t="str">
        <x:v>DEP_MAINT</x:v>
      </x:c>
      <x:c r="C9" t="str">
        <x:v>ACT_CANCELLED</x:v>
      </x:c>
      <x:c r="E9" t="str">
        <x:v>PROC_LEHR</x:v>
      </x:c>
    </x:row>
    <x:row r="10">
      <x:c r="A10" t="str">
        <x:v>RC_QUALITY</x:v>
      </x:c>
      <x:c r="B10" t="str">
        <x:v>DEP_QUAL</x:v>
      </x:c>
      <x:c r="E10" t="str">
        <x:v>PROC_EVO16</x:v>
      </x:c>
    </x:row>
    <x:row r="11">
      <x:c r="A11" t="str">
        <x:v>RC_UTILITY</x:v>
      </x:c>
      <x:c r="B11" t="str">
        <x:v>DEP_ENG</x:v>
      </x:c>
      <x:c r="E11" t="str">
        <x:v>PROC_EVO12</x:v>
      </x:c>
    </x:row>
    <x:row r="12">
      <x:c r="A12" t="str">
        <x:v>RC_UNKNOWN</x:v>
      </x:c>
      <x:c r="B12" t="str">
        <x:v>DEP_LOG</x:v>
      </x:c>
      <x:c r="E12" t="str">
        <x:v>PROC_EVO5</x:v>
      </x:c>
    </x:row>
    <x:row r="13">
      <x:c r="E13" t="str">
        <x:v>PROC_SANLI</x:v>
      </x:c>
    </x:row>
    <x:row r="14">
      <x:c r="E14" t="str">
        <x:v>PROC_VISUAL</x:v>
      </x:c>
    </x:row>
    <x:row r="15">
      <x:c r="E15" t="str">
        <x:v>PROC_PALLETIZER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c1b6b75ab744ac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14" hidden="0" customWidth="1"/>
    <x:col min="10" max="10" width="22" hidden="0" customWidth="1"/>
    <x:col min="11" max="11" width="22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30" hidden="0" customWidth="1"/>
    <x:col min="17" max="17" width="20" hidden="0" customWidth="1"/>
    <x:col min="18" max="18" width="20" hidden="0" customWidth="1"/>
    <x:col min="19" max="19" width="14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</x:cols>
  <x:sheetData>
    <x:row r="1">
      <x:c r="A1" s="33" t="str">
        <x:v>PROCESS LOSS DETAIL — NORMALIZED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  <x:c r="AA1" s="33"/>
      <x:c r="AB1" s="33"/>
      <x:c r="AC1" s="33"/>
      <x:c r="AD1" s="33"/>
      <x:c r="AE1" s="33"/>
    </x:row>
    <x:row r="2">
      <x:c r="A2" s="38" t="str">
        <x:v>ETL snapshot: one row per ProductionEvent × Process Loss Type. LossPct is non-additive; LossQty is derived from DesignOutput.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  <x:c r="AA2" s="38"/>
      <x:c r="AB2" s="38"/>
      <x:c r="AC2" s="38"/>
      <x:c r="AD2" s="38"/>
      <x:c r="AE2" s="38"/>
    </x:row>
    <x:row r="4" ht="36" customHeight="1">
      <x:c r="A4" s="46" t="str">
        <x:v>ProcessLossDetailID</x:v>
      </x:c>
      <x:c r="B4" s="46" t="str">
        <x:v>LossRecordID</x:v>
      </x:c>
      <x:c r="C4" s="46" t="str">
        <x:v>ProductionEventID</x:v>
      </x:c>
      <x:c r="D4" s="46" t="str">
        <x:v>FactoryCode</x:v>
      </x:c>
      <x:c r="E4" s="46" t="str">
        <x:v>LineNumber</x:v>
      </x:c>
      <x:c r="F4" s="46" t="str">
        <x:v>EventDate</x:v>
      </x:c>
      <x:c r="G4" s="46" t="str">
        <x:v>ShiftCode</x:v>
      </x:c>
      <x:c r="H4" s="46" t="str">
        <x:v>OrderNumber</x:v>
      </x:c>
      <x:c r="I4" s="46" t="str">
        <x:v>CaseName</x:v>
      </x:c>
      <x:c r="J4" s="46" t="str">
        <x:v>LossTypeCode</x:v>
      </x:c>
      <x:c r="K4" s="46" t="str">
        <x:v>LossCategory</x:v>
      </x:c>
      <x:c r="L4" s="46" t="str">
        <x:v>LossPct</x:v>
      </x:c>
      <x:c r="M4" s="46" t="str">
        <x:v>DesignOutput</x:v>
      </x:c>
      <x:c r="N4" s="46" t="str">
        <x:v>LossQty</x:v>
      </x:c>
      <x:c r="O4" s="46" t="str">
        <x:v>RootCauseCode</x:v>
      </x:c>
      <x:c r="P4" s="46" t="str">
        <x:v>CorrectiveAction</x:v>
      </x:c>
      <x:c r="Q4" s="46" t="str">
        <x:v>ResponsibleDepartment</x:v>
      </x:c>
      <x:c r="R4" s="46" t="str">
        <x:v>ActionStatus</x:v>
      </x:c>
      <x:c r="S4" s="46" t="str">
        <x:v>ActionDueDate</x:v>
      </x:c>
      <x:c r="T4" s="46" t="str">
        <x:v>ParentEventCheck</x:v>
      </x:c>
      <x:c r="U4" s="46" t="str">
        <x:v>PercentRangeCheck</x:v>
      </x:c>
      <x:c r="V4" s="46" t="str">
        <x:v>QuantityCheck</x:v>
      </x:c>
      <x:c r="W4" s="46" t="str">
        <x:v>DataQualityCheck</x:v>
      </x:c>
      <x:c r="X4" s="46" t="str">
        <x:v>LoadDecision</x:v>
      </x:c>
      <x:c r="Y4" s="46" t="str">
        <x:v>SourceFile</x:v>
      </x:c>
      <x:c r="Z4" s="46" t="str">
        <x:v>LoadBatchID</x:v>
      </x:c>
      <x:c r="AA4" s="46" t="str">
        <x:v>RecordStatus</x:v>
      </x:c>
      <x:c r="AB4" s="46" t="str">
        <x:v>CreatedAt</x:v>
      </x:c>
      <x:c r="AC4" s="46" t="str">
        <x:v>CreatedBy</x:v>
      </x:c>
      <x:c r="AD4" s="46" t="str">
        <x:v>ModifiedAt</x:v>
      </x:c>
      <x:c r="AE4" s="46" t="str">
        <x:v>ModifiedBy</x:v>
      </x:c>
    </x:row>
    <x:row r="5">
      <x:c r="A5" t="str">
        <x:v>PLD-000001</x:v>
      </x:c>
      <x:c r="B5" t="str">
        <x:v>LOSS-KG01-L21-20251020-AM-ORD-2025-00019</x:v>
      </x:c>
      <x:c r="C5" t="str">
        <x:v>PE-KG01-L21-20251020-AM-ORD-2025-00019</x:v>
      </x:c>
      <x:c r="D5" t="str">
        <x:v>KG01</x:v>
      </x:c>
      <x:c r="E5" t="n">
        <x:v>21</x:v>
      </x:c>
      <x:c r="F5" s="52" t="n">
        <x:v>45950</x:v>
      </x:c>
      <x:c r="G5" t="str">
        <x:v>AM</x:v>
      </x:c>
      <x:c r="H5" t="str">
        <x:v>ORD-2025-00019</x:v>
      </x:c>
      <x:c r="I5" t="str">
        <x:v>Normal</x:v>
      </x:c>
      <x:c r="J5" t="str">
        <x:v>PROC_FIXED</x:v>
      </x:c>
      <x:c r="K5" t="str">
        <x:v>Fixed Losses</x:v>
      </x:c>
      <x:c r="L5" s="54" t="n">
        <x:v>0.00612547756622778</x:v>
      </x:c>
      <x:c r="M5" t="n">
        <x:v>253368</x:v>
      </x:c>
      <x:c r="N5" t="n">
        <x:f>L5*M5</x:f>
        <x:v>1552</x:v>
      </x:c>
      <x:c r="O5"/>
      <x:c r="P5"/>
      <x:c r="Q5"/>
      <x:c r="R5"/>
      <x:c r="S5" s="52"/>
      <x:c r="T5" t="str">
        <x:v>OK</x:v>
      </x:c>
      <x:c r="U5" t="str">
        <x:f>IF(AND(ISNUMBER(L5),L5&gt;=0,L5&lt;=1),"OK","CHECK")</x:f>
        <x:v>OK</x:v>
      </x:c>
      <x:c r="V5" t="str">
        <x:f>IF(AND(ISNUMBER(N5),N5&gt;=0),"OK","CHECK")</x:f>
        <x:v>OK</x:v>
      </x:c>
      <x:c r="W5" t="str">
        <x:f>IF(AND(T5="OK",U5="OK",V5="OK"),"OK","CHECK")</x:f>
        <x:v>OK</x:v>
      </x:c>
      <x:c r="X5" t="str">
        <x:f>IF(W5="OK","LOAD","QUARANTINE")</x:f>
        <x:v>LOAD</x:v>
      </x:c>
      <x:c r="Y5" t="str">
        <x:v>03_Process_Losses(6).xlsx</x:v>
      </x:c>
      <x:c r="Z5" t="str">
        <x:v>ENH-20260830-01</x:v>
      </x:c>
      <x:c r="AA5" t="str">
        <x:f>IF(X5="LOAD","Active","Quarantine")</x:f>
        <x:v>Active</x:v>
      </x:c>
      <x:c r="AB5"/>
      <x:c r="AC5"/>
      <x:c r="AD5"/>
      <x:c r="AE5"/>
    </x:row>
    <x:row r="6">
      <x:c r="A6" t="str">
        <x:v>PLD-000002</x:v>
      </x:c>
      <x:c r="B6" t="str">
        <x:v>LOSS-KG01-L21-20251020-AM-ORD-2025-00019</x:v>
      </x:c>
      <x:c r="C6" t="str">
        <x:v>PE-KG01-L21-20251020-AM-ORD-2025-00019</x:v>
      </x:c>
      <x:c r="D6" t="str">
        <x:v>KG01</x:v>
      </x:c>
      <x:c r="E6" t="n">
        <x:v>21</x:v>
      </x:c>
      <x:c r="F6" s="52" t="n">
        <x:v>45950</x:v>
      </x:c>
      <x:c r="G6" t="str">
        <x:v>AM</x:v>
      </x:c>
      <x:c r="H6" t="str">
        <x:v>ORD-2025-00019</x:v>
      </x:c>
      <x:c r="I6" t="str">
        <x:v>Normal</x:v>
      </x:c>
      <x:c r="J6" t="str">
        <x:v>PROC_IS</x:v>
      </x:c>
      <x:c r="K6" t="str">
        <x:v>IS Machine</x:v>
      </x:c>
      <x:c r="L6" s="54" t="n">
        <x:v>0.012625903823687284</x:v>
      </x:c>
      <x:c r="M6" t="n">
        <x:v>253368</x:v>
      </x:c>
      <x:c r="N6" t="n">
        <x:f>L6*M6</x:f>
        <x:v>3199</x:v>
      </x:c>
      <x:c r="O6"/>
      <x:c r="P6"/>
      <x:c r="Q6"/>
      <x:c r="R6"/>
      <x:c r="S6" s="52"/>
      <x:c r="T6" t="str">
        <x:v>OK</x:v>
      </x:c>
      <x:c r="U6" t="str">
        <x:f>IF(AND(ISNUMBER(L6),L6&gt;=0,L6&lt;=1),"OK","CHECK")</x:f>
        <x:v>OK</x:v>
      </x:c>
      <x:c r="V6" t="str">
        <x:f>IF(AND(ISNUMBER(N6),N6&gt;=0),"OK","CHECK")</x:f>
        <x:v>OK</x:v>
      </x:c>
      <x:c r="W6" t="str">
        <x:f>IF(AND(T6="OK",U6="OK",V6="OK"),"OK","CHECK")</x:f>
        <x:v>OK</x:v>
      </x:c>
      <x:c r="X6" t="str">
        <x:f>IF(W6="OK","LOAD","QUARANTINE")</x:f>
        <x:v>LOAD</x:v>
      </x:c>
      <x:c r="Y6" t="str">
        <x:v>03_Process_Losses(6).xlsx</x:v>
      </x:c>
      <x:c r="Z6" t="str">
        <x:v>ENH-20260830-01</x:v>
      </x:c>
      <x:c r="AA6" t="str">
        <x:f>IF(X6="LOAD","Active","Quarantine")</x:f>
        <x:v>Active</x:v>
      </x:c>
      <x:c r="AB6"/>
      <x:c r="AC6"/>
      <x:c r="AD6"/>
      <x:c r="AE6"/>
    </x:row>
    <x:row r="7">
      <x:c r="A7" t="str">
        <x:v>PLD-000003</x:v>
      </x:c>
      <x:c r="B7" t="str">
        <x:v>LOSS-KG01-L21-20251020-AM-ORD-2025-00019</x:v>
      </x:c>
      <x:c r="C7" t="str">
        <x:v>PE-KG01-L21-20251020-AM-ORD-2025-00019</x:v>
      </x:c>
      <x:c r="D7" t="str">
        <x:v>KG01</x:v>
      </x:c>
      <x:c r="E7" t="n">
        <x:v>21</x:v>
      </x:c>
      <x:c r="F7" s="52" t="n">
        <x:v>45950</x:v>
      </x:c>
      <x:c r="G7" t="str">
        <x:v>AM</x:v>
      </x:c>
      <x:c r="H7" t="str">
        <x:v>ORD-2025-00019</x:v>
      </x:c>
      <x:c r="I7" t="str">
        <x:v>Normal</x:v>
      </x:c>
      <x:c r="J7" t="str">
        <x:v>PROC_HE_CONVEYER</x:v>
      </x:c>
      <x:c r="K7" t="str">
        <x:v>Hot End</x:v>
      </x:c>
      <x:c r="L7" s="54" t="n">
        <x:v>0.004507277951438224</x:v>
      </x:c>
      <x:c r="M7" t="n">
        <x:v>253368</x:v>
      </x:c>
      <x:c r="N7" t="n">
        <x:f>L7*M7</x:f>
        <x:v>1142</x:v>
      </x:c>
      <x:c r="O7"/>
      <x:c r="P7"/>
      <x:c r="Q7"/>
      <x:c r="R7"/>
      <x:c r="S7" s="52"/>
      <x:c r="T7" t="str">
        <x:v>OK</x:v>
      </x:c>
      <x:c r="U7" t="str">
        <x:f>IF(AND(ISNUMBER(L7),L7&gt;=0,L7&lt;=1),"OK","CHECK")</x:f>
        <x:v>OK</x:v>
      </x:c>
      <x:c r="V7" t="str">
        <x:f>IF(AND(ISNUMBER(N7),N7&gt;=0),"OK","CHECK")</x:f>
        <x:v>OK</x:v>
      </x:c>
      <x:c r="W7" t="str">
        <x:f>IF(AND(T7="OK",U7="OK",V7="OK"),"OK","CHECK")</x:f>
        <x:v>OK</x:v>
      </x:c>
      <x:c r="X7" t="str">
        <x:f>IF(W7="OK","LOAD","QUARANTINE")</x:f>
        <x:v>LOAD</x:v>
      </x:c>
      <x:c r="Y7" t="str">
        <x:v>03_Process_Losses(6).xlsx</x:v>
      </x:c>
      <x:c r="Z7" t="str">
        <x:v>ENH-20260830-01</x:v>
      </x:c>
      <x:c r="AA7" t="str">
        <x:f>IF(X7="LOAD","Active","Quarantine")</x:f>
        <x:v>Active</x:v>
      </x:c>
      <x:c r="AB7"/>
      <x:c r="AC7"/>
      <x:c r="AD7"/>
      <x:c r="AE7"/>
    </x:row>
    <x:row r="8">
      <x:c r="A8" t="str">
        <x:v>PLD-000004</x:v>
      </x:c>
      <x:c r="B8" t="str">
        <x:v>LOSS-KG01-L21-20251020-AM-ORD-2025-00019</x:v>
      </x:c>
      <x:c r="C8" t="str">
        <x:v>PE-KG01-L21-20251020-AM-ORD-2025-00019</x:v>
      </x:c>
      <x:c r="D8" t="str">
        <x:v>KG01</x:v>
      </x:c>
      <x:c r="E8" t="n">
        <x:v>21</x:v>
      </x:c>
      <x:c r="F8" s="52" t="n">
        <x:v>45950</x:v>
      </x:c>
      <x:c r="G8" t="str">
        <x:v>AM</x:v>
      </x:c>
      <x:c r="H8" t="str">
        <x:v>ORD-2025-00019</x:v>
      </x:c>
      <x:c r="I8" t="str">
        <x:v>Normal</x:v>
      </x:c>
      <x:c r="J8" t="str">
        <x:v>PROC_STUCKDOWN</x:v>
      </x:c>
      <x:c r="K8" t="str">
        <x:v>Forming</x:v>
      </x:c>
      <x:c r="L8" s="54" t="n">
        <x:v>0.0033982191910580657</x:v>
      </x:c>
      <x:c r="M8" t="n">
        <x:v>253368</x:v>
      </x:c>
      <x:c r="N8" t="n">
        <x:f>L8*M8</x:f>
        <x:v>861</x:v>
      </x:c>
      <x:c r="O8"/>
      <x:c r="P8"/>
      <x:c r="Q8"/>
      <x:c r="R8"/>
      <x:c r="S8" s="52"/>
      <x:c r="T8" t="str">
        <x:v>OK</x:v>
      </x:c>
      <x:c r="U8" t="str">
        <x:f>IF(AND(ISNUMBER(L8),L8&gt;=0,L8&lt;=1),"OK","CHECK")</x:f>
        <x:v>OK</x:v>
      </x:c>
      <x:c r="V8" t="str">
        <x:f>IF(AND(ISNUMBER(N8),N8&gt;=0),"OK","CHECK")</x:f>
        <x:v>OK</x:v>
      </x:c>
      <x:c r="W8" t="str">
        <x:f>IF(AND(T8="OK",U8="OK",V8="OK"),"OK","CHECK")</x:f>
        <x:v>OK</x:v>
      </x:c>
      <x:c r="X8" t="str">
        <x:f>IF(W8="OK","LOAD","QUARANTINE")</x:f>
        <x:v>LOAD</x:v>
      </x:c>
      <x:c r="Y8" t="str">
        <x:v>03_Process_Losses(6).xlsx</x:v>
      </x:c>
      <x:c r="Z8" t="str">
        <x:v>ENH-20260830-01</x:v>
      </x:c>
      <x:c r="AA8" t="str">
        <x:f>IF(X8="LOAD","Active","Quarantine")</x:f>
        <x:v>Active</x:v>
      </x:c>
      <x:c r="AB8"/>
      <x:c r="AC8"/>
      <x:c r="AD8"/>
      <x:c r="AE8"/>
    </x:row>
    <x:row r="9">
      <x:c r="A9" t="str">
        <x:v>PLD-000005</x:v>
      </x:c>
      <x:c r="B9" t="str">
        <x:v>LOSS-KG01-L21-20251020-AM-ORD-2025-00019</x:v>
      </x:c>
      <x:c r="C9" t="str">
        <x:v>PE-KG01-L21-20251020-AM-ORD-2025-00019</x:v>
      </x:c>
      <x:c r="D9" t="str">
        <x:v>KG01</x:v>
      </x:c>
      <x:c r="E9" t="n">
        <x:v>21</x:v>
      </x:c>
      <x:c r="F9" s="52" t="n">
        <x:v>45950</x:v>
      </x:c>
      <x:c r="G9" t="str">
        <x:v>AM</x:v>
      </x:c>
      <x:c r="H9" t="str">
        <x:v>ORD-2025-00019</x:v>
      </x:c>
      <x:c r="I9" t="str">
        <x:v>Normal</x:v>
      </x:c>
      <x:c r="J9" t="str">
        <x:v>PROC_LEHR</x:v>
      </x:c>
      <x:c r="K9" t="str">
        <x:v>Lehr</x:v>
      </x:c>
      <x:c r="L9" s="54" t="n">
        <x:v>0.002762779830128509</x:v>
      </x:c>
      <x:c r="M9" t="n">
        <x:v>253368</x:v>
      </x:c>
      <x:c r="N9" t="n">
        <x:f>L9*M9</x:f>
        <x:v>700</x:v>
      </x:c>
      <x:c r="O9"/>
      <x:c r="P9"/>
      <x:c r="Q9"/>
      <x:c r="R9"/>
      <x:c r="S9" s="52"/>
      <x:c r="T9" t="str">
        <x:v>OK</x:v>
      </x:c>
      <x:c r="U9" t="str">
        <x:f>IF(AND(ISNUMBER(L9),L9&gt;=0,L9&lt;=1),"OK","CHECK")</x:f>
        <x:v>OK</x:v>
      </x:c>
      <x:c r="V9" t="str">
        <x:f>IF(AND(ISNUMBER(N9),N9&gt;=0),"OK","CHECK")</x:f>
        <x:v>OK</x:v>
      </x:c>
      <x:c r="W9" t="str">
        <x:f>IF(AND(T9="OK",U9="OK",V9="OK"),"OK","CHECK")</x:f>
        <x:v>OK</x:v>
      </x:c>
      <x:c r="X9" t="str">
        <x:f>IF(W9="OK","LOAD","QUARANTINE")</x:f>
        <x:v>LOAD</x:v>
      </x:c>
      <x:c r="Y9" t="str">
        <x:v>03_Process_Losses(6).xlsx</x:v>
      </x:c>
      <x:c r="Z9" t="str">
        <x:v>ENH-20260830-01</x:v>
      </x:c>
      <x:c r="AA9" t="str">
        <x:f>IF(X9="LOAD","Active","Quarantine")</x:f>
        <x:v>Active</x:v>
      </x:c>
      <x:c r="AB9"/>
      <x:c r="AC9"/>
      <x:c r="AD9"/>
      <x:c r="AE9"/>
    </x:row>
    <x:row r="10">
      <x:c r="A10" t="str">
        <x:v>PLD-000006</x:v>
      </x:c>
      <x:c r="B10" t="str">
        <x:v>LOSS-KG01-L21-20251020-AM-ORD-2025-00019</x:v>
      </x:c>
      <x:c r="C10" t="str">
        <x:v>PE-KG01-L21-20251020-AM-ORD-2025-00019</x:v>
      </x:c>
      <x:c r="D10" t="str">
        <x:v>KG01</x:v>
      </x:c>
      <x:c r="E10" t="n">
        <x:v>21</x:v>
      </x:c>
      <x:c r="F10" s="52" t="n">
        <x:v>45950</x:v>
      </x:c>
      <x:c r="G10" t="str">
        <x:v>AM</x:v>
      </x:c>
      <x:c r="H10" t="str">
        <x:v>ORD-2025-00019</x:v>
      </x:c>
      <x:c r="I10" t="str">
        <x:v>Normal</x:v>
      </x:c>
      <x:c r="J10" t="str">
        <x:v>PROC_EVO16</x:v>
      </x:c>
      <x:c r="K10" t="str">
        <x:v>Inspection</x:v>
      </x:c>
      <x:c r="L10" s="54" t="n">
        <x:v>0.006097849767926494</x:v>
      </x:c>
      <x:c r="M10" t="n">
        <x:v>253368</x:v>
      </x:c>
      <x:c r="N10" t="n">
        <x:f>L10*M10</x:f>
        <x:v>1545</x:v>
      </x:c>
      <x:c r="O10"/>
      <x:c r="P10"/>
      <x:c r="Q10"/>
      <x:c r="R10"/>
      <x:c r="S10" s="52"/>
      <x:c r="T10" t="str">
        <x:v>OK</x:v>
      </x:c>
      <x:c r="U10" t="str">
        <x:f>IF(AND(ISNUMBER(L10),L10&gt;=0,L10&lt;=1),"OK","CHECK")</x:f>
        <x:v>OK</x:v>
      </x:c>
      <x:c r="V10" t="str">
        <x:f>IF(AND(ISNUMBER(N10),N10&gt;=0),"OK","CHECK")</x:f>
        <x:v>OK</x:v>
      </x:c>
      <x:c r="W10" t="str">
        <x:f>IF(AND(T10="OK",U10="OK",V10="OK"),"OK","CHECK")</x:f>
        <x:v>OK</x:v>
      </x:c>
      <x:c r="X10" t="str">
        <x:f>IF(W10="OK","LOAD","QUARANTINE")</x:f>
        <x:v>LOAD</x:v>
      </x:c>
      <x:c r="Y10" t="str">
        <x:v>03_Process_Losses(6).xlsx</x:v>
      </x:c>
      <x:c r="Z10" t="str">
        <x:v>ENH-20260830-01</x:v>
      </x:c>
      <x:c r="AA10" t="str">
        <x:f>IF(X10="LOAD","Active","Quarantine")</x:f>
        <x:v>Active</x:v>
      </x:c>
      <x:c r="AB10"/>
      <x:c r="AC10"/>
      <x:c r="AD10"/>
      <x:c r="AE10"/>
    </x:row>
    <x:row r="11">
      <x:c r="A11" t="str">
        <x:v>PLD-000007</x:v>
      </x:c>
      <x:c r="B11" t="str">
        <x:v>LOSS-KG01-L21-20251020-AM-ORD-2025-00019</x:v>
      </x:c>
      <x:c r="C11" t="str">
        <x:v>PE-KG01-L21-20251020-AM-ORD-2025-00019</x:v>
      </x:c>
      <x:c r="D11" t="str">
        <x:v>KG01</x:v>
      </x:c>
      <x:c r="E11" t="n">
        <x:v>21</x:v>
      </x:c>
      <x:c r="F11" s="52" t="n">
        <x:v>45950</x:v>
      </x:c>
      <x:c r="G11" t="str">
        <x:v>AM</x:v>
      </x:c>
      <x:c r="H11" t="str">
        <x:v>ORD-2025-00019</x:v>
      </x:c>
      <x:c r="I11" t="str">
        <x:v>Normal</x:v>
      </x:c>
      <x:c r="J11" t="str">
        <x:v>PROC_EVO12</x:v>
      </x:c>
      <x:c r="K11" t="str">
        <x:v>Inspection</x:v>
      </x:c>
      <x:c r="L11" s="54" t="n">
        <x:v>0.0014090177133655394</x:v>
      </x:c>
      <x:c r="M11" t="n">
        <x:v>253368</x:v>
      </x:c>
      <x:c r="N11" t="n">
        <x:f>L11*M11</x:f>
        <x:v>357</x:v>
      </x:c>
      <x:c r="O11"/>
      <x:c r="P11"/>
      <x:c r="Q11"/>
      <x:c r="R11"/>
      <x:c r="S11" s="52"/>
      <x:c r="T11" t="str">
        <x:v>OK</x:v>
      </x:c>
      <x:c r="U11" t="str">
        <x:f>IF(AND(ISNUMBER(L11),L11&gt;=0,L11&lt;=1),"OK","CHECK")</x:f>
        <x:v>OK</x:v>
      </x:c>
      <x:c r="V11" t="str">
        <x:f>IF(AND(ISNUMBER(N11),N11&gt;=0),"OK","CHECK")</x:f>
        <x:v>OK</x:v>
      </x:c>
      <x:c r="W11" t="str">
        <x:f>IF(AND(T11="OK",U11="OK",V11="OK"),"OK","CHECK")</x:f>
        <x:v>OK</x:v>
      </x:c>
      <x:c r="X11" t="str">
        <x:f>IF(W11="OK","LOAD","QUARANTINE")</x:f>
        <x:v>LOAD</x:v>
      </x:c>
      <x:c r="Y11" t="str">
        <x:v>03_Process_Losses(6).xlsx</x:v>
      </x:c>
      <x:c r="Z11" t="str">
        <x:v>ENH-20260830-01</x:v>
      </x:c>
      <x:c r="AA11" t="str">
        <x:f>IF(X11="LOAD","Active","Quarantine")</x:f>
        <x:v>Active</x:v>
      </x:c>
      <x:c r="AB11"/>
      <x:c r="AC11"/>
      <x:c r="AD11"/>
      <x:c r="AE11"/>
    </x:row>
    <x:row r="12">
      <x:c r="A12" t="str">
        <x:v>PLD-000008</x:v>
      </x:c>
      <x:c r="B12" t="str">
        <x:v>LOSS-KG01-L21-20251020-AM-ORD-2025-00019</x:v>
      </x:c>
      <x:c r="C12" t="str">
        <x:v>PE-KG01-L21-20251020-AM-ORD-2025-00019</x:v>
      </x:c>
      <x:c r="D12" t="str">
        <x:v>KG01</x:v>
      </x:c>
      <x:c r="E12" t="n">
        <x:v>21</x:v>
      </x:c>
      <x:c r="F12" s="52" t="n">
        <x:v>45950</x:v>
      </x:c>
      <x:c r="G12" t="str">
        <x:v>AM</x:v>
      </x:c>
      <x:c r="H12" t="str">
        <x:v>ORD-2025-00019</x:v>
      </x:c>
      <x:c r="I12" t="str">
        <x:v>Normal</x:v>
      </x:c>
      <x:c r="J12" t="str">
        <x:v>PROC_EVO5</x:v>
      </x:c>
      <x:c r="K12" t="str">
        <x:v>Inspection</x:v>
      </x:c>
      <x:c r="L12" s="54" t="n">
        <x:v>0.0016774020397208804</x:v>
      </x:c>
      <x:c r="M12" t="n">
        <x:v>253368</x:v>
      </x:c>
      <x:c r="N12" t="n">
        <x:f>L12*M12</x:f>
        <x:v>425</x:v>
      </x:c>
      <x:c r="O12"/>
      <x:c r="P12"/>
      <x:c r="Q12"/>
      <x:c r="R12"/>
      <x:c r="S12" s="52"/>
      <x:c r="T12" t="str">
        <x:v>OK</x:v>
      </x:c>
      <x:c r="U12" t="str">
        <x:f>IF(AND(ISNUMBER(L12),L12&gt;=0,L12&lt;=1),"OK","CHECK")</x:f>
        <x:v>OK</x:v>
      </x:c>
      <x:c r="V12" t="str">
        <x:f>IF(AND(ISNUMBER(N12),N12&gt;=0),"OK","CHECK")</x:f>
        <x:v>OK</x:v>
      </x:c>
      <x:c r="W12" t="str">
        <x:f>IF(AND(T12="OK",U12="OK",V12="OK"),"OK","CHECK")</x:f>
        <x:v>OK</x:v>
      </x:c>
      <x:c r="X12" t="str">
        <x:f>IF(W12="OK","LOAD","QUARANTINE")</x:f>
        <x:v>LOAD</x:v>
      </x:c>
      <x:c r="Y12" t="str">
        <x:v>03_Process_Losses(6).xlsx</x:v>
      </x:c>
      <x:c r="Z12" t="str">
        <x:v>ENH-20260830-01</x:v>
      </x:c>
      <x:c r="AA12" t="str">
        <x:f>IF(X12="LOAD","Active","Quarantine")</x:f>
        <x:v>Active</x:v>
      </x:c>
      <x:c r="AB12"/>
      <x:c r="AC12"/>
      <x:c r="AD12"/>
      <x:c r="AE12"/>
    </x:row>
    <x:row r="13">
      <x:c r="A13" t="str">
        <x:v>PLD-000009</x:v>
      </x:c>
      <x:c r="B13" t="str">
        <x:v>LOSS-KG01-L21-20251020-AM-ORD-2025-00019</x:v>
      </x:c>
      <x:c r="C13" t="str">
        <x:v>PE-KG01-L21-20251020-AM-ORD-2025-00019</x:v>
      </x:c>
      <x:c r="D13" t="str">
        <x:v>KG01</x:v>
      </x:c>
      <x:c r="E13" t="n">
        <x:v>21</x:v>
      </x:c>
      <x:c r="F13" s="52" t="n">
        <x:v>45950</x:v>
      </x:c>
      <x:c r="G13" t="str">
        <x:v>AM</x:v>
      </x:c>
      <x:c r="H13" t="str">
        <x:v>ORD-2025-00019</x:v>
      </x:c>
      <x:c r="I13" t="str">
        <x:v>Normal</x:v>
      </x:c>
      <x:c r="J13" t="str">
        <x:v>PROC_SANLI</x:v>
      </x:c>
      <x:c r="K13" t="str">
        <x:v>Inspection</x:v>
      </x:c>
      <x:c r="L13" s="54" t="n">
        <x:v>0.002012882447665056</x:v>
      </x:c>
      <x:c r="M13" t="n">
        <x:v>253368</x:v>
      </x:c>
      <x:c r="N13" t="n">
        <x:f>L13*M13</x:f>
        <x:v>509.99999999999994</x:v>
      </x:c>
      <x:c r="O13"/>
      <x:c r="P13"/>
      <x:c r="Q13"/>
      <x:c r="R13"/>
      <x:c r="S13" s="52"/>
      <x:c r="T13" t="str">
        <x:v>OK</x:v>
      </x:c>
      <x:c r="U13" t="str">
        <x:f>IF(AND(ISNUMBER(L13),L13&gt;=0,L13&lt;=1),"OK","CHECK")</x:f>
        <x:v>OK</x:v>
      </x:c>
      <x:c r="V13" t="str">
        <x:f>IF(AND(ISNUMBER(N13),N13&gt;=0),"OK","CHECK")</x:f>
        <x:v>OK</x:v>
      </x:c>
      <x:c r="W13" t="str">
        <x:f>IF(AND(T13="OK",U13="OK",V13="OK"),"OK","CHECK")</x:f>
        <x:v>OK</x:v>
      </x:c>
      <x:c r="X13" t="str">
        <x:f>IF(W13="OK","LOAD","QUARANTINE")</x:f>
        <x:v>LOAD</x:v>
      </x:c>
      <x:c r="Y13" t="str">
        <x:v>03_Process_Losses(6).xlsx</x:v>
      </x:c>
      <x:c r="Z13" t="str">
        <x:v>ENH-20260830-01</x:v>
      </x:c>
      <x:c r="AA13" t="str">
        <x:f>IF(X13="LOAD","Active","Quarantine")</x:f>
        <x:v>Active</x:v>
      </x:c>
      <x:c r="AB13"/>
      <x:c r="AC13"/>
      <x:c r="AD13"/>
      <x:c r="AE13"/>
    </x:row>
    <x:row r="14">
      <x:c r="A14" t="str">
        <x:v>PLD-000010</x:v>
      </x:c>
      <x:c r="B14" t="str">
        <x:v>LOSS-KG01-L21-20251020-AM-ORD-2025-00019</x:v>
      </x:c>
      <x:c r="C14" t="str">
        <x:v>PE-KG01-L21-20251020-AM-ORD-2025-00019</x:v>
      </x:c>
      <x:c r="D14" t="str">
        <x:v>KG01</x:v>
      </x:c>
      <x:c r="E14" t="n">
        <x:v>21</x:v>
      </x:c>
      <x:c r="F14" s="52" t="n">
        <x:v>45950</x:v>
      </x:c>
      <x:c r="G14" t="str">
        <x:v>AM</x:v>
      </x:c>
      <x:c r="H14" t="str">
        <x:v>ORD-2025-00019</x:v>
      </x:c>
      <x:c r="I14" t="str">
        <x:v>Normal</x:v>
      </x:c>
      <x:c r="J14" t="str">
        <x:v>PROC_VISUAL</x:v>
      </x:c>
      <x:c r="K14" t="str">
        <x:v>Inspection</x:v>
      </x:c>
      <x:c r="L14" s="54" t="n">
        <x:v>0.006504373085788261</x:v>
      </x:c>
      <x:c r="M14" t="n">
        <x:v>253368</x:v>
      </x:c>
      <x:c r="N14" t="n">
        <x:f>L14*M14</x:f>
        <x:v>1648</x:v>
      </x:c>
      <x:c r="O14"/>
      <x:c r="P14"/>
      <x:c r="Q14"/>
      <x:c r="R14"/>
      <x:c r="S14" s="52"/>
      <x:c r="T14" t="str">
        <x:v>OK</x:v>
      </x:c>
      <x:c r="U14" t="str">
        <x:f>IF(AND(ISNUMBER(L14),L14&gt;=0,L14&lt;=1),"OK","CHECK")</x:f>
        <x:v>OK</x:v>
      </x:c>
      <x:c r="V14" t="str">
        <x:f>IF(AND(ISNUMBER(N14),N14&gt;=0),"OK","CHECK")</x:f>
        <x:v>OK</x:v>
      </x:c>
      <x:c r="W14" t="str">
        <x:f>IF(AND(T14="OK",U14="OK",V14="OK"),"OK","CHECK")</x:f>
        <x:v>OK</x:v>
      </x:c>
      <x:c r="X14" t="str">
        <x:f>IF(W14="OK","LOAD","QUARANTINE")</x:f>
        <x:v>LOAD</x:v>
      </x:c>
      <x:c r="Y14" t="str">
        <x:v>03_Process_Losses(6).xlsx</x:v>
      </x:c>
      <x:c r="Z14" t="str">
        <x:v>ENH-20260830-01</x:v>
      </x:c>
      <x:c r="AA14" t="str">
        <x:f>IF(X14="LOAD","Active","Quarantine")</x:f>
        <x:v>Active</x:v>
      </x:c>
      <x:c r="AB14"/>
      <x:c r="AC14"/>
      <x:c r="AD14"/>
      <x:c r="AE14"/>
    </x:row>
    <x:row r="15">
      <x:c r="A15" t="str">
        <x:v>PLD-000011</x:v>
      </x:c>
      <x:c r="B15" t="str">
        <x:v>LOSS-KG01-L21-20251020-AM-ORD-2025-00019</x:v>
      </x:c>
      <x:c r="C15" t="str">
        <x:v>PE-KG01-L21-20251020-AM-ORD-2025-00019</x:v>
      </x:c>
      <x:c r="D15" t="str">
        <x:v>KG01</x:v>
      </x:c>
      <x:c r="E15" t="n">
        <x:v>21</x:v>
      </x:c>
      <x:c r="F15" s="52" t="n">
        <x:v>45950</x:v>
      </x:c>
      <x:c r="G15" t="str">
        <x:v>AM</x:v>
      </x:c>
      <x:c r="H15" t="str">
        <x:v>ORD-2025-00019</x:v>
      </x:c>
      <x:c r="I15" t="str">
        <x:v>Normal</x:v>
      </x:c>
      <x:c r="J15" t="str">
        <x:v>PROC_PALLETIZER</x:v>
      </x:c>
      <x:c r="K15" t="str">
        <x:v>Palletizer</x:v>
      </x:c>
      <x:c r="L15" s="54" t="n">
        <x:v>0.004823024217738625</x:v>
      </x:c>
      <x:c r="M15" t="n">
        <x:v>253368</x:v>
      </x:c>
      <x:c r="N15" t="n">
        <x:f>L15*M15</x:f>
        <x:v>1222</x:v>
      </x:c>
      <x:c r="O15"/>
      <x:c r="P15"/>
      <x:c r="Q15"/>
      <x:c r="R15"/>
      <x:c r="S15" s="52"/>
      <x:c r="T15" t="str">
        <x:v>OK</x:v>
      </x:c>
      <x:c r="U15" t="str">
        <x:f>IF(AND(ISNUMBER(L15),L15&gt;=0,L15&lt;=1),"OK","CHECK")</x:f>
        <x:v>OK</x:v>
      </x:c>
      <x:c r="V15" t="str">
        <x:f>IF(AND(ISNUMBER(N15),N15&gt;=0),"OK","CHECK")</x:f>
        <x:v>OK</x:v>
      </x:c>
      <x:c r="W15" t="str">
        <x:f>IF(AND(T15="OK",U15="OK",V15="OK"),"OK","CHECK")</x:f>
        <x:v>OK</x:v>
      </x:c>
      <x:c r="X15" t="str">
        <x:f>IF(W15="OK","LOAD","QUARANTINE")</x:f>
        <x:v>LOAD</x:v>
      </x:c>
      <x:c r="Y15" t="str">
        <x:v>03_Process_Losses(6).xlsx</x:v>
      </x:c>
      <x:c r="Z15" t="str">
        <x:v>ENH-20260830-01</x:v>
      </x:c>
      <x:c r="AA15" t="str">
        <x:f>IF(X15="LOAD","Active","Quarantine")</x:f>
        <x:v>Active</x:v>
      </x:c>
      <x:c r="AB15"/>
      <x:c r="AC15"/>
      <x:c r="AD15"/>
      <x:c r="AE15"/>
    </x:row>
    <x:row r="16">
      <x:c r="A16" t="str">
        <x:v>PLD-000012</x:v>
      </x:c>
      <x:c r="B16" t="str">
        <x:v>LOSS-KG01-L21-20251020-PM-ORD-2025-00019</x:v>
      </x:c>
      <x:c r="C16" t="str">
        <x:v>PE-KG01-L21-20251020-PM-ORD-2025-00019</x:v>
      </x:c>
      <x:c r="D16" t="str">
        <x:v>KG01</x:v>
      </x:c>
      <x:c r="E16" t="n">
        <x:v>21</x:v>
      </x:c>
      <x:c r="F16" s="52" t="n">
        <x:v>45950</x:v>
      </x:c>
      <x:c r="G16" t="str">
        <x:v>PM</x:v>
      </x:c>
      <x:c r="H16" t="str">
        <x:v>ORD-2025-00019</x:v>
      </x:c>
      <x:c r="I16" t="str">
        <x:v>Normal</x:v>
      </x:c>
      <x:c r="J16" t="str">
        <x:v>PROC_FIXED</x:v>
      </x:c>
      <x:c r="K16" t="str">
        <x:v>Fixed Losses</x:v>
      </x:c>
      <x:c r="L16" s="54" t="n">
        <x:v>0.007468625650443832</x:v>
      </x:c>
      <x:c r="M16" t="n">
        <x:v>228690</x:v>
      </x:c>
      <x:c r="N16" t="n">
        <x:f>L16*M16</x:f>
        <x:v>1708</x:v>
      </x:c>
      <x:c r="O16"/>
      <x:c r="P16"/>
      <x:c r="Q16"/>
      <x:c r="R16"/>
      <x:c r="S16" s="52"/>
      <x:c r="T16" t="str">
        <x:v>OK</x:v>
      </x:c>
      <x:c r="U16" t="str">
        <x:f>IF(AND(ISNUMBER(L16),L16&gt;=0,L16&lt;=1),"OK","CHECK")</x:f>
        <x:v>OK</x:v>
      </x:c>
      <x:c r="V16" t="str">
        <x:f>IF(AND(ISNUMBER(N16),N16&gt;=0),"OK","CHECK")</x:f>
        <x:v>OK</x:v>
      </x:c>
      <x:c r="W16" t="str">
        <x:f>IF(AND(T16="OK",U16="OK",V16="OK"),"OK","CHECK")</x:f>
        <x:v>OK</x:v>
      </x:c>
      <x:c r="X16" t="str">
        <x:f>IF(W16="OK","LOAD","QUARANTINE")</x:f>
        <x:v>LOAD</x:v>
      </x:c>
      <x:c r="Y16" t="str">
        <x:v>03_Process_Losses(6).xlsx</x:v>
      </x:c>
      <x:c r="Z16" t="str">
        <x:v>ENH-20260830-01</x:v>
      </x:c>
      <x:c r="AA16" t="str">
        <x:f>IF(X16="LOAD","Active","Quarantine")</x:f>
        <x:v>Active</x:v>
      </x:c>
      <x:c r="AB16"/>
      <x:c r="AC16"/>
      <x:c r="AD16"/>
      <x:c r="AE16"/>
    </x:row>
    <x:row r="17">
      <x:c r="A17" t="str">
        <x:v>PLD-000013</x:v>
      </x:c>
      <x:c r="B17" t="str">
        <x:v>LOSS-KG01-L21-20251020-PM-ORD-2025-00019</x:v>
      </x:c>
      <x:c r="C17" t="str">
        <x:v>PE-KG01-L21-20251020-PM-ORD-2025-00019</x:v>
      </x:c>
      <x:c r="D17" t="str">
        <x:v>KG01</x:v>
      </x:c>
      <x:c r="E17" t="n">
        <x:v>21</x:v>
      </x:c>
      <x:c r="F17" s="52" t="n">
        <x:v>45950</x:v>
      </x:c>
      <x:c r="G17" t="str">
        <x:v>PM</x:v>
      </x:c>
      <x:c r="H17" t="str">
        <x:v>ORD-2025-00019</x:v>
      </x:c>
      <x:c r="I17" t="str">
        <x:v>Normal</x:v>
      </x:c>
      <x:c r="J17" t="str">
        <x:v>PROC_IS</x:v>
      </x:c>
      <x:c r="K17" t="str">
        <x:v>IS Machine</x:v>
      </x:c>
      <x:c r="L17" s="54" t="n">
        <x:v>0.013284358738904193</x:v>
      </x:c>
      <x:c r="M17" t="n">
        <x:v>228690</x:v>
      </x:c>
      <x:c r="N17" t="n">
        <x:f>L17*M17</x:f>
        <x:v>3038</x:v>
      </x:c>
      <x:c r="O17"/>
      <x:c r="P17"/>
      <x:c r="Q17"/>
      <x:c r="R17"/>
      <x:c r="S17" s="52"/>
      <x:c r="T17" t="str">
        <x:v>OK</x:v>
      </x:c>
      <x:c r="U17" t="str">
        <x:f>IF(AND(ISNUMBER(L17),L17&gt;=0,L17&lt;=1),"OK","CHECK")</x:f>
        <x:v>OK</x:v>
      </x:c>
      <x:c r="V17" t="str">
        <x:f>IF(AND(ISNUMBER(N17),N17&gt;=0),"OK","CHECK")</x:f>
        <x:v>OK</x:v>
      </x:c>
      <x:c r="W17" t="str">
        <x:f>IF(AND(T17="OK",U17="OK",V17="OK"),"OK","CHECK")</x:f>
        <x:v>OK</x:v>
      </x:c>
      <x:c r="X17" t="str">
        <x:f>IF(W17="OK","LOAD","QUARANTINE")</x:f>
        <x:v>LOAD</x:v>
      </x:c>
      <x:c r="Y17" t="str">
        <x:v>03_Process_Losses(6).xlsx</x:v>
      </x:c>
      <x:c r="Z17" t="str">
        <x:v>ENH-20260830-01</x:v>
      </x:c>
      <x:c r="AA17" t="str">
        <x:f>IF(X17="LOAD","Active","Quarantine")</x:f>
        <x:v>Active</x:v>
      </x:c>
      <x:c r="AB17"/>
      <x:c r="AC17"/>
      <x:c r="AD17"/>
      <x:c r="AE17"/>
    </x:row>
    <x:row r="18">
      <x:c r="A18" t="str">
        <x:v>PLD-000014</x:v>
      </x:c>
      <x:c r="B18" t="str">
        <x:v>LOSS-KG01-L21-20251020-PM-ORD-2025-00019</x:v>
      </x:c>
      <x:c r="C18" t="str">
        <x:v>PE-KG01-L21-20251020-PM-ORD-2025-00019</x:v>
      </x:c>
      <x:c r="D18" t="str">
        <x:v>KG01</x:v>
      </x:c>
      <x:c r="E18" t="n">
        <x:v>21</x:v>
      </x:c>
      <x:c r="F18" s="52" t="n">
        <x:v>45950</x:v>
      </x:c>
      <x:c r="G18" t="str">
        <x:v>PM</x:v>
      </x:c>
      <x:c r="H18" t="str">
        <x:v>ORD-2025-00019</x:v>
      </x:c>
      <x:c r="I18" t="str">
        <x:v>Normal</x:v>
      </x:c>
      <x:c r="J18" t="str">
        <x:v>PROC_HE_CONVEYER</x:v>
      </x:c>
      <x:c r="K18" t="str">
        <x:v>Hot End</x:v>
      </x:c>
      <x:c r="L18" s="54" t="n">
        <x:v>0.0018540382176745814</x:v>
      </x:c>
      <x:c r="M18" t="n">
        <x:v>228690</x:v>
      </x:c>
      <x:c r="N18" t="n">
        <x:f>L18*M18</x:f>
        <x:v>424</x:v>
      </x:c>
      <x:c r="O18"/>
      <x:c r="P18"/>
      <x:c r="Q18"/>
      <x:c r="R18"/>
      <x:c r="S18" s="52"/>
      <x:c r="T18" t="str">
        <x:v>OK</x:v>
      </x:c>
      <x:c r="U18" t="str">
        <x:f>IF(AND(ISNUMBER(L18),L18&gt;=0,L18&lt;=1),"OK","CHECK")</x:f>
        <x:v>OK</x:v>
      </x:c>
      <x:c r="V18" t="str">
        <x:f>IF(AND(ISNUMBER(N18),N18&gt;=0),"OK","CHECK")</x:f>
        <x:v>OK</x:v>
      </x:c>
      <x:c r="W18" t="str">
        <x:f>IF(AND(T18="OK",U18="OK",V18="OK"),"OK","CHECK")</x:f>
        <x:v>OK</x:v>
      </x:c>
      <x:c r="X18" t="str">
        <x:f>IF(W18="OK","LOAD","QUARANTINE")</x:f>
        <x:v>LOAD</x:v>
      </x:c>
      <x:c r="Y18" t="str">
        <x:v>03_Process_Losses(6).xlsx</x:v>
      </x:c>
      <x:c r="Z18" t="str">
        <x:v>ENH-20260830-01</x:v>
      </x:c>
      <x:c r="AA18" t="str">
        <x:f>IF(X18="LOAD","Active","Quarantine")</x:f>
        <x:v>Active</x:v>
      </x:c>
      <x:c r="AB18"/>
      <x:c r="AC18"/>
      <x:c r="AD18"/>
      <x:c r="AE18"/>
    </x:row>
    <x:row r="19">
      <x:c r="A19" t="str">
        <x:v>PLD-000015</x:v>
      </x:c>
      <x:c r="B19" t="str">
        <x:v>LOSS-KG01-L21-20251020-PM-ORD-2025-00019</x:v>
      </x:c>
      <x:c r="C19" t="str">
        <x:v>PE-KG01-L21-20251020-PM-ORD-2025-00019</x:v>
      </x:c>
      <x:c r="D19" t="str">
        <x:v>KG01</x:v>
      </x:c>
      <x:c r="E19" t="n">
        <x:v>21</x:v>
      </x:c>
      <x:c r="F19" s="52" t="n">
        <x:v>45950</x:v>
      </x:c>
      <x:c r="G19" t="str">
        <x:v>PM</x:v>
      </x:c>
      <x:c r="H19" t="str">
        <x:v>ORD-2025-00019</x:v>
      </x:c>
      <x:c r="I19" t="str">
        <x:v>Normal</x:v>
      </x:c>
      <x:c r="J19" t="str">
        <x:v>PROC_STUCKDOWN</x:v>
      </x:c>
      <x:c r="K19" t="str">
        <x:v>Forming</x:v>
      </x:c>
      <x:c r="L19" s="54" t="n">
        <x:v>0.0025799116708207616</x:v>
      </x:c>
      <x:c r="M19" t="n">
        <x:v>228690</x:v>
      </x:c>
      <x:c r="N19" t="n">
        <x:f>L19*M19</x:f>
        <x:v>590</x:v>
      </x:c>
      <x:c r="O19"/>
      <x:c r="P19"/>
      <x:c r="Q19"/>
      <x:c r="R19"/>
      <x:c r="S19" s="52"/>
      <x:c r="T19" t="str">
        <x:v>OK</x:v>
      </x:c>
      <x:c r="U19" t="str">
        <x:f>IF(AND(ISNUMBER(L19),L19&gt;=0,L19&lt;=1),"OK","CHECK")</x:f>
        <x:v>OK</x:v>
      </x:c>
      <x:c r="V19" t="str">
        <x:f>IF(AND(ISNUMBER(N19),N19&gt;=0),"OK","CHECK")</x:f>
        <x:v>OK</x:v>
      </x:c>
      <x:c r="W19" t="str">
        <x:f>IF(AND(T19="OK",U19="OK",V19="OK"),"OK","CHECK")</x:f>
        <x:v>OK</x:v>
      </x:c>
      <x:c r="X19" t="str">
        <x:f>IF(W19="OK","LOAD","QUARANTINE")</x:f>
        <x:v>LOAD</x:v>
      </x:c>
      <x:c r="Y19" t="str">
        <x:v>03_Process_Losses(6).xlsx</x:v>
      </x:c>
      <x:c r="Z19" t="str">
        <x:v>ENH-20260830-01</x:v>
      </x:c>
      <x:c r="AA19" t="str">
        <x:f>IF(X19="LOAD","Active","Quarantine")</x:f>
        <x:v>Active</x:v>
      </x:c>
      <x:c r="AB19"/>
      <x:c r="AC19"/>
      <x:c r="AD19"/>
      <x:c r="AE19"/>
    </x:row>
    <x:row r="20">
      <x:c r="A20" t="str">
        <x:v>PLD-000016</x:v>
      </x:c>
      <x:c r="B20" t="str">
        <x:v>LOSS-KG01-L21-20251020-PM-ORD-2025-00019</x:v>
      </x:c>
      <x:c r="C20" t="str">
        <x:v>PE-KG01-L21-20251020-PM-ORD-2025-00019</x:v>
      </x:c>
      <x:c r="D20" t="str">
        <x:v>KG01</x:v>
      </x:c>
      <x:c r="E20" t="n">
        <x:v>21</x:v>
      </x:c>
      <x:c r="F20" s="52" t="n">
        <x:v>45950</x:v>
      </x:c>
      <x:c r="G20" t="str">
        <x:v>PM</x:v>
      </x:c>
      <x:c r="H20" t="str">
        <x:v>ORD-2025-00019</x:v>
      </x:c>
      <x:c r="I20" t="str">
        <x:v>Normal</x:v>
      </x:c>
      <x:c r="J20" t="str">
        <x:v>PROC_LEHR</x:v>
      </x:c>
      <x:c r="K20" t="str">
        <x:v>Lehr</x:v>
      </x:c>
      <x:c r="L20" s="54" t="n">
        <x:v>0.004355240718877083</x:v>
      </x:c>
      <x:c r="M20" t="n">
        <x:v>228690</x:v>
      </x:c>
      <x:c r="N20" t="n">
        <x:f>L20*M20</x:f>
        <x:v>996</x:v>
      </x:c>
      <x:c r="O20"/>
      <x:c r="P20"/>
      <x:c r="Q20"/>
      <x:c r="R20"/>
      <x:c r="S20" s="52"/>
      <x:c r="T20" t="str">
        <x:v>OK</x:v>
      </x:c>
      <x:c r="U20" t="str">
        <x:f>IF(AND(ISNUMBER(L20),L20&gt;=0,L20&lt;=1),"OK","CHECK")</x:f>
        <x:v>OK</x:v>
      </x:c>
      <x:c r="V20" t="str">
        <x:f>IF(AND(ISNUMBER(N20),N20&gt;=0),"OK","CHECK")</x:f>
        <x:v>OK</x:v>
      </x:c>
      <x:c r="W20" t="str">
        <x:f>IF(AND(T20="OK",U20="OK",V20="OK"),"OK","CHECK")</x:f>
        <x:v>OK</x:v>
      </x:c>
      <x:c r="X20" t="str">
        <x:f>IF(W20="OK","LOAD","QUARANTINE")</x:f>
        <x:v>LOAD</x:v>
      </x:c>
      <x:c r="Y20" t="str">
        <x:v>03_Process_Losses(6).xlsx</x:v>
      </x:c>
      <x:c r="Z20" t="str">
        <x:v>ENH-20260830-01</x:v>
      </x:c>
      <x:c r="AA20" t="str">
        <x:f>IF(X20="LOAD","Active","Quarantine")</x:f>
        <x:v>Active</x:v>
      </x:c>
      <x:c r="AB20"/>
      <x:c r="AC20"/>
      <x:c r="AD20"/>
      <x:c r="AE20"/>
    </x:row>
    <x:row r="21">
      <x:c r="A21" t="str">
        <x:v>PLD-000017</x:v>
      </x:c>
      <x:c r="B21" t="str">
        <x:v>LOSS-KG01-L21-20251020-PM-ORD-2025-00019</x:v>
      </x:c>
      <x:c r="C21" t="str">
        <x:v>PE-KG01-L21-20251020-PM-ORD-2025-00019</x:v>
      </x:c>
      <x:c r="D21" t="str">
        <x:v>KG01</x:v>
      </x:c>
      <x:c r="E21" t="n">
        <x:v>21</x:v>
      </x:c>
      <x:c r="F21" s="52" t="n">
        <x:v>45950</x:v>
      </x:c>
      <x:c r="G21" t="str">
        <x:v>PM</x:v>
      </x:c>
      <x:c r="H21" t="str">
        <x:v>ORD-2025-00019</x:v>
      </x:c>
      <x:c r="I21" t="str">
        <x:v>Normal</x:v>
      </x:c>
      <x:c r="J21" t="str">
        <x:v>PROC_EVO16</x:v>
      </x:c>
      <x:c r="K21" t="str">
        <x:v>Inspection</x:v>
      </x:c>
      <x:c r="L21" s="54" t="n">
        <x:v>0.004237176964449692</x:v>
      </x:c>
      <x:c r="M21" t="n">
        <x:v>228690</x:v>
      </x:c>
      <x:c r="N21" t="n">
        <x:f>L21*M21</x:f>
        <x:v>969</x:v>
      </x:c>
      <x:c r="O21"/>
      <x:c r="P21"/>
      <x:c r="Q21"/>
      <x:c r="R21"/>
      <x:c r="S21" s="52"/>
      <x:c r="T21" t="str">
        <x:v>OK</x:v>
      </x:c>
      <x:c r="U21" t="str">
        <x:f>IF(AND(ISNUMBER(L21),L21&gt;=0,L21&lt;=1),"OK","CHECK")</x:f>
        <x:v>OK</x:v>
      </x:c>
      <x:c r="V21" t="str">
        <x:f>IF(AND(ISNUMBER(N21),N21&gt;=0),"OK","CHECK")</x:f>
        <x:v>OK</x:v>
      </x:c>
      <x:c r="W21" t="str">
        <x:f>IF(AND(T21="OK",U21="OK",V21="OK"),"OK","CHECK")</x:f>
        <x:v>OK</x:v>
      </x:c>
      <x:c r="X21" t="str">
        <x:f>IF(W21="OK","LOAD","QUARANTINE")</x:f>
        <x:v>LOAD</x:v>
      </x:c>
      <x:c r="Y21" t="str">
        <x:v>03_Process_Losses(6).xlsx</x:v>
      </x:c>
      <x:c r="Z21" t="str">
        <x:v>ENH-20260830-01</x:v>
      </x:c>
      <x:c r="AA21" t="str">
        <x:f>IF(X21="LOAD","Active","Quarantine")</x:f>
        <x:v>Active</x:v>
      </x:c>
      <x:c r="AB21"/>
      <x:c r="AC21"/>
      <x:c r="AD21"/>
      <x:c r="AE21"/>
    </x:row>
    <x:row r="22">
      <x:c r="A22" t="str">
        <x:v>PLD-000018</x:v>
      </x:c>
      <x:c r="B22" t="str">
        <x:v>LOSS-KG01-L21-20251020-PM-ORD-2025-00019</x:v>
      </x:c>
      <x:c r="C22" t="str">
        <x:v>PE-KG01-L21-20251020-PM-ORD-2025-00019</x:v>
      </x:c>
      <x:c r="D22" t="str">
        <x:v>KG01</x:v>
      </x:c>
      <x:c r="E22" t="n">
        <x:v>21</x:v>
      </x:c>
      <x:c r="F22" s="52" t="n">
        <x:v>45950</x:v>
      </x:c>
      <x:c r="G22" t="str">
        <x:v>PM</x:v>
      </x:c>
      <x:c r="H22" t="str">
        <x:v>ORD-2025-00019</x:v>
      </x:c>
      <x:c r="I22" t="str">
        <x:v>Normal</x:v>
      </x:c>
      <x:c r="J22" t="str">
        <x:v>PROC_EVO12</x:v>
      </x:c>
      <x:c r="K22" t="str">
        <x:v>Inspection</x:v>
      </x:c>
      <x:c r="L22" s="54" t="n">
        <x:v>0.001757838121474485</x:v>
      </x:c>
      <x:c r="M22" t="n">
        <x:v>228690</x:v>
      </x:c>
      <x:c r="N22" t="n">
        <x:f>L22*M22</x:f>
        <x:v>402</x:v>
      </x:c>
      <x:c r="O22"/>
      <x:c r="P22"/>
      <x:c r="Q22"/>
      <x:c r="R22"/>
      <x:c r="S22" s="52"/>
      <x:c r="T22" t="str">
        <x:v>OK</x:v>
      </x:c>
      <x:c r="U22" t="str">
        <x:f>IF(AND(ISNUMBER(L22),L22&gt;=0,L22&lt;=1),"OK","CHECK")</x:f>
        <x:v>OK</x:v>
      </x:c>
      <x:c r="V22" t="str">
        <x:f>IF(AND(ISNUMBER(N22),N22&gt;=0),"OK","CHECK")</x:f>
        <x:v>OK</x:v>
      </x:c>
      <x:c r="W22" t="str">
        <x:f>IF(AND(T22="OK",U22="OK",V22="OK"),"OK","CHECK")</x:f>
        <x:v>OK</x:v>
      </x:c>
      <x:c r="X22" t="str">
        <x:f>IF(W22="OK","LOAD","QUARANTINE")</x:f>
        <x:v>LOAD</x:v>
      </x:c>
      <x:c r="Y22" t="str">
        <x:v>03_Process_Losses(6).xlsx</x:v>
      </x:c>
      <x:c r="Z22" t="str">
        <x:v>ENH-20260830-01</x:v>
      </x:c>
      <x:c r="AA22" t="str">
        <x:f>IF(X22="LOAD","Active","Quarantine")</x:f>
        <x:v>Active</x:v>
      </x:c>
      <x:c r="AB22"/>
      <x:c r="AC22"/>
      <x:c r="AD22"/>
      <x:c r="AE22"/>
    </x:row>
    <x:row r="23">
      <x:c r="A23" t="str">
        <x:v>PLD-000019</x:v>
      </x:c>
      <x:c r="B23" t="str">
        <x:v>LOSS-KG01-L21-20251020-PM-ORD-2025-00019</x:v>
      </x:c>
      <x:c r="C23" t="str">
        <x:v>PE-KG01-L21-20251020-PM-ORD-2025-00019</x:v>
      </x:c>
      <x:c r="D23" t="str">
        <x:v>KG01</x:v>
      </x:c>
      <x:c r="E23" t="n">
        <x:v>21</x:v>
      </x:c>
      <x:c r="F23" s="52" t="n">
        <x:v>45950</x:v>
      </x:c>
      <x:c r="G23" t="str">
        <x:v>PM</x:v>
      </x:c>
      <x:c r="H23" t="str">
        <x:v>ORD-2025-00019</x:v>
      </x:c>
      <x:c r="I23" t="str">
        <x:v>Normal</x:v>
      </x:c>
      <x:c r="J23" t="str">
        <x:v>PROC_EVO5</x:v>
      </x:c>
      <x:c r="K23" t="str">
        <x:v>Inspection</x:v>
      </x:c>
      <x:c r="L23" s="54" t="n">
        <x:v>0.00042415496960951507</x:v>
      </x:c>
      <x:c r="M23" t="n">
        <x:v>228690</x:v>
      </x:c>
      <x:c r="N23" t="n">
        <x:f>L23*M23</x:f>
        <x:v>97</x:v>
      </x:c>
      <x:c r="O23"/>
      <x:c r="P23"/>
      <x:c r="Q23"/>
      <x:c r="R23"/>
      <x:c r="S23" s="52"/>
      <x:c r="T23" t="str">
        <x:v>OK</x:v>
      </x:c>
      <x:c r="U23" t="str">
        <x:f>IF(AND(ISNUMBER(L23),L23&gt;=0,L23&lt;=1),"OK","CHECK")</x:f>
        <x:v>OK</x:v>
      </x:c>
      <x:c r="V23" t="str">
        <x:f>IF(AND(ISNUMBER(N23),N23&gt;=0),"OK","CHECK")</x:f>
        <x:v>OK</x:v>
      </x:c>
      <x:c r="W23" t="str">
        <x:f>IF(AND(T23="OK",U23="OK",V23="OK"),"OK","CHECK")</x:f>
        <x:v>OK</x:v>
      </x:c>
      <x:c r="X23" t="str">
        <x:f>IF(W23="OK","LOAD","QUARANTINE")</x:f>
        <x:v>LOAD</x:v>
      </x:c>
      <x:c r="Y23" t="str">
        <x:v>03_Process_Losses(6).xlsx</x:v>
      </x:c>
      <x:c r="Z23" t="str">
        <x:v>ENH-20260830-01</x:v>
      </x:c>
      <x:c r="AA23" t="str">
        <x:f>IF(X23="LOAD","Active","Quarantine")</x:f>
        <x:v>Active</x:v>
      </x:c>
      <x:c r="AB23"/>
      <x:c r="AC23"/>
      <x:c r="AD23"/>
      <x:c r="AE23"/>
    </x:row>
    <x:row r="24">
      <x:c r="A24" t="str">
        <x:v>PLD-000020</x:v>
      </x:c>
      <x:c r="B24" t="str">
        <x:v>LOSS-KG01-L21-20251020-PM-ORD-2025-00019</x:v>
      </x:c>
      <x:c r="C24" t="str">
        <x:v>PE-KG01-L21-20251020-PM-ORD-2025-00019</x:v>
      </x:c>
      <x:c r="D24" t="str">
        <x:v>KG01</x:v>
      </x:c>
      <x:c r="E24" t="n">
        <x:v>21</x:v>
      </x:c>
      <x:c r="F24" s="52" t="n">
        <x:v>45950</x:v>
      </x:c>
      <x:c r="G24" t="str">
        <x:v>PM</x:v>
      </x:c>
      <x:c r="H24" t="str">
        <x:v>ORD-2025-00019</x:v>
      </x:c>
      <x:c r="I24" t="str">
        <x:v>Normal</x:v>
      </x:c>
      <x:c r="J24" t="str">
        <x:v>PROC_SANLI</x:v>
      </x:c>
      <x:c r="K24" t="str">
        <x:v>Inspection</x:v>
      </x:c>
      <x:c r="L24" s="54" t="n">
        <x:v>0.00420219511128602</x:v>
      </x:c>
      <x:c r="M24" t="n">
        <x:v>228690</x:v>
      </x:c>
      <x:c r="N24" t="n">
        <x:f>L24*M24</x:f>
        <x:v>960.9999999999999</x:v>
      </x:c>
      <x:c r="O24"/>
      <x:c r="P24"/>
      <x:c r="Q24"/>
      <x:c r="R24"/>
      <x:c r="S24" s="52"/>
      <x:c r="T24" t="str">
        <x:v>OK</x:v>
      </x:c>
      <x:c r="U24" t="str">
        <x:f>IF(AND(ISNUMBER(L24),L24&gt;=0,L24&lt;=1),"OK","CHECK")</x:f>
        <x:v>OK</x:v>
      </x:c>
      <x:c r="V24" t="str">
        <x:f>IF(AND(ISNUMBER(N24),N24&gt;=0),"OK","CHECK")</x:f>
        <x:v>OK</x:v>
      </x:c>
      <x:c r="W24" t="str">
        <x:f>IF(AND(T24="OK",U24="OK",V24="OK"),"OK","CHECK")</x:f>
        <x:v>OK</x:v>
      </x:c>
      <x:c r="X24" t="str">
        <x:f>IF(W24="OK","LOAD","QUARANTINE")</x:f>
        <x:v>LOAD</x:v>
      </x:c>
      <x:c r="Y24" t="str">
        <x:v>03_Process_Losses(6).xlsx</x:v>
      </x:c>
      <x:c r="Z24" t="str">
        <x:v>ENH-20260830-01</x:v>
      </x:c>
      <x:c r="AA24" t="str">
        <x:f>IF(X24="LOAD","Active","Quarantine")</x:f>
        <x:v>Active</x:v>
      </x:c>
      <x:c r="AB24"/>
      <x:c r="AC24"/>
      <x:c r="AD24"/>
      <x:c r="AE24"/>
    </x:row>
    <x:row r="25">
      <x:c r="A25" t="str">
        <x:v>PLD-000021</x:v>
      </x:c>
      <x:c r="B25" t="str">
        <x:v>LOSS-KG01-L21-20251020-PM-ORD-2025-00019</x:v>
      </x:c>
      <x:c r="C25" t="str">
        <x:v>PE-KG01-L21-20251020-PM-ORD-2025-00019</x:v>
      </x:c>
      <x:c r="D25" t="str">
        <x:v>KG01</x:v>
      </x:c>
      <x:c r="E25" t="n">
        <x:v>21</x:v>
      </x:c>
      <x:c r="F25" s="52" t="n">
        <x:v>45950</x:v>
      </x:c>
      <x:c r="G25" t="str">
        <x:v>PM</x:v>
      </x:c>
      <x:c r="H25" t="str">
        <x:v>ORD-2025-00019</x:v>
      </x:c>
      <x:c r="I25" t="str">
        <x:v>Normal</x:v>
      </x:c>
      <x:c r="J25" t="str">
        <x:v>PROC_VISUAL</x:v>
      </x:c>
      <x:c r="K25" t="str">
        <x:v>Inspection</x:v>
      </x:c>
      <x:c r="L25" s="54" t="n">
        <x:v>0.005177314268223359</x:v>
      </x:c>
      <x:c r="M25" t="n">
        <x:v>228690</x:v>
      </x:c>
      <x:c r="N25" t="n">
        <x:f>L25*M25</x:f>
        <x:v>1184</x:v>
      </x:c>
      <x:c r="O25"/>
      <x:c r="P25"/>
      <x:c r="Q25"/>
      <x:c r="R25"/>
      <x:c r="S25" s="52"/>
      <x:c r="T25" t="str">
        <x:v>OK</x:v>
      </x:c>
      <x:c r="U25" t="str">
        <x:f>IF(AND(ISNUMBER(L25),L25&gt;=0,L25&lt;=1),"OK","CHECK")</x:f>
        <x:v>OK</x:v>
      </x:c>
      <x:c r="V25" t="str">
        <x:f>IF(AND(ISNUMBER(N25),N25&gt;=0),"OK","CHECK")</x:f>
        <x:v>OK</x:v>
      </x:c>
      <x:c r="W25" t="str">
        <x:f>IF(AND(T25="OK",U25="OK",V25="OK"),"OK","CHECK")</x:f>
        <x:v>OK</x:v>
      </x:c>
      <x:c r="X25" t="str">
        <x:f>IF(W25="OK","LOAD","QUARANTINE")</x:f>
        <x:v>LOAD</x:v>
      </x:c>
      <x:c r="Y25" t="str">
        <x:v>03_Process_Losses(6).xlsx</x:v>
      </x:c>
      <x:c r="Z25" t="str">
        <x:v>ENH-20260830-01</x:v>
      </x:c>
      <x:c r="AA25" t="str">
        <x:f>IF(X25="LOAD","Active","Quarantine")</x:f>
        <x:v>Active</x:v>
      </x:c>
      <x:c r="AB25"/>
      <x:c r="AC25"/>
      <x:c r="AD25"/>
      <x:c r="AE25"/>
    </x:row>
    <x:row r="26">
      <x:c r="A26" t="str">
        <x:v>PLD-000022</x:v>
      </x:c>
      <x:c r="B26" t="str">
        <x:v>LOSS-KG01-L21-20251020-PM-ORD-2025-00019</x:v>
      </x:c>
      <x:c r="C26" t="str">
        <x:v>PE-KG01-L21-20251020-PM-ORD-2025-00019</x:v>
      </x:c>
      <x:c r="D26" t="str">
        <x:v>KG01</x:v>
      </x:c>
      <x:c r="E26" t="n">
        <x:v>21</x:v>
      </x:c>
      <x:c r="F26" s="52" t="n">
        <x:v>45950</x:v>
      </x:c>
      <x:c r="G26" t="str">
        <x:v>PM</x:v>
      </x:c>
      <x:c r="H26" t="str">
        <x:v>ORD-2025-00019</x:v>
      </x:c>
      <x:c r="I26" t="str">
        <x:v>Normal</x:v>
      </x:c>
      <x:c r="J26" t="str">
        <x:v>PROC_PALLETIZER</x:v>
      </x:c>
      <x:c r="K26" t="str">
        <x:v>Palletizer</x:v>
      </x:c>
      <x:c r="L26" s="54" t="n">
        <x:v>0.0009007827189645371</x:v>
      </x:c>
      <x:c r="M26" t="n">
        <x:v>228690</x:v>
      </x:c>
      <x:c r="N26" t="n">
        <x:f>L26*M26</x:f>
        <x:v>206</x:v>
      </x:c>
      <x:c r="O26"/>
      <x:c r="P26"/>
      <x:c r="Q26"/>
      <x:c r="R26"/>
      <x:c r="S26" s="52"/>
      <x:c r="T26" t="str">
        <x:v>OK</x:v>
      </x:c>
      <x:c r="U26" t="str">
        <x:f>IF(AND(ISNUMBER(L26),L26&gt;=0,L26&lt;=1),"OK","CHECK")</x:f>
        <x:v>OK</x:v>
      </x:c>
      <x:c r="V26" t="str">
        <x:f>IF(AND(ISNUMBER(N26),N26&gt;=0),"OK","CHECK")</x:f>
        <x:v>OK</x:v>
      </x:c>
      <x:c r="W26" t="str">
        <x:f>IF(AND(T26="OK",U26="OK",V26="OK"),"OK","CHECK")</x:f>
        <x:v>OK</x:v>
      </x:c>
      <x:c r="X26" t="str">
        <x:f>IF(W26="OK","LOAD","QUARANTINE")</x:f>
        <x:v>LOAD</x:v>
      </x:c>
      <x:c r="Y26" t="str">
        <x:v>03_Process_Losses(6).xlsx</x:v>
      </x:c>
      <x:c r="Z26" t="str">
        <x:v>ENH-20260830-01</x:v>
      </x:c>
      <x:c r="AA26" t="str">
        <x:f>IF(X26="LOAD","Active","Quarantine")</x:f>
        <x:v>Active</x:v>
      </x:c>
      <x:c r="AB26"/>
      <x:c r="AC26"/>
      <x:c r="AD26"/>
      <x:c r="AE26"/>
    </x:row>
    <x:row r="27">
      <x:c r="A27" t="str">
        <x:v>PLD-000023</x:v>
      </x:c>
      <x:c r="B27" t="str">
        <x:v>LOSS-KG01-L21-20251021-AM-ORD-2025-00020</x:v>
      </x:c>
      <x:c r="C27" t="str">
        <x:v>PE-KG01-L21-20251021-AM-ORD-2025-00020</x:v>
      </x:c>
      <x:c r="D27" t="str">
        <x:v>KG01</x:v>
      </x:c>
      <x:c r="E27" t="n">
        <x:v>21</x:v>
      </x:c>
      <x:c r="F27" s="52" t="n">
        <x:v>45951</x:v>
      </x:c>
      <x:c r="G27" t="str">
        <x:v>AM</x:v>
      </x:c>
      <x:c r="H27" t="str">
        <x:v>ORD-2025-00020</x:v>
      </x:c>
      <x:c r="I27" t="str">
        <x:v>Trial</x:v>
      </x:c>
      <x:c r="J27" t="str">
        <x:v>PROC_FIXED</x:v>
      </x:c>
      <x:c r="K27" t="str">
        <x:v>Fixed Losses</x:v>
      </x:c>
      <x:c r="L27" s="54" t="n">
        <x:v>0.005696484201157099</x:v>
      </x:c>
      <x:c r="M27" t="n">
        <x:v>89880</x:v>
      </x:c>
      <x:c r="N27" t="n">
        <x:f>L27*M27</x:f>
        <x:v>512</x:v>
      </x:c>
      <x:c r="O27"/>
      <x:c r="P27"/>
      <x:c r="Q27"/>
      <x:c r="R27"/>
      <x:c r="S27" s="52"/>
      <x:c r="T27" t="str">
        <x:v>OK</x:v>
      </x:c>
      <x:c r="U27" t="str">
        <x:f>IF(AND(ISNUMBER(L27),L27&gt;=0,L27&lt;=1),"OK","CHECK")</x:f>
        <x:v>OK</x:v>
      </x:c>
      <x:c r="V27" t="str">
        <x:f>IF(AND(ISNUMBER(N27),N27&gt;=0),"OK","CHECK")</x:f>
        <x:v>OK</x:v>
      </x:c>
      <x:c r="W27" t="str">
        <x:f>IF(AND(T27="OK",U27="OK",V27="OK"),"OK","CHECK")</x:f>
        <x:v>OK</x:v>
      </x:c>
      <x:c r="X27" t="str">
        <x:f>IF(W27="OK","LOAD","QUARANTINE")</x:f>
        <x:v>LOAD</x:v>
      </x:c>
      <x:c r="Y27" t="str">
        <x:v>03_Process_Losses(6).xlsx</x:v>
      </x:c>
      <x:c r="Z27" t="str">
        <x:v>ENH-20260830-01</x:v>
      </x:c>
      <x:c r="AA27" t="str">
        <x:f>IF(X27="LOAD","Active","Quarantine")</x:f>
        <x:v>Active</x:v>
      </x:c>
      <x:c r="AB27"/>
      <x:c r="AC27"/>
      <x:c r="AD27"/>
      <x:c r="AE27"/>
    </x:row>
    <x:row r="28">
      <x:c r="A28" t="str">
        <x:v>PLD-000024</x:v>
      </x:c>
      <x:c r="B28" t="str">
        <x:v>LOSS-KG01-L21-20251021-AM-ORD-2025-00020</x:v>
      </x:c>
      <x:c r="C28" t="str">
        <x:v>PE-KG01-L21-20251021-AM-ORD-2025-00020</x:v>
      </x:c>
      <x:c r="D28" t="str">
        <x:v>KG01</x:v>
      </x:c>
      <x:c r="E28" t="n">
        <x:v>21</x:v>
      </x:c>
      <x:c r="F28" s="52" t="n">
        <x:v>45951</x:v>
      </x:c>
      <x:c r="G28" t="str">
        <x:v>AM</x:v>
      </x:c>
      <x:c r="H28" t="str">
        <x:v>ORD-2025-00020</x:v>
      </x:c>
      <x:c r="I28" t="str">
        <x:v>Trial</x:v>
      </x:c>
      <x:c r="J28" t="str">
        <x:v>PROC_IS</x:v>
      </x:c>
      <x:c r="K28" t="str">
        <x:v>IS Machine</x:v>
      </x:c>
      <x:c r="L28" s="54" t="n">
        <x:v>0.01855807743658211</x:v>
      </x:c>
      <x:c r="M28" t="n">
        <x:v>89880</x:v>
      </x:c>
      <x:c r="N28" t="n">
        <x:f>L28*M28</x:f>
        <x:v>1668</x:v>
      </x:c>
      <x:c r="O28"/>
      <x:c r="P28"/>
      <x:c r="Q28"/>
      <x:c r="R28"/>
      <x:c r="S28" s="52"/>
      <x:c r="T28" t="str">
        <x:v>OK</x:v>
      </x:c>
      <x:c r="U28" t="str">
        <x:f>IF(AND(ISNUMBER(L28),L28&gt;=0,L28&lt;=1),"OK","CHECK")</x:f>
        <x:v>OK</x:v>
      </x:c>
      <x:c r="V28" t="str">
        <x:f>IF(AND(ISNUMBER(N28),N28&gt;=0),"OK","CHECK")</x:f>
        <x:v>OK</x:v>
      </x:c>
      <x:c r="W28" t="str">
        <x:f>IF(AND(T28="OK",U28="OK",V28="OK"),"OK","CHECK")</x:f>
        <x:v>OK</x:v>
      </x:c>
      <x:c r="X28" t="str">
        <x:f>IF(W28="OK","LOAD","QUARANTINE")</x:f>
        <x:v>LOAD</x:v>
      </x:c>
      <x:c r="Y28" t="str">
        <x:v>03_Process_Losses(6).xlsx</x:v>
      </x:c>
      <x:c r="Z28" t="str">
        <x:v>ENH-20260830-01</x:v>
      </x:c>
      <x:c r="AA28" t="str">
        <x:f>IF(X28="LOAD","Active","Quarantine")</x:f>
        <x:v>Active</x:v>
      </x:c>
      <x:c r="AB28"/>
      <x:c r="AC28"/>
      <x:c r="AD28"/>
      <x:c r="AE28"/>
    </x:row>
    <x:row r="29">
      <x:c r="A29" t="str">
        <x:v>PLD-000025</x:v>
      </x:c>
      <x:c r="B29" t="str">
        <x:v>LOSS-KG01-L21-20251021-AM-ORD-2025-00020</x:v>
      </x:c>
      <x:c r="C29" t="str">
        <x:v>PE-KG01-L21-20251021-AM-ORD-2025-00020</x:v>
      </x:c>
      <x:c r="D29" t="str">
        <x:v>KG01</x:v>
      </x:c>
      <x:c r="E29" t="n">
        <x:v>21</x:v>
      </x:c>
      <x:c r="F29" s="52" t="n">
        <x:v>45951</x:v>
      </x:c>
      <x:c r="G29" t="str">
        <x:v>AM</x:v>
      </x:c>
      <x:c r="H29" t="str">
        <x:v>ORD-2025-00020</x:v>
      </x:c>
      <x:c r="I29" t="str">
        <x:v>Trial</x:v>
      </x:c>
      <x:c r="J29" t="str">
        <x:v>PROC_HE_CONVEYER</x:v>
      </x:c>
      <x:c r="K29" t="str">
        <x:v>Hot End</x:v>
      </x:c>
      <x:c r="L29" s="54" t="n">
        <x:v>0.006797952825990209</x:v>
      </x:c>
      <x:c r="M29" t="n">
        <x:v>89880</x:v>
      </x:c>
      <x:c r="N29" t="n">
        <x:f>L29*M29</x:f>
        <x:v>611</x:v>
      </x:c>
      <x:c r="O29"/>
      <x:c r="P29"/>
      <x:c r="Q29"/>
      <x:c r="R29"/>
      <x:c r="S29" s="52"/>
      <x:c r="T29" t="str">
        <x:v>OK</x:v>
      </x:c>
      <x:c r="U29" t="str">
        <x:f>IF(AND(ISNUMBER(L29),L29&gt;=0,L29&lt;=1),"OK","CHECK")</x:f>
        <x:v>OK</x:v>
      </x:c>
      <x:c r="V29" t="str">
        <x:f>IF(AND(ISNUMBER(N29),N29&gt;=0),"OK","CHECK")</x:f>
        <x:v>OK</x:v>
      </x:c>
      <x:c r="W29" t="str">
        <x:f>IF(AND(T29="OK",U29="OK",V29="OK"),"OK","CHECK")</x:f>
        <x:v>OK</x:v>
      </x:c>
      <x:c r="X29" t="str">
        <x:f>IF(W29="OK","LOAD","QUARANTINE")</x:f>
        <x:v>LOAD</x:v>
      </x:c>
      <x:c r="Y29" t="str">
        <x:v>03_Process_Losses(6).xlsx</x:v>
      </x:c>
      <x:c r="Z29" t="str">
        <x:v>ENH-20260830-01</x:v>
      </x:c>
      <x:c r="AA29" t="str">
        <x:f>IF(X29="LOAD","Active","Quarantine")</x:f>
        <x:v>Active</x:v>
      </x:c>
      <x:c r="AB29"/>
      <x:c r="AC29"/>
      <x:c r="AD29"/>
      <x:c r="AE29"/>
    </x:row>
    <x:row r="30">
      <x:c r="A30" t="str">
        <x:v>PLD-000026</x:v>
      </x:c>
      <x:c r="B30" t="str">
        <x:v>LOSS-KG01-L21-20251021-AM-ORD-2025-00020</x:v>
      </x:c>
      <x:c r="C30" t="str">
        <x:v>PE-KG01-L21-20251021-AM-ORD-2025-00020</x:v>
      </x:c>
      <x:c r="D30" t="str">
        <x:v>KG01</x:v>
      </x:c>
      <x:c r="E30" t="n">
        <x:v>21</x:v>
      </x:c>
      <x:c r="F30" s="52" t="n">
        <x:v>45951</x:v>
      </x:c>
      <x:c r="G30" t="str">
        <x:v>AM</x:v>
      </x:c>
      <x:c r="H30" t="str">
        <x:v>ORD-2025-00020</x:v>
      </x:c>
      <x:c r="I30" t="str">
        <x:v>Trial</x:v>
      </x:c>
      <x:c r="J30" t="str">
        <x:v>PROC_STUCKDOWN</x:v>
      </x:c>
      <x:c r="K30" t="str">
        <x:v>Forming</x:v>
      </x:c>
      <x:c r="L30" s="54" t="n">
        <x:v>0.009668446817979529</x:v>
      </x:c>
      <x:c r="M30" t="n">
        <x:v>89880</x:v>
      </x:c>
      <x:c r="N30" t="n">
        <x:f>L30*M30</x:f>
        <x:v>869</x:v>
      </x:c>
      <x:c r="O30"/>
      <x:c r="P30"/>
      <x:c r="Q30"/>
      <x:c r="R30"/>
      <x:c r="S30" s="52"/>
      <x:c r="T30" t="str">
        <x:v>OK</x:v>
      </x:c>
      <x:c r="U30" t="str">
        <x:f>IF(AND(ISNUMBER(L30),L30&gt;=0,L30&lt;=1),"OK","CHECK")</x:f>
        <x:v>OK</x:v>
      </x:c>
      <x:c r="V30" t="str">
        <x:f>IF(AND(ISNUMBER(N30),N30&gt;=0),"OK","CHECK")</x:f>
        <x:v>OK</x:v>
      </x:c>
      <x:c r="W30" t="str">
        <x:f>IF(AND(T30="OK",U30="OK",V30="OK"),"OK","CHECK")</x:f>
        <x:v>OK</x:v>
      </x:c>
      <x:c r="X30" t="str">
        <x:f>IF(W30="OK","LOAD","QUARANTINE")</x:f>
        <x:v>LOAD</x:v>
      </x:c>
      <x:c r="Y30" t="str">
        <x:v>03_Process_Losses(6).xlsx</x:v>
      </x:c>
      <x:c r="Z30" t="str">
        <x:v>ENH-20260830-01</x:v>
      </x:c>
      <x:c r="AA30" t="str">
        <x:f>IF(X30="LOAD","Active","Quarantine")</x:f>
        <x:v>Active</x:v>
      </x:c>
      <x:c r="AB30"/>
      <x:c r="AC30"/>
      <x:c r="AD30"/>
      <x:c r="AE30"/>
    </x:row>
    <x:row r="31">
      <x:c r="A31" t="str">
        <x:v>PLD-000027</x:v>
      </x:c>
      <x:c r="B31" t="str">
        <x:v>LOSS-KG01-L21-20251021-AM-ORD-2025-00020</x:v>
      </x:c>
      <x:c r="C31" t="str">
        <x:v>PE-KG01-L21-20251021-AM-ORD-2025-00020</x:v>
      </x:c>
      <x:c r="D31" t="str">
        <x:v>KG01</x:v>
      </x:c>
      <x:c r="E31" t="n">
        <x:v>21</x:v>
      </x:c>
      <x:c r="F31" s="52" t="n">
        <x:v>45951</x:v>
      </x:c>
      <x:c r="G31" t="str">
        <x:v>AM</x:v>
      </x:c>
      <x:c r="H31" t="str">
        <x:v>ORD-2025-00020</x:v>
      </x:c>
      <x:c r="I31" t="str">
        <x:v>Trial</x:v>
      </x:c>
      <x:c r="J31" t="str">
        <x:v>PROC_LEHR</x:v>
      </x:c>
      <x:c r="K31" t="str">
        <x:v>Lehr</x:v>
      </x:c>
      <x:c r="L31" s="54" t="n">
        <x:v>0.003415665331553182</x:v>
      </x:c>
      <x:c r="M31" t="n">
        <x:v>89880</x:v>
      </x:c>
      <x:c r="N31" t="n">
        <x:f>L31*M31</x:f>
        <x:v>307</x:v>
      </x:c>
      <x:c r="O31"/>
      <x:c r="P31"/>
      <x:c r="Q31"/>
      <x:c r="R31"/>
      <x:c r="S31" s="52"/>
      <x:c r="T31" t="str">
        <x:v>OK</x:v>
      </x:c>
      <x:c r="U31" t="str">
        <x:f>IF(AND(ISNUMBER(L31),L31&gt;=0,L31&lt;=1),"OK","CHECK")</x:f>
        <x:v>OK</x:v>
      </x:c>
      <x:c r="V31" t="str">
        <x:f>IF(AND(ISNUMBER(N31),N31&gt;=0),"OK","CHECK")</x:f>
        <x:v>OK</x:v>
      </x:c>
      <x:c r="W31" t="str">
        <x:f>IF(AND(T31="OK",U31="OK",V31="OK"),"OK","CHECK")</x:f>
        <x:v>OK</x:v>
      </x:c>
      <x:c r="X31" t="str">
        <x:f>IF(W31="OK","LOAD","QUARANTINE")</x:f>
        <x:v>LOAD</x:v>
      </x:c>
      <x:c r="Y31" t="str">
        <x:v>03_Process_Losses(6).xlsx</x:v>
      </x:c>
      <x:c r="Z31" t="str">
        <x:v>ENH-20260830-01</x:v>
      </x:c>
      <x:c r="AA31" t="str">
        <x:f>IF(X31="LOAD","Active","Quarantine")</x:f>
        <x:v>Active</x:v>
      </x:c>
      <x:c r="AB31"/>
      <x:c r="AC31"/>
      <x:c r="AD31"/>
      <x:c r="AE31"/>
    </x:row>
    <x:row r="32">
      <x:c r="A32" t="str">
        <x:v>PLD-000028</x:v>
      </x:c>
      <x:c r="B32" t="str">
        <x:v>LOSS-KG01-L21-20251021-AM-ORD-2025-00020</x:v>
      </x:c>
      <x:c r="C32" t="str">
        <x:v>PE-KG01-L21-20251021-AM-ORD-2025-00020</x:v>
      </x:c>
      <x:c r="D32" t="str">
        <x:v>KG01</x:v>
      </x:c>
      <x:c r="E32" t="n">
        <x:v>21</x:v>
      </x:c>
      <x:c r="F32" s="52" t="n">
        <x:v>45951</x:v>
      </x:c>
      <x:c r="G32" t="str">
        <x:v>AM</x:v>
      </x:c>
      <x:c r="H32" t="str">
        <x:v>ORD-2025-00020</x:v>
      </x:c>
      <x:c r="I32" t="str">
        <x:v>Trial</x:v>
      </x:c>
      <x:c r="J32" t="str">
        <x:v>PROC_EVO16</x:v>
      </x:c>
      <x:c r="K32" t="str">
        <x:v>Inspection</x:v>
      </x:c>
      <x:c r="L32" s="54" t="n">
        <x:v>0.018791722296395193</x:v>
      </x:c>
      <x:c r="M32" t="n">
        <x:v>89880</x:v>
      </x:c>
      <x:c r="N32" t="n">
        <x:f>L32*M32</x:f>
        <x:v>1689</x:v>
      </x:c>
      <x:c r="O32"/>
      <x:c r="P32"/>
      <x:c r="Q32"/>
      <x:c r="R32"/>
      <x:c r="S32" s="52"/>
      <x:c r="T32" t="str">
        <x:v>OK</x:v>
      </x:c>
      <x:c r="U32" t="str">
        <x:f>IF(AND(ISNUMBER(L32),L32&gt;=0,L32&lt;=1),"OK","CHECK")</x:f>
        <x:v>OK</x:v>
      </x:c>
      <x:c r="V32" t="str">
        <x:f>IF(AND(ISNUMBER(N32),N32&gt;=0),"OK","CHECK")</x:f>
        <x:v>OK</x:v>
      </x:c>
      <x:c r="W32" t="str">
        <x:f>IF(AND(T32="OK",U32="OK",V32="OK"),"OK","CHECK")</x:f>
        <x:v>OK</x:v>
      </x:c>
      <x:c r="X32" t="str">
        <x:f>IF(W32="OK","LOAD","QUARANTINE")</x:f>
        <x:v>LOAD</x:v>
      </x:c>
      <x:c r="Y32" t="str">
        <x:v>03_Process_Losses(6).xlsx</x:v>
      </x:c>
      <x:c r="Z32" t="str">
        <x:v>ENH-20260830-01</x:v>
      </x:c>
      <x:c r="AA32" t="str">
        <x:f>IF(X32="LOAD","Active","Quarantine")</x:f>
        <x:v>Active</x:v>
      </x:c>
      <x:c r="AB32"/>
      <x:c r="AC32"/>
      <x:c r="AD32"/>
      <x:c r="AE32"/>
    </x:row>
    <x:row r="33">
      <x:c r="A33" t="str">
        <x:v>PLD-000029</x:v>
      </x:c>
      <x:c r="B33" t="str">
        <x:v>LOSS-KG01-L21-20251021-AM-ORD-2025-00020</x:v>
      </x:c>
      <x:c r="C33" t="str">
        <x:v>PE-KG01-L21-20251021-AM-ORD-2025-00020</x:v>
      </x:c>
      <x:c r="D33" t="str">
        <x:v>KG01</x:v>
      </x:c>
      <x:c r="E33" t="n">
        <x:v>21</x:v>
      </x:c>
      <x:c r="F33" s="52" t="n">
        <x:v>45951</x:v>
      </x:c>
      <x:c r="G33" t="str">
        <x:v>AM</x:v>
      </x:c>
      <x:c r="H33" t="str">
        <x:v>ORD-2025-00020</x:v>
      </x:c>
      <x:c r="I33" t="str">
        <x:v>Trial</x:v>
      </x:c>
      <x:c r="J33" t="str">
        <x:v>PROC_EVO12</x:v>
      </x:c>
      <x:c r="K33" t="str">
        <x:v>Inspection</x:v>
      </x:c>
      <x:c r="L33" s="54" t="n">
        <x:v>0.0025700934579439253</x:v>
      </x:c>
      <x:c r="M33" t="n">
        <x:v>89880</x:v>
      </x:c>
      <x:c r="N33" t="n">
        <x:f>L33*M33</x:f>
        <x:v>231</x:v>
      </x:c>
      <x:c r="O33"/>
      <x:c r="P33"/>
      <x:c r="Q33"/>
      <x:c r="R33"/>
      <x:c r="S33" s="52"/>
      <x:c r="T33" t="str">
        <x:v>OK</x:v>
      </x:c>
      <x:c r="U33" t="str">
        <x:f>IF(AND(ISNUMBER(L33),L33&gt;=0,L33&lt;=1),"OK","CHECK")</x:f>
        <x:v>OK</x:v>
      </x:c>
      <x:c r="V33" t="str">
        <x:f>IF(AND(ISNUMBER(N33),N33&gt;=0),"OK","CHECK")</x:f>
        <x:v>OK</x:v>
      </x:c>
      <x:c r="W33" t="str">
        <x:f>IF(AND(T33="OK",U33="OK",V33="OK"),"OK","CHECK")</x:f>
        <x:v>OK</x:v>
      </x:c>
      <x:c r="X33" t="str">
        <x:f>IF(W33="OK","LOAD","QUARANTINE")</x:f>
        <x:v>LOAD</x:v>
      </x:c>
      <x:c r="Y33" t="str">
        <x:v>03_Process_Losses(6).xlsx</x:v>
      </x:c>
      <x:c r="Z33" t="str">
        <x:v>ENH-20260830-01</x:v>
      </x:c>
      <x:c r="AA33" t="str">
        <x:f>IF(X33="LOAD","Active","Quarantine")</x:f>
        <x:v>Active</x:v>
      </x:c>
      <x:c r="AB33"/>
      <x:c r="AC33"/>
      <x:c r="AD33"/>
      <x:c r="AE33"/>
    </x:row>
    <x:row r="34">
      <x:c r="A34" t="str">
        <x:v>PLD-000030</x:v>
      </x:c>
      <x:c r="B34" t="str">
        <x:v>LOSS-KG01-L21-20251021-AM-ORD-2025-00020</x:v>
      </x:c>
      <x:c r="C34" t="str">
        <x:v>PE-KG01-L21-20251021-AM-ORD-2025-00020</x:v>
      </x:c>
      <x:c r="D34" t="str">
        <x:v>KG01</x:v>
      </x:c>
      <x:c r="E34" t="n">
        <x:v>21</x:v>
      </x:c>
      <x:c r="F34" s="52" t="n">
        <x:v>45951</x:v>
      </x:c>
      <x:c r="G34" t="str">
        <x:v>AM</x:v>
      </x:c>
      <x:c r="H34" t="str">
        <x:v>ORD-2025-00020</x:v>
      </x:c>
      <x:c r="I34" t="str">
        <x:v>Trial</x:v>
      </x:c>
      <x:c r="J34" t="str">
        <x:v>PROC_EVO5</x:v>
      </x:c>
      <x:c r="K34" t="str">
        <x:v>Inspection</x:v>
      </x:c>
      <x:c r="L34" s="54" t="n">
        <x:v>0.0059412550066755675</x:v>
      </x:c>
      <x:c r="M34" t="n">
        <x:v>89880</x:v>
      </x:c>
      <x:c r="N34" t="n">
        <x:f>L34*M34</x:f>
        <x:v>534</x:v>
      </x:c>
      <x:c r="O34"/>
      <x:c r="P34"/>
      <x:c r="Q34"/>
      <x:c r="R34"/>
      <x:c r="S34" s="52"/>
      <x:c r="T34" t="str">
        <x:v>OK</x:v>
      </x:c>
      <x:c r="U34" t="str">
        <x:f>IF(AND(ISNUMBER(L34),L34&gt;=0,L34&lt;=1),"OK","CHECK")</x:f>
        <x:v>OK</x:v>
      </x:c>
      <x:c r="V34" t="str">
        <x:f>IF(AND(ISNUMBER(N34),N34&gt;=0),"OK","CHECK")</x:f>
        <x:v>OK</x:v>
      </x:c>
      <x:c r="W34" t="str">
        <x:f>IF(AND(T34="OK",U34="OK",V34="OK"),"OK","CHECK")</x:f>
        <x:v>OK</x:v>
      </x:c>
      <x:c r="X34" t="str">
        <x:f>IF(W34="OK","LOAD","QUARANTINE")</x:f>
        <x:v>LOAD</x:v>
      </x:c>
      <x:c r="Y34" t="str">
        <x:v>03_Process_Losses(6).xlsx</x:v>
      </x:c>
      <x:c r="Z34" t="str">
        <x:v>ENH-20260830-01</x:v>
      </x:c>
      <x:c r="AA34" t="str">
        <x:f>IF(X34="LOAD","Active","Quarantine")</x:f>
        <x:v>Active</x:v>
      </x:c>
      <x:c r="AB34"/>
      <x:c r="AC34"/>
      <x:c r="AD34"/>
      <x:c r="AE34"/>
    </x:row>
    <x:row r="35">
      <x:c r="A35" t="str">
        <x:v>PLD-000031</x:v>
      </x:c>
      <x:c r="B35" t="str">
        <x:v>LOSS-KG01-L21-20251021-AM-ORD-2025-00020</x:v>
      </x:c>
      <x:c r="C35" t="str">
        <x:v>PE-KG01-L21-20251021-AM-ORD-2025-00020</x:v>
      </x:c>
      <x:c r="D35" t="str">
        <x:v>KG01</x:v>
      </x:c>
      <x:c r="E35" t="n">
        <x:v>21</x:v>
      </x:c>
      <x:c r="F35" s="52" t="n">
        <x:v>45951</x:v>
      </x:c>
      <x:c r="G35" t="str">
        <x:v>AM</x:v>
      </x:c>
      <x:c r="H35" t="str">
        <x:v>ORD-2025-00020</x:v>
      </x:c>
      <x:c r="I35" t="str">
        <x:v>Trial</x:v>
      </x:c>
      <x:c r="J35" t="str">
        <x:v>PROC_SANLI</x:v>
      </x:c>
      <x:c r="K35" t="str">
        <x:v>Inspection</x:v>
      </x:c>
      <x:c r="L35" s="54" t="n">
        <x:v>0.0069648420115709835</x:v>
      </x:c>
      <x:c r="M35" t="n">
        <x:v>89880</x:v>
      </x:c>
      <x:c r="N35" t="n">
        <x:f>L35*M35</x:f>
        <x:v>626</x:v>
      </x:c>
      <x:c r="O35"/>
      <x:c r="P35"/>
      <x:c r="Q35"/>
      <x:c r="R35"/>
      <x:c r="S35" s="52"/>
      <x:c r="T35" t="str">
        <x:v>OK</x:v>
      </x:c>
      <x:c r="U35" t="str">
        <x:f>IF(AND(ISNUMBER(L35),L35&gt;=0,L35&lt;=1),"OK","CHECK")</x:f>
        <x:v>OK</x:v>
      </x:c>
      <x:c r="V35" t="str">
        <x:f>IF(AND(ISNUMBER(N35),N35&gt;=0),"OK","CHECK")</x:f>
        <x:v>OK</x:v>
      </x:c>
      <x:c r="W35" t="str">
        <x:f>IF(AND(T35="OK",U35="OK",V35="OK"),"OK","CHECK")</x:f>
        <x:v>OK</x:v>
      </x:c>
      <x:c r="X35" t="str">
        <x:f>IF(W35="OK","LOAD","QUARANTINE")</x:f>
        <x:v>LOAD</x:v>
      </x:c>
      <x:c r="Y35" t="str">
        <x:v>03_Process_Losses(6).xlsx</x:v>
      </x:c>
      <x:c r="Z35" t="str">
        <x:v>ENH-20260830-01</x:v>
      </x:c>
      <x:c r="AA35" t="str">
        <x:f>IF(X35="LOAD","Active","Quarantine")</x:f>
        <x:v>Active</x:v>
      </x:c>
      <x:c r="AB35"/>
      <x:c r="AC35"/>
      <x:c r="AD35"/>
      <x:c r="AE35"/>
    </x:row>
    <x:row r="36">
      <x:c r="A36" t="str">
        <x:v>PLD-000032</x:v>
      </x:c>
      <x:c r="B36" t="str">
        <x:v>LOSS-KG01-L21-20251021-AM-ORD-2025-00020</x:v>
      </x:c>
      <x:c r="C36" t="str">
        <x:v>PE-KG01-L21-20251021-AM-ORD-2025-00020</x:v>
      </x:c>
      <x:c r="D36" t="str">
        <x:v>KG01</x:v>
      </x:c>
      <x:c r="E36" t="n">
        <x:v>21</x:v>
      </x:c>
      <x:c r="F36" s="52" t="n">
        <x:v>45951</x:v>
      </x:c>
      <x:c r="G36" t="str">
        <x:v>AM</x:v>
      </x:c>
      <x:c r="H36" t="str">
        <x:v>ORD-2025-00020</x:v>
      </x:c>
      <x:c r="I36" t="str">
        <x:v>Trial</x:v>
      </x:c>
      <x:c r="J36" t="str">
        <x:v>PROC_VISUAL</x:v>
      </x:c>
      <x:c r="K36" t="str">
        <x:v>Inspection</x:v>
      </x:c>
      <x:c r="L36" s="54" t="n">
        <x:v>0.011003560302625724</x:v>
      </x:c>
      <x:c r="M36" t="n">
        <x:v>89880</x:v>
      </x:c>
      <x:c r="N36" t="n">
        <x:f>L36*M36</x:f>
        <x:v>989.0000000000001</x:v>
      </x:c>
      <x:c r="O36"/>
      <x:c r="P36"/>
      <x:c r="Q36"/>
      <x:c r="R36"/>
      <x:c r="S36" s="52"/>
      <x:c r="T36" t="str">
        <x:v>OK</x:v>
      </x:c>
      <x:c r="U36" t="str">
        <x:f>IF(AND(ISNUMBER(L36),L36&gt;=0,L36&lt;=1),"OK","CHECK")</x:f>
        <x:v>OK</x:v>
      </x:c>
      <x:c r="V36" t="str">
        <x:f>IF(AND(ISNUMBER(N36),N36&gt;=0),"OK","CHECK")</x:f>
        <x:v>OK</x:v>
      </x:c>
      <x:c r="W36" t="str">
        <x:f>IF(AND(T36="OK",U36="OK",V36="OK"),"OK","CHECK")</x:f>
        <x:v>OK</x:v>
      </x:c>
      <x:c r="X36" t="str">
        <x:f>IF(W36="OK","LOAD","QUARANTINE")</x:f>
        <x:v>LOAD</x:v>
      </x:c>
      <x:c r="Y36" t="str">
        <x:v>03_Process_Losses(6).xlsx</x:v>
      </x:c>
      <x:c r="Z36" t="str">
        <x:v>ENH-20260830-01</x:v>
      </x:c>
      <x:c r="AA36" t="str">
        <x:f>IF(X36="LOAD","Active","Quarantine")</x:f>
        <x:v>Active</x:v>
      </x:c>
      <x:c r="AB36"/>
      <x:c r="AC36"/>
      <x:c r="AD36"/>
      <x:c r="AE36"/>
    </x:row>
    <x:row r="37">
      <x:c r="A37" t="str">
        <x:v>PLD-000033</x:v>
      </x:c>
      <x:c r="B37" t="str">
        <x:v>LOSS-KG01-L21-20251021-AM-ORD-2025-00020</x:v>
      </x:c>
      <x:c r="C37" t="str">
        <x:v>PE-KG01-L21-20251021-AM-ORD-2025-00020</x:v>
      </x:c>
      <x:c r="D37" t="str">
        <x:v>KG01</x:v>
      </x:c>
      <x:c r="E37" t="n">
        <x:v>21</x:v>
      </x:c>
      <x:c r="F37" s="52" t="n">
        <x:v>45951</x:v>
      </x:c>
      <x:c r="G37" t="str">
        <x:v>AM</x:v>
      </x:c>
      <x:c r="H37" t="str">
        <x:v>ORD-2025-00020</x:v>
      </x:c>
      <x:c r="I37" t="str">
        <x:v>Trial</x:v>
      </x:c>
      <x:c r="J37" t="str">
        <x:v>PROC_PALLETIZER</x:v>
      </x:c>
      <x:c r="K37" t="str">
        <x:v>Palletizer</x:v>
      </x:c>
      <x:c r="L37" s="54" t="n">
        <x:v>0.011326212728081887</x:v>
      </x:c>
      <x:c r="M37" t="n">
        <x:v>89880</x:v>
      </x:c>
      <x:c r="N37" t="n">
        <x:f>L37*M37</x:f>
        <x:v>1018</x:v>
      </x:c>
      <x:c r="O37"/>
      <x:c r="P37"/>
      <x:c r="Q37"/>
      <x:c r="R37"/>
      <x:c r="S37" s="52"/>
      <x:c r="T37" t="str">
        <x:v>OK</x:v>
      </x:c>
      <x:c r="U37" t="str">
        <x:f>IF(AND(ISNUMBER(L37),L37&gt;=0,L37&lt;=1),"OK","CHECK")</x:f>
        <x:v>OK</x:v>
      </x:c>
      <x:c r="V37" t="str">
        <x:f>IF(AND(ISNUMBER(N37),N37&gt;=0),"OK","CHECK")</x:f>
        <x:v>OK</x:v>
      </x:c>
      <x:c r="W37" t="str">
        <x:f>IF(AND(T37="OK",U37="OK",V37="OK"),"OK","CHECK")</x:f>
        <x:v>OK</x:v>
      </x:c>
      <x:c r="X37" t="str">
        <x:f>IF(W37="OK","LOAD","QUARANTINE")</x:f>
        <x:v>LOAD</x:v>
      </x:c>
      <x:c r="Y37" t="str">
        <x:v>03_Process_Losses(6).xlsx</x:v>
      </x:c>
      <x:c r="Z37" t="str">
        <x:v>ENH-20260830-01</x:v>
      </x:c>
      <x:c r="AA37" t="str">
        <x:f>IF(X37="LOAD","Active","Quarantine")</x:f>
        <x:v>Active</x:v>
      </x:c>
      <x:c r="AB37"/>
      <x:c r="AC37"/>
      <x:c r="AD37"/>
      <x:c r="AE37"/>
    </x:row>
    <x:row r="38">
      <x:c r="A38" t="str">
        <x:v>PLD-000034</x:v>
      </x:c>
      <x:c r="B38" t="str">
        <x:v>LOSS-KG01-L21-20251021-PM-ORD-2025-00020</x:v>
      </x:c>
      <x:c r="C38" t="str">
        <x:v>PE-KG01-L21-20251021-PM-ORD-2025-00020</x:v>
      </x:c>
      <x:c r="D38" t="str">
        <x:v>KG01</x:v>
      </x:c>
      <x:c r="E38" t="n">
        <x:v>21</x:v>
      </x:c>
      <x:c r="F38" s="52" t="n">
        <x:v>45951</x:v>
      </x:c>
      <x:c r="G38" t="str">
        <x:v>PM</x:v>
      </x:c>
      <x:c r="H38" t="str">
        <x:v>ORD-2025-00020</x:v>
      </x:c>
      <x:c r="I38" t="str">
        <x:v>Normal</x:v>
      </x:c>
      <x:c r="J38" t="str">
        <x:v>PROC_FIXED</x:v>
      </x:c>
      <x:c r="K38" t="str">
        <x:v>Fixed Losses</x:v>
      </x:c>
      <x:c r="L38" s="54" t="n">
        <x:v>0.004016064257028112</x:v>
      </x:c>
      <x:c r="M38" t="n">
        <x:v>139440</x:v>
      </x:c>
      <x:c r="N38" t="n">
        <x:f>L38*M38</x:f>
        <x:v>560</x:v>
      </x:c>
      <x:c r="O38"/>
      <x:c r="P38"/>
      <x:c r="Q38"/>
      <x:c r="R38"/>
      <x:c r="S38" s="52"/>
      <x:c r="T38" t="str">
        <x:v>OK</x:v>
      </x:c>
      <x:c r="U38" t="str">
        <x:f>IF(AND(ISNUMBER(L38),L38&gt;=0,L38&lt;=1),"OK","CHECK")</x:f>
        <x:v>OK</x:v>
      </x:c>
      <x:c r="V38" t="str">
        <x:f>IF(AND(ISNUMBER(N38),N38&gt;=0),"OK","CHECK")</x:f>
        <x:v>OK</x:v>
      </x:c>
      <x:c r="W38" t="str">
        <x:f>IF(AND(T38="OK",U38="OK",V38="OK"),"OK","CHECK")</x:f>
        <x:v>OK</x:v>
      </x:c>
      <x:c r="X38" t="str">
        <x:f>IF(W38="OK","LOAD","QUARANTINE")</x:f>
        <x:v>LOAD</x:v>
      </x:c>
      <x:c r="Y38" t="str">
        <x:v>03_Process_Losses(6).xlsx</x:v>
      </x:c>
      <x:c r="Z38" t="str">
        <x:v>ENH-20260830-01</x:v>
      </x:c>
      <x:c r="AA38" t="str">
        <x:f>IF(X38="LOAD","Active","Quarantine")</x:f>
        <x:v>Active</x:v>
      </x:c>
      <x:c r="AB38"/>
      <x:c r="AC38"/>
      <x:c r="AD38"/>
      <x:c r="AE38"/>
    </x:row>
    <x:row r="39">
      <x:c r="A39" t="str">
        <x:v>PLD-000035</x:v>
      </x:c>
      <x:c r="B39" t="str">
        <x:v>LOSS-KG01-L21-20251021-PM-ORD-2025-00020</x:v>
      </x:c>
      <x:c r="C39" t="str">
        <x:v>PE-KG01-L21-20251021-PM-ORD-2025-00020</x:v>
      </x:c>
      <x:c r="D39" t="str">
        <x:v>KG01</x:v>
      </x:c>
      <x:c r="E39" t="n">
        <x:v>21</x:v>
      </x:c>
      <x:c r="F39" s="52" t="n">
        <x:v>45951</x:v>
      </x:c>
      <x:c r="G39" t="str">
        <x:v>PM</x:v>
      </x:c>
      <x:c r="H39" t="str">
        <x:v>ORD-2025-00020</x:v>
      </x:c>
      <x:c r="I39" t="str">
        <x:v>Normal</x:v>
      </x:c>
      <x:c r="J39" t="str">
        <x:v>PROC_IS</x:v>
      </x:c>
      <x:c r="K39" t="str">
        <x:v>IS Machine</x:v>
      </x:c>
      <x:c r="L39" s="54" t="n">
        <x:v>0.007860011474469306</x:v>
      </x:c>
      <x:c r="M39" t="n">
        <x:v>139440</x:v>
      </x:c>
      <x:c r="N39" t="n">
        <x:f>L39*M39</x:f>
        <x:v>1096</x:v>
      </x:c>
      <x:c r="O39"/>
      <x:c r="P39"/>
      <x:c r="Q39"/>
      <x:c r="R39"/>
      <x:c r="S39" s="52"/>
      <x:c r="T39" t="str">
        <x:v>OK</x:v>
      </x:c>
      <x:c r="U39" t="str">
        <x:f>IF(AND(ISNUMBER(L39),L39&gt;=0,L39&lt;=1),"OK","CHECK")</x:f>
        <x:v>OK</x:v>
      </x:c>
      <x:c r="V39" t="str">
        <x:f>IF(AND(ISNUMBER(N39),N39&gt;=0),"OK","CHECK")</x:f>
        <x:v>OK</x:v>
      </x:c>
      <x:c r="W39" t="str">
        <x:f>IF(AND(T39="OK",U39="OK",V39="OK"),"OK","CHECK")</x:f>
        <x:v>OK</x:v>
      </x:c>
      <x:c r="X39" t="str">
        <x:f>IF(W39="OK","LOAD","QUARANTINE")</x:f>
        <x:v>LOAD</x:v>
      </x:c>
      <x:c r="Y39" t="str">
        <x:v>03_Process_Losses(6).xlsx</x:v>
      </x:c>
      <x:c r="Z39" t="str">
        <x:v>ENH-20260830-01</x:v>
      </x:c>
      <x:c r="AA39" t="str">
        <x:f>IF(X39="LOAD","Active","Quarantine")</x:f>
        <x:v>Active</x:v>
      </x:c>
      <x:c r="AB39"/>
      <x:c r="AC39"/>
      <x:c r="AD39"/>
      <x:c r="AE39"/>
    </x:row>
    <x:row r="40">
      <x:c r="A40" t="str">
        <x:v>PLD-000036</x:v>
      </x:c>
      <x:c r="B40" t="str">
        <x:v>LOSS-KG01-L21-20251021-PM-ORD-2025-00020</x:v>
      </x:c>
      <x:c r="C40" t="str">
        <x:v>PE-KG01-L21-20251021-PM-ORD-2025-00020</x:v>
      </x:c>
      <x:c r="D40" t="str">
        <x:v>KG01</x:v>
      </x:c>
      <x:c r="E40" t="n">
        <x:v>21</x:v>
      </x:c>
      <x:c r="F40" s="52" t="n">
        <x:v>45951</x:v>
      </x:c>
      <x:c r="G40" t="str">
        <x:v>PM</x:v>
      </x:c>
      <x:c r="H40" t="str">
        <x:v>ORD-2025-00020</x:v>
      </x:c>
      <x:c r="I40" t="str">
        <x:v>Normal</x:v>
      </x:c>
      <x:c r="J40" t="str">
        <x:v>PROC_HE_CONVEYER</x:v>
      </x:c>
      <x:c r="K40" t="str">
        <x:v>Hot End</x:v>
      </x:c>
      <x:c r="L40" s="54" t="n">
        <x:v>0.0040088927137119906</x:v>
      </x:c>
      <x:c r="M40" t="n">
        <x:v>139440</x:v>
      </x:c>
      <x:c r="N40" t="n">
        <x:f>L40*M40</x:f>
        <x:v>559</x:v>
      </x:c>
      <x:c r="O40"/>
      <x:c r="P40"/>
      <x:c r="Q40"/>
      <x:c r="R40"/>
      <x:c r="S40" s="52"/>
      <x:c r="T40" t="str">
        <x:v>OK</x:v>
      </x:c>
      <x:c r="U40" t="str">
        <x:f>IF(AND(ISNUMBER(L40),L40&gt;=0,L40&lt;=1),"OK","CHECK")</x:f>
        <x:v>OK</x:v>
      </x:c>
      <x:c r="V40" t="str">
        <x:f>IF(AND(ISNUMBER(N40),N40&gt;=0),"OK","CHECK")</x:f>
        <x:v>OK</x:v>
      </x:c>
      <x:c r="W40" t="str">
        <x:f>IF(AND(T40="OK",U40="OK",V40="OK"),"OK","CHECK")</x:f>
        <x:v>OK</x:v>
      </x:c>
      <x:c r="X40" t="str">
        <x:f>IF(W40="OK","LOAD","QUARANTINE")</x:f>
        <x:v>LOAD</x:v>
      </x:c>
      <x:c r="Y40" t="str">
        <x:v>03_Process_Losses(6).xlsx</x:v>
      </x:c>
      <x:c r="Z40" t="str">
        <x:v>ENH-20260830-01</x:v>
      </x:c>
      <x:c r="AA40" t="str">
        <x:f>IF(X40="LOAD","Active","Quarantine")</x:f>
        <x:v>Active</x:v>
      </x:c>
      <x:c r="AB40"/>
      <x:c r="AC40"/>
      <x:c r="AD40"/>
      <x:c r="AE40"/>
    </x:row>
    <x:row r="41">
      <x:c r="A41" t="str">
        <x:v>PLD-000037</x:v>
      </x:c>
      <x:c r="B41" t="str">
        <x:v>LOSS-KG01-L21-20251021-PM-ORD-2025-00020</x:v>
      </x:c>
      <x:c r="C41" t="str">
        <x:v>PE-KG01-L21-20251021-PM-ORD-2025-00020</x:v>
      </x:c>
      <x:c r="D41" t="str">
        <x:v>KG01</x:v>
      </x:c>
      <x:c r="E41" t="n">
        <x:v>21</x:v>
      </x:c>
      <x:c r="F41" s="52" t="n">
        <x:v>45951</x:v>
      </x:c>
      <x:c r="G41" t="str">
        <x:v>PM</x:v>
      </x:c>
      <x:c r="H41" t="str">
        <x:v>ORD-2025-00020</x:v>
      </x:c>
      <x:c r="I41" t="str">
        <x:v>Normal</x:v>
      </x:c>
      <x:c r="J41" t="str">
        <x:v>PROC_STUCKDOWN</x:v>
      </x:c>
      <x:c r="K41" t="str">
        <x:v>Forming</x:v>
      </x:c>
      <x:c r="L41" s="54" t="n">
        <x:v>0.005027251864601262</x:v>
      </x:c>
      <x:c r="M41" t="n">
        <x:v>139440</x:v>
      </x:c>
      <x:c r="N41" t="n">
        <x:f>L41*M41</x:f>
        <x:v>701</x:v>
      </x:c>
      <x:c r="O41"/>
      <x:c r="P41"/>
      <x:c r="Q41"/>
      <x:c r="R41"/>
      <x:c r="S41" s="52"/>
      <x:c r="T41" t="str">
        <x:v>OK</x:v>
      </x:c>
      <x:c r="U41" t="str">
        <x:f>IF(AND(ISNUMBER(L41),L41&gt;=0,L41&lt;=1),"OK","CHECK")</x:f>
        <x:v>OK</x:v>
      </x:c>
      <x:c r="V41" t="str">
        <x:f>IF(AND(ISNUMBER(N41),N41&gt;=0),"OK","CHECK")</x:f>
        <x:v>OK</x:v>
      </x:c>
      <x:c r="W41" t="str">
        <x:f>IF(AND(T41="OK",U41="OK",V41="OK"),"OK","CHECK")</x:f>
        <x:v>OK</x:v>
      </x:c>
      <x:c r="X41" t="str">
        <x:f>IF(W41="OK","LOAD","QUARANTINE")</x:f>
        <x:v>LOAD</x:v>
      </x:c>
      <x:c r="Y41" t="str">
        <x:v>03_Process_Losses(6).xlsx</x:v>
      </x:c>
      <x:c r="Z41" t="str">
        <x:v>ENH-20260830-01</x:v>
      </x:c>
      <x:c r="AA41" t="str">
        <x:f>IF(X41="LOAD","Active","Quarantine")</x:f>
        <x:v>Active</x:v>
      </x:c>
      <x:c r="AB41"/>
      <x:c r="AC41"/>
      <x:c r="AD41"/>
      <x:c r="AE41"/>
    </x:row>
    <x:row r="42">
      <x:c r="A42" t="str">
        <x:v>PLD-000038</x:v>
      </x:c>
      <x:c r="B42" t="str">
        <x:v>LOSS-KG01-L21-20251021-PM-ORD-2025-00020</x:v>
      </x:c>
      <x:c r="C42" t="str">
        <x:v>PE-KG01-L21-20251021-PM-ORD-2025-00020</x:v>
      </x:c>
      <x:c r="D42" t="str">
        <x:v>KG01</x:v>
      </x:c>
      <x:c r="E42" t="n">
        <x:v>21</x:v>
      </x:c>
      <x:c r="F42" s="52" t="n">
        <x:v>45951</x:v>
      </x:c>
      <x:c r="G42" t="str">
        <x:v>PM</x:v>
      </x:c>
      <x:c r="H42" t="str">
        <x:v>ORD-2025-00020</x:v>
      </x:c>
      <x:c r="I42" t="str">
        <x:v>Normal</x:v>
      </x:c>
      <x:c r="J42" t="str">
        <x:v>PROC_LEHR</x:v>
      </x:c>
      <x:c r="K42" t="str">
        <x:v>Lehr</x:v>
      </x:c>
      <x:c r="L42" s="54" t="n">
        <x:v>0.0025602409638554218</x:v>
      </x:c>
      <x:c r="M42" t="n">
        <x:v>139440</x:v>
      </x:c>
      <x:c r="N42" t="n">
        <x:f>L42*M42</x:f>
        <x:v>357</x:v>
      </x:c>
      <x:c r="O42"/>
      <x:c r="P42"/>
      <x:c r="Q42"/>
      <x:c r="R42"/>
      <x:c r="S42" s="52"/>
      <x:c r="T42" t="str">
        <x:v>OK</x:v>
      </x:c>
      <x:c r="U42" t="str">
        <x:f>IF(AND(ISNUMBER(L42),L42&gt;=0,L42&lt;=1),"OK","CHECK")</x:f>
        <x:v>OK</x:v>
      </x:c>
      <x:c r="V42" t="str">
        <x:f>IF(AND(ISNUMBER(N42),N42&gt;=0),"OK","CHECK")</x:f>
        <x:v>OK</x:v>
      </x:c>
      <x:c r="W42" t="str">
        <x:f>IF(AND(T42="OK",U42="OK",V42="OK"),"OK","CHECK")</x:f>
        <x:v>OK</x:v>
      </x:c>
      <x:c r="X42" t="str">
        <x:f>IF(W42="OK","LOAD","QUARANTINE")</x:f>
        <x:v>LOAD</x:v>
      </x:c>
      <x:c r="Y42" t="str">
        <x:v>03_Process_Losses(6).xlsx</x:v>
      </x:c>
      <x:c r="Z42" t="str">
        <x:v>ENH-20260830-01</x:v>
      </x:c>
      <x:c r="AA42" t="str">
        <x:f>IF(X42="LOAD","Active","Quarantine")</x:f>
        <x:v>Active</x:v>
      </x:c>
      <x:c r="AB42"/>
      <x:c r="AC42"/>
      <x:c r="AD42"/>
      <x:c r="AE42"/>
    </x:row>
    <x:row r="43">
      <x:c r="A43" t="str">
        <x:v>PLD-000039</x:v>
      </x:c>
      <x:c r="B43" t="str">
        <x:v>LOSS-KG01-L21-20251021-PM-ORD-2025-00020</x:v>
      </x:c>
      <x:c r="C43" t="str">
        <x:v>PE-KG01-L21-20251021-PM-ORD-2025-00020</x:v>
      </x:c>
      <x:c r="D43" t="str">
        <x:v>KG01</x:v>
      </x:c>
      <x:c r="E43" t="n">
        <x:v>21</x:v>
      </x:c>
      <x:c r="F43" s="52" t="n">
        <x:v>45951</x:v>
      </x:c>
      <x:c r="G43" t="str">
        <x:v>PM</x:v>
      </x:c>
      <x:c r="H43" t="str">
        <x:v>ORD-2025-00020</x:v>
      </x:c>
      <x:c r="I43" t="str">
        <x:v>Normal</x:v>
      </x:c>
      <x:c r="J43" t="str">
        <x:v>PROC_EVO16</x:v>
      </x:c>
      <x:c r="K43" t="str">
        <x:v>Inspection</x:v>
      </x:c>
      <x:c r="L43" s="54" t="n">
        <x:v>0.0032343660355708547</x:v>
      </x:c>
      <x:c r="M43" t="n">
        <x:v>139440</x:v>
      </x:c>
      <x:c r="N43" t="n">
        <x:f>L43*M43</x:f>
        <x:v>451</x:v>
      </x:c>
      <x:c r="O43"/>
      <x:c r="P43"/>
      <x:c r="Q43"/>
      <x:c r="R43"/>
      <x:c r="S43" s="52"/>
      <x:c r="T43" t="str">
        <x:v>OK</x:v>
      </x:c>
      <x:c r="U43" t="str">
        <x:f>IF(AND(ISNUMBER(L43),L43&gt;=0,L43&lt;=1),"OK","CHECK")</x:f>
        <x:v>OK</x:v>
      </x:c>
      <x:c r="V43" t="str">
        <x:f>IF(AND(ISNUMBER(N43),N43&gt;=0),"OK","CHECK")</x:f>
        <x:v>OK</x:v>
      </x:c>
      <x:c r="W43" t="str">
        <x:f>IF(AND(T43="OK",U43="OK",V43="OK"),"OK","CHECK")</x:f>
        <x:v>OK</x:v>
      </x:c>
      <x:c r="X43" t="str">
        <x:f>IF(W43="OK","LOAD","QUARANTINE")</x:f>
        <x:v>LOAD</x:v>
      </x:c>
      <x:c r="Y43" t="str">
        <x:v>03_Process_Losses(6).xlsx</x:v>
      </x:c>
      <x:c r="Z43" t="str">
        <x:v>ENH-20260830-01</x:v>
      </x:c>
      <x:c r="AA43" t="str">
        <x:f>IF(X43="LOAD","Active","Quarantine")</x:f>
        <x:v>Active</x:v>
      </x:c>
      <x:c r="AB43"/>
      <x:c r="AC43"/>
      <x:c r="AD43"/>
      <x:c r="AE43"/>
    </x:row>
    <x:row r="44">
      <x:c r="A44" t="str">
        <x:v>PLD-000040</x:v>
      </x:c>
      <x:c r="B44" t="str">
        <x:v>LOSS-KG01-L21-20251021-PM-ORD-2025-00020</x:v>
      </x:c>
      <x:c r="C44" t="str">
        <x:v>PE-KG01-L21-20251021-PM-ORD-2025-00020</x:v>
      </x:c>
      <x:c r="D44" t="str">
        <x:v>KG01</x:v>
      </x:c>
      <x:c r="E44" t="n">
        <x:v>21</x:v>
      </x:c>
      <x:c r="F44" s="52" t="n">
        <x:v>45951</x:v>
      </x:c>
      <x:c r="G44" t="str">
        <x:v>PM</x:v>
      </x:c>
      <x:c r="H44" t="str">
        <x:v>ORD-2025-00020</x:v>
      </x:c>
      <x:c r="I44" t="str">
        <x:v>Normal</x:v>
      </x:c>
      <x:c r="J44" t="str">
        <x:v>PROC_EVO12</x:v>
      </x:c>
      <x:c r="K44" t="str">
        <x:v>Inspection</x:v>
      </x:c>
      <x:c r="L44" s="54" t="n">
        <x:v>0.005256741250717154</x:v>
      </x:c>
      <x:c r="M44" t="n">
        <x:v>139440</x:v>
      </x:c>
      <x:c r="N44" t="n">
        <x:f>L44*M44</x:f>
        <x:v>733</x:v>
      </x:c>
      <x:c r="O44"/>
      <x:c r="P44"/>
      <x:c r="Q44"/>
      <x:c r="R44"/>
      <x:c r="S44" s="52"/>
      <x:c r="T44" t="str">
        <x:v>OK</x:v>
      </x:c>
      <x:c r="U44" t="str">
        <x:f>IF(AND(ISNUMBER(L44),L44&gt;=0,L44&lt;=1),"OK","CHECK")</x:f>
        <x:v>OK</x:v>
      </x:c>
      <x:c r="V44" t="str">
        <x:f>IF(AND(ISNUMBER(N44),N44&gt;=0),"OK","CHECK")</x:f>
        <x:v>OK</x:v>
      </x:c>
      <x:c r="W44" t="str">
        <x:f>IF(AND(T44="OK",U44="OK",V44="OK"),"OK","CHECK")</x:f>
        <x:v>OK</x:v>
      </x:c>
      <x:c r="X44" t="str">
        <x:f>IF(W44="OK","LOAD","QUARANTINE")</x:f>
        <x:v>LOAD</x:v>
      </x:c>
      <x:c r="Y44" t="str">
        <x:v>03_Process_Losses(6).xlsx</x:v>
      </x:c>
      <x:c r="Z44" t="str">
        <x:v>ENH-20260830-01</x:v>
      </x:c>
      <x:c r="AA44" t="str">
        <x:f>IF(X44="LOAD","Active","Quarantine")</x:f>
        <x:v>Active</x:v>
      </x:c>
      <x:c r="AB44"/>
      <x:c r="AC44"/>
      <x:c r="AD44"/>
      <x:c r="AE44"/>
    </x:row>
    <x:row r="45">
      <x:c r="A45" t="str">
        <x:v>PLD-000041</x:v>
      </x:c>
      <x:c r="B45" t="str">
        <x:v>LOSS-KG01-L21-20251021-PM-ORD-2025-00020</x:v>
      </x:c>
      <x:c r="C45" t="str">
        <x:v>PE-KG01-L21-20251021-PM-ORD-2025-00020</x:v>
      </x:c>
      <x:c r="D45" t="str">
        <x:v>KG01</x:v>
      </x:c>
      <x:c r="E45" t="n">
        <x:v>21</x:v>
      </x:c>
      <x:c r="F45" s="52" t="n">
        <x:v>45951</x:v>
      </x:c>
      <x:c r="G45" t="str">
        <x:v>PM</x:v>
      </x:c>
      <x:c r="H45" t="str">
        <x:v>ORD-2025-00020</x:v>
      </x:c>
      <x:c r="I45" t="str">
        <x:v>Normal</x:v>
      </x:c>
      <x:c r="J45" t="str">
        <x:v>PROC_EVO5</x:v>
      </x:c>
      <x:c r="K45" t="str">
        <x:v>Inspection</x:v>
      </x:c>
      <x:c r="L45" s="54" t="n">
        <x:v>0.0011331038439472173</x:v>
      </x:c>
      <x:c r="M45" t="n">
        <x:v>139440</x:v>
      </x:c>
      <x:c r="N45" t="n">
        <x:f>L45*M45</x:f>
        <x:v>157.99999999999997</x:v>
      </x:c>
      <x:c r="O45"/>
      <x:c r="P45"/>
      <x:c r="Q45"/>
      <x:c r="R45"/>
      <x:c r="S45" s="52"/>
      <x:c r="T45" t="str">
        <x:v>OK</x:v>
      </x:c>
      <x:c r="U45" t="str">
        <x:f>IF(AND(ISNUMBER(L45),L45&gt;=0,L45&lt;=1),"OK","CHECK")</x:f>
        <x:v>OK</x:v>
      </x:c>
      <x:c r="V45" t="str">
        <x:f>IF(AND(ISNUMBER(N45),N45&gt;=0),"OK","CHECK")</x:f>
        <x:v>OK</x:v>
      </x:c>
      <x:c r="W45" t="str">
        <x:f>IF(AND(T45="OK",U45="OK",V45="OK"),"OK","CHECK")</x:f>
        <x:v>OK</x:v>
      </x:c>
      <x:c r="X45" t="str">
        <x:f>IF(W45="OK","LOAD","QUARANTINE")</x:f>
        <x:v>LOAD</x:v>
      </x:c>
      <x:c r="Y45" t="str">
        <x:v>03_Process_Losses(6).xlsx</x:v>
      </x:c>
      <x:c r="Z45" t="str">
        <x:v>ENH-20260830-01</x:v>
      </x:c>
      <x:c r="AA45" t="str">
        <x:f>IF(X45="LOAD","Active","Quarantine")</x:f>
        <x:v>Active</x:v>
      </x:c>
      <x:c r="AB45"/>
      <x:c r="AC45"/>
      <x:c r="AD45"/>
      <x:c r="AE45"/>
    </x:row>
    <x:row r="46">
      <x:c r="A46" t="str">
        <x:v>PLD-000042</x:v>
      </x:c>
      <x:c r="B46" t="str">
        <x:v>LOSS-KG01-L21-20251021-PM-ORD-2025-00020</x:v>
      </x:c>
      <x:c r="C46" t="str">
        <x:v>PE-KG01-L21-20251021-PM-ORD-2025-00020</x:v>
      </x:c>
      <x:c r="D46" t="str">
        <x:v>KG01</x:v>
      </x:c>
      <x:c r="E46" t="n">
        <x:v>21</x:v>
      </x:c>
      <x:c r="F46" s="52" t="n">
        <x:v>45951</x:v>
      </x:c>
      <x:c r="G46" t="str">
        <x:v>PM</x:v>
      </x:c>
      <x:c r="H46" t="str">
        <x:v>ORD-2025-00020</x:v>
      </x:c>
      <x:c r="I46" t="str">
        <x:v>Normal</x:v>
      </x:c>
      <x:c r="J46" t="str">
        <x:v>PROC_SANLI</x:v>
      </x:c>
      <x:c r="K46" t="str">
        <x:v>Inspection</x:v>
      </x:c>
      <x:c r="L46" s="54" t="n">
        <x:v>0.004718875502008032</x:v>
      </x:c>
      <x:c r="M46" t="n">
        <x:v>139440</x:v>
      </x:c>
      <x:c r="N46" t="n">
        <x:f>L46*M46</x:f>
        <x:v>658</x:v>
      </x:c>
      <x:c r="O46"/>
      <x:c r="P46"/>
      <x:c r="Q46"/>
      <x:c r="R46"/>
      <x:c r="S46" s="52"/>
      <x:c r="T46" t="str">
        <x:v>OK</x:v>
      </x:c>
      <x:c r="U46" t="str">
        <x:f>IF(AND(ISNUMBER(L46),L46&gt;=0,L46&lt;=1),"OK","CHECK")</x:f>
        <x:v>OK</x:v>
      </x:c>
      <x:c r="V46" t="str">
        <x:f>IF(AND(ISNUMBER(N46),N46&gt;=0),"OK","CHECK")</x:f>
        <x:v>OK</x:v>
      </x:c>
      <x:c r="W46" t="str">
        <x:f>IF(AND(T46="OK",U46="OK",V46="OK"),"OK","CHECK")</x:f>
        <x:v>OK</x:v>
      </x:c>
      <x:c r="X46" t="str">
        <x:f>IF(W46="OK","LOAD","QUARANTINE")</x:f>
        <x:v>LOAD</x:v>
      </x:c>
      <x:c r="Y46" t="str">
        <x:v>03_Process_Losses(6).xlsx</x:v>
      </x:c>
      <x:c r="Z46" t="str">
        <x:v>ENH-20260830-01</x:v>
      </x:c>
      <x:c r="AA46" t="str">
        <x:f>IF(X46="LOAD","Active","Quarantine")</x:f>
        <x:v>Active</x:v>
      </x:c>
      <x:c r="AB46"/>
      <x:c r="AC46"/>
      <x:c r="AD46"/>
      <x:c r="AE46"/>
    </x:row>
    <x:row r="47">
      <x:c r="A47" t="str">
        <x:v>PLD-000043</x:v>
      </x:c>
      <x:c r="B47" t="str">
        <x:v>LOSS-KG01-L21-20251021-PM-ORD-2025-00020</x:v>
      </x:c>
      <x:c r="C47" t="str">
        <x:v>PE-KG01-L21-20251021-PM-ORD-2025-00020</x:v>
      </x:c>
      <x:c r="D47" t="str">
        <x:v>KG01</x:v>
      </x:c>
      <x:c r="E47" t="n">
        <x:v>21</x:v>
      </x:c>
      <x:c r="F47" s="52" t="n">
        <x:v>45951</x:v>
      </x:c>
      <x:c r="G47" t="str">
        <x:v>PM</x:v>
      </x:c>
      <x:c r="H47" t="str">
        <x:v>ORD-2025-00020</x:v>
      </x:c>
      <x:c r="I47" t="str">
        <x:v>Normal</x:v>
      </x:c>
      <x:c r="J47" t="str">
        <x:v>PROC_VISUAL</x:v>
      </x:c>
      <x:c r="K47" t="str">
        <x:v>Inspection</x:v>
      </x:c>
      <x:c r="L47" s="54" t="n">
        <x:v>0.005615318416523235</x:v>
      </x:c>
      <x:c r="M47" t="n">
        <x:v>139440</x:v>
      </x:c>
      <x:c r="N47" t="n">
        <x:f>L47*M47</x:f>
        <x:v>782.9999999999999</x:v>
      </x:c>
      <x:c r="O47"/>
      <x:c r="P47"/>
      <x:c r="Q47"/>
      <x:c r="R47"/>
      <x:c r="S47" s="52"/>
      <x:c r="T47" t="str">
        <x:v>OK</x:v>
      </x:c>
      <x:c r="U47" t="str">
        <x:f>IF(AND(ISNUMBER(L47),L47&gt;=0,L47&lt;=1),"OK","CHECK")</x:f>
        <x:v>OK</x:v>
      </x:c>
      <x:c r="V47" t="str">
        <x:f>IF(AND(ISNUMBER(N47),N47&gt;=0),"OK","CHECK")</x:f>
        <x:v>OK</x:v>
      </x:c>
      <x:c r="W47" t="str">
        <x:f>IF(AND(T47="OK",U47="OK",V47="OK"),"OK","CHECK")</x:f>
        <x:v>OK</x:v>
      </x:c>
      <x:c r="X47" t="str">
        <x:f>IF(W47="OK","LOAD","QUARANTINE")</x:f>
        <x:v>LOAD</x:v>
      </x:c>
      <x:c r="Y47" t="str">
        <x:v>03_Process_Losses(6).xlsx</x:v>
      </x:c>
      <x:c r="Z47" t="str">
        <x:v>ENH-20260830-01</x:v>
      </x:c>
      <x:c r="AA47" t="str">
        <x:f>IF(X47="LOAD","Active","Quarantine")</x:f>
        <x:v>Active</x:v>
      </x:c>
      <x:c r="AB47"/>
      <x:c r="AC47"/>
      <x:c r="AD47"/>
      <x:c r="AE47"/>
    </x:row>
    <x:row r="48">
      <x:c r="A48" t="str">
        <x:v>PLD-000044</x:v>
      </x:c>
      <x:c r="B48" t="str">
        <x:v>LOSS-KG01-L21-20251021-PM-ORD-2025-00020</x:v>
      </x:c>
      <x:c r="C48" t="str">
        <x:v>PE-KG01-L21-20251021-PM-ORD-2025-00020</x:v>
      </x:c>
      <x:c r="D48" t="str">
        <x:v>KG01</x:v>
      </x:c>
      <x:c r="E48" t="n">
        <x:v>21</x:v>
      </x:c>
      <x:c r="F48" s="52" t="n">
        <x:v>45951</x:v>
      </x:c>
      <x:c r="G48" t="str">
        <x:v>PM</x:v>
      </x:c>
      <x:c r="H48" t="str">
        <x:v>ORD-2025-00020</x:v>
      </x:c>
      <x:c r="I48" t="str">
        <x:v>Normal</x:v>
      </x:c>
      <x:c r="J48" t="str">
        <x:v>PROC_PALLETIZER</x:v>
      </x:c>
      <x:c r="K48" t="str">
        <x:v>Palletizer</x:v>
      </x:c>
      <x:c r="L48" s="54" t="n">
        <x:v>0.004231210556511761</x:v>
      </x:c>
      <x:c r="M48" t="n">
        <x:v>139440</x:v>
      </x:c>
      <x:c r="N48" t="n">
        <x:f>L48*M48</x:f>
        <x:v>590</x:v>
      </x:c>
      <x:c r="O48"/>
      <x:c r="P48"/>
      <x:c r="Q48"/>
      <x:c r="R48"/>
      <x:c r="S48" s="52"/>
      <x:c r="T48" t="str">
        <x:v>OK</x:v>
      </x:c>
      <x:c r="U48" t="str">
        <x:f>IF(AND(ISNUMBER(L48),L48&gt;=0,L48&lt;=1),"OK","CHECK")</x:f>
        <x:v>OK</x:v>
      </x:c>
      <x:c r="V48" t="str">
        <x:f>IF(AND(ISNUMBER(N48),N48&gt;=0),"OK","CHECK")</x:f>
        <x:v>OK</x:v>
      </x:c>
      <x:c r="W48" t="str">
        <x:f>IF(AND(T48="OK",U48="OK",V48="OK"),"OK","CHECK")</x:f>
        <x:v>OK</x:v>
      </x:c>
      <x:c r="X48" t="str">
        <x:f>IF(W48="OK","LOAD","QUARANTINE")</x:f>
        <x:v>LOAD</x:v>
      </x:c>
      <x:c r="Y48" t="str">
        <x:v>03_Process_Losses(6).xlsx</x:v>
      </x:c>
      <x:c r="Z48" t="str">
        <x:v>ENH-20260830-01</x:v>
      </x:c>
      <x:c r="AA48" t="str">
        <x:f>IF(X48="LOAD","Active","Quarantine")</x:f>
        <x:v>Active</x:v>
      </x:c>
      <x:c r="AB48"/>
      <x:c r="AC48"/>
      <x:c r="AD48"/>
      <x:c r="AE48"/>
    </x:row>
    <x:row r="49">
      <x:c r="A49" t="str">
        <x:v>PLD-000045</x:v>
      </x:c>
      <x:c r="B49" t="str">
        <x:v>LOSS-KG01-L21-20251022-AM-ORD-2025-00020</x:v>
      </x:c>
      <x:c r="C49" t="str">
        <x:v>PE-KG01-L21-20251022-AM-ORD-2025-00020</x:v>
      </x:c>
      <x:c r="D49" t="str">
        <x:v>KG01</x:v>
      </x:c>
      <x:c r="E49" t="n">
        <x:v>21</x:v>
      </x:c>
      <x:c r="F49" s="52" t="n">
        <x:v>45952</x:v>
      </x:c>
      <x:c r="G49" t="str">
        <x:v>AM</x:v>
      </x:c>
      <x:c r="H49" t="str">
        <x:v>ORD-2025-00020</x:v>
      </x:c>
      <x:c r="I49" t="str">
        <x:v>Normal</x:v>
      </x:c>
      <x:c r="J49" t="str">
        <x:v>PROC_FIXED</x:v>
      </x:c>
      <x:c r="K49" t="str">
        <x:v>Fixed Losses</x:v>
      </x:c>
      <x:c r="L49" s="54" t="n">
        <x:v>0.005407920919186084</x:v>
      </x:c>
      <x:c r="M49" t="n">
        <x:v>124632</x:v>
      </x:c>
      <x:c r="N49" t="n">
        <x:f>L49*M49</x:f>
        <x:v>674</x:v>
      </x:c>
      <x:c r="O49"/>
      <x:c r="P49"/>
      <x:c r="Q49"/>
      <x:c r="R49"/>
      <x:c r="S49" s="52"/>
      <x:c r="T49" t="str">
        <x:v>OK</x:v>
      </x:c>
      <x:c r="U49" t="str">
        <x:f>IF(AND(ISNUMBER(L49),L49&gt;=0,L49&lt;=1),"OK","CHECK")</x:f>
        <x:v>OK</x:v>
      </x:c>
      <x:c r="V49" t="str">
        <x:f>IF(AND(ISNUMBER(N49),N49&gt;=0),"OK","CHECK")</x:f>
        <x:v>OK</x:v>
      </x:c>
      <x:c r="W49" t="str">
        <x:f>IF(AND(T49="OK",U49="OK",V49="OK"),"OK","CHECK")</x:f>
        <x:v>OK</x:v>
      </x:c>
      <x:c r="X49" t="str">
        <x:f>IF(W49="OK","LOAD","QUARANTINE")</x:f>
        <x:v>LOAD</x:v>
      </x:c>
      <x:c r="Y49" t="str">
        <x:v>03_Process_Losses(6).xlsx</x:v>
      </x:c>
      <x:c r="Z49" t="str">
        <x:v>ENH-20260830-01</x:v>
      </x:c>
      <x:c r="AA49" t="str">
        <x:f>IF(X49="LOAD","Active","Quarantine")</x:f>
        <x:v>Active</x:v>
      </x:c>
      <x:c r="AB49"/>
      <x:c r="AC49"/>
      <x:c r="AD49"/>
      <x:c r="AE49"/>
    </x:row>
    <x:row r="50">
      <x:c r="A50" t="str">
        <x:v>PLD-000046</x:v>
      </x:c>
      <x:c r="B50" t="str">
        <x:v>LOSS-KG01-L21-20251022-AM-ORD-2025-00020</x:v>
      </x:c>
      <x:c r="C50" t="str">
        <x:v>PE-KG01-L21-20251022-AM-ORD-2025-00020</x:v>
      </x:c>
      <x:c r="D50" t="str">
        <x:v>KG01</x:v>
      </x:c>
      <x:c r="E50" t="n">
        <x:v>21</x:v>
      </x:c>
      <x:c r="F50" s="52" t="n">
        <x:v>45952</x:v>
      </x:c>
      <x:c r="G50" t="str">
        <x:v>AM</x:v>
      </x:c>
      <x:c r="H50" t="str">
        <x:v>ORD-2025-00020</x:v>
      </x:c>
      <x:c r="I50" t="str">
        <x:v>Normal</x:v>
      </x:c>
      <x:c r="J50" t="str">
        <x:v>PROC_IS</x:v>
      </x:c>
      <x:c r="K50" t="str">
        <x:v>IS Machine</x:v>
      </x:c>
      <x:c r="L50" s="54" t="n">
        <x:v>0.011473778804801335</x:v>
      </x:c>
      <x:c r="M50" t="n">
        <x:v>124632</x:v>
      </x:c>
      <x:c r="N50" t="n">
        <x:f>L50*M50</x:f>
        <x:v>1430</x:v>
      </x:c>
      <x:c r="O50"/>
      <x:c r="P50"/>
      <x:c r="Q50"/>
      <x:c r="R50"/>
      <x:c r="S50" s="52"/>
      <x:c r="T50" t="str">
        <x:v>OK</x:v>
      </x:c>
      <x:c r="U50" t="str">
        <x:f>IF(AND(ISNUMBER(L50),L50&gt;=0,L50&lt;=1),"OK","CHECK")</x:f>
        <x:v>OK</x:v>
      </x:c>
      <x:c r="V50" t="str">
        <x:f>IF(AND(ISNUMBER(N50),N50&gt;=0),"OK","CHECK")</x:f>
        <x:v>OK</x:v>
      </x:c>
      <x:c r="W50" t="str">
        <x:f>IF(AND(T50="OK",U50="OK",V50="OK"),"OK","CHECK")</x:f>
        <x:v>OK</x:v>
      </x:c>
      <x:c r="X50" t="str">
        <x:f>IF(W50="OK","LOAD","QUARANTINE")</x:f>
        <x:v>LOAD</x:v>
      </x:c>
      <x:c r="Y50" t="str">
        <x:v>03_Process_Losses(6).xlsx</x:v>
      </x:c>
      <x:c r="Z50" t="str">
        <x:v>ENH-20260830-01</x:v>
      </x:c>
      <x:c r="AA50" t="str">
        <x:f>IF(X50="LOAD","Active","Quarantine")</x:f>
        <x:v>Active</x:v>
      </x:c>
      <x:c r="AB50"/>
      <x:c r="AC50"/>
      <x:c r="AD50"/>
      <x:c r="AE50"/>
    </x:row>
    <x:row r="51">
      <x:c r="A51" t="str">
        <x:v>PLD-000047</x:v>
      </x:c>
      <x:c r="B51" t="str">
        <x:v>LOSS-KG01-L21-20251022-AM-ORD-2025-00020</x:v>
      </x:c>
      <x:c r="C51" t="str">
        <x:v>PE-KG01-L21-20251022-AM-ORD-2025-00020</x:v>
      </x:c>
      <x:c r="D51" t="str">
        <x:v>KG01</x:v>
      </x:c>
      <x:c r="E51" t="n">
        <x:v>21</x:v>
      </x:c>
      <x:c r="F51" s="52" t="n">
        <x:v>45952</x:v>
      </x:c>
      <x:c r="G51" t="str">
        <x:v>AM</x:v>
      </x:c>
      <x:c r="H51" t="str">
        <x:v>ORD-2025-00020</x:v>
      </x:c>
      <x:c r="I51" t="str">
        <x:v>Normal</x:v>
      </x:c>
      <x:c r="J51" t="str">
        <x:v>PROC_HE_CONVEYER</x:v>
      </x:c>
      <x:c r="K51" t="str">
        <x:v>Hot End</x:v>
      </x:c>
      <x:c r="L51" s="54" t="n">
        <x:v>0.0015646062006547275</x:v>
      </x:c>
      <x:c r="M51" t="n">
        <x:v>124632</x:v>
      </x:c>
      <x:c r="N51" t="n">
        <x:f>L51*M51</x:f>
        <x:v>195</x:v>
      </x:c>
      <x:c r="O51"/>
      <x:c r="P51"/>
      <x:c r="Q51"/>
      <x:c r="R51"/>
      <x:c r="S51" s="52"/>
      <x:c r="T51" t="str">
        <x:v>OK</x:v>
      </x:c>
      <x:c r="U51" t="str">
        <x:f>IF(AND(ISNUMBER(L51),L51&gt;=0,L51&lt;=1),"OK","CHECK")</x:f>
        <x:v>OK</x:v>
      </x:c>
      <x:c r="V51" t="str">
        <x:f>IF(AND(ISNUMBER(N51),N51&gt;=0),"OK","CHECK")</x:f>
        <x:v>OK</x:v>
      </x:c>
      <x:c r="W51" t="str">
        <x:f>IF(AND(T51="OK",U51="OK",V51="OK"),"OK","CHECK")</x:f>
        <x:v>OK</x:v>
      </x:c>
      <x:c r="X51" t="str">
        <x:f>IF(W51="OK","LOAD","QUARANTINE")</x:f>
        <x:v>LOAD</x:v>
      </x:c>
      <x:c r="Y51" t="str">
        <x:v>03_Process_Losses(6).xlsx</x:v>
      </x:c>
      <x:c r="Z51" t="str">
        <x:v>ENH-20260830-01</x:v>
      </x:c>
      <x:c r="AA51" t="str">
        <x:f>IF(X51="LOAD","Active","Quarantine")</x:f>
        <x:v>Active</x:v>
      </x:c>
      <x:c r="AB51"/>
      <x:c r="AC51"/>
      <x:c r="AD51"/>
      <x:c r="AE51"/>
    </x:row>
    <x:row r="52">
      <x:c r="A52" t="str">
        <x:v>PLD-000048</x:v>
      </x:c>
      <x:c r="B52" t="str">
        <x:v>LOSS-KG01-L21-20251022-AM-ORD-2025-00020</x:v>
      </x:c>
      <x:c r="C52" t="str">
        <x:v>PE-KG01-L21-20251022-AM-ORD-2025-00020</x:v>
      </x:c>
      <x:c r="D52" t="str">
        <x:v>KG01</x:v>
      </x:c>
      <x:c r="E52" t="n">
        <x:v>21</x:v>
      </x:c>
      <x:c r="F52" s="52" t="n">
        <x:v>45952</x:v>
      </x:c>
      <x:c r="G52" t="str">
        <x:v>AM</x:v>
      </x:c>
      <x:c r="H52" t="str">
        <x:v>ORD-2025-00020</x:v>
      </x:c>
      <x:c r="I52" t="str">
        <x:v>Normal</x:v>
      </x:c>
      <x:c r="J52" t="str">
        <x:v>PROC_STUCKDOWN</x:v>
      </x:c>
      <x:c r="K52" t="str">
        <x:v>Forming</x:v>
      </x:c>
      <x:c r="L52" s="54" t="n">
        <x:v>0.003939598177033186</x:v>
      </x:c>
      <x:c r="M52" t="n">
        <x:v>124632</x:v>
      </x:c>
      <x:c r="N52" t="n">
        <x:f>L52*M52</x:f>
        <x:v>491</x:v>
      </x:c>
      <x:c r="O52"/>
      <x:c r="P52"/>
      <x:c r="Q52"/>
      <x:c r="R52"/>
      <x:c r="S52" s="52"/>
      <x:c r="T52" t="str">
        <x:v>OK</x:v>
      </x:c>
      <x:c r="U52" t="str">
        <x:f>IF(AND(ISNUMBER(L52),L52&gt;=0,L52&lt;=1),"OK","CHECK")</x:f>
        <x:v>OK</x:v>
      </x:c>
      <x:c r="V52" t="str">
        <x:f>IF(AND(ISNUMBER(N52),N52&gt;=0),"OK","CHECK")</x:f>
        <x:v>OK</x:v>
      </x:c>
      <x:c r="W52" t="str">
        <x:f>IF(AND(T52="OK",U52="OK",V52="OK"),"OK","CHECK")</x:f>
        <x:v>OK</x:v>
      </x:c>
      <x:c r="X52" t="str">
        <x:f>IF(W52="OK","LOAD","QUARANTINE")</x:f>
        <x:v>LOAD</x:v>
      </x:c>
      <x:c r="Y52" t="str">
        <x:v>03_Process_Losses(6).xlsx</x:v>
      </x:c>
      <x:c r="Z52" t="str">
        <x:v>ENH-20260830-01</x:v>
      </x:c>
      <x:c r="AA52" t="str">
        <x:f>IF(X52="LOAD","Active","Quarantine")</x:f>
        <x:v>Active</x:v>
      </x:c>
      <x:c r="AB52"/>
      <x:c r="AC52"/>
      <x:c r="AD52"/>
      <x:c r="AE52"/>
    </x:row>
    <x:row r="53">
      <x:c r="A53" t="str">
        <x:v>PLD-000049</x:v>
      </x:c>
      <x:c r="B53" t="str">
        <x:v>LOSS-KG01-L21-20251022-AM-ORD-2025-00020</x:v>
      </x:c>
      <x:c r="C53" t="str">
        <x:v>PE-KG01-L21-20251022-AM-ORD-2025-00020</x:v>
      </x:c>
      <x:c r="D53" t="str">
        <x:v>KG01</x:v>
      </x:c>
      <x:c r="E53" t="n">
        <x:v>21</x:v>
      </x:c>
      <x:c r="F53" s="52" t="n">
        <x:v>45952</x:v>
      </x:c>
      <x:c r="G53" t="str">
        <x:v>AM</x:v>
      </x:c>
      <x:c r="H53" t="str">
        <x:v>ORD-2025-00020</x:v>
      </x:c>
      <x:c r="I53" t="str">
        <x:v>Normal</x:v>
      </x:c>
      <x:c r="J53" t="str">
        <x:v>PROC_LEHR</x:v>
      </x:c>
      <x:c r="K53" t="str">
        <x:v>Lehr</x:v>
      </x:c>
      <x:c r="L53" s="54" t="n">
        <x:v>0.005271519352975159</x:v>
      </x:c>
      <x:c r="M53" t="n">
        <x:v>124632</x:v>
      </x:c>
      <x:c r="N53" t="n">
        <x:f>L53*M53</x:f>
        <x:v>657</x:v>
      </x:c>
      <x:c r="O53"/>
      <x:c r="P53"/>
      <x:c r="Q53"/>
      <x:c r="R53"/>
      <x:c r="S53" s="52"/>
      <x:c r="T53" t="str">
        <x:v>OK</x:v>
      </x:c>
      <x:c r="U53" t="str">
        <x:f>IF(AND(ISNUMBER(L53),L53&gt;=0,L53&lt;=1),"OK","CHECK")</x:f>
        <x:v>OK</x:v>
      </x:c>
      <x:c r="V53" t="str">
        <x:f>IF(AND(ISNUMBER(N53),N53&gt;=0),"OK","CHECK")</x:f>
        <x:v>OK</x:v>
      </x:c>
      <x:c r="W53" t="str">
        <x:f>IF(AND(T53="OK",U53="OK",V53="OK"),"OK","CHECK")</x:f>
        <x:v>OK</x:v>
      </x:c>
      <x:c r="X53" t="str">
        <x:f>IF(W53="OK","LOAD","QUARANTINE")</x:f>
        <x:v>LOAD</x:v>
      </x:c>
      <x:c r="Y53" t="str">
        <x:v>03_Process_Losses(6).xlsx</x:v>
      </x:c>
      <x:c r="Z53" t="str">
        <x:v>ENH-20260830-01</x:v>
      </x:c>
      <x:c r="AA53" t="str">
        <x:f>IF(X53="LOAD","Active","Quarantine")</x:f>
        <x:v>Active</x:v>
      </x:c>
      <x:c r="AB53"/>
      <x:c r="AC53"/>
      <x:c r="AD53"/>
      <x:c r="AE53"/>
    </x:row>
    <x:row r="54">
      <x:c r="A54" t="str">
        <x:v>PLD-000050</x:v>
      </x:c>
      <x:c r="B54" t="str">
        <x:v>LOSS-KG01-L21-20251022-AM-ORD-2025-00020</x:v>
      </x:c>
      <x:c r="C54" t="str">
        <x:v>PE-KG01-L21-20251022-AM-ORD-2025-00020</x:v>
      </x:c>
      <x:c r="D54" t="str">
        <x:v>KG01</x:v>
      </x:c>
      <x:c r="E54" t="n">
        <x:v>21</x:v>
      </x:c>
      <x:c r="F54" s="52" t="n">
        <x:v>45952</x:v>
      </x:c>
      <x:c r="G54" t="str">
        <x:v>AM</x:v>
      </x:c>
      <x:c r="H54" t="str">
        <x:v>ORD-2025-00020</x:v>
      </x:c>
      <x:c r="I54" t="str">
        <x:v>Normal</x:v>
      </x:c>
      <x:c r="J54" t="str">
        <x:v>PROC_EVO16</x:v>
      </x:c>
      <x:c r="K54" t="str">
        <x:v>Inspection</x:v>
      </x:c>
      <x:c r="L54" s="54" t="n">
        <x:v>0.006322613774953463</x:v>
      </x:c>
      <x:c r="M54" t="n">
        <x:v>124632</x:v>
      </x:c>
      <x:c r="N54" t="n">
        <x:f>L54*M54</x:f>
        <x:v>788</x:v>
      </x:c>
      <x:c r="O54"/>
      <x:c r="P54"/>
      <x:c r="Q54"/>
      <x:c r="R54"/>
      <x:c r="S54" s="52"/>
      <x:c r="T54" t="str">
        <x:v>OK</x:v>
      </x:c>
      <x:c r="U54" t="str">
        <x:f>IF(AND(ISNUMBER(L54),L54&gt;=0,L54&lt;=1),"OK","CHECK")</x:f>
        <x:v>OK</x:v>
      </x:c>
      <x:c r="V54" t="str">
        <x:f>IF(AND(ISNUMBER(N54),N54&gt;=0),"OK","CHECK")</x:f>
        <x:v>OK</x:v>
      </x:c>
      <x:c r="W54" t="str">
        <x:f>IF(AND(T54="OK",U54="OK",V54="OK"),"OK","CHECK")</x:f>
        <x:v>OK</x:v>
      </x:c>
      <x:c r="X54" t="str">
        <x:f>IF(W54="OK","LOAD","QUARANTINE")</x:f>
        <x:v>LOAD</x:v>
      </x:c>
      <x:c r="Y54" t="str">
        <x:v>03_Process_Losses(6).xlsx</x:v>
      </x:c>
      <x:c r="Z54" t="str">
        <x:v>ENH-20260830-01</x:v>
      </x:c>
      <x:c r="AA54" t="str">
        <x:f>IF(X54="LOAD","Active","Quarantine")</x:f>
        <x:v>Active</x:v>
      </x:c>
      <x:c r="AB54"/>
      <x:c r="AC54"/>
      <x:c r="AD54"/>
      <x:c r="AE54"/>
    </x:row>
    <x:row r="55">
      <x:c r="A55" t="str">
        <x:v>PLD-000051</x:v>
      </x:c>
      <x:c r="B55" t="str">
        <x:v>LOSS-KG01-L21-20251022-AM-ORD-2025-00020</x:v>
      </x:c>
      <x:c r="C55" t="str">
        <x:v>PE-KG01-L21-20251022-AM-ORD-2025-00020</x:v>
      </x:c>
      <x:c r="D55" t="str">
        <x:v>KG01</x:v>
      </x:c>
      <x:c r="E55" t="n">
        <x:v>21</x:v>
      </x:c>
      <x:c r="F55" s="52" t="n">
        <x:v>45952</x:v>
      </x:c>
      <x:c r="G55" t="str">
        <x:v>AM</x:v>
      </x:c>
      <x:c r="H55" t="str">
        <x:v>ORD-2025-00020</x:v>
      </x:c>
      <x:c r="I55" t="str">
        <x:v>Normal</x:v>
      </x:c>
      <x:c r="J55" t="str">
        <x:v>PROC_EVO12</x:v>
      </x:c>
      <x:c r="K55" t="str">
        <x:v>Inspection</x:v>
      </x:c>
      <x:c r="L55" s="54" t="n">
        <x:v>0.0057930547531934015</x:v>
      </x:c>
      <x:c r="M55" t="n">
        <x:v>124632</x:v>
      </x:c>
      <x:c r="N55" t="n">
        <x:f>L55*M55</x:f>
        <x:v>722</x:v>
      </x:c>
      <x:c r="O55"/>
      <x:c r="P55"/>
      <x:c r="Q55"/>
      <x:c r="R55"/>
      <x:c r="S55" s="52"/>
      <x:c r="T55" t="str">
        <x:v>OK</x:v>
      </x:c>
      <x:c r="U55" t="str">
        <x:f>IF(AND(ISNUMBER(L55),L55&gt;=0,L55&lt;=1),"OK","CHECK")</x:f>
        <x:v>OK</x:v>
      </x:c>
      <x:c r="V55" t="str">
        <x:f>IF(AND(ISNUMBER(N55),N55&gt;=0),"OK","CHECK")</x:f>
        <x:v>OK</x:v>
      </x:c>
      <x:c r="W55" t="str">
        <x:f>IF(AND(T55="OK",U55="OK",V55="OK"),"OK","CHECK")</x:f>
        <x:v>OK</x:v>
      </x:c>
      <x:c r="X55" t="str">
        <x:f>IF(W55="OK","LOAD","QUARANTINE")</x:f>
        <x:v>LOAD</x:v>
      </x:c>
      <x:c r="Y55" t="str">
        <x:v>03_Process_Losses(6).xlsx</x:v>
      </x:c>
      <x:c r="Z55" t="str">
        <x:v>ENH-20260830-01</x:v>
      </x:c>
      <x:c r="AA55" t="str">
        <x:f>IF(X55="LOAD","Active","Quarantine")</x:f>
        <x:v>Active</x:v>
      </x:c>
      <x:c r="AB55"/>
      <x:c r="AC55"/>
      <x:c r="AD55"/>
      <x:c r="AE55"/>
    </x:row>
    <x:row r="56">
      <x:c r="A56" t="str">
        <x:v>PLD-000052</x:v>
      </x:c>
      <x:c r="B56" t="str">
        <x:v>LOSS-KG01-L21-20251022-AM-ORD-2025-00020</x:v>
      </x:c>
      <x:c r="C56" t="str">
        <x:v>PE-KG01-L21-20251022-AM-ORD-2025-00020</x:v>
      </x:c>
      <x:c r="D56" t="str">
        <x:v>KG01</x:v>
      </x:c>
      <x:c r="E56" t="n">
        <x:v>21</x:v>
      </x:c>
      <x:c r="F56" s="52" t="n">
        <x:v>45952</x:v>
      </x:c>
      <x:c r="G56" t="str">
        <x:v>AM</x:v>
      </x:c>
      <x:c r="H56" t="str">
        <x:v>ORD-2025-00020</x:v>
      </x:c>
      <x:c r="I56" t="str">
        <x:v>Normal</x:v>
      </x:c>
      <x:c r="J56" t="str">
        <x:v>PROC_EVO5</x:v>
      </x:c>
      <x:c r="K56" t="str">
        <x:v>Inspection</x:v>
      </x:c>
      <x:c r="L56" s="54" t="n">
        <x:v>0.0029687399704730727</x:v>
      </x:c>
      <x:c r="M56" t="n">
        <x:v>124632</x:v>
      </x:c>
      <x:c r="N56" t="n">
        <x:f>L56*M56</x:f>
        <x:v>370</x:v>
      </x:c>
      <x:c r="O56"/>
      <x:c r="P56"/>
      <x:c r="Q56"/>
      <x:c r="R56"/>
      <x:c r="S56" s="52"/>
      <x:c r="T56" t="str">
        <x:v>OK</x:v>
      </x:c>
      <x:c r="U56" t="str">
        <x:f>IF(AND(ISNUMBER(L56),L56&gt;=0,L56&lt;=1),"OK","CHECK")</x:f>
        <x:v>OK</x:v>
      </x:c>
      <x:c r="V56" t="str">
        <x:f>IF(AND(ISNUMBER(N56),N56&gt;=0),"OK","CHECK")</x:f>
        <x:v>OK</x:v>
      </x:c>
      <x:c r="W56" t="str">
        <x:f>IF(AND(T56="OK",U56="OK",V56="OK"),"OK","CHECK")</x:f>
        <x:v>OK</x:v>
      </x:c>
      <x:c r="X56" t="str">
        <x:f>IF(W56="OK","LOAD","QUARANTINE")</x:f>
        <x:v>LOAD</x:v>
      </x:c>
      <x:c r="Y56" t="str">
        <x:v>03_Process_Losses(6).xlsx</x:v>
      </x:c>
      <x:c r="Z56" t="str">
        <x:v>ENH-20260830-01</x:v>
      </x:c>
      <x:c r="AA56" t="str">
        <x:f>IF(X56="LOAD","Active","Quarantine")</x:f>
        <x:v>Active</x:v>
      </x:c>
      <x:c r="AB56"/>
      <x:c r="AC56"/>
      <x:c r="AD56"/>
      <x:c r="AE56"/>
    </x:row>
    <x:row r="57">
      <x:c r="A57" t="str">
        <x:v>PLD-000053</x:v>
      </x:c>
      <x:c r="B57" t="str">
        <x:v>LOSS-KG01-L21-20251022-AM-ORD-2025-00020</x:v>
      </x:c>
      <x:c r="C57" t="str">
        <x:v>PE-KG01-L21-20251022-AM-ORD-2025-00020</x:v>
      </x:c>
      <x:c r="D57" t="str">
        <x:v>KG01</x:v>
      </x:c>
      <x:c r="E57" t="n">
        <x:v>21</x:v>
      </x:c>
      <x:c r="F57" s="52" t="n">
        <x:v>45952</x:v>
      </x:c>
      <x:c r="G57" t="str">
        <x:v>AM</x:v>
      </x:c>
      <x:c r="H57" t="str">
        <x:v>ORD-2025-00020</x:v>
      </x:c>
      <x:c r="I57" t="str">
        <x:v>Normal</x:v>
      </x:c>
      <x:c r="J57" t="str">
        <x:v>PROC_SANLI</x:v>
      </x:c>
      <x:c r="K57" t="str">
        <x:v>Inspection</x:v>
      </x:c>
      <x:c r="L57" s="54" t="n">
        <x:v>0.0024953462995057447</x:v>
      </x:c>
      <x:c r="M57" t="n">
        <x:v>124632</x:v>
      </x:c>
      <x:c r="N57" t="n">
        <x:f>L57*M57</x:f>
        <x:v>311</x:v>
      </x:c>
      <x:c r="O57"/>
      <x:c r="P57"/>
      <x:c r="Q57"/>
      <x:c r="R57"/>
      <x:c r="S57" s="52"/>
      <x:c r="T57" t="str">
        <x:v>OK</x:v>
      </x:c>
      <x:c r="U57" t="str">
        <x:f>IF(AND(ISNUMBER(L57),L57&gt;=0,L57&lt;=1),"OK","CHECK")</x:f>
        <x:v>OK</x:v>
      </x:c>
      <x:c r="V57" t="str">
        <x:f>IF(AND(ISNUMBER(N57),N57&gt;=0),"OK","CHECK")</x:f>
        <x:v>OK</x:v>
      </x:c>
      <x:c r="W57" t="str">
        <x:f>IF(AND(T57="OK",U57="OK",V57="OK"),"OK","CHECK")</x:f>
        <x:v>OK</x:v>
      </x:c>
      <x:c r="X57" t="str">
        <x:f>IF(W57="OK","LOAD","QUARANTINE")</x:f>
        <x:v>LOAD</x:v>
      </x:c>
      <x:c r="Y57" t="str">
        <x:v>03_Process_Losses(6).xlsx</x:v>
      </x:c>
      <x:c r="Z57" t="str">
        <x:v>ENH-20260830-01</x:v>
      </x:c>
      <x:c r="AA57" t="str">
        <x:f>IF(X57="LOAD","Active","Quarantine")</x:f>
        <x:v>Active</x:v>
      </x:c>
      <x:c r="AB57"/>
      <x:c r="AC57"/>
      <x:c r="AD57"/>
      <x:c r="AE57"/>
    </x:row>
    <x:row r="58">
      <x:c r="A58" t="str">
        <x:v>PLD-000054</x:v>
      </x:c>
      <x:c r="B58" t="str">
        <x:v>LOSS-KG01-L21-20251022-AM-ORD-2025-00020</x:v>
      </x:c>
      <x:c r="C58" t="str">
        <x:v>PE-KG01-L21-20251022-AM-ORD-2025-00020</x:v>
      </x:c>
      <x:c r="D58" t="str">
        <x:v>KG01</x:v>
      </x:c>
      <x:c r="E58" t="n">
        <x:v>21</x:v>
      </x:c>
      <x:c r="F58" s="52" t="n">
        <x:v>45952</x:v>
      </x:c>
      <x:c r="G58" t="str">
        <x:v>AM</x:v>
      </x:c>
      <x:c r="H58" t="str">
        <x:v>ORD-2025-00020</x:v>
      </x:c>
      <x:c r="I58" t="str">
        <x:v>Normal</x:v>
      </x:c>
      <x:c r="J58" t="str">
        <x:v>PROC_VISUAL</x:v>
      </x:c>
      <x:c r="K58" t="str">
        <x:v>Inspection</x:v>
      </x:c>
      <x:c r="L58" s="54" t="n">
        <x:v>0.006186212208742538</x:v>
      </x:c>
      <x:c r="M58" t="n">
        <x:v>124632</x:v>
      </x:c>
      <x:c r="N58" t="n">
        <x:f>L58*M58</x:f>
        <x:v>771</x:v>
      </x:c>
      <x:c r="O58"/>
      <x:c r="P58"/>
      <x:c r="Q58"/>
      <x:c r="R58"/>
      <x:c r="S58" s="52"/>
      <x:c r="T58" t="str">
        <x:v>OK</x:v>
      </x:c>
      <x:c r="U58" t="str">
        <x:f>IF(AND(ISNUMBER(L58),L58&gt;=0,L58&lt;=1),"OK","CHECK")</x:f>
        <x:v>OK</x:v>
      </x:c>
      <x:c r="V58" t="str">
        <x:f>IF(AND(ISNUMBER(N58),N58&gt;=0),"OK","CHECK")</x:f>
        <x:v>OK</x:v>
      </x:c>
      <x:c r="W58" t="str">
        <x:f>IF(AND(T58="OK",U58="OK",V58="OK"),"OK","CHECK")</x:f>
        <x:v>OK</x:v>
      </x:c>
      <x:c r="X58" t="str">
        <x:f>IF(W58="OK","LOAD","QUARANTINE")</x:f>
        <x:v>LOAD</x:v>
      </x:c>
      <x:c r="Y58" t="str">
        <x:v>03_Process_Losses(6).xlsx</x:v>
      </x:c>
      <x:c r="Z58" t="str">
        <x:v>ENH-20260830-01</x:v>
      </x:c>
      <x:c r="AA58" t="str">
        <x:f>IF(X58="LOAD","Active","Quarantine")</x:f>
        <x:v>Active</x:v>
      </x:c>
      <x:c r="AB58"/>
      <x:c r="AC58"/>
      <x:c r="AD58"/>
      <x:c r="AE58"/>
    </x:row>
    <x:row r="59">
      <x:c r="A59" t="str">
        <x:v>PLD-000055</x:v>
      </x:c>
      <x:c r="B59" t="str">
        <x:v>LOSS-KG01-L21-20251022-AM-ORD-2025-00020</x:v>
      </x:c>
      <x:c r="C59" t="str">
        <x:v>PE-KG01-L21-20251022-AM-ORD-2025-00020</x:v>
      </x:c>
      <x:c r="D59" t="str">
        <x:v>KG01</x:v>
      </x:c>
      <x:c r="E59" t="n">
        <x:v>21</x:v>
      </x:c>
      <x:c r="F59" s="52" t="n">
        <x:v>45952</x:v>
      </x:c>
      <x:c r="G59" t="str">
        <x:v>AM</x:v>
      </x:c>
      <x:c r="H59" t="str">
        <x:v>ORD-2025-00020</x:v>
      </x:c>
      <x:c r="I59" t="str">
        <x:v>Normal</x:v>
      </x:c>
      <x:c r="J59" t="str">
        <x:v>PROC_PALLETIZER</x:v>
      </x:c>
      <x:c r="K59" t="str">
        <x:v>Palletizer</x:v>
      </x:c>
      <x:c r="L59" s="54" t="n">
        <x:v>0.0043488028756659605</x:v>
      </x:c>
      <x:c r="M59" t="n">
        <x:v>124632</x:v>
      </x:c>
      <x:c r="N59" t="n">
        <x:f>L59*M59</x:f>
        <x:v>542</x:v>
      </x:c>
      <x:c r="O59"/>
      <x:c r="P59"/>
      <x:c r="Q59"/>
      <x:c r="R59"/>
      <x:c r="S59" s="52"/>
      <x:c r="T59" t="str">
        <x:v>OK</x:v>
      </x:c>
      <x:c r="U59" t="str">
        <x:f>IF(AND(ISNUMBER(L59),L59&gt;=0,L59&lt;=1),"OK","CHECK")</x:f>
        <x:v>OK</x:v>
      </x:c>
      <x:c r="V59" t="str">
        <x:f>IF(AND(ISNUMBER(N59),N59&gt;=0),"OK","CHECK")</x:f>
        <x:v>OK</x:v>
      </x:c>
      <x:c r="W59" t="str">
        <x:f>IF(AND(T59="OK",U59="OK",V59="OK"),"OK","CHECK")</x:f>
        <x:v>OK</x:v>
      </x:c>
      <x:c r="X59" t="str">
        <x:f>IF(W59="OK","LOAD","QUARANTINE")</x:f>
        <x:v>LOAD</x:v>
      </x:c>
      <x:c r="Y59" t="str">
        <x:v>03_Process_Losses(6).xlsx</x:v>
      </x:c>
      <x:c r="Z59" t="str">
        <x:v>ENH-20260830-01</x:v>
      </x:c>
      <x:c r="AA59" t="str">
        <x:f>IF(X59="LOAD","Active","Quarantine")</x:f>
        <x:v>Active</x:v>
      </x:c>
      <x:c r="AB59"/>
      <x:c r="AC59"/>
      <x:c r="AD59"/>
      <x:c r="AE59"/>
    </x:row>
    <x:row r="60">
      <x:c r="A60" t="str">
        <x:v>PLD-000056</x:v>
      </x:c>
      <x:c r="B60" t="str">
        <x:v>LOSS-KG01-L21-20251022-PM-ORD-2025-00020</x:v>
      </x:c>
      <x:c r="C60" t="str">
        <x:v>PE-KG01-L21-20251022-PM-ORD-2025-00020</x:v>
      </x:c>
      <x:c r="D60" t="str">
        <x:v>KG01</x:v>
      </x:c>
      <x:c r="E60" t="n">
        <x:v>21</x:v>
      </x:c>
      <x:c r="F60" s="52" t="n">
        <x:v>45952</x:v>
      </x:c>
      <x:c r="G60" t="str">
        <x:v>PM</x:v>
      </x:c>
      <x:c r="H60" t="str">
        <x:v>ORD-2025-00020</x:v>
      </x:c>
      <x:c r="I60" t="str">
        <x:v>Normal</x:v>
      </x:c>
      <x:c r="J60" t="str">
        <x:v>PROC_FIXED</x:v>
      </x:c>
      <x:c r="K60" t="str">
        <x:v>Fixed Losses</x:v>
      </x:c>
      <x:c r="L60" s="54" t="n">
        <x:v>0.004248391448733914</x:v>
      </x:c>
      <x:c r="M60" t="n">
        <x:v>154176</x:v>
      </x:c>
      <x:c r="N60" t="n">
        <x:f>L60*M60</x:f>
        <x:v>655</x:v>
      </x:c>
      <x:c r="O60"/>
      <x:c r="P60"/>
      <x:c r="Q60"/>
      <x:c r="R60"/>
      <x:c r="S60" s="52"/>
      <x:c r="T60" t="str">
        <x:v>OK</x:v>
      </x:c>
      <x:c r="U60" t="str">
        <x:f>IF(AND(ISNUMBER(L60),L60&gt;=0,L60&lt;=1),"OK","CHECK")</x:f>
        <x:v>OK</x:v>
      </x:c>
      <x:c r="V60" t="str">
        <x:f>IF(AND(ISNUMBER(N60),N60&gt;=0),"OK","CHECK")</x:f>
        <x:v>OK</x:v>
      </x:c>
      <x:c r="W60" t="str">
        <x:f>IF(AND(T60="OK",U60="OK",V60="OK"),"OK","CHECK")</x:f>
        <x:v>OK</x:v>
      </x:c>
      <x:c r="X60" t="str">
        <x:f>IF(W60="OK","LOAD","QUARANTINE")</x:f>
        <x:v>LOAD</x:v>
      </x:c>
      <x:c r="Y60" t="str">
        <x:v>03_Process_Losses(6).xlsx</x:v>
      </x:c>
      <x:c r="Z60" t="str">
        <x:v>ENH-20260830-01</x:v>
      </x:c>
      <x:c r="AA60" t="str">
        <x:f>IF(X60="LOAD","Active","Quarantine")</x:f>
        <x:v>Active</x:v>
      </x:c>
      <x:c r="AB60"/>
      <x:c r="AC60"/>
      <x:c r="AD60"/>
      <x:c r="AE60"/>
    </x:row>
    <x:row r="61">
      <x:c r="A61" t="str">
        <x:v>PLD-000057</x:v>
      </x:c>
      <x:c r="B61" t="str">
        <x:v>LOSS-KG01-L21-20251022-PM-ORD-2025-00020</x:v>
      </x:c>
      <x:c r="C61" t="str">
        <x:v>PE-KG01-L21-20251022-PM-ORD-2025-00020</x:v>
      </x:c>
      <x:c r="D61" t="str">
        <x:v>KG01</x:v>
      </x:c>
      <x:c r="E61" t="n">
        <x:v>21</x:v>
      </x:c>
      <x:c r="F61" s="52" t="n">
        <x:v>45952</x:v>
      </x:c>
      <x:c r="G61" t="str">
        <x:v>PM</x:v>
      </x:c>
      <x:c r="H61" t="str">
        <x:v>ORD-2025-00020</x:v>
      </x:c>
      <x:c r="I61" t="str">
        <x:v>Normal</x:v>
      </x:c>
      <x:c r="J61" t="str">
        <x:v>PROC_IS</x:v>
      </x:c>
      <x:c r="K61" t="str">
        <x:v>IS Machine</x:v>
      </x:c>
      <x:c r="L61" s="54" t="n">
        <x:v>0.006285024906600249</x:v>
      </x:c>
      <x:c r="M61" t="n">
        <x:v>154176</x:v>
      </x:c>
      <x:c r="N61" t="n">
        <x:f>L61*M61</x:f>
        <x:v>969</x:v>
      </x:c>
      <x:c r="O61"/>
      <x:c r="P61"/>
      <x:c r="Q61"/>
      <x:c r="R61"/>
      <x:c r="S61" s="52"/>
      <x:c r="T61" t="str">
        <x:v>OK</x:v>
      </x:c>
      <x:c r="U61" t="str">
        <x:f>IF(AND(ISNUMBER(L61),L61&gt;=0,L61&lt;=1),"OK","CHECK")</x:f>
        <x:v>OK</x:v>
      </x:c>
      <x:c r="V61" t="str">
        <x:f>IF(AND(ISNUMBER(N61),N61&gt;=0),"OK","CHECK")</x:f>
        <x:v>OK</x:v>
      </x:c>
      <x:c r="W61" t="str">
        <x:f>IF(AND(T61="OK",U61="OK",V61="OK"),"OK","CHECK")</x:f>
        <x:v>OK</x:v>
      </x:c>
      <x:c r="X61" t="str">
        <x:f>IF(W61="OK","LOAD","QUARANTINE")</x:f>
        <x:v>LOAD</x:v>
      </x:c>
      <x:c r="Y61" t="str">
        <x:v>03_Process_Losses(6).xlsx</x:v>
      </x:c>
      <x:c r="Z61" t="str">
        <x:v>ENH-20260830-01</x:v>
      </x:c>
      <x:c r="AA61" t="str">
        <x:f>IF(X61="LOAD","Active","Quarantine")</x:f>
        <x:v>Active</x:v>
      </x:c>
      <x:c r="AB61"/>
      <x:c r="AC61"/>
      <x:c r="AD61"/>
      <x:c r="AE61"/>
    </x:row>
    <x:row r="62">
      <x:c r="A62" t="str">
        <x:v>PLD-000058</x:v>
      </x:c>
      <x:c r="B62" t="str">
        <x:v>LOSS-KG01-L21-20251022-PM-ORD-2025-00020</x:v>
      </x:c>
      <x:c r="C62" t="str">
        <x:v>PE-KG01-L21-20251022-PM-ORD-2025-00020</x:v>
      </x:c>
      <x:c r="D62" t="str">
        <x:v>KG01</x:v>
      </x:c>
      <x:c r="E62" t="n">
        <x:v>21</x:v>
      </x:c>
      <x:c r="F62" s="52" t="n">
        <x:v>45952</x:v>
      </x:c>
      <x:c r="G62" t="str">
        <x:v>PM</x:v>
      </x:c>
      <x:c r="H62" t="str">
        <x:v>ORD-2025-00020</x:v>
      </x:c>
      <x:c r="I62" t="str">
        <x:v>Normal</x:v>
      </x:c>
      <x:c r="J62" t="str">
        <x:v>PROC_HE_CONVEYER</x:v>
      </x:c>
      <x:c r="K62" t="str">
        <x:v>Hot End</x:v>
      </x:c>
      <x:c r="L62" s="54" t="n">
        <x:v>0.0034181714404317143</x:v>
      </x:c>
      <x:c r="M62" t="n">
        <x:v>154176</x:v>
      </x:c>
      <x:c r="N62" t="n">
        <x:f>L62*M62</x:f>
        <x:v>527</x:v>
      </x:c>
      <x:c r="O62"/>
      <x:c r="P62"/>
      <x:c r="Q62"/>
      <x:c r="R62"/>
      <x:c r="S62" s="52"/>
      <x:c r="T62" t="str">
        <x:v>OK</x:v>
      </x:c>
      <x:c r="U62" t="str">
        <x:f>IF(AND(ISNUMBER(L62),L62&gt;=0,L62&lt;=1),"OK","CHECK")</x:f>
        <x:v>OK</x:v>
      </x:c>
      <x:c r="V62" t="str">
        <x:f>IF(AND(ISNUMBER(N62),N62&gt;=0),"OK","CHECK")</x:f>
        <x:v>OK</x:v>
      </x:c>
      <x:c r="W62" t="str">
        <x:f>IF(AND(T62="OK",U62="OK",V62="OK"),"OK","CHECK")</x:f>
        <x:v>OK</x:v>
      </x:c>
      <x:c r="X62" t="str">
        <x:f>IF(W62="OK","LOAD","QUARANTINE")</x:f>
        <x:v>LOAD</x:v>
      </x:c>
      <x:c r="Y62" t="str">
        <x:v>03_Process_Losses(6).xlsx</x:v>
      </x:c>
      <x:c r="Z62" t="str">
        <x:v>ENH-20260830-01</x:v>
      </x:c>
      <x:c r="AA62" t="str">
        <x:f>IF(X62="LOAD","Active","Quarantine")</x:f>
        <x:v>Active</x:v>
      </x:c>
      <x:c r="AB62"/>
      <x:c r="AC62"/>
      <x:c r="AD62"/>
      <x:c r="AE62"/>
    </x:row>
    <x:row r="63">
      <x:c r="A63" t="str">
        <x:v>PLD-000059</x:v>
      </x:c>
      <x:c r="B63" t="str">
        <x:v>LOSS-KG01-L21-20251022-PM-ORD-2025-00020</x:v>
      </x:c>
      <x:c r="C63" t="str">
        <x:v>PE-KG01-L21-20251022-PM-ORD-2025-00020</x:v>
      </x:c>
      <x:c r="D63" t="str">
        <x:v>KG01</x:v>
      </x:c>
      <x:c r="E63" t="n">
        <x:v>21</x:v>
      </x:c>
      <x:c r="F63" s="52" t="n">
        <x:v>45952</x:v>
      </x:c>
      <x:c r="G63" t="str">
        <x:v>PM</x:v>
      </x:c>
      <x:c r="H63" t="str">
        <x:v>ORD-2025-00020</x:v>
      </x:c>
      <x:c r="I63" t="str">
        <x:v>Normal</x:v>
      </x:c>
      <x:c r="J63" t="str">
        <x:v>PROC_STUCKDOWN</x:v>
      </x:c>
      <x:c r="K63" t="str">
        <x:v>Forming</x:v>
      </x:c>
      <x:c r="L63" s="54" t="n">
        <x:v>0.0019133976753839767</x:v>
      </x:c>
      <x:c r="M63" t="n">
        <x:v>154176</x:v>
      </x:c>
      <x:c r="N63" t="n">
        <x:f>L63*M63</x:f>
        <x:v>295</x:v>
      </x:c>
      <x:c r="O63"/>
      <x:c r="P63"/>
      <x:c r="Q63"/>
      <x:c r="R63"/>
      <x:c r="S63" s="52"/>
      <x:c r="T63" t="str">
        <x:v>OK</x:v>
      </x:c>
      <x:c r="U63" t="str">
        <x:f>IF(AND(ISNUMBER(L63),L63&gt;=0,L63&lt;=1),"OK","CHECK")</x:f>
        <x:v>OK</x:v>
      </x:c>
      <x:c r="V63" t="str">
        <x:f>IF(AND(ISNUMBER(N63),N63&gt;=0),"OK","CHECK")</x:f>
        <x:v>OK</x:v>
      </x:c>
      <x:c r="W63" t="str">
        <x:f>IF(AND(T63="OK",U63="OK",V63="OK"),"OK","CHECK")</x:f>
        <x:v>OK</x:v>
      </x:c>
      <x:c r="X63" t="str">
        <x:f>IF(W63="OK","LOAD","QUARANTINE")</x:f>
        <x:v>LOAD</x:v>
      </x:c>
      <x:c r="Y63" t="str">
        <x:v>03_Process_Losses(6).xlsx</x:v>
      </x:c>
      <x:c r="Z63" t="str">
        <x:v>ENH-20260830-01</x:v>
      </x:c>
      <x:c r="AA63" t="str">
        <x:f>IF(X63="LOAD","Active","Quarantine")</x:f>
        <x:v>Active</x:v>
      </x:c>
      <x:c r="AB63"/>
      <x:c r="AC63"/>
      <x:c r="AD63"/>
      <x:c r="AE63"/>
    </x:row>
    <x:row r="64">
      <x:c r="A64" t="str">
        <x:v>PLD-000060</x:v>
      </x:c>
      <x:c r="B64" t="str">
        <x:v>LOSS-KG01-L21-20251022-PM-ORD-2025-00020</x:v>
      </x:c>
      <x:c r="C64" t="str">
        <x:v>PE-KG01-L21-20251022-PM-ORD-2025-00020</x:v>
      </x:c>
      <x:c r="D64" t="str">
        <x:v>KG01</x:v>
      </x:c>
      <x:c r="E64" t="n">
        <x:v>21</x:v>
      </x:c>
      <x:c r="F64" s="52" t="n">
        <x:v>45952</x:v>
      </x:c>
      <x:c r="G64" t="str">
        <x:v>PM</x:v>
      </x:c>
      <x:c r="H64" t="str">
        <x:v>ORD-2025-00020</x:v>
      </x:c>
      <x:c r="I64" t="str">
        <x:v>Normal</x:v>
      </x:c>
      <x:c r="J64" t="str">
        <x:v>PROC_LEHR</x:v>
      </x:c>
      <x:c r="K64" t="str">
        <x:v>Lehr</x:v>
      </x:c>
      <x:c r="L64" s="54" t="n">
        <x:v>0.002918742216687422</x:v>
      </x:c>
      <x:c r="M64" t="n">
        <x:v>154176</x:v>
      </x:c>
      <x:c r="N64" t="n">
        <x:f>L64*M64</x:f>
        <x:v>450</x:v>
      </x:c>
      <x:c r="O64"/>
      <x:c r="P64"/>
      <x:c r="Q64"/>
      <x:c r="R64"/>
      <x:c r="S64" s="52"/>
      <x:c r="T64" t="str">
        <x:v>OK</x:v>
      </x:c>
      <x:c r="U64" t="str">
        <x:f>IF(AND(ISNUMBER(L64),L64&gt;=0,L64&lt;=1),"OK","CHECK")</x:f>
        <x:v>OK</x:v>
      </x:c>
      <x:c r="V64" t="str">
        <x:f>IF(AND(ISNUMBER(N64),N64&gt;=0),"OK","CHECK")</x:f>
        <x:v>OK</x:v>
      </x:c>
      <x:c r="W64" t="str">
        <x:f>IF(AND(T64="OK",U64="OK",V64="OK"),"OK","CHECK")</x:f>
        <x:v>OK</x:v>
      </x:c>
      <x:c r="X64" t="str">
        <x:f>IF(W64="OK","LOAD","QUARANTINE")</x:f>
        <x:v>LOAD</x:v>
      </x:c>
      <x:c r="Y64" t="str">
        <x:v>03_Process_Losses(6).xlsx</x:v>
      </x:c>
      <x:c r="Z64" t="str">
        <x:v>ENH-20260830-01</x:v>
      </x:c>
      <x:c r="AA64" t="str">
        <x:f>IF(X64="LOAD","Active","Quarantine")</x:f>
        <x:v>Active</x:v>
      </x:c>
      <x:c r="AB64"/>
      <x:c r="AC64"/>
      <x:c r="AD64"/>
      <x:c r="AE64"/>
    </x:row>
    <x:row r="65">
      <x:c r="A65" t="str">
        <x:v>PLD-000061</x:v>
      </x:c>
      <x:c r="B65" t="str">
        <x:v>LOSS-KG01-L21-20251022-PM-ORD-2025-00020</x:v>
      </x:c>
      <x:c r="C65" t="str">
        <x:v>PE-KG01-L21-20251022-PM-ORD-2025-00020</x:v>
      </x:c>
      <x:c r="D65" t="str">
        <x:v>KG01</x:v>
      </x:c>
      <x:c r="E65" t="n">
        <x:v>21</x:v>
      </x:c>
      <x:c r="F65" s="52" t="n">
        <x:v>45952</x:v>
      </x:c>
      <x:c r="G65" t="str">
        <x:v>PM</x:v>
      </x:c>
      <x:c r="H65" t="str">
        <x:v>ORD-2025-00020</x:v>
      </x:c>
      <x:c r="I65" t="str">
        <x:v>Normal</x:v>
      </x:c>
      <x:c r="J65" t="str">
        <x:v>PROC_EVO16</x:v>
      </x:c>
      <x:c r="K65" t="str">
        <x:v>Inspection</x:v>
      </x:c>
      <x:c r="L65" s="54" t="n">
        <x:v>0.0033987131589871314</x:v>
      </x:c>
      <x:c r="M65" t="n">
        <x:v>154176</x:v>
      </x:c>
      <x:c r="N65" t="n">
        <x:f>L65*M65</x:f>
        <x:v>524</x:v>
      </x:c>
      <x:c r="O65"/>
      <x:c r="P65"/>
      <x:c r="Q65"/>
      <x:c r="R65"/>
      <x:c r="S65" s="52"/>
      <x:c r="T65" t="str">
        <x:v>OK</x:v>
      </x:c>
      <x:c r="U65" t="str">
        <x:f>IF(AND(ISNUMBER(L65),L65&gt;=0,L65&lt;=1),"OK","CHECK")</x:f>
        <x:v>OK</x:v>
      </x:c>
      <x:c r="V65" t="str">
        <x:f>IF(AND(ISNUMBER(N65),N65&gt;=0),"OK","CHECK")</x:f>
        <x:v>OK</x:v>
      </x:c>
      <x:c r="W65" t="str">
        <x:f>IF(AND(T65="OK",U65="OK",V65="OK"),"OK","CHECK")</x:f>
        <x:v>OK</x:v>
      </x:c>
      <x:c r="X65" t="str">
        <x:f>IF(W65="OK","LOAD","QUARANTINE")</x:f>
        <x:v>LOAD</x:v>
      </x:c>
      <x:c r="Y65" t="str">
        <x:v>03_Process_Losses(6).xlsx</x:v>
      </x:c>
      <x:c r="Z65" t="str">
        <x:v>ENH-20260830-01</x:v>
      </x:c>
      <x:c r="AA65" t="str">
        <x:f>IF(X65="LOAD","Active","Quarantine")</x:f>
        <x:v>Active</x:v>
      </x:c>
      <x:c r="AB65"/>
      <x:c r="AC65"/>
      <x:c r="AD65"/>
      <x:c r="AE65"/>
    </x:row>
    <x:row r="66">
      <x:c r="A66" t="str">
        <x:v>PLD-000062</x:v>
      </x:c>
      <x:c r="B66" t="str">
        <x:v>LOSS-KG01-L21-20251022-PM-ORD-2025-00020</x:v>
      </x:c>
      <x:c r="C66" t="str">
        <x:v>PE-KG01-L21-20251022-PM-ORD-2025-00020</x:v>
      </x:c>
      <x:c r="D66" t="str">
        <x:v>KG01</x:v>
      </x:c>
      <x:c r="E66" t="n">
        <x:v>21</x:v>
      </x:c>
      <x:c r="F66" s="52" t="n">
        <x:v>45952</x:v>
      </x:c>
      <x:c r="G66" t="str">
        <x:v>PM</x:v>
      </x:c>
      <x:c r="H66" t="str">
        <x:v>ORD-2025-00020</x:v>
      </x:c>
      <x:c r="I66" t="str">
        <x:v>Normal</x:v>
      </x:c>
      <x:c r="J66" t="str">
        <x:v>PROC_EVO12</x:v>
      </x:c>
      <x:c r="K66" t="str">
        <x:v>Inspection</x:v>
      </x:c>
      <x:c r="L66" s="54" t="n">
        <x:v>0.0004345682855956829</x:v>
      </x:c>
      <x:c r="M66" t="n">
        <x:v>154176</x:v>
      </x:c>
      <x:c r="N66" t="n">
        <x:f>L66*M66</x:f>
        <x:v>67</x:v>
      </x:c>
      <x:c r="O66"/>
      <x:c r="P66"/>
      <x:c r="Q66"/>
      <x:c r="R66"/>
      <x:c r="S66" s="52"/>
      <x:c r="T66" t="str">
        <x:v>OK</x:v>
      </x:c>
      <x:c r="U66" t="str">
        <x:f>IF(AND(ISNUMBER(L66),L66&gt;=0,L66&lt;=1),"OK","CHECK")</x:f>
        <x:v>OK</x:v>
      </x:c>
      <x:c r="V66" t="str">
        <x:f>IF(AND(ISNUMBER(N66),N66&gt;=0),"OK","CHECK")</x:f>
        <x:v>OK</x:v>
      </x:c>
      <x:c r="W66" t="str">
        <x:f>IF(AND(T66="OK",U66="OK",V66="OK"),"OK","CHECK")</x:f>
        <x:v>OK</x:v>
      </x:c>
      <x:c r="X66" t="str">
        <x:f>IF(W66="OK","LOAD","QUARANTINE")</x:f>
        <x:v>LOAD</x:v>
      </x:c>
      <x:c r="Y66" t="str">
        <x:v>03_Process_Losses(6).xlsx</x:v>
      </x:c>
      <x:c r="Z66" t="str">
        <x:v>ENH-20260830-01</x:v>
      </x:c>
      <x:c r="AA66" t="str">
        <x:f>IF(X66="LOAD","Active","Quarantine")</x:f>
        <x:v>Active</x:v>
      </x:c>
      <x:c r="AB66"/>
      <x:c r="AC66"/>
      <x:c r="AD66"/>
      <x:c r="AE66"/>
    </x:row>
    <x:row r="67">
      <x:c r="A67" t="str">
        <x:v>PLD-000063</x:v>
      </x:c>
      <x:c r="B67" t="str">
        <x:v>LOSS-KG01-L21-20251022-PM-ORD-2025-00020</x:v>
      </x:c>
      <x:c r="C67" t="str">
        <x:v>PE-KG01-L21-20251022-PM-ORD-2025-00020</x:v>
      </x:c>
      <x:c r="D67" t="str">
        <x:v>KG01</x:v>
      </x:c>
      <x:c r="E67" t="n">
        <x:v>21</x:v>
      </x:c>
      <x:c r="F67" s="52" t="n">
        <x:v>45952</x:v>
      </x:c>
      <x:c r="G67" t="str">
        <x:v>PM</x:v>
      </x:c>
      <x:c r="H67" t="str">
        <x:v>ORD-2025-00020</x:v>
      </x:c>
      <x:c r="I67" t="str">
        <x:v>Normal</x:v>
      </x:c>
      <x:c r="J67" t="str">
        <x:v>PROC_EVO5</x:v>
      </x:c>
      <x:c r="K67" t="str">
        <x:v>Inspection</x:v>
      </x:c>
      <x:c r="L67" s="54" t="n">
        <x:v>0.002309049398090494</x:v>
      </x:c>
      <x:c r="M67" t="n">
        <x:v>154176</x:v>
      </x:c>
      <x:c r="N67" t="n">
        <x:f>L67*M67</x:f>
        <x:v>356</x:v>
      </x:c>
      <x:c r="O67"/>
      <x:c r="P67"/>
      <x:c r="Q67"/>
      <x:c r="R67"/>
      <x:c r="S67" s="52"/>
      <x:c r="T67" t="str">
        <x:v>OK</x:v>
      </x:c>
      <x:c r="U67" t="str">
        <x:f>IF(AND(ISNUMBER(L67),L67&gt;=0,L67&lt;=1),"OK","CHECK")</x:f>
        <x:v>OK</x:v>
      </x:c>
      <x:c r="V67" t="str">
        <x:f>IF(AND(ISNUMBER(N67),N67&gt;=0),"OK","CHECK")</x:f>
        <x:v>OK</x:v>
      </x:c>
      <x:c r="W67" t="str">
        <x:f>IF(AND(T67="OK",U67="OK",V67="OK"),"OK","CHECK")</x:f>
        <x:v>OK</x:v>
      </x:c>
      <x:c r="X67" t="str">
        <x:f>IF(W67="OK","LOAD","QUARANTINE")</x:f>
        <x:v>LOAD</x:v>
      </x:c>
      <x:c r="Y67" t="str">
        <x:v>03_Process_Losses(6).xlsx</x:v>
      </x:c>
      <x:c r="Z67" t="str">
        <x:v>ENH-20260830-01</x:v>
      </x:c>
      <x:c r="AA67" t="str">
        <x:f>IF(X67="LOAD","Active","Quarantine")</x:f>
        <x:v>Active</x:v>
      </x:c>
      <x:c r="AB67"/>
      <x:c r="AC67"/>
      <x:c r="AD67"/>
      <x:c r="AE67"/>
    </x:row>
    <x:row r="68">
      <x:c r="A68" t="str">
        <x:v>PLD-000064</x:v>
      </x:c>
      <x:c r="B68" t="str">
        <x:v>LOSS-KG01-L21-20251022-PM-ORD-2025-00020</x:v>
      </x:c>
      <x:c r="C68" t="str">
        <x:v>PE-KG01-L21-20251022-PM-ORD-2025-00020</x:v>
      </x:c>
      <x:c r="D68" t="str">
        <x:v>KG01</x:v>
      </x:c>
      <x:c r="E68" t="n">
        <x:v>21</x:v>
      </x:c>
      <x:c r="F68" s="52" t="n">
        <x:v>45952</x:v>
      </x:c>
      <x:c r="G68" t="str">
        <x:v>PM</x:v>
      </x:c>
      <x:c r="H68" t="str">
        <x:v>ORD-2025-00020</x:v>
      </x:c>
      <x:c r="I68" t="str">
        <x:v>Normal</x:v>
      </x:c>
      <x:c r="J68" t="str">
        <x:v>PROC_SANLI</x:v>
      </x:c>
      <x:c r="K68" t="str">
        <x:v>Inspection</x:v>
      </x:c>
      <x:c r="L68" s="54" t="n">
        <x:v>0.004903486924034869</x:v>
      </x:c>
      <x:c r="M68" t="n">
        <x:v>154176</x:v>
      </x:c>
      <x:c r="N68" t="n">
        <x:f>L68*M68</x:f>
        <x:v>756</x:v>
      </x:c>
      <x:c r="O68"/>
      <x:c r="P68"/>
      <x:c r="Q68"/>
      <x:c r="R68"/>
      <x:c r="S68" s="52"/>
      <x:c r="T68" t="str">
        <x:v>OK</x:v>
      </x:c>
      <x:c r="U68" t="str">
        <x:f>IF(AND(ISNUMBER(L68),L68&gt;=0,L68&lt;=1),"OK","CHECK")</x:f>
        <x:v>OK</x:v>
      </x:c>
      <x:c r="V68" t="str">
        <x:f>IF(AND(ISNUMBER(N68),N68&gt;=0),"OK","CHECK")</x:f>
        <x:v>OK</x:v>
      </x:c>
      <x:c r="W68" t="str">
        <x:f>IF(AND(T68="OK",U68="OK",V68="OK"),"OK","CHECK")</x:f>
        <x:v>OK</x:v>
      </x:c>
      <x:c r="X68" t="str">
        <x:f>IF(W68="OK","LOAD","QUARANTINE")</x:f>
        <x:v>LOAD</x:v>
      </x:c>
      <x:c r="Y68" t="str">
        <x:v>03_Process_Losses(6).xlsx</x:v>
      </x:c>
      <x:c r="Z68" t="str">
        <x:v>ENH-20260830-01</x:v>
      </x:c>
      <x:c r="AA68" t="str">
        <x:f>IF(X68="LOAD","Active","Quarantine")</x:f>
        <x:v>Active</x:v>
      </x:c>
      <x:c r="AB68"/>
      <x:c r="AC68"/>
      <x:c r="AD68"/>
      <x:c r="AE68"/>
    </x:row>
    <x:row r="69">
      <x:c r="A69" t="str">
        <x:v>PLD-000065</x:v>
      </x:c>
      <x:c r="B69" t="str">
        <x:v>LOSS-KG01-L21-20251022-PM-ORD-2025-00020</x:v>
      </x:c>
      <x:c r="C69" t="str">
        <x:v>PE-KG01-L21-20251022-PM-ORD-2025-00020</x:v>
      </x:c>
      <x:c r="D69" t="str">
        <x:v>KG01</x:v>
      </x:c>
      <x:c r="E69" t="n">
        <x:v>21</x:v>
      </x:c>
      <x:c r="F69" s="52" t="n">
        <x:v>45952</x:v>
      </x:c>
      <x:c r="G69" t="str">
        <x:v>PM</x:v>
      </x:c>
      <x:c r="H69" t="str">
        <x:v>ORD-2025-00020</x:v>
      </x:c>
      <x:c r="I69" t="str">
        <x:v>Normal</x:v>
      </x:c>
      <x:c r="J69" t="str">
        <x:v>PROC_VISUAL</x:v>
      </x:c>
      <x:c r="K69" t="str">
        <x:v>Inspection</x:v>
      </x:c>
      <x:c r="L69" s="54" t="n">
        <x:v>0.009080531340805314</x:v>
      </x:c>
      <x:c r="M69" t="n">
        <x:v>154176</x:v>
      </x:c>
      <x:c r="N69" t="n">
        <x:f>L69*M69</x:f>
        <x:v>1400</x:v>
      </x:c>
      <x:c r="O69"/>
      <x:c r="P69"/>
      <x:c r="Q69"/>
      <x:c r="R69"/>
      <x:c r="S69" s="52"/>
      <x:c r="T69" t="str">
        <x:v>OK</x:v>
      </x:c>
      <x:c r="U69" t="str">
        <x:f>IF(AND(ISNUMBER(L69),L69&gt;=0,L69&lt;=1),"OK","CHECK")</x:f>
        <x:v>OK</x:v>
      </x:c>
      <x:c r="V69" t="str">
        <x:f>IF(AND(ISNUMBER(N69),N69&gt;=0),"OK","CHECK")</x:f>
        <x:v>OK</x:v>
      </x:c>
      <x:c r="W69" t="str">
        <x:f>IF(AND(T69="OK",U69="OK",V69="OK"),"OK","CHECK")</x:f>
        <x:v>OK</x:v>
      </x:c>
      <x:c r="X69" t="str">
        <x:f>IF(W69="OK","LOAD","QUARANTINE")</x:f>
        <x:v>LOAD</x:v>
      </x:c>
      <x:c r="Y69" t="str">
        <x:v>03_Process_Losses(6).xlsx</x:v>
      </x:c>
      <x:c r="Z69" t="str">
        <x:v>ENH-20260830-01</x:v>
      </x:c>
      <x:c r="AA69" t="str">
        <x:f>IF(X69="LOAD","Active","Quarantine")</x:f>
        <x:v>Active</x:v>
      </x:c>
      <x:c r="AB69"/>
      <x:c r="AC69"/>
      <x:c r="AD69"/>
      <x:c r="AE69"/>
    </x:row>
    <x:row r="70">
      <x:c r="A70" t="str">
        <x:v>PLD-000066</x:v>
      </x:c>
      <x:c r="B70" t="str">
        <x:v>LOSS-KG01-L21-20251022-PM-ORD-2025-00020</x:v>
      </x:c>
      <x:c r="C70" t="str">
        <x:v>PE-KG01-L21-20251022-PM-ORD-2025-00020</x:v>
      </x:c>
      <x:c r="D70" t="str">
        <x:v>KG01</x:v>
      </x:c>
      <x:c r="E70" t="n">
        <x:v>21</x:v>
      </x:c>
      <x:c r="F70" s="52" t="n">
        <x:v>45952</x:v>
      </x:c>
      <x:c r="G70" t="str">
        <x:v>PM</x:v>
      </x:c>
      <x:c r="H70" t="str">
        <x:v>ORD-2025-00020</x:v>
      </x:c>
      <x:c r="I70" t="str">
        <x:v>Normal</x:v>
      </x:c>
      <x:c r="J70" t="str">
        <x:v>PROC_PALLETIZER</x:v>
      </x:c>
      <x:c r="K70" t="str">
        <x:v>Palletizer</x:v>
      </x:c>
      <x:c r="L70" s="54" t="n">
        <x:v>0.0025230904939809048</x:v>
      </x:c>
      <x:c r="M70" t="n">
        <x:v>154176</x:v>
      </x:c>
      <x:c r="N70" t="n">
        <x:f>L70*M70</x:f>
        <x:v>389</x:v>
      </x:c>
      <x:c r="O70"/>
      <x:c r="P70"/>
      <x:c r="Q70"/>
      <x:c r="R70"/>
      <x:c r="S70" s="52"/>
      <x:c r="T70" t="str">
        <x:v>OK</x:v>
      </x:c>
      <x:c r="U70" t="str">
        <x:f>IF(AND(ISNUMBER(L70),L70&gt;=0,L70&lt;=1),"OK","CHECK")</x:f>
        <x:v>OK</x:v>
      </x:c>
      <x:c r="V70" t="str">
        <x:f>IF(AND(ISNUMBER(N70),N70&gt;=0),"OK","CHECK")</x:f>
        <x:v>OK</x:v>
      </x:c>
      <x:c r="W70" t="str">
        <x:f>IF(AND(T70="OK",U70="OK",V70="OK"),"OK","CHECK")</x:f>
        <x:v>OK</x:v>
      </x:c>
      <x:c r="X70" t="str">
        <x:f>IF(W70="OK","LOAD","QUARANTINE")</x:f>
        <x:v>LOAD</x:v>
      </x:c>
      <x:c r="Y70" t="str">
        <x:v>03_Process_Losses(6).xlsx</x:v>
      </x:c>
      <x:c r="Z70" t="str">
        <x:v>ENH-20260830-01</x:v>
      </x:c>
      <x:c r="AA70" t="str">
        <x:f>IF(X70="LOAD","Active","Quarantine")</x:f>
        <x:v>Active</x:v>
      </x:c>
      <x:c r="AB70"/>
      <x:c r="AC70"/>
      <x:c r="AD70"/>
      <x:c r="AE70"/>
    </x:row>
    <x:row r="71">
      <x:c r="A71" t="str">
        <x:v>PLD-000067</x:v>
      </x:c>
      <x:c r="B71" t="str">
        <x:v>LOSS-KG01-L21-20251023-AM-ORD-2025-00020</x:v>
      </x:c>
      <x:c r="C71" t="str">
        <x:v>PE-KG01-L21-20251023-AM-ORD-2025-00020</x:v>
      </x:c>
      <x:c r="D71" t="str">
        <x:v>KG01</x:v>
      </x:c>
      <x:c r="E71" t="n">
        <x:v>21</x:v>
      </x:c>
      <x:c r="F71" s="52" t="n">
        <x:v>45953</x:v>
      </x:c>
      <x:c r="G71" t="str">
        <x:v>AM</x:v>
      </x:c>
      <x:c r="H71" t="str">
        <x:v>ORD-2025-00020</x:v>
      </x:c>
      <x:c r="I71" t="str">
        <x:v>Normal</x:v>
      </x:c>
      <x:c r="J71" t="str">
        <x:v>PROC_FIXED</x:v>
      </x:c>
      <x:c r="K71" t="str">
        <x:v>Fixed Losses</x:v>
      </x:c>
      <x:c r="L71" s="54" t="n">
        <x:v>0.0021397379912663755</x:v>
      </x:c>
      <x:c r="M71" t="n">
        <x:v>137400</x:v>
      </x:c>
      <x:c r="N71" t="n">
        <x:f>L71*M71</x:f>
        <x:v>294</x:v>
      </x:c>
      <x:c r="O71"/>
      <x:c r="P71"/>
      <x:c r="Q71"/>
      <x:c r="R71"/>
      <x:c r="S71" s="52"/>
      <x:c r="T71" t="str">
        <x:v>OK</x:v>
      </x:c>
      <x:c r="U71" t="str">
        <x:f>IF(AND(ISNUMBER(L71),L71&gt;=0,L71&lt;=1),"OK","CHECK")</x:f>
        <x:v>OK</x:v>
      </x:c>
      <x:c r="V71" t="str">
        <x:f>IF(AND(ISNUMBER(N71),N71&gt;=0),"OK","CHECK")</x:f>
        <x:v>OK</x:v>
      </x:c>
      <x:c r="W71" t="str">
        <x:f>IF(AND(T71="OK",U71="OK",V71="OK"),"OK","CHECK")</x:f>
        <x:v>OK</x:v>
      </x:c>
      <x:c r="X71" t="str">
        <x:f>IF(W71="OK","LOAD","QUARANTINE")</x:f>
        <x:v>LOAD</x:v>
      </x:c>
      <x:c r="Y71" t="str">
        <x:v>03_Process_Losses(6).xlsx</x:v>
      </x:c>
      <x:c r="Z71" t="str">
        <x:v>ENH-20260830-01</x:v>
      </x:c>
      <x:c r="AA71" t="str">
        <x:f>IF(X71="LOAD","Active","Quarantine")</x:f>
        <x:v>Active</x:v>
      </x:c>
      <x:c r="AB71"/>
      <x:c r="AC71"/>
      <x:c r="AD71"/>
      <x:c r="AE71"/>
    </x:row>
    <x:row r="72">
      <x:c r="A72" t="str">
        <x:v>PLD-000068</x:v>
      </x:c>
      <x:c r="B72" t="str">
        <x:v>LOSS-KG01-L21-20251023-AM-ORD-2025-00020</x:v>
      </x:c>
      <x:c r="C72" t="str">
        <x:v>PE-KG01-L21-20251023-AM-ORD-2025-00020</x:v>
      </x:c>
      <x:c r="D72" t="str">
        <x:v>KG01</x:v>
      </x:c>
      <x:c r="E72" t="n">
        <x:v>21</x:v>
      </x:c>
      <x:c r="F72" s="52" t="n">
        <x:v>45953</x:v>
      </x:c>
      <x:c r="G72" t="str">
        <x:v>AM</x:v>
      </x:c>
      <x:c r="H72" t="str">
        <x:v>ORD-2025-00020</x:v>
      </x:c>
      <x:c r="I72" t="str">
        <x:v>Normal</x:v>
      </x:c>
      <x:c r="J72" t="str">
        <x:v>PROC_IS</x:v>
      </x:c>
      <x:c r="K72" t="str">
        <x:v>IS Machine</x:v>
      </x:c>
      <x:c r="L72" s="54" t="n">
        <x:v>0.007008733624454149</x:v>
      </x:c>
      <x:c r="M72" t="n">
        <x:v>137400</x:v>
      </x:c>
      <x:c r="N72" t="n">
        <x:f>L72*M72</x:f>
        <x:v>963</x:v>
      </x:c>
      <x:c r="O72"/>
      <x:c r="P72"/>
      <x:c r="Q72"/>
      <x:c r="R72"/>
      <x:c r="S72" s="52"/>
      <x:c r="T72" t="str">
        <x:v>OK</x:v>
      </x:c>
      <x:c r="U72" t="str">
        <x:f>IF(AND(ISNUMBER(L72),L72&gt;=0,L72&lt;=1),"OK","CHECK")</x:f>
        <x:v>OK</x:v>
      </x:c>
      <x:c r="V72" t="str">
        <x:f>IF(AND(ISNUMBER(N72),N72&gt;=0),"OK","CHECK")</x:f>
        <x:v>OK</x:v>
      </x:c>
      <x:c r="W72" t="str">
        <x:f>IF(AND(T72="OK",U72="OK",V72="OK"),"OK","CHECK")</x:f>
        <x:v>OK</x:v>
      </x:c>
      <x:c r="X72" t="str">
        <x:f>IF(W72="OK","LOAD","QUARANTINE")</x:f>
        <x:v>LOAD</x:v>
      </x:c>
      <x:c r="Y72" t="str">
        <x:v>03_Process_Losses(6).xlsx</x:v>
      </x:c>
      <x:c r="Z72" t="str">
        <x:v>ENH-20260830-01</x:v>
      </x:c>
      <x:c r="AA72" t="str">
        <x:f>IF(X72="LOAD","Active","Quarantine")</x:f>
        <x:v>Active</x:v>
      </x:c>
      <x:c r="AB72"/>
      <x:c r="AC72"/>
      <x:c r="AD72"/>
      <x:c r="AE72"/>
    </x:row>
    <x:row r="73">
      <x:c r="A73" t="str">
        <x:v>PLD-000069</x:v>
      </x:c>
      <x:c r="B73" t="str">
        <x:v>LOSS-KG01-L21-20251023-AM-ORD-2025-00020</x:v>
      </x:c>
      <x:c r="C73" t="str">
        <x:v>PE-KG01-L21-20251023-AM-ORD-2025-00020</x:v>
      </x:c>
      <x:c r="D73" t="str">
        <x:v>KG01</x:v>
      </x:c>
      <x:c r="E73" t="n">
        <x:v>21</x:v>
      </x:c>
      <x:c r="F73" s="52" t="n">
        <x:v>45953</x:v>
      </x:c>
      <x:c r="G73" t="str">
        <x:v>AM</x:v>
      </x:c>
      <x:c r="H73" t="str">
        <x:v>ORD-2025-00020</x:v>
      </x:c>
      <x:c r="I73" t="str">
        <x:v>Normal</x:v>
      </x:c>
      <x:c r="J73" t="str">
        <x:v>PROC_HE_CONVEYER</x:v>
      </x:c>
      <x:c r="K73" t="str">
        <x:v>Hot End</x:v>
      </x:c>
      <x:c r="L73" s="54" t="n">
        <x:v>0.008580786026200873</x:v>
      </x:c>
      <x:c r="M73" t="n">
        <x:v>137400</x:v>
      </x:c>
      <x:c r="N73" t="n">
        <x:f>L73*M73</x:f>
        <x:v>1179</x:v>
      </x:c>
      <x:c r="O73"/>
      <x:c r="P73"/>
      <x:c r="Q73"/>
      <x:c r="R73"/>
      <x:c r="S73" s="52"/>
      <x:c r="T73" t="str">
        <x:v>OK</x:v>
      </x:c>
      <x:c r="U73" t="str">
        <x:f>IF(AND(ISNUMBER(L73),L73&gt;=0,L73&lt;=1),"OK","CHECK")</x:f>
        <x:v>OK</x:v>
      </x:c>
      <x:c r="V73" t="str">
        <x:f>IF(AND(ISNUMBER(N73),N73&gt;=0),"OK","CHECK")</x:f>
        <x:v>OK</x:v>
      </x:c>
      <x:c r="W73" t="str">
        <x:f>IF(AND(T73="OK",U73="OK",V73="OK"),"OK","CHECK")</x:f>
        <x:v>OK</x:v>
      </x:c>
      <x:c r="X73" t="str">
        <x:f>IF(W73="OK","LOAD","QUARANTINE")</x:f>
        <x:v>LOAD</x:v>
      </x:c>
      <x:c r="Y73" t="str">
        <x:v>03_Process_Losses(6).xlsx</x:v>
      </x:c>
      <x:c r="Z73" t="str">
        <x:v>ENH-20260830-01</x:v>
      </x:c>
      <x:c r="AA73" t="str">
        <x:f>IF(X73="LOAD","Active","Quarantine")</x:f>
        <x:v>Active</x:v>
      </x:c>
      <x:c r="AB73"/>
      <x:c r="AC73"/>
      <x:c r="AD73"/>
      <x:c r="AE73"/>
    </x:row>
    <x:row r="74">
      <x:c r="A74" t="str">
        <x:v>PLD-000070</x:v>
      </x:c>
      <x:c r="B74" t="str">
        <x:v>LOSS-KG01-L21-20251023-AM-ORD-2025-00020</x:v>
      </x:c>
      <x:c r="C74" t="str">
        <x:v>PE-KG01-L21-20251023-AM-ORD-2025-00020</x:v>
      </x:c>
      <x:c r="D74" t="str">
        <x:v>KG01</x:v>
      </x:c>
      <x:c r="E74" t="n">
        <x:v>21</x:v>
      </x:c>
      <x:c r="F74" s="52" t="n">
        <x:v>45953</x:v>
      </x:c>
      <x:c r="G74" t="str">
        <x:v>AM</x:v>
      </x:c>
      <x:c r="H74" t="str">
        <x:v>ORD-2025-00020</x:v>
      </x:c>
      <x:c r="I74" t="str">
        <x:v>Normal</x:v>
      </x:c>
      <x:c r="J74" t="str">
        <x:v>PROC_STUCKDOWN</x:v>
      </x:c>
      <x:c r="K74" t="str">
        <x:v>Forming</x:v>
      </x:c>
      <x:c r="L74" s="54" t="n">
        <x:v>0.0014337700145560408</x:v>
      </x:c>
      <x:c r="M74" t="n">
        <x:v>137400</x:v>
      </x:c>
      <x:c r="N74" t="n">
        <x:f>L74*M74</x:f>
        <x:v>197</x:v>
      </x:c>
      <x:c r="O74"/>
      <x:c r="P74"/>
      <x:c r="Q74"/>
      <x:c r="R74"/>
      <x:c r="S74" s="52"/>
      <x:c r="T74" t="str">
        <x:v>OK</x:v>
      </x:c>
      <x:c r="U74" t="str">
        <x:f>IF(AND(ISNUMBER(L74),L74&gt;=0,L74&lt;=1),"OK","CHECK")</x:f>
        <x:v>OK</x:v>
      </x:c>
      <x:c r="V74" t="str">
        <x:f>IF(AND(ISNUMBER(N74),N74&gt;=0),"OK","CHECK")</x:f>
        <x:v>OK</x:v>
      </x:c>
      <x:c r="W74" t="str">
        <x:f>IF(AND(T74="OK",U74="OK",V74="OK"),"OK","CHECK")</x:f>
        <x:v>OK</x:v>
      </x:c>
      <x:c r="X74" t="str">
        <x:f>IF(W74="OK","LOAD","QUARANTINE")</x:f>
        <x:v>LOAD</x:v>
      </x:c>
      <x:c r="Y74" t="str">
        <x:v>03_Process_Losses(6).xlsx</x:v>
      </x:c>
      <x:c r="Z74" t="str">
        <x:v>ENH-20260830-01</x:v>
      </x:c>
      <x:c r="AA74" t="str">
        <x:f>IF(X74="LOAD","Active","Quarantine")</x:f>
        <x:v>Active</x:v>
      </x:c>
      <x:c r="AB74"/>
      <x:c r="AC74"/>
      <x:c r="AD74"/>
      <x:c r="AE74"/>
    </x:row>
    <x:row r="75">
      <x:c r="A75" t="str">
        <x:v>PLD-000071</x:v>
      </x:c>
      <x:c r="B75" t="str">
        <x:v>LOSS-KG01-L21-20251023-AM-ORD-2025-00020</x:v>
      </x:c>
      <x:c r="C75" t="str">
        <x:v>PE-KG01-L21-20251023-AM-ORD-2025-00020</x:v>
      </x:c>
      <x:c r="D75" t="str">
        <x:v>KG01</x:v>
      </x:c>
      <x:c r="E75" t="n">
        <x:v>21</x:v>
      </x:c>
      <x:c r="F75" s="52" t="n">
        <x:v>45953</x:v>
      </x:c>
      <x:c r="G75" t="str">
        <x:v>AM</x:v>
      </x:c>
      <x:c r="H75" t="str">
        <x:v>ORD-2025-00020</x:v>
      </x:c>
      <x:c r="I75" t="str">
        <x:v>Normal</x:v>
      </x:c>
      <x:c r="J75" t="str">
        <x:v>PROC_LEHR</x:v>
      </x:c>
      <x:c r="K75" t="str">
        <x:v>Lehr</x:v>
      </x:c>
      <x:c r="L75" s="54" t="n">
        <x:v>0.00136098981077147</x:v>
      </x:c>
      <x:c r="M75" t="n">
        <x:v>137400</x:v>
      </x:c>
      <x:c r="N75" t="n">
        <x:f>L75*M75</x:f>
        <x:v>187</x:v>
      </x:c>
      <x:c r="O75"/>
      <x:c r="P75"/>
      <x:c r="Q75"/>
      <x:c r="R75"/>
      <x:c r="S75" s="52"/>
      <x:c r="T75" t="str">
        <x:v>OK</x:v>
      </x:c>
      <x:c r="U75" t="str">
        <x:f>IF(AND(ISNUMBER(L75),L75&gt;=0,L75&lt;=1),"OK","CHECK")</x:f>
        <x:v>OK</x:v>
      </x:c>
      <x:c r="V75" t="str">
        <x:f>IF(AND(ISNUMBER(N75),N75&gt;=0),"OK","CHECK")</x:f>
        <x:v>OK</x:v>
      </x:c>
      <x:c r="W75" t="str">
        <x:f>IF(AND(T75="OK",U75="OK",V75="OK"),"OK","CHECK")</x:f>
        <x:v>OK</x:v>
      </x:c>
      <x:c r="X75" t="str">
        <x:f>IF(W75="OK","LOAD","QUARANTINE")</x:f>
        <x:v>LOAD</x:v>
      </x:c>
      <x:c r="Y75" t="str">
        <x:v>03_Process_Losses(6).xlsx</x:v>
      </x:c>
      <x:c r="Z75" t="str">
        <x:v>ENH-20260830-01</x:v>
      </x:c>
      <x:c r="AA75" t="str">
        <x:f>IF(X75="LOAD","Active","Quarantine")</x:f>
        <x:v>Active</x:v>
      </x:c>
      <x:c r="AB75"/>
      <x:c r="AC75"/>
      <x:c r="AD75"/>
      <x:c r="AE75"/>
    </x:row>
    <x:row r="76">
      <x:c r="A76" t="str">
        <x:v>PLD-000072</x:v>
      </x:c>
      <x:c r="B76" t="str">
        <x:v>LOSS-KG01-L21-20251023-AM-ORD-2025-00020</x:v>
      </x:c>
      <x:c r="C76" t="str">
        <x:v>PE-KG01-L21-20251023-AM-ORD-2025-00020</x:v>
      </x:c>
      <x:c r="D76" t="str">
        <x:v>KG01</x:v>
      </x:c>
      <x:c r="E76" t="n">
        <x:v>21</x:v>
      </x:c>
      <x:c r="F76" s="52" t="n">
        <x:v>45953</x:v>
      </x:c>
      <x:c r="G76" t="str">
        <x:v>AM</x:v>
      </x:c>
      <x:c r="H76" t="str">
        <x:v>ORD-2025-00020</x:v>
      </x:c>
      <x:c r="I76" t="str">
        <x:v>Normal</x:v>
      </x:c>
      <x:c r="J76" t="str">
        <x:v>PROC_EVO16</x:v>
      </x:c>
      <x:c r="K76" t="str">
        <x:v>Inspection</x:v>
      </x:c>
      <x:c r="L76" s="54" t="n">
        <x:v>0.0036317321688500727</x:v>
      </x:c>
      <x:c r="M76" t="n">
        <x:v>137400</x:v>
      </x:c>
      <x:c r="N76" t="n">
        <x:f>L76*M76</x:f>
        <x:v>499</x:v>
      </x:c>
      <x:c r="O76"/>
      <x:c r="P76"/>
      <x:c r="Q76"/>
      <x:c r="R76"/>
      <x:c r="S76" s="52"/>
      <x:c r="T76" t="str">
        <x:v>OK</x:v>
      </x:c>
      <x:c r="U76" t="str">
        <x:f>IF(AND(ISNUMBER(L76),L76&gt;=0,L76&lt;=1),"OK","CHECK")</x:f>
        <x:v>OK</x:v>
      </x:c>
      <x:c r="V76" t="str">
        <x:f>IF(AND(ISNUMBER(N76),N76&gt;=0),"OK","CHECK")</x:f>
        <x:v>OK</x:v>
      </x:c>
      <x:c r="W76" t="str">
        <x:f>IF(AND(T76="OK",U76="OK",V76="OK"),"OK","CHECK")</x:f>
        <x:v>OK</x:v>
      </x:c>
      <x:c r="X76" t="str">
        <x:f>IF(W76="OK","LOAD","QUARANTINE")</x:f>
        <x:v>LOAD</x:v>
      </x:c>
      <x:c r="Y76" t="str">
        <x:v>03_Process_Losses(6).xlsx</x:v>
      </x:c>
      <x:c r="Z76" t="str">
        <x:v>ENH-20260830-01</x:v>
      </x:c>
      <x:c r="AA76" t="str">
        <x:f>IF(X76="LOAD","Active","Quarantine")</x:f>
        <x:v>Active</x:v>
      </x:c>
      <x:c r="AB76"/>
      <x:c r="AC76"/>
      <x:c r="AD76"/>
      <x:c r="AE76"/>
    </x:row>
    <x:row r="77">
      <x:c r="A77" t="str">
        <x:v>PLD-000073</x:v>
      </x:c>
      <x:c r="B77" t="str">
        <x:v>LOSS-KG01-L21-20251023-AM-ORD-2025-00020</x:v>
      </x:c>
      <x:c r="C77" t="str">
        <x:v>PE-KG01-L21-20251023-AM-ORD-2025-00020</x:v>
      </x:c>
      <x:c r="D77" t="str">
        <x:v>KG01</x:v>
      </x:c>
      <x:c r="E77" t="n">
        <x:v>21</x:v>
      </x:c>
      <x:c r="F77" s="52" t="n">
        <x:v>45953</x:v>
      </x:c>
      <x:c r="G77" t="str">
        <x:v>AM</x:v>
      </x:c>
      <x:c r="H77" t="str">
        <x:v>ORD-2025-00020</x:v>
      </x:c>
      <x:c r="I77" t="str">
        <x:v>Normal</x:v>
      </x:c>
      <x:c r="J77" t="str">
        <x:v>PROC_EVO12</x:v>
      </x:c>
      <x:c r="K77" t="str">
        <x:v>Inspection</x:v>
      </x:c>
      <x:c r="L77" s="54" t="n">
        <x:v>0.0016739446870451238</x:v>
      </x:c>
      <x:c r="M77" t="n">
        <x:v>137400</x:v>
      </x:c>
      <x:c r="N77" t="n">
        <x:f>L77*M77</x:f>
        <x:v>230</x:v>
      </x:c>
      <x:c r="O77"/>
      <x:c r="P77"/>
      <x:c r="Q77"/>
      <x:c r="R77"/>
      <x:c r="S77" s="52"/>
      <x:c r="T77" t="str">
        <x:v>OK</x:v>
      </x:c>
      <x:c r="U77" t="str">
        <x:f>IF(AND(ISNUMBER(L77),L77&gt;=0,L77&lt;=1),"OK","CHECK")</x:f>
        <x:v>OK</x:v>
      </x:c>
      <x:c r="V77" t="str">
        <x:f>IF(AND(ISNUMBER(N77),N77&gt;=0),"OK","CHECK")</x:f>
        <x:v>OK</x:v>
      </x:c>
      <x:c r="W77" t="str">
        <x:f>IF(AND(T77="OK",U77="OK",V77="OK"),"OK","CHECK")</x:f>
        <x:v>OK</x:v>
      </x:c>
      <x:c r="X77" t="str">
        <x:f>IF(W77="OK","LOAD","QUARANTINE")</x:f>
        <x:v>LOAD</x:v>
      </x:c>
      <x:c r="Y77" t="str">
        <x:v>03_Process_Losses(6).xlsx</x:v>
      </x:c>
      <x:c r="Z77" t="str">
        <x:v>ENH-20260830-01</x:v>
      </x:c>
      <x:c r="AA77" t="str">
        <x:f>IF(X77="LOAD","Active","Quarantine")</x:f>
        <x:v>Active</x:v>
      </x:c>
      <x:c r="AB77"/>
      <x:c r="AC77"/>
      <x:c r="AD77"/>
      <x:c r="AE77"/>
    </x:row>
    <x:row r="78">
      <x:c r="A78" t="str">
        <x:v>PLD-000074</x:v>
      </x:c>
      <x:c r="B78" t="str">
        <x:v>LOSS-KG01-L21-20251023-AM-ORD-2025-00020</x:v>
      </x:c>
      <x:c r="C78" t="str">
        <x:v>PE-KG01-L21-20251023-AM-ORD-2025-00020</x:v>
      </x:c>
      <x:c r="D78" t="str">
        <x:v>KG01</x:v>
      </x:c>
      <x:c r="E78" t="n">
        <x:v>21</x:v>
      </x:c>
      <x:c r="F78" s="52" t="n">
        <x:v>45953</x:v>
      </x:c>
      <x:c r="G78" t="str">
        <x:v>AM</x:v>
      </x:c>
      <x:c r="H78" t="str">
        <x:v>ORD-2025-00020</x:v>
      </x:c>
      <x:c r="I78" t="str">
        <x:v>Normal</x:v>
      </x:c>
      <x:c r="J78" t="str">
        <x:v>PROC_EVO5</x:v>
      </x:c>
      <x:c r="K78" t="str">
        <x:v>Inspection</x:v>
      </x:c>
      <x:c r="L78" s="54" t="n">
        <x:v>0.0031513828238719068</x:v>
      </x:c>
      <x:c r="M78" t="n">
        <x:v>137400</x:v>
      </x:c>
      <x:c r="N78" t="n">
        <x:f>L78*M78</x:f>
        <x:v>433</x:v>
      </x:c>
      <x:c r="O78"/>
      <x:c r="P78"/>
      <x:c r="Q78"/>
      <x:c r="R78"/>
      <x:c r="S78" s="52"/>
      <x:c r="T78" t="str">
        <x:v>OK</x:v>
      </x:c>
      <x:c r="U78" t="str">
        <x:f>IF(AND(ISNUMBER(L78),L78&gt;=0,L78&lt;=1),"OK","CHECK")</x:f>
        <x:v>OK</x:v>
      </x:c>
      <x:c r="V78" t="str">
        <x:f>IF(AND(ISNUMBER(N78),N78&gt;=0),"OK","CHECK")</x:f>
        <x:v>OK</x:v>
      </x:c>
      <x:c r="W78" t="str">
        <x:f>IF(AND(T78="OK",U78="OK",V78="OK"),"OK","CHECK")</x:f>
        <x:v>OK</x:v>
      </x:c>
      <x:c r="X78" t="str">
        <x:f>IF(W78="OK","LOAD","QUARANTINE")</x:f>
        <x:v>LOAD</x:v>
      </x:c>
      <x:c r="Y78" t="str">
        <x:v>03_Process_Losses(6).xlsx</x:v>
      </x:c>
      <x:c r="Z78" t="str">
        <x:v>ENH-20260830-01</x:v>
      </x:c>
      <x:c r="AA78" t="str">
        <x:f>IF(X78="LOAD","Active","Quarantine")</x:f>
        <x:v>Active</x:v>
      </x:c>
      <x:c r="AB78"/>
      <x:c r="AC78"/>
      <x:c r="AD78"/>
      <x:c r="AE78"/>
    </x:row>
    <x:row r="79">
      <x:c r="A79" t="str">
        <x:v>PLD-000075</x:v>
      </x:c>
      <x:c r="B79" t="str">
        <x:v>LOSS-KG01-L21-20251023-AM-ORD-2025-00020</x:v>
      </x:c>
      <x:c r="C79" t="str">
        <x:v>PE-KG01-L21-20251023-AM-ORD-2025-00020</x:v>
      </x:c>
      <x:c r="D79" t="str">
        <x:v>KG01</x:v>
      </x:c>
      <x:c r="E79" t="n">
        <x:v>21</x:v>
      </x:c>
      <x:c r="F79" s="52" t="n">
        <x:v>45953</x:v>
      </x:c>
      <x:c r="G79" t="str">
        <x:v>AM</x:v>
      </x:c>
      <x:c r="H79" t="str">
        <x:v>ORD-2025-00020</x:v>
      </x:c>
      <x:c r="I79" t="str">
        <x:v>Normal</x:v>
      </x:c>
      <x:c r="J79" t="str">
        <x:v>PROC_SANLI</x:v>
      </x:c>
      <x:c r="K79" t="str">
        <x:v>Inspection</x:v>
      </x:c>
      <x:c r="L79" s="54" t="n">
        <x:v>0.0038355167394468702</x:v>
      </x:c>
      <x:c r="M79" t="n">
        <x:v>137400</x:v>
      </x:c>
      <x:c r="N79" t="n">
        <x:f>L79*M79</x:f>
        <x:v>527</x:v>
      </x:c>
      <x:c r="O79"/>
      <x:c r="P79"/>
      <x:c r="Q79"/>
      <x:c r="R79"/>
      <x:c r="S79" s="52"/>
      <x:c r="T79" t="str">
        <x:v>OK</x:v>
      </x:c>
      <x:c r="U79" t="str">
        <x:f>IF(AND(ISNUMBER(L79),L79&gt;=0,L79&lt;=1),"OK","CHECK")</x:f>
        <x:v>OK</x:v>
      </x:c>
      <x:c r="V79" t="str">
        <x:f>IF(AND(ISNUMBER(N79),N79&gt;=0),"OK","CHECK")</x:f>
        <x:v>OK</x:v>
      </x:c>
      <x:c r="W79" t="str">
        <x:f>IF(AND(T79="OK",U79="OK",V79="OK"),"OK","CHECK")</x:f>
        <x:v>OK</x:v>
      </x:c>
      <x:c r="X79" t="str">
        <x:f>IF(W79="OK","LOAD","QUARANTINE")</x:f>
        <x:v>LOAD</x:v>
      </x:c>
      <x:c r="Y79" t="str">
        <x:v>03_Process_Losses(6).xlsx</x:v>
      </x:c>
      <x:c r="Z79" t="str">
        <x:v>ENH-20260830-01</x:v>
      </x:c>
      <x:c r="AA79" t="str">
        <x:f>IF(X79="LOAD","Active","Quarantine")</x:f>
        <x:v>Active</x:v>
      </x:c>
      <x:c r="AB79"/>
      <x:c r="AC79"/>
      <x:c r="AD79"/>
      <x:c r="AE79"/>
    </x:row>
    <x:row r="80">
      <x:c r="A80" t="str">
        <x:v>PLD-000076</x:v>
      </x:c>
      <x:c r="B80" t="str">
        <x:v>LOSS-KG01-L21-20251023-AM-ORD-2025-00020</x:v>
      </x:c>
      <x:c r="C80" t="str">
        <x:v>PE-KG01-L21-20251023-AM-ORD-2025-00020</x:v>
      </x:c>
      <x:c r="D80" t="str">
        <x:v>KG01</x:v>
      </x:c>
      <x:c r="E80" t="n">
        <x:v>21</x:v>
      </x:c>
      <x:c r="F80" s="52" t="n">
        <x:v>45953</x:v>
      </x:c>
      <x:c r="G80" t="str">
        <x:v>AM</x:v>
      </x:c>
      <x:c r="H80" t="str">
        <x:v>ORD-2025-00020</x:v>
      </x:c>
      <x:c r="I80" t="str">
        <x:v>Normal</x:v>
      </x:c>
      <x:c r="J80" t="str">
        <x:v>PROC_VISUAL</x:v>
      </x:c>
      <x:c r="K80" t="str">
        <x:v>Inspection</x:v>
      </x:c>
      <x:c r="L80" s="54" t="n">
        <x:v>0.003915574963609898</x:v>
      </x:c>
      <x:c r="M80" t="n">
        <x:v>137400</x:v>
      </x:c>
      <x:c r="N80" t="n">
        <x:f>L80*M80</x:f>
        <x:v>538</x:v>
      </x:c>
      <x:c r="O80"/>
      <x:c r="P80"/>
      <x:c r="Q80"/>
      <x:c r="R80"/>
      <x:c r="S80" s="52"/>
      <x:c r="T80" t="str">
        <x:v>OK</x:v>
      </x:c>
      <x:c r="U80" t="str">
        <x:f>IF(AND(ISNUMBER(L80),L80&gt;=0,L80&lt;=1),"OK","CHECK")</x:f>
        <x:v>OK</x:v>
      </x:c>
      <x:c r="V80" t="str">
        <x:f>IF(AND(ISNUMBER(N80),N80&gt;=0),"OK","CHECK")</x:f>
        <x:v>OK</x:v>
      </x:c>
      <x:c r="W80" t="str">
        <x:f>IF(AND(T80="OK",U80="OK",V80="OK"),"OK","CHECK")</x:f>
        <x:v>OK</x:v>
      </x:c>
      <x:c r="X80" t="str">
        <x:f>IF(W80="OK","LOAD","QUARANTINE")</x:f>
        <x:v>LOAD</x:v>
      </x:c>
      <x:c r="Y80" t="str">
        <x:v>03_Process_Losses(6).xlsx</x:v>
      </x:c>
      <x:c r="Z80" t="str">
        <x:v>ENH-20260830-01</x:v>
      </x:c>
      <x:c r="AA80" t="str">
        <x:f>IF(X80="LOAD","Active","Quarantine")</x:f>
        <x:v>Active</x:v>
      </x:c>
      <x:c r="AB80"/>
      <x:c r="AC80"/>
      <x:c r="AD80"/>
      <x:c r="AE80"/>
    </x:row>
    <x:row r="81">
      <x:c r="A81" t="str">
        <x:v>PLD-000077</x:v>
      </x:c>
      <x:c r="B81" t="str">
        <x:v>LOSS-KG01-L21-20251023-AM-ORD-2025-00020</x:v>
      </x:c>
      <x:c r="C81" t="str">
        <x:v>PE-KG01-L21-20251023-AM-ORD-2025-00020</x:v>
      </x:c>
      <x:c r="D81" t="str">
        <x:v>KG01</x:v>
      </x:c>
      <x:c r="E81" t="n">
        <x:v>21</x:v>
      </x:c>
      <x:c r="F81" s="52" t="n">
        <x:v>45953</x:v>
      </x:c>
      <x:c r="G81" t="str">
        <x:v>AM</x:v>
      </x:c>
      <x:c r="H81" t="str">
        <x:v>ORD-2025-00020</x:v>
      </x:c>
      <x:c r="I81" t="str">
        <x:v>Normal</x:v>
      </x:c>
      <x:c r="J81" t="str">
        <x:v>PROC_PALLETIZER</x:v>
      </x:c>
      <x:c r="K81" t="str">
        <x:v>Palletizer</x:v>
      </x:c>
      <x:c r="L81" s="54" t="n">
        <x:v>0.0027583697234352255</x:v>
      </x:c>
      <x:c r="M81" t="n">
        <x:v>137400</x:v>
      </x:c>
      <x:c r="N81" t="n">
        <x:f>L81*M81</x:f>
        <x:v>379</x:v>
      </x:c>
      <x:c r="O81"/>
      <x:c r="P81"/>
      <x:c r="Q81"/>
      <x:c r="R81"/>
      <x:c r="S81" s="52"/>
      <x:c r="T81" t="str">
        <x:v>OK</x:v>
      </x:c>
      <x:c r="U81" t="str">
        <x:f>IF(AND(ISNUMBER(L81),L81&gt;=0,L81&lt;=1),"OK","CHECK")</x:f>
        <x:v>OK</x:v>
      </x:c>
      <x:c r="V81" t="str">
        <x:f>IF(AND(ISNUMBER(N81),N81&gt;=0),"OK","CHECK")</x:f>
        <x:v>OK</x:v>
      </x:c>
      <x:c r="W81" t="str">
        <x:f>IF(AND(T81="OK",U81="OK",V81="OK"),"OK","CHECK")</x:f>
        <x:v>OK</x:v>
      </x:c>
      <x:c r="X81" t="str">
        <x:f>IF(W81="OK","LOAD","QUARANTINE")</x:f>
        <x:v>LOAD</x:v>
      </x:c>
      <x:c r="Y81" t="str">
        <x:v>03_Process_Losses(6).xlsx</x:v>
      </x:c>
      <x:c r="Z81" t="str">
        <x:v>ENH-20260830-01</x:v>
      </x:c>
      <x:c r="AA81" t="str">
        <x:f>IF(X81="LOAD","Active","Quarantine")</x:f>
        <x:v>Active</x:v>
      </x:c>
      <x:c r="AB81"/>
      <x:c r="AC81"/>
      <x:c r="AD81"/>
      <x:c r="AE81"/>
    </x:row>
    <x:row r="82">
      <x:c r="A82" t="str">
        <x:v>PLD-000078</x:v>
      </x:c>
      <x:c r="B82" t="str">
        <x:v>LOSS-KG01-L21-20251023-PM-ORD-2025-00020</x:v>
      </x:c>
      <x:c r="C82" t="str">
        <x:v>PE-KG01-L21-20251023-PM-ORD-2025-00020</x:v>
      </x:c>
      <x:c r="D82" t="str">
        <x:v>KG01</x:v>
      </x:c>
      <x:c r="E82" t="n">
        <x:v>21</x:v>
      </x:c>
      <x:c r="F82" s="52" t="n">
        <x:v>45953</x:v>
      </x:c>
      <x:c r="G82" t="str">
        <x:v>PM</x:v>
      </x:c>
      <x:c r="H82" t="str">
        <x:v>ORD-2025-00020</x:v>
      </x:c>
      <x:c r="I82" t="str">
        <x:v>Normal</x:v>
      </x:c>
      <x:c r="J82" t="str">
        <x:v>PROC_FIXED</x:v>
      </x:c>
      <x:c r="K82" t="str">
        <x:v>Fixed Losses</x:v>
      </x:c>
      <x:c r="L82" s="54" t="n">
        <x:v>0.0027880746443620695</x:v>
      </x:c>
      <x:c r="M82" t="n">
        <x:v>126252</x:v>
      </x:c>
      <x:c r="N82" t="n">
        <x:f>L82*M82</x:f>
        <x:v>352</x:v>
      </x:c>
      <x:c r="O82"/>
      <x:c r="P82"/>
      <x:c r="Q82"/>
      <x:c r="R82"/>
      <x:c r="S82" s="52"/>
      <x:c r="T82" t="str">
        <x:v>OK</x:v>
      </x:c>
      <x:c r="U82" t="str">
        <x:f>IF(AND(ISNUMBER(L82),L82&gt;=0,L82&lt;=1),"OK","CHECK")</x:f>
        <x:v>OK</x:v>
      </x:c>
      <x:c r="V82" t="str">
        <x:f>IF(AND(ISNUMBER(N82),N82&gt;=0),"OK","CHECK")</x:f>
        <x:v>OK</x:v>
      </x:c>
      <x:c r="W82" t="str">
        <x:f>IF(AND(T82="OK",U82="OK",V82="OK"),"OK","CHECK")</x:f>
        <x:v>OK</x:v>
      </x:c>
      <x:c r="X82" t="str">
        <x:f>IF(W82="OK","LOAD","QUARANTINE")</x:f>
        <x:v>LOAD</x:v>
      </x:c>
      <x:c r="Y82" t="str">
        <x:v>03_Process_Losses(6).xlsx</x:v>
      </x:c>
      <x:c r="Z82" t="str">
        <x:v>ENH-20260830-01</x:v>
      </x:c>
      <x:c r="AA82" t="str">
        <x:f>IF(X82="LOAD","Active","Quarantine")</x:f>
        <x:v>Active</x:v>
      </x:c>
      <x:c r="AB82"/>
      <x:c r="AC82"/>
      <x:c r="AD82"/>
      <x:c r="AE82"/>
    </x:row>
    <x:row r="83">
      <x:c r="A83" t="str">
        <x:v>PLD-000079</x:v>
      </x:c>
      <x:c r="B83" t="str">
        <x:v>LOSS-KG01-L21-20251023-PM-ORD-2025-00020</x:v>
      </x:c>
      <x:c r="C83" t="str">
        <x:v>PE-KG01-L21-20251023-PM-ORD-2025-00020</x:v>
      </x:c>
      <x:c r="D83" t="str">
        <x:v>KG01</x:v>
      </x:c>
      <x:c r="E83" t="n">
        <x:v>21</x:v>
      </x:c>
      <x:c r="F83" s="52" t="n">
        <x:v>45953</x:v>
      </x:c>
      <x:c r="G83" t="str">
        <x:v>PM</x:v>
      </x:c>
      <x:c r="H83" t="str">
        <x:v>ORD-2025-00020</x:v>
      </x:c>
      <x:c r="I83" t="str">
        <x:v>Normal</x:v>
      </x:c>
      <x:c r="J83" t="str">
        <x:v>PROC_IS</x:v>
      </x:c>
      <x:c r="K83" t="str">
        <x:v>IS Machine</x:v>
      </x:c>
      <x:c r="L83" s="54" t="n">
        <x:v>0.004475176630865253</x:v>
      </x:c>
      <x:c r="M83" t="n">
        <x:v>126252</x:v>
      </x:c>
      <x:c r="N83" t="n">
        <x:f>L83*M83</x:f>
        <x:v>565</x:v>
      </x:c>
      <x:c r="O83"/>
      <x:c r="P83"/>
      <x:c r="Q83"/>
      <x:c r="R83"/>
      <x:c r="S83" s="52"/>
      <x:c r="T83" t="str">
        <x:v>OK</x:v>
      </x:c>
      <x:c r="U83" t="str">
        <x:f>IF(AND(ISNUMBER(L83),L83&gt;=0,L83&lt;=1),"OK","CHECK")</x:f>
        <x:v>OK</x:v>
      </x:c>
      <x:c r="V83" t="str">
        <x:f>IF(AND(ISNUMBER(N83),N83&gt;=0),"OK","CHECK")</x:f>
        <x:v>OK</x:v>
      </x:c>
      <x:c r="W83" t="str">
        <x:f>IF(AND(T83="OK",U83="OK",V83="OK"),"OK","CHECK")</x:f>
        <x:v>OK</x:v>
      </x:c>
      <x:c r="X83" t="str">
        <x:f>IF(W83="OK","LOAD","QUARANTINE")</x:f>
        <x:v>LOAD</x:v>
      </x:c>
      <x:c r="Y83" t="str">
        <x:v>03_Process_Losses(6).xlsx</x:v>
      </x:c>
      <x:c r="Z83" t="str">
        <x:v>ENH-20260830-01</x:v>
      </x:c>
      <x:c r="AA83" t="str">
        <x:f>IF(X83="LOAD","Active","Quarantine")</x:f>
        <x:v>Active</x:v>
      </x:c>
      <x:c r="AB83"/>
      <x:c r="AC83"/>
      <x:c r="AD83"/>
      <x:c r="AE83"/>
    </x:row>
    <x:row r="84">
      <x:c r="A84" t="str">
        <x:v>PLD-000080</x:v>
      </x:c>
      <x:c r="B84" t="str">
        <x:v>LOSS-KG01-L21-20251023-PM-ORD-2025-00020</x:v>
      </x:c>
      <x:c r="C84" t="str">
        <x:v>PE-KG01-L21-20251023-PM-ORD-2025-00020</x:v>
      </x:c>
      <x:c r="D84" t="str">
        <x:v>KG01</x:v>
      </x:c>
      <x:c r="E84" t="n">
        <x:v>21</x:v>
      </x:c>
      <x:c r="F84" s="52" t="n">
        <x:v>45953</x:v>
      </x:c>
      <x:c r="G84" t="str">
        <x:v>PM</x:v>
      </x:c>
      <x:c r="H84" t="str">
        <x:v>ORD-2025-00020</x:v>
      </x:c>
      <x:c r="I84" t="str">
        <x:v>Normal</x:v>
      </x:c>
      <x:c r="J84" t="str">
        <x:v>PROC_HE_CONVEYER</x:v>
      </x:c>
      <x:c r="K84" t="str">
        <x:v>Hot End</x:v>
      </x:c>
      <x:c r="L84" s="54" t="n">
        <x:v>0.002590057979279536</x:v>
      </x:c>
      <x:c r="M84" t="n">
        <x:v>126252</x:v>
      </x:c>
      <x:c r="N84" t="n">
        <x:f>L84*M84</x:f>
        <x:v>327</x:v>
      </x:c>
      <x:c r="O84"/>
      <x:c r="P84"/>
      <x:c r="Q84"/>
      <x:c r="R84"/>
      <x:c r="S84" s="52"/>
      <x:c r="T84" t="str">
        <x:v>OK</x:v>
      </x:c>
      <x:c r="U84" t="str">
        <x:f>IF(AND(ISNUMBER(L84),L84&gt;=0,L84&lt;=1),"OK","CHECK")</x:f>
        <x:v>OK</x:v>
      </x:c>
      <x:c r="V84" t="str">
        <x:f>IF(AND(ISNUMBER(N84),N84&gt;=0),"OK","CHECK")</x:f>
        <x:v>OK</x:v>
      </x:c>
      <x:c r="W84" t="str">
        <x:f>IF(AND(T84="OK",U84="OK",V84="OK"),"OK","CHECK")</x:f>
        <x:v>OK</x:v>
      </x:c>
      <x:c r="X84" t="str">
        <x:f>IF(W84="OK","LOAD","QUARANTINE")</x:f>
        <x:v>LOAD</x:v>
      </x:c>
      <x:c r="Y84" t="str">
        <x:v>03_Process_Losses(6).xlsx</x:v>
      </x:c>
      <x:c r="Z84" t="str">
        <x:v>ENH-20260830-01</x:v>
      </x:c>
      <x:c r="AA84" t="str">
        <x:f>IF(X84="LOAD","Active","Quarantine")</x:f>
        <x:v>Active</x:v>
      </x:c>
      <x:c r="AB84"/>
      <x:c r="AC84"/>
      <x:c r="AD84"/>
      <x:c r="AE84"/>
    </x:row>
    <x:row r="85">
      <x:c r="A85" t="str">
        <x:v>PLD-000081</x:v>
      </x:c>
      <x:c r="B85" t="str">
        <x:v>LOSS-KG01-L21-20251023-PM-ORD-2025-00020</x:v>
      </x:c>
      <x:c r="C85" t="str">
        <x:v>PE-KG01-L21-20251023-PM-ORD-2025-00020</x:v>
      </x:c>
      <x:c r="D85" t="str">
        <x:v>KG01</x:v>
      </x:c>
      <x:c r="E85" t="n">
        <x:v>21</x:v>
      </x:c>
      <x:c r="F85" s="52" t="n">
        <x:v>45953</x:v>
      </x:c>
      <x:c r="G85" t="str">
        <x:v>PM</x:v>
      </x:c>
      <x:c r="H85" t="str">
        <x:v>ORD-2025-00020</x:v>
      </x:c>
      <x:c r="I85" t="str">
        <x:v>Normal</x:v>
      </x:c>
      <x:c r="J85" t="str">
        <x:v>PROC_STUCKDOWN</x:v>
      </x:c>
      <x:c r="K85" t="str">
        <x:v>Forming</x:v>
      </x:c>
      <x:c r="L85" s="54" t="n">
        <x:v>0.0007287013275037227</x:v>
      </x:c>
      <x:c r="M85" t="n">
        <x:v>126252</x:v>
      </x:c>
      <x:c r="N85" t="n">
        <x:f>L85*M85</x:f>
        <x:v>92</x:v>
      </x:c>
      <x:c r="O85"/>
      <x:c r="P85"/>
      <x:c r="Q85"/>
      <x:c r="R85"/>
      <x:c r="S85" s="52"/>
      <x:c r="T85" t="str">
        <x:v>OK</x:v>
      </x:c>
      <x:c r="U85" t="str">
        <x:f>IF(AND(ISNUMBER(L85),L85&gt;=0,L85&lt;=1),"OK","CHECK")</x:f>
        <x:v>OK</x:v>
      </x:c>
      <x:c r="V85" t="str">
        <x:f>IF(AND(ISNUMBER(N85),N85&gt;=0),"OK","CHECK")</x:f>
        <x:v>OK</x:v>
      </x:c>
      <x:c r="W85" t="str">
        <x:f>IF(AND(T85="OK",U85="OK",V85="OK"),"OK","CHECK")</x:f>
        <x:v>OK</x:v>
      </x:c>
      <x:c r="X85" t="str">
        <x:f>IF(W85="OK","LOAD","QUARANTINE")</x:f>
        <x:v>LOAD</x:v>
      </x:c>
      <x:c r="Y85" t="str">
        <x:v>03_Process_Losses(6).xlsx</x:v>
      </x:c>
      <x:c r="Z85" t="str">
        <x:v>ENH-20260830-01</x:v>
      </x:c>
      <x:c r="AA85" t="str">
        <x:f>IF(X85="LOAD","Active","Quarantine")</x:f>
        <x:v>Active</x:v>
      </x:c>
      <x:c r="AB85"/>
      <x:c r="AC85"/>
      <x:c r="AD85"/>
      <x:c r="AE85"/>
    </x:row>
    <x:row r="86">
      <x:c r="A86" t="str">
        <x:v>PLD-000082</x:v>
      </x:c>
      <x:c r="B86" t="str">
        <x:v>LOSS-KG01-L21-20251023-PM-ORD-2025-00020</x:v>
      </x:c>
      <x:c r="C86" t="str">
        <x:v>PE-KG01-L21-20251023-PM-ORD-2025-00020</x:v>
      </x:c>
      <x:c r="D86" t="str">
        <x:v>KG01</x:v>
      </x:c>
      <x:c r="E86" t="n">
        <x:v>21</x:v>
      </x:c>
      <x:c r="F86" s="52" t="n">
        <x:v>45953</x:v>
      </x:c>
      <x:c r="G86" t="str">
        <x:v>PM</x:v>
      </x:c>
      <x:c r="H86" t="str">
        <x:v>ORD-2025-00020</x:v>
      </x:c>
      <x:c r="I86" t="str">
        <x:v>Normal</x:v>
      </x:c>
      <x:c r="J86" t="str">
        <x:v>PROC_LEHR</x:v>
      </x:c>
      <x:c r="K86" t="str">
        <x:v>Lehr</x:v>
      </x:c>
      <x:c r="L86" s="54" t="n">
        <x:v>0.003493013972055888</x:v>
      </x:c>
      <x:c r="M86" t="n">
        <x:v>126252</x:v>
      </x:c>
      <x:c r="N86" t="n">
        <x:f>L86*M86</x:f>
        <x:v>441</x:v>
      </x:c>
      <x:c r="O86"/>
      <x:c r="P86"/>
      <x:c r="Q86"/>
      <x:c r="R86"/>
      <x:c r="S86" s="52"/>
      <x:c r="T86" t="str">
        <x:v>OK</x:v>
      </x:c>
      <x:c r="U86" t="str">
        <x:f>IF(AND(ISNUMBER(L86),L86&gt;=0,L86&lt;=1),"OK","CHECK")</x:f>
        <x:v>OK</x:v>
      </x:c>
      <x:c r="V86" t="str">
        <x:f>IF(AND(ISNUMBER(N86),N86&gt;=0),"OK","CHECK")</x:f>
        <x:v>OK</x:v>
      </x:c>
      <x:c r="W86" t="str">
        <x:f>IF(AND(T86="OK",U86="OK",V86="OK"),"OK","CHECK")</x:f>
        <x:v>OK</x:v>
      </x:c>
      <x:c r="X86" t="str">
        <x:f>IF(W86="OK","LOAD","QUARANTINE")</x:f>
        <x:v>LOAD</x:v>
      </x:c>
      <x:c r="Y86" t="str">
        <x:v>03_Process_Losses(6).xlsx</x:v>
      </x:c>
      <x:c r="Z86" t="str">
        <x:v>ENH-20260830-01</x:v>
      </x:c>
      <x:c r="AA86" t="str">
        <x:f>IF(X86="LOAD","Active","Quarantine")</x:f>
        <x:v>Active</x:v>
      </x:c>
      <x:c r="AB86"/>
      <x:c r="AC86"/>
      <x:c r="AD86"/>
      <x:c r="AE86"/>
    </x:row>
    <x:row r="87">
      <x:c r="A87" t="str">
        <x:v>PLD-000083</x:v>
      </x:c>
      <x:c r="B87" t="str">
        <x:v>LOSS-KG01-L21-20251023-PM-ORD-2025-00020</x:v>
      </x:c>
      <x:c r="C87" t="str">
        <x:v>PE-KG01-L21-20251023-PM-ORD-2025-00020</x:v>
      </x:c>
      <x:c r="D87" t="str">
        <x:v>KG01</x:v>
      </x:c>
      <x:c r="E87" t="n">
        <x:v>21</x:v>
      </x:c>
      <x:c r="F87" s="52" t="n">
        <x:v>45953</x:v>
      </x:c>
      <x:c r="G87" t="str">
        <x:v>PM</x:v>
      </x:c>
      <x:c r="H87" t="str">
        <x:v>ORD-2025-00020</x:v>
      </x:c>
      <x:c r="I87" t="str">
        <x:v>Normal</x:v>
      </x:c>
      <x:c r="J87" t="str">
        <x:v>PROC_EVO16</x:v>
      </x:c>
      <x:c r="K87" t="str">
        <x:v>Inspection</x:v>
      </x:c>
      <x:c r="L87" s="54" t="n">
        <x:v>0.0035959826378988056</x:v>
      </x:c>
      <x:c r="M87" t="n">
        <x:v>126252</x:v>
      </x:c>
      <x:c r="N87" t="n">
        <x:f>L87*M87</x:f>
        <x:v>454</x:v>
      </x:c>
      <x:c r="O87"/>
      <x:c r="P87"/>
      <x:c r="Q87"/>
      <x:c r="R87"/>
      <x:c r="S87" s="52"/>
      <x:c r="T87" t="str">
        <x:v>OK</x:v>
      </x:c>
      <x:c r="U87" t="str">
        <x:f>IF(AND(ISNUMBER(L87),L87&gt;=0,L87&lt;=1),"OK","CHECK")</x:f>
        <x:v>OK</x:v>
      </x:c>
      <x:c r="V87" t="str">
        <x:f>IF(AND(ISNUMBER(N87),N87&gt;=0),"OK","CHECK")</x:f>
        <x:v>OK</x:v>
      </x:c>
      <x:c r="W87" t="str">
        <x:f>IF(AND(T87="OK",U87="OK",V87="OK"),"OK","CHECK")</x:f>
        <x:v>OK</x:v>
      </x:c>
      <x:c r="X87" t="str">
        <x:f>IF(W87="OK","LOAD","QUARANTINE")</x:f>
        <x:v>LOAD</x:v>
      </x:c>
      <x:c r="Y87" t="str">
        <x:v>03_Process_Losses(6).xlsx</x:v>
      </x:c>
      <x:c r="Z87" t="str">
        <x:v>ENH-20260830-01</x:v>
      </x:c>
      <x:c r="AA87" t="str">
        <x:f>IF(X87="LOAD","Active","Quarantine")</x:f>
        <x:v>Active</x:v>
      </x:c>
      <x:c r="AB87"/>
      <x:c r="AC87"/>
      <x:c r="AD87"/>
      <x:c r="AE87"/>
    </x:row>
    <x:row r="88">
      <x:c r="A88" t="str">
        <x:v>PLD-000084</x:v>
      </x:c>
      <x:c r="B88" t="str">
        <x:v>LOSS-KG01-L21-20251023-PM-ORD-2025-00020</x:v>
      </x:c>
      <x:c r="C88" t="str">
        <x:v>PE-KG01-L21-20251023-PM-ORD-2025-00020</x:v>
      </x:c>
      <x:c r="D88" t="str">
        <x:v>KG01</x:v>
      </x:c>
      <x:c r="E88" t="n">
        <x:v>21</x:v>
      </x:c>
      <x:c r="F88" s="52" t="n">
        <x:v>45953</x:v>
      </x:c>
      <x:c r="G88" t="str">
        <x:v>PM</x:v>
      </x:c>
      <x:c r="H88" t="str">
        <x:v>ORD-2025-00020</x:v>
      </x:c>
      <x:c r="I88" t="str">
        <x:v>Normal</x:v>
      </x:c>
      <x:c r="J88" t="str">
        <x:v>PROC_EVO12</x:v>
      </x:c>
      <x:c r="K88" t="str">
        <x:v>Inspection</x:v>
      </x:c>
      <x:c r="L88" s="54" t="n">
        <x:v>0.0012435446567183094</x:v>
      </x:c>
      <x:c r="M88" t="n">
        <x:v>126252</x:v>
      </x:c>
      <x:c r="N88" t="n">
        <x:f>L88*M88</x:f>
        <x:v>157</x:v>
      </x:c>
      <x:c r="O88"/>
      <x:c r="P88"/>
      <x:c r="Q88"/>
      <x:c r="R88"/>
      <x:c r="S88" s="52"/>
      <x:c r="T88" t="str">
        <x:v>OK</x:v>
      </x:c>
      <x:c r="U88" t="str">
        <x:f>IF(AND(ISNUMBER(L88),L88&gt;=0,L88&lt;=1),"OK","CHECK")</x:f>
        <x:v>OK</x:v>
      </x:c>
      <x:c r="V88" t="str">
        <x:f>IF(AND(ISNUMBER(N88),N88&gt;=0),"OK","CHECK")</x:f>
        <x:v>OK</x:v>
      </x:c>
      <x:c r="W88" t="str">
        <x:f>IF(AND(T88="OK",U88="OK",V88="OK"),"OK","CHECK")</x:f>
        <x:v>OK</x:v>
      </x:c>
      <x:c r="X88" t="str">
        <x:f>IF(W88="OK","LOAD","QUARANTINE")</x:f>
        <x:v>LOAD</x:v>
      </x:c>
      <x:c r="Y88" t="str">
        <x:v>03_Process_Losses(6).xlsx</x:v>
      </x:c>
      <x:c r="Z88" t="str">
        <x:v>ENH-20260830-01</x:v>
      </x:c>
      <x:c r="AA88" t="str">
        <x:f>IF(X88="LOAD","Active","Quarantine")</x:f>
        <x:v>Active</x:v>
      </x:c>
      <x:c r="AB88"/>
      <x:c r="AC88"/>
      <x:c r="AD88"/>
      <x:c r="AE88"/>
    </x:row>
    <x:row r="89">
      <x:c r="A89" t="str">
        <x:v>PLD-000085</x:v>
      </x:c>
      <x:c r="B89" t="str">
        <x:v>LOSS-KG01-L21-20251023-PM-ORD-2025-00020</x:v>
      </x:c>
      <x:c r="C89" t="str">
        <x:v>PE-KG01-L21-20251023-PM-ORD-2025-00020</x:v>
      </x:c>
      <x:c r="D89" t="str">
        <x:v>KG01</x:v>
      </x:c>
      <x:c r="E89" t="n">
        <x:v>21</x:v>
      </x:c>
      <x:c r="F89" s="52" t="n">
        <x:v>45953</x:v>
      </x:c>
      <x:c r="G89" t="str">
        <x:v>PM</x:v>
      </x:c>
      <x:c r="H89" t="str">
        <x:v>ORD-2025-00020</x:v>
      </x:c>
      <x:c r="I89" t="str">
        <x:v>Normal</x:v>
      </x:c>
      <x:c r="J89" t="str">
        <x:v>PROC_EVO5</x:v>
      </x:c>
      <x:c r="K89" t="str">
        <x:v>Inspection</x:v>
      </x:c>
      <x:c r="L89" s="54" t="n">
        <x:v>0.0006336533282641067</x:v>
      </x:c>
      <x:c r="M89" t="n">
        <x:v>126252</x:v>
      </x:c>
      <x:c r="N89" t="n">
        <x:f>L89*M89</x:f>
        <x:v>80</x:v>
      </x:c>
      <x:c r="O89"/>
      <x:c r="P89"/>
      <x:c r="Q89"/>
      <x:c r="R89"/>
      <x:c r="S89" s="52"/>
      <x:c r="T89" t="str">
        <x:v>OK</x:v>
      </x:c>
      <x:c r="U89" t="str">
        <x:f>IF(AND(ISNUMBER(L89),L89&gt;=0,L89&lt;=1),"OK","CHECK")</x:f>
        <x:v>OK</x:v>
      </x:c>
      <x:c r="V89" t="str">
        <x:f>IF(AND(ISNUMBER(N89),N89&gt;=0),"OK","CHECK")</x:f>
        <x:v>OK</x:v>
      </x:c>
      <x:c r="W89" t="str">
        <x:f>IF(AND(T89="OK",U89="OK",V89="OK"),"OK","CHECK")</x:f>
        <x:v>OK</x:v>
      </x:c>
      <x:c r="X89" t="str">
        <x:f>IF(W89="OK","LOAD","QUARANTINE")</x:f>
        <x:v>LOAD</x:v>
      </x:c>
      <x:c r="Y89" t="str">
        <x:v>03_Process_Losses(6).xlsx</x:v>
      </x:c>
      <x:c r="Z89" t="str">
        <x:v>ENH-20260830-01</x:v>
      </x:c>
      <x:c r="AA89" t="str">
        <x:f>IF(X89="LOAD","Active","Quarantine")</x:f>
        <x:v>Active</x:v>
      </x:c>
      <x:c r="AB89"/>
      <x:c r="AC89"/>
      <x:c r="AD89"/>
      <x:c r="AE89"/>
    </x:row>
    <x:row r="90">
      <x:c r="A90" t="str">
        <x:v>PLD-000086</x:v>
      </x:c>
      <x:c r="B90" t="str">
        <x:v>LOSS-KG01-L21-20251023-PM-ORD-2025-00020</x:v>
      </x:c>
      <x:c r="C90" t="str">
        <x:v>PE-KG01-L21-20251023-PM-ORD-2025-00020</x:v>
      </x:c>
      <x:c r="D90" t="str">
        <x:v>KG01</x:v>
      </x:c>
      <x:c r="E90" t="n">
        <x:v>21</x:v>
      </x:c>
      <x:c r="F90" s="52" t="n">
        <x:v>45953</x:v>
      </x:c>
      <x:c r="G90" t="str">
        <x:v>PM</x:v>
      </x:c>
      <x:c r="H90" t="str">
        <x:v>ORD-2025-00020</x:v>
      </x:c>
      <x:c r="I90" t="str">
        <x:v>Normal</x:v>
      </x:c>
      <x:c r="J90" t="str">
        <x:v>PROC_SANLI</x:v>
      </x:c>
      <x:c r="K90" t="str">
        <x:v>Inspection</x:v>
      </x:c>
      <x:c r="L90" s="54" t="n">
        <x:v>0.0021465006494946616</x:v>
      </x:c>
      <x:c r="M90" t="n">
        <x:v>126252</x:v>
      </x:c>
      <x:c r="N90" t="n">
        <x:f>L90*M90</x:f>
        <x:v>271</x:v>
      </x:c>
      <x:c r="O90"/>
      <x:c r="P90"/>
      <x:c r="Q90"/>
      <x:c r="R90"/>
      <x:c r="S90" s="52"/>
      <x:c r="T90" t="str">
        <x:v>OK</x:v>
      </x:c>
      <x:c r="U90" t="str">
        <x:f>IF(AND(ISNUMBER(L90),L90&gt;=0,L90&lt;=1),"OK","CHECK")</x:f>
        <x:v>OK</x:v>
      </x:c>
      <x:c r="V90" t="str">
        <x:f>IF(AND(ISNUMBER(N90),N90&gt;=0),"OK","CHECK")</x:f>
        <x:v>OK</x:v>
      </x:c>
      <x:c r="W90" t="str">
        <x:f>IF(AND(T90="OK",U90="OK",V90="OK"),"OK","CHECK")</x:f>
        <x:v>OK</x:v>
      </x:c>
      <x:c r="X90" t="str">
        <x:f>IF(W90="OK","LOAD","QUARANTINE")</x:f>
        <x:v>LOAD</x:v>
      </x:c>
      <x:c r="Y90" t="str">
        <x:v>03_Process_Losses(6).xlsx</x:v>
      </x:c>
      <x:c r="Z90" t="str">
        <x:v>ENH-20260830-01</x:v>
      </x:c>
      <x:c r="AA90" t="str">
        <x:f>IF(X90="LOAD","Active","Quarantine")</x:f>
        <x:v>Active</x:v>
      </x:c>
      <x:c r="AB90"/>
      <x:c r="AC90"/>
      <x:c r="AD90"/>
      <x:c r="AE90"/>
    </x:row>
    <x:row r="91">
      <x:c r="A91" t="str">
        <x:v>PLD-000087</x:v>
      </x:c>
      <x:c r="B91" t="str">
        <x:v>LOSS-KG01-L21-20251023-PM-ORD-2025-00020</x:v>
      </x:c>
      <x:c r="C91" t="str">
        <x:v>PE-KG01-L21-20251023-PM-ORD-2025-00020</x:v>
      </x:c>
      <x:c r="D91" t="str">
        <x:v>KG01</x:v>
      </x:c>
      <x:c r="E91" t="n">
        <x:v>21</x:v>
      </x:c>
      <x:c r="F91" s="52" t="n">
        <x:v>45953</x:v>
      </x:c>
      <x:c r="G91" t="str">
        <x:v>PM</x:v>
      </x:c>
      <x:c r="H91" t="str">
        <x:v>ORD-2025-00020</x:v>
      </x:c>
      <x:c r="I91" t="str">
        <x:v>Normal</x:v>
      </x:c>
      <x:c r="J91" t="str">
        <x:v>PROC_VISUAL</x:v>
      </x:c>
      <x:c r="K91" t="str">
        <x:v>Inspection</x:v>
      </x:c>
      <x:c r="L91" s="54" t="n">
        <x:v>0.001996007984031936</x:v>
      </x:c>
      <x:c r="M91" t="n">
        <x:v>126252</x:v>
      </x:c>
      <x:c r="N91" t="n">
        <x:f>L91*M91</x:f>
        <x:v>251.99999999999997</x:v>
      </x:c>
      <x:c r="O91"/>
      <x:c r="P91"/>
      <x:c r="Q91"/>
      <x:c r="R91"/>
      <x:c r="S91" s="52"/>
      <x:c r="T91" t="str">
        <x:v>OK</x:v>
      </x:c>
      <x:c r="U91" t="str">
        <x:f>IF(AND(ISNUMBER(L91),L91&gt;=0,L91&lt;=1),"OK","CHECK")</x:f>
        <x:v>OK</x:v>
      </x:c>
      <x:c r="V91" t="str">
        <x:f>IF(AND(ISNUMBER(N91),N91&gt;=0),"OK","CHECK")</x:f>
        <x:v>OK</x:v>
      </x:c>
      <x:c r="W91" t="str">
        <x:f>IF(AND(T91="OK",U91="OK",V91="OK"),"OK","CHECK")</x:f>
        <x:v>OK</x:v>
      </x:c>
      <x:c r="X91" t="str">
        <x:f>IF(W91="OK","LOAD","QUARANTINE")</x:f>
        <x:v>LOAD</x:v>
      </x:c>
      <x:c r="Y91" t="str">
        <x:v>03_Process_Losses(6).xlsx</x:v>
      </x:c>
      <x:c r="Z91" t="str">
        <x:v>ENH-20260830-01</x:v>
      </x:c>
      <x:c r="AA91" t="str">
        <x:f>IF(X91="LOAD","Active","Quarantine")</x:f>
        <x:v>Active</x:v>
      </x:c>
      <x:c r="AB91"/>
      <x:c r="AC91"/>
      <x:c r="AD91"/>
      <x:c r="AE91"/>
    </x:row>
    <x:row r="92">
      <x:c r="A92" t="str">
        <x:v>PLD-000088</x:v>
      </x:c>
      <x:c r="B92" t="str">
        <x:v>LOSS-KG01-L21-20251023-PM-ORD-2025-00020</x:v>
      </x:c>
      <x:c r="C92" t="str">
        <x:v>PE-KG01-L21-20251023-PM-ORD-2025-00020</x:v>
      </x:c>
      <x:c r="D92" t="str">
        <x:v>KG01</x:v>
      </x:c>
      <x:c r="E92" t="n">
        <x:v>21</x:v>
      </x:c>
      <x:c r="F92" s="52" t="n">
        <x:v>45953</x:v>
      </x:c>
      <x:c r="G92" t="str">
        <x:v>PM</x:v>
      </x:c>
      <x:c r="H92" t="str">
        <x:v>ORD-2025-00020</x:v>
      </x:c>
      <x:c r="I92" t="str">
        <x:v>Normal</x:v>
      </x:c>
      <x:c r="J92" t="str">
        <x:v>PROC_PALLETIZER</x:v>
      </x:c>
      <x:c r="K92" t="str">
        <x:v>Palletizer</x:v>
      </x:c>
      <x:c r="L92" s="54" t="n">
        <x:v>0.0044276526312454455</x:v>
      </x:c>
      <x:c r="M92" t="n">
        <x:v>126252</x:v>
      </x:c>
      <x:c r="N92" t="n">
        <x:f>L92*M92</x:f>
        <x:v>559</x:v>
      </x:c>
      <x:c r="O92"/>
      <x:c r="P92"/>
      <x:c r="Q92"/>
      <x:c r="R92"/>
      <x:c r="S92" s="52"/>
      <x:c r="T92" t="str">
        <x:v>OK</x:v>
      </x:c>
      <x:c r="U92" t="str">
        <x:f>IF(AND(ISNUMBER(L92),L92&gt;=0,L92&lt;=1),"OK","CHECK")</x:f>
        <x:v>OK</x:v>
      </x:c>
      <x:c r="V92" t="str">
        <x:f>IF(AND(ISNUMBER(N92),N92&gt;=0),"OK","CHECK")</x:f>
        <x:v>OK</x:v>
      </x:c>
      <x:c r="W92" t="str">
        <x:f>IF(AND(T92="OK",U92="OK",V92="OK"),"OK","CHECK")</x:f>
        <x:v>OK</x:v>
      </x:c>
      <x:c r="X92" t="str">
        <x:f>IF(W92="OK","LOAD","QUARANTINE")</x:f>
        <x:v>LOAD</x:v>
      </x:c>
      <x:c r="Y92" t="str">
        <x:v>03_Process_Losses(6).xlsx</x:v>
      </x:c>
      <x:c r="Z92" t="str">
        <x:v>ENH-20260830-01</x:v>
      </x:c>
      <x:c r="AA92" t="str">
        <x:f>IF(X92="LOAD","Active","Quarantine")</x:f>
        <x:v>Active</x:v>
      </x:c>
      <x:c r="AB92"/>
      <x:c r="AC92"/>
      <x:c r="AD92"/>
      <x:c r="AE92"/>
    </x:row>
    <x:row r="93">
      <x:c r="A93" t="str">
        <x:v>PLD-000089</x:v>
      </x:c>
      <x:c r="B93" t="str">
        <x:v>LOSS-KG01-L21-20251024-AM-ORD-2025-00020</x:v>
      </x:c>
      <x:c r="C93" t="str">
        <x:v>PE-KG01-L21-20251024-AM-ORD-2025-00020</x:v>
      </x:c>
      <x:c r="D93" t="str">
        <x:v>KG01</x:v>
      </x:c>
      <x:c r="E93" t="n">
        <x:v>21</x:v>
      </x:c>
      <x:c r="F93" s="52" t="n">
        <x:v>45954</x:v>
      </x:c>
      <x:c r="G93" t="str">
        <x:v>AM</x:v>
      </x:c>
      <x:c r="H93" t="str">
        <x:v>ORD-2025-00020</x:v>
      </x:c>
      <x:c r="I93" t="str">
        <x:v>Normal</x:v>
      </x:c>
      <x:c r="J93" t="str">
        <x:v>PROC_FIXED</x:v>
      </x:c>
      <x:c r="K93" t="str">
        <x:v>Fixed Losses</x:v>
      </x:c>
      <x:c r="L93" s="54" t="n">
        <x:v>0.0037233493366372414</x:v>
      </x:c>
      <x:c r="M93" t="n">
        <x:v>154968</x:v>
      </x:c>
      <x:c r="N93" t="n">
        <x:f>L93*M93</x:f>
        <x:v>577</x:v>
      </x:c>
      <x:c r="O93"/>
      <x:c r="P93"/>
      <x:c r="Q93"/>
      <x:c r="R93"/>
      <x:c r="S93" s="52"/>
      <x:c r="T93" t="str">
        <x:v>OK</x:v>
      </x:c>
      <x:c r="U93" t="str">
        <x:f>IF(AND(ISNUMBER(L93),L93&gt;=0,L93&lt;=1),"OK","CHECK")</x:f>
        <x:v>OK</x:v>
      </x:c>
      <x:c r="V93" t="str">
        <x:f>IF(AND(ISNUMBER(N93),N93&gt;=0),"OK","CHECK")</x:f>
        <x:v>OK</x:v>
      </x:c>
      <x:c r="W93" t="str">
        <x:f>IF(AND(T93="OK",U93="OK",V93="OK"),"OK","CHECK")</x:f>
        <x:v>OK</x:v>
      </x:c>
      <x:c r="X93" t="str">
        <x:f>IF(W93="OK","LOAD","QUARANTINE")</x:f>
        <x:v>LOAD</x:v>
      </x:c>
      <x:c r="Y93" t="str">
        <x:v>03_Process_Losses(6).xlsx</x:v>
      </x:c>
      <x:c r="Z93" t="str">
        <x:v>ENH-20260830-01</x:v>
      </x:c>
      <x:c r="AA93" t="str">
        <x:f>IF(X93="LOAD","Active","Quarantine")</x:f>
        <x:v>Active</x:v>
      </x:c>
      <x:c r="AB93"/>
      <x:c r="AC93"/>
      <x:c r="AD93"/>
      <x:c r="AE93"/>
    </x:row>
    <x:row r="94">
      <x:c r="A94" t="str">
        <x:v>PLD-000090</x:v>
      </x:c>
      <x:c r="B94" t="str">
        <x:v>LOSS-KG01-L21-20251024-AM-ORD-2025-00020</x:v>
      </x:c>
      <x:c r="C94" t="str">
        <x:v>PE-KG01-L21-20251024-AM-ORD-2025-00020</x:v>
      </x:c>
      <x:c r="D94" t="str">
        <x:v>KG01</x:v>
      </x:c>
      <x:c r="E94" t="n">
        <x:v>21</x:v>
      </x:c>
      <x:c r="F94" s="52" t="n">
        <x:v>45954</x:v>
      </x:c>
      <x:c r="G94" t="str">
        <x:v>AM</x:v>
      </x:c>
      <x:c r="H94" t="str">
        <x:v>ORD-2025-00020</x:v>
      </x:c>
      <x:c r="I94" t="str">
        <x:v>Normal</x:v>
      </x:c>
      <x:c r="J94" t="str">
        <x:v>PROC_IS</x:v>
      </x:c>
      <x:c r="K94" t="str">
        <x:v>IS Machine</x:v>
      </x:c>
      <x:c r="L94" s="54" t="n">
        <x:v>0.006349698002168189</x:v>
      </x:c>
      <x:c r="M94" t="n">
        <x:v>154968</x:v>
      </x:c>
      <x:c r="N94" t="n">
        <x:f>L94*M94</x:f>
        <x:v>984</x:v>
      </x:c>
      <x:c r="O94"/>
      <x:c r="P94"/>
      <x:c r="Q94"/>
      <x:c r="R94"/>
      <x:c r="S94" s="52"/>
      <x:c r="T94" t="str">
        <x:v>OK</x:v>
      </x:c>
      <x:c r="U94" t="str">
        <x:f>IF(AND(ISNUMBER(L94),L94&gt;=0,L94&lt;=1),"OK","CHECK")</x:f>
        <x:v>OK</x:v>
      </x:c>
      <x:c r="V94" t="str">
        <x:f>IF(AND(ISNUMBER(N94),N94&gt;=0),"OK","CHECK")</x:f>
        <x:v>OK</x:v>
      </x:c>
      <x:c r="W94" t="str">
        <x:f>IF(AND(T94="OK",U94="OK",V94="OK"),"OK","CHECK")</x:f>
        <x:v>OK</x:v>
      </x:c>
      <x:c r="X94" t="str">
        <x:f>IF(W94="OK","LOAD","QUARANTINE")</x:f>
        <x:v>LOAD</x:v>
      </x:c>
      <x:c r="Y94" t="str">
        <x:v>03_Process_Losses(6).xlsx</x:v>
      </x:c>
      <x:c r="Z94" t="str">
        <x:v>ENH-20260830-01</x:v>
      </x:c>
      <x:c r="AA94" t="str">
        <x:f>IF(X94="LOAD","Active","Quarantine")</x:f>
        <x:v>Active</x:v>
      </x:c>
      <x:c r="AB94"/>
      <x:c r="AC94"/>
      <x:c r="AD94"/>
      <x:c r="AE94"/>
    </x:row>
    <x:row r="95">
      <x:c r="A95" t="str">
        <x:v>PLD-000091</x:v>
      </x:c>
      <x:c r="B95" t="str">
        <x:v>LOSS-KG01-L21-20251024-AM-ORD-2025-00020</x:v>
      </x:c>
      <x:c r="C95" t="str">
        <x:v>PE-KG01-L21-20251024-AM-ORD-2025-00020</x:v>
      </x:c>
      <x:c r="D95" t="str">
        <x:v>KG01</x:v>
      </x:c>
      <x:c r="E95" t="n">
        <x:v>21</x:v>
      </x:c>
      <x:c r="F95" s="52" t="n">
        <x:v>45954</x:v>
      </x:c>
      <x:c r="G95" t="str">
        <x:v>AM</x:v>
      </x:c>
      <x:c r="H95" t="str">
        <x:v>ORD-2025-00020</x:v>
      </x:c>
      <x:c r="I95" t="str">
        <x:v>Normal</x:v>
      </x:c>
      <x:c r="J95" t="str">
        <x:v>PROC_HE_CONVEYER</x:v>
      </x:c>
      <x:c r="K95" t="str">
        <x:v>Hot End</x:v>
      </x:c>
      <x:c r="L95" s="54" t="n">
        <x:v>0.0029102782509937536</x:v>
      </x:c>
      <x:c r="M95" t="n">
        <x:v>154968</x:v>
      </x:c>
      <x:c r="N95" t="n">
        <x:f>L95*M95</x:f>
        <x:v>451</x:v>
      </x:c>
      <x:c r="O95"/>
      <x:c r="P95"/>
      <x:c r="Q95"/>
      <x:c r="R95"/>
      <x:c r="S95" s="52"/>
      <x:c r="T95" t="str">
        <x:v>OK</x:v>
      </x:c>
      <x:c r="U95" t="str">
        <x:f>IF(AND(ISNUMBER(L95),L95&gt;=0,L95&lt;=1),"OK","CHECK")</x:f>
        <x:v>OK</x:v>
      </x:c>
      <x:c r="V95" t="str">
        <x:f>IF(AND(ISNUMBER(N95),N95&gt;=0),"OK","CHECK")</x:f>
        <x:v>OK</x:v>
      </x:c>
      <x:c r="W95" t="str">
        <x:f>IF(AND(T95="OK",U95="OK",V95="OK"),"OK","CHECK")</x:f>
        <x:v>OK</x:v>
      </x:c>
      <x:c r="X95" t="str">
        <x:f>IF(W95="OK","LOAD","QUARANTINE")</x:f>
        <x:v>LOAD</x:v>
      </x:c>
      <x:c r="Y95" t="str">
        <x:v>03_Process_Losses(6).xlsx</x:v>
      </x:c>
      <x:c r="Z95" t="str">
        <x:v>ENH-20260830-01</x:v>
      </x:c>
      <x:c r="AA95" t="str">
        <x:f>IF(X95="LOAD","Active","Quarantine")</x:f>
        <x:v>Active</x:v>
      </x:c>
      <x:c r="AB95"/>
      <x:c r="AC95"/>
      <x:c r="AD95"/>
      <x:c r="AE95"/>
    </x:row>
    <x:row r="96">
      <x:c r="A96" t="str">
        <x:v>PLD-000092</x:v>
      </x:c>
      <x:c r="B96" t="str">
        <x:v>LOSS-KG01-L21-20251024-AM-ORD-2025-00020</x:v>
      </x:c>
      <x:c r="C96" t="str">
        <x:v>PE-KG01-L21-20251024-AM-ORD-2025-00020</x:v>
      </x:c>
      <x:c r="D96" t="str">
        <x:v>KG01</x:v>
      </x:c>
      <x:c r="E96" t="n">
        <x:v>21</x:v>
      </x:c>
      <x:c r="F96" s="52" t="n">
        <x:v>45954</x:v>
      </x:c>
      <x:c r="G96" t="str">
        <x:v>AM</x:v>
      </x:c>
      <x:c r="H96" t="str">
        <x:v>ORD-2025-00020</x:v>
      </x:c>
      <x:c r="I96" t="str">
        <x:v>Normal</x:v>
      </x:c>
      <x:c r="J96" t="str">
        <x:v>PROC_STUCKDOWN</x:v>
      </x:c>
      <x:c r="K96" t="str">
        <x:v>Forming</x:v>
      </x:c>
      <x:c r="L96" s="54" t="n">
        <x:v>0.0019294305921222447</x:v>
      </x:c>
      <x:c r="M96" t="n">
        <x:v>154968</x:v>
      </x:c>
      <x:c r="N96" t="n">
        <x:f>L96*M96</x:f>
        <x:v>299</x:v>
      </x:c>
      <x:c r="O96"/>
      <x:c r="P96"/>
      <x:c r="Q96"/>
      <x:c r="R96"/>
      <x:c r="S96" s="52"/>
      <x:c r="T96" t="str">
        <x:v>OK</x:v>
      </x:c>
      <x:c r="U96" t="str">
        <x:f>IF(AND(ISNUMBER(L96),L96&gt;=0,L96&lt;=1),"OK","CHECK")</x:f>
        <x:v>OK</x:v>
      </x:c>
      <x:c r="V96" t="str">
        <x:f>IF(AND(ISNUMBER(N96),N96&gt;=0),"OK","CHECK")</x:f>
        <x:v>OK</x:v>
      </x:c>
      <x:c r="W96" t="str">
        <x:f>IF(AND(T96="OK",U96="OK",V96="OK"),"OK","CHECK")</x:f>
        <x:v>OK</x:v>
      </x:c>
      <x:c r="X96" t="str">
        <x:f>IF(W96="OK","LOAD","QUARANTINE")</x:f>
        <x:v>LOAD</x:v>
      </x:c>
      <x:c r="Y96" t="str">
        <x:v>03_Process_Losses(6).xlsx</x:v>
      </x:c>
      <x:c r="Z96" t="str">
        <x:v>ENH-20260830-01</x:v>
      </x:c>
      <x:c r="AA96" t="str">
        <x:f>IF(X96="LOAD","Active","Quarantine")</x:f>
        <x:v>Active</x:v>
      </x:c>
      <x:c r="AB96"/>
      <x:c r="AC96"/>
      <x:c r="AD96"/>
      <x:c r="AE96"/>
    </x:row>
    <x:row r="97">
      <x:c r="A97" t="str">
        <x:v>PLD-000093</x:v>
      </x:c>
      <x:c r="B97" t="str">
        <x:v>LOSS-KG01-L21-20251024-AM-ORD-2025-00020</x:v>
      </x:c>
      <x:c r="C97" t="str">
        <x:v>PE-KG01-L21-20251024-AM-ORD-2025-00020</x:v>
      </x:c>
      <x:c r="D97" t="str">
        <x:v>KG01</x:v>
      </x:c>
      <x:c r="E97" t="n">
        <x:v>21</x:v>
      </x:c>
      <x:c r="F97" s="52" t="n">
        <x:v>45954</x:v>
      </x:c>
      <x:c r="G97" t="str">
        <x:v>AM</x:v>
      </x:c>
      <x:c r="H97" t="str">
        <x:v>ORD-2025-00020</x:v>
      </x:c>
      <x:c r="I97" t="str">
        <x:v>Normal</x:v>
      </x:c>
      <x:c r="J97" t="str">
        <x:v>PROC_LEHR</x:v>
      </x:c>
      <x:c r="K97" t="str">
        <x:v>Lehr</x:v>
      </x:c>
      <x:c r="L97" s="54" t="n">
        <x:v>0.003432966806050281</x:v>
      </x:c>
      <x:c r="M97" t="n">
        <x:v>154968</x:v>
      </x:c>
      <x:c r="N97" t="n">
        <x:f>L97*M97</x:f>
        <x:v>532</x:v>
      </x:c>
      <x:c r="O97"/>
      <x:c r="P97"/>
      <x:c r="Q97"/>
      <x:c r="R97"/>
      <x:c r="S97" s="52"/>
      <x:c r="T97" t="str">
        <x:v>OK</x:v>
      </x:c>
      <x:c r="U97" t="str">
        <x:f>IF(AND(ISNUMBER(L97),L97&gt;=0,L97&lt;=1),"OK","CHECK")</x:f>
        <x:v>OK</x:v>
      </x:c>
      <x:c r="V97" t="str">
        <x:f>IF(AND(ISNUMBER(N97),N97&gt;=0),"OK","CHECK")</x:f>
        <x:v>OK</x:v>
      </x:c>
      <x:c r="W97" t="str">
        <x:f>IF(AND(T97="OK",U97="OK",V97="OK"),"OK","CHECK")</x:f>
        <x:v>OK</x:v>
      </x:c>
      <x:c r="X97" t="str">
        <x:f>IF(W97="OK","LOAD","QUARANTINE")</x:f>
        <x:v>LOAD</x:v>
      </x:c>
      <x:c r="Y97" t="str">
        <x:v>03_Process_Losses(6).xlsx</x:v>
      </x:c>
      <x:c r="Z97" t="str">
        <x:v>ENH-20260830-01</x:v>
      </x:c>
      <x:c r="AA97" t="str">
        <x:f>IF(X97="LOAD","Active","Quarantine")</x:f>
        <x:v>Active</x:v>
      </x:c>
      <x:c r="AB97"/>
      <x:c r="AC97"/>
      <x:c r="AD97"/>
      <x:c r="AE97"/>
    </x:row>
    <x:row r="98">
      <x:c r="A98" t="str">
        <x:v>PLD-000094</x:v>
      </x:c>
      <x:c r="B98" t="str">
        <x:v>LOSS-KG01-L21-20251024-AM-ORD-2025-00020</x:v>
      </x:c>
      <x:c r="C98" t="str">
        <x:v>PE-KG01-L21-20251024-AM-ORD-2025-00020</x:v>
      </x:c>
      <x:c r="D98" t="str">
        <x:v>KG01</x:v>
      </x:c>
      <x:c r="E98" t="n">
        <x:v>21</x:v>
      </x:c>
      <x:c r="F98" s="52" t="n">
        <x:v>45954</x:v>
      </x:c>
      <x:c r="G98" t="str">
        <x:v>AM</x:v>
      </x:c>
      <x:c r="H98" t="str">
        <x:v>ORD-2025-00020</x:v>
      </x:c>
      <x:c r="I98" t="str">
        <x:v>Normal</x:v>
      </x:c>
      <x:c r="J98" t="str">
        <x:v>PROC_EVO16</x:v>
      </x:c>
      <x:c r="K98" t="str">
        <x:v>Inspection</x:v>
      </x:c>
      <x:c r="L98" s="54" t="n">
        <x:v>0.0022133601775850497</x:v>
      </x:c>
      <x:c r="M98" t="n">
        <x:v>154968</x:v>
      </x:c>
      <x:c r="N98" t="n">
        <x:f>L98*M98</x:f>
        <x:v>343</x:v>
      </x:c>
      <x:c r="O98"/>
      <x:c r="P98"/>
      <x:c r="Q98"/>
      <x:c r="R98"/>
      <x:c r="S98" s="52"/>
      <x:c r="T98" t="str">
        <x:v>OK</x:v>
      </x:c>
      <x:c r="U98" t="str">
        <x:f>IF(AND(ISNUMBER(L98),L98&gt;=0,L98&lt;=1),"OK","CHECK")</x:f>
        <x:v>OK</x:v>
      </x:c>
      <x:c r="V98" t="str">
        <x:f>IF(AND(ISNUMBER(N98),N98&gt;=0),"OK","CHECK")</x:f>
        <x:v>OK</x:v>
      </x:c>
      <x:c r="W98" t="str">
        <x:f>IF(AND(T98="OK",U98="OK",V98="OK"),"OK","CHECK")</x:f>
        <x:v>OK</x:v>
      </x:c>
      <x:c r="X98" t="str">
        <x:f>IF(W98="OK","LOAD","QUARANTINE")</x:f>
        <x:v>LOAD</x:v>
      </x:c>
      <x:c r="Y98" t="str">
        <x:v>03_Process_Losses(6).xlsx</x:v>
      </x:c>
      <x:c r="Z98" t="str">
        <x:v>ENH-20260830-01</x:v>
      </x:c>
      <x:c r="AA98" t="str">
        <x:f>IF(X98="LOAD","Active","Quarantine")</x:f>
        <x:v>Active</x:v>
      </x:c>
      <x:c r="AB98"/>
      <x:c r="AC98"/>
      <x:c r="AD98"/>
      <x:c r="AE98"/>
    </x:row>
    <x:row r="99">
      <x:c r="A99" t="str">
        <x:v>PLD-000095</x:v>
      </x:c>
      <x:c r="B99" t="str">
        <x:v>LOSS-KG01-L21-20251024-AM-ORD-2025-00020</x:v>
      </x:c>
      <x:c r="C99" t="str">
        <x:v>PE-KG01-L21-20251024-AM-ORD-2025-00020</x:v>
      </x:c>
      <x:c r="D99" t="str">
        <x:v>KG01</x:v>
      </x:c>
      <x:c r="E99" t="n">
        <x:v>21</x:v>
      </x:c>
      <x:c r="F99" s="52" t="n">
        <x:v>45954</x:v>
      </x:c>
      <x:c r="G99" t="str">
        <x:v>AM</x:v>
      </x:c>
      <x:c r="H99" t="str">
        <x:v>ORD-2025-00020</x:v>
      </x:c>
      <x:c r="I99" t="str">
        <x:v>Normal</x:v>
      </x:c>
      <x:c r="J99" t="str">
        <x:v>PROC_EVO12</x:v>
      </x:c>
      <x:c r="K99" t="str">
        <x:v>Inspection</x:v>
      </x:c>
      <x:c r="L99" s="54" t="n">
        <x:v>0.0015035362139280367</x:v>
      </x:c>
      <x:c r="M99" t="n">
        <x:v>154968</x:v>
      </x:c>
      <x:c r="N99" t="n">
        <x:f>L99*M99</x:f>
        <x:v>233</x:v>
      </x:c>
      <x:c r="O99"/>
      <x:c r="P99"/>
      <x:c r="Q99"/>
      <x:c r="R99"/>
      <x:c r="S99" s="52"/>
      <x:c r="T99" t="str">
        <x:v>OK</x:v>
      </x:c>
      <x:c r="U99" t="str">
        <x:f>IF(AND(ISNUMBER(L99),L99&gt;=0,L99&lt;=1),"OK","CHECK")</x:f>
        <x:v>OK</x:v>
      </x:c>
      <x:c r="V99" t="str">
        <x:f>IF(AND(ISNUMBER(N99),N99&gt;=0),"OK","CHECK")</x:f>
        <x:v>OK</x:v>
      </x:c>
      <x:c r="W99" t="str">
        <x:f>IF(AND(T99="OK",U99="OK",V99="OK"),"OK","CHECK")</x:f>
        <x:v>OK</x:v>
      </x:c>
      <x:c r="X99" t="str">
        <x:f>IF(W99="OK","LOAD","QUARANTINE")</x:f>
        <x:v>LOAD</x:v>
      </x:c>
      <x:c r="Y99" t="str">
        <x:v>03_Process_Losses(6).xlsx</x:v>
      </x:c>
      <x:c r="Z99" t="str">
        <x:v>ENH-20260830-01</x:v>
      </x:c>
      <x:c r="AA99" t="str">
        <x:f>IF(X99="LOAD","Active","Quarantine")</x:f>
        <x:v>Active</x:v>
      </x:c>
      <x:c r="AB99"/>
      <x:c r="AC99"/>
      <x:c r="AD99"/>
      <x:c r="AE99"/>
    </x:row>
    <x:row r="100">
      <x:c r="A100" t="str">
        <x:v>PLD-000096</x:v>
      </x:c>
      <x:c r="B100" t="str">
        <x:v>LOSS-KG01-L21-20251024-AM-ORD-2025-00020</x:v>
      </x:c>
      <x:c r="C100" t="str">
        <x:v>PE-KG01-L21-20251024-AM-ORD-2025-00020</x:v>
      </x:c>
      <x:c r="D100" t="str">
        <x:v>KG01</x:v>
      </x:c>
      <x:c r="E100" t="n">
        <x:v>21</x:v>
      </x:c>
      <x:c r="F100" s="52" t="n">
        <x:v>45954</x:v>
      </x:c>
      <x:c r="G100" t="str">
        <x:v>AM</x:v>
      </x:c>
      <x:c r="H100" t="str">
        <x:v>ORD-2025-00020</x:v>
      </x:c>
      <x:c r="I100" t="str">
        <x:v>Normal</x:v>
      </x:c>
      <x:c r="J100" t="str">
        <x:v>PROC_EVO5</x:v>
      </x:c>
      <x:c r="K100" t="str">
        <x:v>Inspection</x:v>
      </x:c>
      <x:c r="L100" s="54" t="n">
        <x:v>0.0012905890248309329</x:v>
      </x:c>
      <x:c r="M100" t="n">
        <x:v>154968</x:v>
      </x:c>
      <x:c r="N100" t="n">
        <x:f>L100*M100</x:f>
        <x:v>200</x:v>
      </x:c>
      <x:c r="O100"/>
      <x:c r="P100"/>
      <x:c r="Q100"/>
      <x:c r="R100"/>
      <x:c r="S100" s="52"/>
      <x:c r="T100" t="str">
        <x:v>OK</x:v>
      </x:c>
      <x:c r="U100" t="str">
        <x:f>IF(AND(ISNUMBER(L100),L100&gt;=0,L100&lt;=1),"OK","CHECK")</x:f>
        <x:v>OK</x:v>
      </x:c>
      <x:c r="V100" t="str">
        <x:f>IF(AND(ISNUMBER(N100),N100&gt;=0),"OK","CHECK")</x:f>
        <x:v>OK</x:v>
      </x:c>
      <x:c r="W100" t="str">
        <x:f>IF(AND(T100="OK",U100="OK",V100="OK"),"OK","CHECK")</x:f>
        <x:v>OK</x:v>
      </x:c>
      <x:c r="X100" t="str">
        <x:f>IF(W100="OK","LOAD","QUARANTINE")</x:f>
        <x:v>LOAD</x:v>
      </x:c>
      <x:c r="Y100" t="str">
        <x:v>03_Process_Losses(6).xlsx</x:v>
      </x:c>
      <x:c r="Z100" t="str">
        <x:v>ENH-20260830-01</x:v>
      </x:c>
      <x:c r="AA100" t="str">
        <x:f>IF(X100="LOAD","Active","Quarantine")</x:f>
        <x:v>Active</x:v>
      </x:c>
      <x:c r="AB100"/>
      <x:c r="AC100"/>
      <x:c r="AD100"/>
      <x:c r="AE100"/>
    </x:row>
    <x:row r="101">
      <x:c r="A101" t="str">
        <x:v>PLD-000097</x:v>
      </x:c>
      <x:c r="B101" t="str">
        <x:v>LOSS-KG01-L21-20251024-AM-ORD-2025-00020</x:v>
      </x:c>
      <x:c r="C101" t="str">
        <x:v>PE-KG01-L21-20251024-AM-ORD-2025-00020</x:v>
      </x:c>
      <x:c r="D101" t="str">
        <x:v>KG01</x:v>
      </x:c>
      <x:c r="E101" t="n">
        <x:v>21</x:v>
      </x:c>
      <x:c r="F101" s="52" t="n">
        <x:v>45954</x:v>
      </x:c>
      <x:c r="G101" t="str">
        <x:v>AM</x:v>
      </x:c>
      <x:c r="H101" t="str">
        <x:v>ORD-2025-00020</x:v>
      </x:c>
      <x:c r="I101" t="str">
        <x:v>Normal</x:v>
      </x:c>
      <x:c r="J101" t="str">
        <x:v>PROC_SANLI</x:v>
      </x:c>
      <x:c r="K101" t="str">
        <x:v>Inspection</x:v>
      </x:c>
      <x:c r="L101" s="54" t="n">
        <x:v>0.0015035362139280367</x:v>
      </x:c>
      <x:c r="M101" t="n">
        <x:v>154968</x:v>
      </x:c>
      <x:c r="N101" t="n">
        <x:f>L101*M101</x:f>
        <x:v>233</x:v>
      </x:c>
      <x:c r="O101"/>
      <x:c r="P101"/>
      <x:c r="Q101"/>
      <x:c r="R101"/>
      <x:c r="S101" s="52"/>
      <x:c r="T101" t="str">
        <x:v>OK</x:v>
      </x:c>
      <x:c r="U101" t="str">
        <x:f>IF(AND(ISNUMBER(L101),L101&gt;=0,L101&lt;=1),"OK","CHECK")</x:f>
        <x:v>OK</x:v>
      </x:c>
      <x:c r="V101" t="str">
        <x:f>IF(AND(ISNUMBER(N101),N101&gt;=0),"OK","CHECK")</x:f>
        <x:v>OK</x:v>
      </x:c>
      <x:c r="W101" t="str">
        <x:f>IF(AND(T101="OK",U101="OK",V101="OK"),"OK","CHECK")</x:f>
        <x:v>OK</x:v>
      </x:c>
      <x:c r="X101" t="str">
        <x:f>IF(W101="OK","LOAD","QUARANTINE")</x:f>
        <x:v>LOAD</x:v>
      </x:c>
      <x:c r="Y101" t="str">
        <x:v>03_Process_Losses(6).xlsx</x:v>
      </x:c>
      <x:c r="Z101" t="str">
        <x:v>ENH-20260830-01</x:v>
      </x:c>
      <x:c r="AA101" t="str">
        <x:f>IF(X101="LOAD","Active","Quarantine")</x:f>
        <x:v>Active</x:v>
      </x:c>
      <x:c r="AB101"/>
      <x:c r="AC101"/>
      <x:c r="AD101"/>
      <x:c r="AE101"/>
    </x:row>
    <x:row r="102">
      <x:c r="A102" t="str">
        <x:v>PLD-000098</x:v>
      </x:c>
      <x:c r="B102" t="str">
        <x:v>LOSS-KG01-L21-20251024-AM-ORD-2025-00020</x:v>
      </x:c>
      <x:c r="C102" t="str">
        <x:v>PE-KG01-L21-20251024-AM-ORD-2025-00020</x:v>
      </x:c>
      <x:c r="D102" t="str">
        <x:v>KG01</x:v>
      </x:c>
      <x:c r="E102" t="n">
        <x:v>21</x:v>
      </x:c>
      <x:c r="F102" s="52" t="n">
        <x:v>45954</x:v>
      </x:c>
      <x:c r="G102" t="str">
        <x:v>AM</x:v>
      </x:c>
      <x:c r="H102" t="str">
        <x:v>ORD-2025-00020</x:v>
      </x:c>
      <x:c r="I102" t="str">
        <x:v>Normal</x:v>
      </x:c>
      <x:c r="J102" t="str">
        <x:v>PROC_VISUAL</x:v>
      </x:c>
      <x:c r="K102" t="str">
        <x:v>Inspection</x:v>
      </x:c>
      <x:c r="L102" s="54" t="n">
        <x:v>0.001942336482370554</x:v>
      </x:c>
      <x:c r="M102" t="n">
        <x:v>154968</x:v>
      </x:c>
      <x:c r="N102" t="n">
        <x:f>L102*M102</x:f>
        <x:v>301</x:v>
      </x:c>
      <x:c r="O102"/>
      <x:c r="P102"/>
      <x:c r="Q102"/>
      <x:c r="R102"/>
      <x:c r="S102" s="52"/>
      <x:c r="T102" t="str">
        <x:v>OK</x:v>
      </x:c>
      <x:c r="U102" t="str">
        <x:f>IF(AND(ISNUMBER(L102),L102&gt;=0,L102&lt;=1),"OK","CHECK")</x:f>
        <x:v>OK</x:v>
      </x:c>
      <x:c r="V102" t="str">
        <x:f>IF(AND(ISNUMBER(N102),N102&gt;=0),"OK","CHECK")</x:f>
        <x:v>OK</x:v>
      </x:c>
      <x:c r="W102" t="str">
        <x:f>IF(AND(T102="OK",U102="OK",V102="OK"),"OK","CHECK")</x:f>
        <x:v>OK</x:v>
      </x:c>
      <x:c r="X102" t="str">
        <x:f>IF(W102="OK","LOAD","QUARANTINE")</x:f>
        <x:v>LOAD</x:v>
      </x:c>
      <x:c r="Y102" t="str">
        <x:v>03_Process_Losses(6).xlsx</x:v>
      </x:c>
      <x:c r="Z102" t="str">
        <x:v>ENH-20260830-01</x:v>
      </x:c>
      <x:c r="AA102" t="str">
        <x:f>IF(X102="LOAD","Active","Quarantine")</x:f>
        <x:v>Active</x:v>
      </x:c>
      <x:c r="AB102"/>
      <x:c r="AC102"/>
      <x:c r="AD102"/>
      <x:c r="AE102"/>
    </x:row>
    <x:row r="103">
      <x:c r="A103" t="str">
        <x:v>PLD-000099</x:v>
      </x:c>
      <x:c r="B103" t="str">
        <x:v>LOSS-KG01-L21-20251024-AM-ORD-2025-00020</x:v>
      </x:c>
      <x:c r="C103" t="str">
        <x:v>PE-KG01-L21-20251024-AM-ORD-2025-00020</x:v>
      </x:c>
      <x:c r="D103" t="str">
        <x:v>KG01</x:v>
      </x:c>
      <x:c r="E103" t="n">
        <x:v>21</x:v>
      </x:c>
      <x:c r="F103" s="52" t="n">
        <x:v>45954</x:v>
      </x:c>
      <x:c r="G103" t="str">
        <x:v>AM</x:v>
      </x:c>
      <x:c r="H103" t="str">
        <x:v>ORD-2025-00020</x:v>
      </x:c>
      <x:c r="I103" t="str">
        <x:v>Normal</x:v>
      </x:c>
      <x:c r="J103" t="str">
        <x:v>PROC_PALLETIZER</x:v>
      </x:c>
      <x:c r="K103" t="str">
        <x:v>Palletizer</x:v>
      </x:c>
      <x:c r="L103" s="54" t="n">
        <x:v>0.0022327190129575137</x:v>
      </x:c>
      <x:c r="M103" t="n">
        <x:v>154968</x:v>
      </x:c>
      <x:c r="N103" t="n">
        <x:f>L103*M103</x:f>
        <x:v>346</x:v>
      </x:c>
      <x:c r="O103"/>
      <x:c r="P103"/>
      <x:c r="Q103"/>
      <x:c r="R103"/>
      <x:c r="S103" s="52"/>
      <x:c r="T103" t="str">
        <x:v>OK</x:v>
      </x:c>
      <x:c r="U103" t="str">
        <x:f>IF(AND(ISNUMBER(L103),L103&gt;=0,L103&lt;=1),"OK","CHECK")</x:f>
        <x:v>OK</x:v>
      </x:c>
      <x:c r="V103" t="str">
        <x:f>IF(AND(ISNUMBER(N103),N103&gt;=0),"OK","CHECK")</x:f>
        <x:v>OK</x:v>
      </x:c>
      <x:c r="W103" t="str">
        <x:f>IF(AND(T103="OK",U103="OK",V103="OK"),"OK","CHECK")</x:f>
        <x:v>OK</x:v>
      </x:c>
      <x:c r="X103" t="str">
        <x:f>IF(W103="OK","LOAD","QUARANTINE")</x:f>
        <x:v>LOAD</x:v>
      </x:c>
      <x:c r="Y103" t="str">
        <x:v>03_Process_Losses(6).xlsx</x:v>
      </x:c>
      <x:c r="Z103" t="str">
        <x:v>ENH-20260830-01</x:v>
      </x:c>
      <x:c r="AA103" t="str">
        <x:f>IF(X103="LOAD","Active","Quarantine")</x:f>
        <x:v>Active</x:v>
      </x:c>
      <x:c r="AB103"/>
      <x:c r="AC103"/>
      <x:c r="AD103"/>
      <x:c r="AE103"/>
    </x:row>
    <x:row r="104">
      <x:c r="A104" t="str">
        <x:v>PLD-000100</x:v>
      </x:c>
      <x:c r="B104" t="str">
        <x:v>LOSS-KG01-L21-20251024-PM-ORD-2025-00020</x:v>
      </x:c>
      <x:c r="C104" t="str">
        <x:v>PE-KG01-L21-20251024-PM-ORD-2025-00020</x:v>
      </x:c>
      <x:c r="D104" t="str">
        <x:v>KG01</x:v>
      </x:c>
      <x:c r="E104" t="n">
        <x:v>21</x:v>
      </x:c>
      <x:c r="F104" s="52" t="n">
        <x:v>45954</x:v>
      </x:c>
      <x:c r="G104" t="str">
        <x:v>PM</x:v>
      </x:c>
      <x:c r="H104" t="str">
        <x:v>ORD-2025-00020</x:v>
      </x:c>
      <x:c r="I104" t="str">
        <x:v>Normal</x:v>
      </x:c>
      <x:c r="J104" t="str">
        <x:v>PROC_FIXED</x:v>
      </x:c>
      <x:c r="K104" t="str">
        <x:v>Fixed Losses</x:v>
      </x:c>
      <x:c r="L104" s="54" t="n">
        <x:v>0.0014960375222383955</x:v>
      </x:c>
      <x:c r="M104" t="n">
        <x:v>123660</x:v>
      </x:c>
      <x:c r="N104" t="n">
        <x:f>L104*M104</x:f>
        <x:v>185</x:v>
      </x:c>
      <x:c r="O104"/>
      <x:c r="P104"/>
      <x:c r="Q104"/>
      <x:c r="R104"/>
      <x:c r="S104" s="52"/>
      <x:c r="T104" t="str">
        <x:v>OK</x:v>
      </x:c>
      <x:c r="U104" t="str">
        <x:f>IF(AND(ISNUMBER(L104),L104&gt;=0,L104&lt;=1),"OK","CHECK")</x:f>
        <x:v>OK</x:v>
      </x:c>
      <x:c r="V104" t="str">
        <x:f>IF(AND(ISNUMBER(N104),N104&gt;=0),"OK","CHECK")</x:f>
        <x:v>OK</x:v>
      </x:c>
      <x:c r="W104" t="str">
        <x:f>IF(AND(T104="OK",U104="OK",V104="OK"),"OK","CHECK")</x:f>
        <x:v>OK</x:v>
      </x:c>
      <x:c r="X104" t="str">
        <x:f>IF(W104="OK","LOAD","QUARANTINE")</x:f>
        <x:v>LOAD</x:v>
      </x:c>
      <x:c r="Y104" t="str">
        <x:v>03_Process_Losses(6).xlsx</x:v>
      </x:c>
      <x:c r="Z104" t="str">
        <x:v>ENH-20260830-01</x:v>
      </x:c>
      <x:c r="AA104" t="str">
        <x:f>IF(X104="LOAD","Active","Quarantine")</x:f>
        <x:v>Active</x:v>
      </x:c>
      <x:c r="AB104"/>
      <x:c r="AC104"/>
      <x:c r="AD104"/>
      <x:c r="AE104"/>
    </x:row>
    <x:row r="105">
      <x:c r="A105" t="str">
        <x:v>PLD-000101</x:v>
      </x:c>
      <x:c r="B105" t="str">
        <x:v>LOSS-KG01-L21-20251024-PM-ORD-2025-00020</x:v>
      </x:c>
      <x:c r="C105" t="str">
        <x:v>PE-KG01-L21-20251024-PM-ORD-2025-00020</x:v>
      </x:c>
      <x:c r="D105" t="str">
        <x:v>KG01</x:v>
      </x:c>
      <x:c r="E105" t="n">
        <x:v>21</x:v>
      </x:c>
      <x:c r="F105" s="52" t="n">
        <x:v>45954</x:v>
      </x:c>
      <x:c r="G105" t="str">
        <x:v>PM</x:v>
      </x:c>
      <x:c r="H105" t="str">
        <x:v>ORD-2025-00020</x:v>
      </x:c>
      <x:c r="I105" t="str">
        <x:v>Normal</x:v>
      </x:c>
      <x:c r="J105" t="str">
        <x:v>PROC_IS</x:v>
      </x:c>
      <x:c r="K105" t="str">
        <x:v>IS Machine</x:v>
      </x:c>
      <x:c r="L105" s="54" t="n">
        <x:v>0.006242924146854278</x:v>
      </x:c>
      <x:c r="M105" t="n">
        <x:v>123660</x:v>
      </x:c>
      <x:c r="N105" t="n">
        <x:f>L105*M105</x:f>
        <x:v>772</x:v>
      </x:c>
      <x:c r="O105"/>
      <x:c r="P105"/>
      <x:c r="Q105"/>
      <x:c r="R105"/>
      <x:c r="S105" s="52"/>
      <x:c r="T105" t="str">
        <x:v>OK</x:v>
      </x:c>
      <x:c r="U105" t="str">
        <x:f>IF(AND(ISNUMBER(L105),L105&gt;=0,L105&lt;=1),"OK","CHECK")</x:f>
        <x:v>OK</x:v>
      </x:c>
      <x:c r="V105" t="str">
        <x:f>IF(AND(ISNUMBER(N105),N105&gt;=0),"OK","CHECK")</x:f>
        <x:v>OK</x:v>
      </x:c>
      <x:c r="W105" t="str">
        <x:f>IF(AND(T105="OK",U105="OK",V105="OK"),"OK","CHECK")</x:f>
        <x:v>OK</x:v>
      </x:c>
      <x:c r="X105" t="str">
        <x:f>IF(W105="OK","LOAD","QUARANTINE")</x:f>
        <x:v>LOAD</x:v>
      </x:c>
      <x:c r="Y105" t="str">
        <x:v>03_Process_Losses(6).xlsx</x:v>
      </x:c>
      <x:c r="Z105" t="str">
        <x:v>ENH-20260830-01</x:v>
      </x:c>
      <x:c r="AA105" t="str">
        <x:f>IF(X105="LOAD","Active","Quarantine")</x:f>
        <x:v>Active</x:v>
      </x:c>
      <x:c r="AB105"/>
      <x:c r="AC105"/>
      <x:c r="AD105"/>
      <x:c r="AE105"/>
    </x:row>
    <x:row r="106">
      <x:c r="A106" t="str">
        <x:v>PLD-000102</x:v>
      </x:c>
      <x:c r="B106" t="str">
        <x:v>LOSS-KG01-L21-20251024-PM-ORD-2025-00020</x:v>
      </x:c>
      <x:c r="C106" t="str">
        <x:v>PE-KG01-L21-20251024-PM-ORD-2025-00020</x:v>
      </x:c>
      <x:c r="D106" t="str">
        <x:v>KG01</x:v>
      </x:c>
      <x:c r="E106" t="n">
        <x:v>21</x:v>
      </x:c>
      <x:c r="F106" s="52" t="n">
        <x:v>45954</x:v>
      </x:c>
      <x:c r="G106" t="str">
        <x:v>PM</x:v>
      </x:c>
      <x:c r="H106" t="str">
        <x:v>ORD-2025-00020</x:v>
      </x:c>
      <x:c r="I106" t="str">
        <x:v>Normal</x:v>
      </x:c>
      <x:c r="J106" t="str">
        <x:v>PROC_HE_CONVEYER</x:v>
      </x:c>
      <x:c r="K106" t="str">
        <x:v>Hot End</x:v>
      </x:c>
      <x:c r="L106" s="54" t="n">
        <x:v>0.003760310528869481</x:v>
      </x:c>
      <x:c r="M106" t="n">
        <x:v>123660</x:v>
      </x:c>
      <x:c r="N106" t="n">
        <x:f>L106*M106</x:f>
        <x:v>465</x:v>
      </x:c>
      <x:c r="O106"/>
      <x:c r="P106"/>
      <x:c r="Q106"/>
      <x:c r="R106"/>
      <x:c r="S106" s="52"/>
      <x:c r="T106" t="str">
        <x:v>OK</x:v>
      </x:c>
      <x:c r="U106" t="str">
        <x:f>IF(AND(ISNUMBER(L106),L106&gt;=0,L106&lt;=1),"OK","CHECK")</x:f>
        <x:v>OK</x:v>
      </x:c>
      <x:c r="V106" t="str">
        <x:f>IF(AND(ISNUMBER(N106),N106&gt;=0),"OK","CHECK")</x:f>
        <x:v>OK</x:v>
      </x:c>
      <x:c r="W106" t="str">
        <x:f>IF(AND(T106="OK",U106="OK",V106="OK"),"OK","CHECK")</x:f>
        <x:v>OK</x:v>
      </x:c>
      <x:c r="X106" t="str">
        <x:f>IF(W106="OK","LOAD","QUARANTINE")</x:f>
        <x:v>LOAD</x:v>
      </x:c>
      <x:c r="Y106" t="str">
        <x:v>03_Process_Losses(6).xlsx</x:v>
      </x:c>
      <x:c r="Z106" t="str">
        <x:v>ENH-20260830-01</x:v>
      </x:c>
      <x:c r="AA106" t="str">
        <x:f>IF(X106="LOAD","Active","Quarantine")</x:f>
        <x:v>Active</x:v>
      </x:c>
      <x:c r="AB106"/>
      <x:c r="AC106"/>
      <x:c r="AD106"/>
      <x:c r="AE106"/>
    </x:row>
    <x:row r="107">
      <x:c r="A107" t="str">
        <x:v>PLD-000103</x:v>
      </x:c>
      <x:c r="B107" t="str">
        <x:v>LOSS-KG01-L21-20251024-PM-ORD-2025-00020</x:v>
      </x:c>
      <x:c r="C107" t="str">
        <x:v>PE-KG01-L21-20251024-PM-ORD-2025-00020</x:v>
      </x:c>
      <x:c r="D107" t="str">
        <x:v>KG01</x:v>
      </x:c>
      <x:c r="E107" t="n">
        <x:v>21</x:v>
      </x:c>
      <x:c r="F107" s="52" t="n">
        <x:v>45954</x:v>
      </x:c>
      <x:c r="G107" t="str">
        <x:v>PM</x:v>
      </x:c>
      <x:c r="H107" t="str">
        <x:v>ORD-2025-00020</x:v>
      </x:c>
      <x:c r="I107" t="str">
        <x:v>Normal</x:v>
      </x:c>
      <x:c r="J107" t="str">
        <x:v>PROC_STUCKDOWN</x:v>
      </x:c>
      <x:c r="K107" t="str">
        <x:v>Forming</x:v>
      </x:c>
      <x:c r="L107" s="54" t="n">
        <x:v>0.0010997897460779556</x:v>
      </x:c>
      <x:c r="M107" t="n">
        <x:v>123660</x:v>
      </x:c>
      <x:c r="N107" t="n">
        <x:f>L107*M107</x:f>
        <x:v>136</x:v>
      </x:c>
      <x:c r="O107"/>
      <x:c r="P107"/>
      <x:c r="Q107"/>
      <x:c r="R107"/>
      <x:c r="S107" s="52"/>
      <x:c r="T107" t="str">
        <x:v>OK</x:v>
      </x:c>
      <x:c r="U107" t="str">
        <x:f>IF(AND(ISNUMBER(L107),L107&gt;=0,L107&lt;=1),"OK","CHECK")</x:f>
        <x:v>OK</x:v>
      </x:c>
      <x:c r="V107" t="str">
        <x:f>IF(AND(ISNUMBER(N107),N107&gt;=0),"OK","CHECK")</x:f>
        <x:v>OK</x:v>
      </x:c>
      <x:c r="W107" t="str">
        <x:f>IF(AND(T107="OK",U107="OK",V107="OK"),"OK","CHECK")</x:f>
        <x:v>OK</x:v>
      </x:c>
      <x:c r="X107" t="str">
        <x:f>IF(W107="OK","LOAD","QUARANTINE")</x:f>
        <x:v>LOAD</x:v>
      </x:c>
      <x:c r="Y107" t="str">
        <x:v>03_Process_Losses(6).xlsx</x:v>
      </x:c>
      <x:c r="Z107" t="str">
        <x:v>ENH-20260830-01</x:v>
      </x:c>
      <x:c r="AA107" t="str">
        <x:f>IF(X107="LOAD","Active","Quarantine")</x:f>
        <x:v>Active</x:v>
      </x:c>
      <x:c r="AB107"/>
      <x:c r="AC107"/>
      <x:c r="AD107"/>
      <x:c r="AE107"/>
    </x:row>
    <x:row r="108">
      <x:c r="A108" t="str">
        <x:v>PLD-000104</x:v>
      </x:c>
      <x:c r="B108" t="str">
        <x:v>LOSS-KG01-L21-20251024-PM-ORD-2025-00020</x:v>
      </x:c>
      <x:c r="C108" t="str">
        <x:v>PE-KG01-L21-20251024-PM-ORD-2025-00020</x:v>
      </x:c>
      <x:c r="D108" t="str">
        <x:v>KG01</x:v>
      </x:c>
      <x:c r="E108" t="n">
        <x:v>21</x:v>
      </x:c>
      <x:c r="F108" s="52" t="n">
        <x:v>45954</x:v>
      </x:c>
      <x:c r="G108" t="str">
        <x:v>PM</x:v>
      </x:c>
      <x:c r="H108" t="str">
        <x:v>ORD-2025-00020</x:v>
      </x:c>
      <x:c r="I108" t="str">
        <x:v>Normal</x:v>
      </x:c>
      <x:c r="J108" t="str">
        <x:v>PROC_LEHR</x:v>
      </x:c>
      <x:c r="K108" t="str">
        <x:v>Lehr</x:v>
      </x:c>
      <x:c r="L108" s="54" t="n">
        <x:v>0.0014798641436196021</x:v>
      </x:c>
      <x:c r="M108" t="n">
        <x:v>123660</x:v>
      </x:c>
      <x:c r="N108" t="n">
        <x:f>L108*M108</x:f>
        <x:v>183</x:v>
      </x:c>
      <x:c r="O108"/>
      <x:c r="P108"/>
      <x:c r="Q108"/>
      <x:c r="R108"/>
      <x:c r="S108" s="52"/>
      <x:c r="T108" t="str">
        <x:v>OK</x:v>
      </x:c>
      <x:c r="U108" t="str">
        <x:f>IF(AND(ISNUMBER(L108),L108&gt;=0,L108&lt;=1),"OK","CHECK")</x:f>
        <x:v>OK</x:v>
      </x:c>
      <x:c r="V108" t="str">
        <x:f>IF(AND(ISNUMBER(N108),N108&gt;=0),"OK","CHECK")</x:f>
        <x:v>OK</x:v>
      </x:c>
      <x:c r="W108" t="str">
        <x:f>IF(AND(T108="OK",U108="OK",V108="OK"),"OK","CHECK")</x:f>
        <x:v>OK</x:v>
      </x:c>
      <x:c r="X108" t="str">
        <x:f>IF(W108="OK","LOAD","QUARANTINE")</x:f>
        <x:v>LOAD</x:v>
      </x:c>
      <x:c r="Y108" t="str">
        <x:v>03_Process_Losses(6).xlsx</x:v>
      </x:c>
      <x:c r="Z108" t="str">
        <x:v>ENH-20260830-01</x:v>
      </x:c>
      <x:c r="AA108" t="str">
        <x:f>IF(X108="LOAD","Active","Quarantine")</x:f>
        <x:v>Active</x:v>
      </x:c>
      <x:c r="AB108"/>
      <x:c r="AC108"/>
      <x:c r="AD108"/>
      <x:c r="AE108"/>
    </x:row>
    <x:row r="109">
      <x:c r="A109" t="str">
        <x:v>PLD-000105</x:v>
      </x:c>
      <x:c r="B109" t="str">
        <x:v>LOSS-KG01-L21-20251024-PM-ORD-2025-00020</x:v>
      </x:c>
      <x:c r="C109" t="str">
        <x:v>PE-KG01-L21-20251024-PM-ORD-2025-00020</x:v>
      </x:c>
      <x:c r="D109" t="str">
        <x:v>KG01</x:v>
      </x:c>
      <x:c r="E109" t="n">
        <x:v>21</x:v>
      </x:c>
      <x:c r="F109" s="52" t="n">
        <x:v>45954</x:v>
      </x:c>
      <x:c r="G109" t="str">
        <x:v>PM</x:v>
      </x:c>
      <x:c r="H109" t="str">
        <x:v>ORD-2025-00020</x:v>
      </x:c>
      <x:c r="I109" t="str">
        <x:v>Normal</x:v>
      </x:c>
      <x:c r="J109" t="str">
        <x:v>PROC_EVO16</x:v>
      </x:c>
      <x:c r="K109" t="str">
        <x:v>Inspection</x:v>
      </x:c>
      <x:c r="L109" s="54" t="n">
        <x:v>0.0007763221737020863</x:v>
      </x:c>
      <x:c r="M109" t="n">
        <x:v>123660</x:v>
      </x:c>
      <x:c r="N109" t="n">
        <x:f>L109*M109</x:f>
        <x:v>96</x:v>
      </x:c>
      <x:c r="O109"/>
      <x:c r="P109"/>
      <x:c r="Q109"/>
      <x:c r="R109"/>
      <x:c r="S109" s="52"/>
      <x:c r="T109" t="str">
        <x:v>OK</x:v>
      </x:c>
      <x:c r="U109" t="str">
        <x:f>IF(AND(ISNUMBER(L109),L109&gt;=0,L109&lt;=1),"OK","CHECK")</x:f>
        <x:v>OK</x:v>
      </x:c>
      <x:c r="V109" t="str">
        <x:f>IF(AND(ISNUMBER(N109),N109&gt;=0),"OK","CHECK")</x:f>
        <x:v>OK</x:v>
      </x:c>
      <x:c r="W109" t="str">
        <x:f>IF(AND(T109="OK",U109="OK",V109="OK"),"OK","CHECK")</x:f>
        <x:v>OK</x:v>
      </x:c>
      <x:c r="X109" t="str">
        <x:f>IF(W109="OK","LOAD","QUARANTINE")</x:f>
        <x:v>LOAD</x:v>
      </x:c>
      <x:c r="Y109" t="str">
        <x:v>03_Process_Losses(6).xlsx</x:v>
      </x:c>
      <x:c r="Z109" t="str">
        <x:v>ENH-20260830-01</x:v>
      </x:c>
      <x:c r="AA109" t="str">
        <x:f>IF(X109="LOAD","Active","Quarantine")</x:f>
        <x:v>Active</x:v>
      </x:c>
      <x:c r="AB109"/>
      <x:c r="AC109"/>
      <x:c r="AD109"/>
      <x:c r="AE109"/>
    </x:row>
    <x:row r="110">
      <x:c r="A110" t="str">
        <x:v>PLD-000106</x:v>
      </x:c>
      <x:c r="B110" t="str">
        <x:v>LOSS-KG01-L21-20251024-PM-ORD-2025-00020</x:v>
      </x:c>
      <x:c r="C110" t="str">
        <x:v>PE-KG01-L21-20251024-PM-ORD-2025-00020</x:v>
      </x:c>
      <x:c r="D110" t="str">
        <x:v>KG01</x:v>
      </x:c>
      <x:c r="E110" t="n">
        <x:v>21</x:v>
      </x:c>
      <x:c r="F110" s="52" t="n">
        <x:v>45954</x:v>
      </x:c>
      <x:c r="G110" t="str">
        <x:v>PM</x:v>
      </x:c>
      <x:c r="H110" t="str">
        <x:v>ORD-2025-00020</x:v>
      </x:c>
      <x:c r="I110" t="str">
        <x:v>Normal</x:v>
      </x:c>
      <x:c r="J110" t="str">
        <x:v>PROC_EVO12</x:v>
      </x:c>
      <x:c r="K110" t="str">
        <x:v>Inspection</x:v>
      </x:c>
      <x:c r="L110" s="54" t="n">
        <x:v>0.0016092511725699498</x:v>
      </x:c>
      <x:c r="M110" t="n">
        <x:v>123660</x:v>
      </x:c>
      <x:c r="N110" t="n">
        <x:f>L110*M110</x:f>
        <x:v>199</x:v>
      </x:c>
      <x:c r="O110"/>
      <x:c r="P110"/>
      <x:c r="Q110"/>
      <x:c r="R110"/>
      <x:c r="S110" s="52"/>
      <x:c r="T110" t="str">
        <x:v>OK</x:v>
      </x:c>
      <x:c r="U110" t="str">
        <x:f>IF(AND(ISNUMBER(L110),L110&gt;=0,L110&lt;=1),"OK","CHECK")</x:f>
        <x:v>OK</x:v>
      </x:c>
      <x:c r="V110" t="str">
        <x:f>IF(AND(ISNUMBER(N110),N110&gt;=0),"OK","CHECK")</x:f>
        <x:v>OK</x:v>
      </x:c>
      <x:c r="W110" t="str">
        <x:f>IF(AND(T110="OK",U110="OK",V110="OK"),"OK","CHECK")</x:f>
        <x:v>OK</x:v>
      </x:c>
      <x:c r="X110" t="str">
        <x:f>IF(W110="OK","LOAD","QUARANTINE")</x:f>
        <x:v>LOAD</x:v>
      </x:c>
      <x:c r="Y110" t="str">
        <x:v>03_Process_Losses(6).xlsx</x:v>
      </x:c>
      <x:c r="Z110" t="str">
        <x:v>ENH-20260830-01</x:v>
      </x:c>
      <x:c r="AA110" t="str">
        <x:f>IF(X110="LOAD","Active","Quarantine")</x:f>
        <x:v>Active</x:v>
      </x:c>
      <x:c r="AB110"/>
      <x:c r="AC110"/>
      <x:c r="AD110"/>
      <x:c r="AE110"/>
    </x:row>
    <x:row r="111">
      <x:c r="A111" t="str">
        <x:v>PLD-000107</x:v>
      </x:c>
      <x:c r="B111" t="str">
        <x:v>LOSS-KG01-L21-20251024-PM-ORD-2025-00020</x:v>
      </x:c>
      <x:c r="C111" t="str">
        <x:v>PE-KG01-L21-20251024-PM-ORD-2025-00020</x:v>
      </x:c>
      <x:c r="D111" t="str">
        <x:v>KG01</x:v>
      </x:c>
      <x:c r="E111" t="n">
        <x:v>21</x:v>
      </x:c>
      <x:c r="F111" s="52" t="n">
        <x:v>45954</x:v>
      </x:c>
      <x:c r="G111" t="str">
        <x:v>PM</x:v>
      </x:c>
      <x:c r="H111" t="str">
        <x:v>ORD-2025-00020</x:v>
      </x:c>
      <x:c r="I111" t="str">
        <x:v>Normal</x:v>
      </x:c>
      <x:c r="J111" t="str">
        <x:v>PROC_EVO5</x:v>
      </x:c>
      <x:c r="K111" t="str">
        <x:v>Inspection</x:v>
      </x:c>
      <x:c r="L111" s="54" t="n">
        <x:v>0.002854601326217047</x:v>
      </x:c>
      <x:c r="M111" t="n">
        <x:v>123660</x:v>
      </x:c>
      <x:c r="N111" t="n">
        <x:f>L111*M111</x:f>
        <x:v>353</x:v>
      </x:c>
      <x:c r="O111"/>
      <x:c r="P111"/>
      <x:c r="Q111"/>
      <x:c r="R111"/>
      <x:c r="S111" s="52"/>
      <x:c r="T111" t="str">
        <x:v>OK</x:v>
      </x:c>
      <x:c r="U111" t="str">
        <x:f>IF(AND(ISNUMBER(L111),L111&gt;=0,L111&lt;=1),"OK","CHECK")</x:f>
        <x:v>OK</x:v>
      </x:c>
      <x:c r="V111" t="str">
        <x:f>IF(AND(ISNUMBER(N111),N111&gt;=0),"OK","CHECK")</x:f>
        <x:v>OK</x:v>
      </x:c>
      <x:c r="W111" t="str">
        <x:f>IF(AND(T111="OK",U111="OK",V111="OK"),"OK","CHECK")</x:f>
        <x:v>OK</x:v>
      </x:c>
      <x:c r="X111" t="str">
        <x:f>IF(W111="OK","LOAD","QUARANTINE")</x:f>
        <x:v>LOAD</x:v>
      </x:c>
      <x:c r="Y111" t="str">
        <x:v>03_Process_Losses(6).xlsx</x:v>
      </x:c>
      <x:c r="Z111" t="str">
        <x:v>ENH-20260830-01</x:v>
      </x:c>
      <x:c r="AA111" t="str">
        <x:f>IF(X111="LOAD","Active","Quarantine")</x:f>
        <x:v>Active</x:v>
      </x:c>
      <x:c r="AB111"/>
      <x:c r="AC111"/>
      <x:c r="AD111"/>
      <x:c r="AE111"/>
    </x:row>
    <x:row r="112">
      <x:c r="A112" t="str">
        <x:v>PLD-000108</x:v>
      </x:c>
      <x:c r="B112" t="str">
        <x:v>LOSS-KG01-L21-20251024-PM-ORD-2025-00020</x:v>
      </x:c>
      <x:c r="C112" t="str">
        <x:v>PE-KG01-L21-20251024-PM-ORD-2025-00020</x:v>
      </x:c>
      <x:c r="D112" t="str">
        <x:v>KG01</x:v>
      </x:c>
      <x:c r="E112" t="n">
        <x:v>21</x:v>
      </x:c>
      <x:c r="F112" s="52" t="n">
        <x:v>45954</x:v>
      </x:c>
      <x:c r="G112" t="str">
        <x:v>PM</x:v>
      </x:c>
      <x:c r="H112" t="str">
        <x:v>ORD-2025-00020</x:v>
      </x:c>
      <x:c r="I112" t="str">
        <x:v>Normal</x:v>
      </x:c>
      <x:c r="J112" t="str">
        <x:v>PROC_SANLI</x:v>
      </x:c>
      <x:c r="K112" t="str">
        <x:v>Inspection</x:v>
      </x:c>
      <x:c r="L112" s="54" t="n">
        <x:v>0.001851851851851852</x:v>
      </x:c>
      <x:c r="M112" t="n">
        <x:v>123660</x:v>
      </x:c>
      <x:c r="N112" t="n">
        <x:f>L112*M112</x:f>
        <x:v>229</x:v>
      </x:c>
      <x:c r="O112"/>
      <x:c r="P112"/>
      <x:c r="Q112"/>
      <x:c r="R112"/>
      <x:c r="S112" s="52"/>
      <x:c r="T112" t="str">
        <x:v>OK</x:v>
      </x:c>
      <x:c r="U112" t="str">
        <x:f>IF(AND(ISNUMBER(L112),L112&gt;=0,L112&lt;=1),"OK","CHECK")</x:f>
        <x:v>OK</x:v>
      </x:c>
      <x:c r="V112" t="str">
        <x:f>IF(AND(ISNUMBER(N112),N112&gt;=0),"OK","CHECK")</x:f>
        <x:v>OK</x:v>
      </x:c>
      <x:c r="W112" t="str">
        <x:f>IF(AND(T112="OK",U112="OK",V112="OK"),"OK","CHECK")</x:f>
        <x:v>OK</x:v>
      </x:c>
      <x:c r="X112" t="str">
        <x:f>IF(W112="OK","LOAD","QUARANTINE")</x:f>
        <x:v>LOAD</x:v>
      </x:c>
      <x:c r="Y112" t="str">
        <x:v>03_Process_Losses(6).xlsx</x:v>
      </x:c>
      <x:c r="Z112" t="str">
        <x:v>ENH-20260830-01</x:v>
      </x:c>
      <x:c r="AA112" t="str">
        <x:f>IF(X112="LOAD","Active","Quarantine")</x:f>
        <x:v>Active</x:v>
      </x:c>
      <x:c r="AB112"/>
      <x:c r="AC112"/>
      <x:c r="AD112"/>
      <x:c r="AE112"/>
    </x:row>
    <x:row r="113">
      <x:c r="A113" t="str">
        <x:v>PLD-000109</x:v>
      </x:c>
      <x:c r="B113" t="str">
        <x:v>LOSS-KG01-L21-20251024-PM-ORD-2025-00020</x:v>
      </x:c>
      <x:c r="C113" t="str">
        <x:v>PE-KG01-L21-20251024-PM-ORD-2025-00020</x:v>
      </x:c>
      <x:c r="D113" t="str">
        <x:v>KG01</x:v>
      </x:c>
      <x:c r="E113" t="n">
        <x:v>21</x:v>
      </x:c>
      <x:c r="F113" s="52" t="n">
        <x:v>45954</x:v>
      </x:c>
      <x:c r="G113" t="str">
        <x:v>PM</x:v>
      </x:c>
      <x:c r="H113" t="str">
        <x:v>ORD-2025-00020</x:v>
      </x:c>
      <x:c r="I113" t="str">
        <x:v>Normal</x:v>
      </x:c>
      <x:c r="J113" t="str">
        <x:v>PROC_VISUAL</x:v>
      </x:c>
      <x:c r="K113" t="str">
        <x:v>Inspection</x:v>
      </x:c>
      <x:c r="L113" s="54" t="n">
        <x:v>0.006073103671356946</x:v>
      </x:c>
      <x:c r="M113" t="n">
        <x:v>123660</x:v>
      </x:c>
      <x:c r="N113" t="n">
        <x:f>L113*M113</x:f>
        <x:v>751</x:v>
      </x:c>
      <x:c r="O113"/>
      <x:c r="P113"/>
      <x:c r="Q113"/>
      <x:c r="R113"/>
      <x:c r="S113" s="52"/>
      <x:c r="T113" t="str">
        <x:v>OK</x:v>
      </x:c>
      <x:c r="U113" t="str">
        <x:f>IF(AND(ISNUMBER(L113),L113&gt;=0,L113&lt;=1),"OK","CHECK")</x:f>
        <x:v>OK</x:v>
      </x:c>
      <x:c r="V113" t="str">
        <x:f>IF(AND(ISNUMBER(N113),N113&gt;=0),"OK","CHECK")</x:f>
        <x:v>OK</x:v>
      </x:c>
      <x:c r="W113" t="str">
        <x:f>IF(AND(T113="OK",U113="OK",V113="OK"),"OK","CHECK")</x:f>
        <x:v>OK</x:v>
      </x:c>
      <x:c r="X113" t="str">
        <x:f>IF(W113="OK","LOAD","QUARANTINE")</x:f>
        <x:v>LOAD</x:v>
      </x:c>
      <x:c r="Y113" t="str">
        <x:v>03_Process_Losses(6).xlsx</x:v>
      </x:c>
      <x:c r="Z113" t="str">
        <x:v>ENH-20260830-01</x:v>
      </x:c>
      <x:c r="AA113" t="str">
        <x:f>IF(X113="LOAD","Active","Quarantine")</x:f>
        <x:v>Active</x:v>
      </x:c>
      <x:c r="AB113"/>
      <x:c r="AC113"/>
      <x:c r="AD113"/>
      <x:c r="AE113"/>
    </x:row>
    <x:row r="114">
      <x:c r="A114" t="str">
        <x:v>PLD-000110</x:v>
      </x:c>
      <x:c r="B114" t="str">
        <x:v>LOSS-KG01-L21-20251024-PM-ORD-2025-00020</x:v>
      </x:c>
      <x:c r="C114" t="str">
        <x:v>PE-KG01-L21-20251024-PM-ORD-2025-00020</x:v>
      </x:c>
      <x:c r="D114" t="str">
        <x:v>KG01</x:v>
      </x:c>
      <x:c r="E114" t="n">
        <x:v>21</x:v>
      </x:c>
      <x:c r="F114" s="52" t="n">
        <x:v>45954</x:v>
      </x:c>
      <x:c r="G114" t="str">
        <x:v>PM</x:v>
      </x:c>
      <x:c r="H114" t="str">
        <x:v>ORD-2025-00020</x:v>
      </x:c>
      <x:c r="I114" t="str">
        <x:v>Normal</x:v>
      </x:c>
      <x:c r="J114" t="str">
        <x:v>PROC_PALLETIZER</x:v>
      </x:c>
      <x:c r="K114" t="str">
        <x:v>Palletizer</x:v>
      </x:c>
      <x:c r="L114" s="54" t="n">
        <x:v>0.003153808830664726</x:v>
      </x:c>
      <x:c r="M114" t="n">
        <x:v>123660</x:v>
      </x:c>
      <x:c r="N114" t="n">
        <x:f>L114*M114</x:f>
        <x:v>390</x:v>
      </x:c>
      <x:c r="O114"/>
      <x:c r="P114"/>
      <x:c r="Q114"/>
      <x:c r="R114"/>
      <x:c r="S114" s="52"/>
      <x:c r="T114" t="str">
        <x:v>OK</x:v>
      </x:c>
      <x:c r="U114" t="str">
        <x:f>IF(AND(ISNUMBER(L114),L114&gt;=0,L114&lt;=1),"OK","CHECK")</x:f>
        <x:v>OK</x:v>
      </x:c>
      <x:c r="V114" t="str">
        <x:f>IF(AND(ISNUMBER(N114),N114&gt;=0),"OK","CHECK")</x:f>
        <x:v>OK</x:v>
      </x:c>
      <x:c r="W114" t="str">
        <x:f>IF(AND(T114="OK",U114="OK",V114="OK"),"OK","CHECK")</x:f>
        <x:v>OK</x:v>
      </x:c>
      <x:c r="X114" t="str">
        <x:f>IF(W114="OK","LOAD","QUARANTINE")</x:f>
        <x:v>LOAD</x:v>
      </x:c>
      <x:c r="Y114" t="str">
        <x:v>03_Process_Losses(6).xlsx</x:v>
      </x:c>
      <x:c r="Z114" t="str">
        <x:v>ENH-20260830-01</x:v>
      </x:c>
      <x:c r="AA114" t="str">
        <x:f>IF(X114="LOAD","Active","Quarantine")</x:f>
        <x:v>Active</x:v>
      </x:c>
      <x:c r="AB114"/>
      <x:c r="AC114"/>
      <x:c r="AD114"/>
      <x:c r="AE114"/>
    </x:row>
    <x:row r="115">
      <x:c r="A115" t="str">
        <x:v>PLD-000111</x:v>
      </x:c>
      <x:c r="B115" t="str">
        <x:v>LOSS-KG01-L21-20251025-AM-ORD-2025-00021</x:v>
      </x:c>
      <x:c r="C115" t="str">
        <x:v>PE-KG01-L21-20251025-AM-ORD-2025-00021</x:v>
      </x:c>
      <x:c r="D115" t="str">
        <x:v>KG01</x:v>
      </x:c>
      <x:c r="E115" t="n">
        <x:v>21</x:v>
      </x:c>
      <x:c r="F115" s="52" t="n">
        <x:v>45955</x:v>
      </x:c>
      <x:c r="G115" t="str">
        <x:v>AM</x:v>
      </x:c>
      <x:c r="H115" t="str">
        <x:v>ORD-2025-00021</x:v>
      </x:c>
      <x:c r="I115" t="str">
        <x:v>Trial</x:v>
      </x:c>
      <x:c r="J115" t="str">
        <x:v>PROC_FIXED</x:v>
      </x:c>
      <x:c r="K115" t="str">
        <x:v>Fixed Losses</x:v>
      </x:c>
      <x:c r="L115" s="54" t="n">
        <x:v>0.00946016051756233</x:v>
      </x:c>
      <x:c r="M115" t="n">
        <x:v>131076</x:v>
      </x:c>
      <x:c r="N115" t="n">
        <x:f>L115*M115</x:f>
        <x:v>1240</x:v>
      </x:c>
      <x:c r="O115"/>
      <x:c r="P115"/>
      <x:c r="Q115"/>
      <x:c r="R115"/>
      <x:c r="S115" s="52"/>
      <x:c r="T115" t="str">
        <x:v>OK</x:v>
      </x:c>
      <x:c r="U115" t="str">
        <x:f>IF(AND(ISNUMBER(L115),L115&gt;=0,L115&lt;=1),"OK","CHECK")</x:f>
        <x:v>OK</x:v>
      </x:c>
      <x:c r="V115" t="str">
        <x:f>IF(AND(ISNUMBER(N115),N115&gt;=0),"OK","CHECK")</x:f>
        <x:v>OK</x:v>
      </x:c>
      <x:c r="W115" t="str">
        <x:f>IF(AND(T115="OK",U115="OK",V115="OK"),"OK","CHECK")</x:f>
        <x:v>OK</x:v>
      </x:c>
      <x:c r="X115" t="str">
        <x:f>IF(W115="OK","LOAD","QUARANTINE")</x:f>
        <x:v>LOAD</x:v>
      </x:c>
      <x:c r="Y115" t="str">
        <x:v>03_Process_Losses(6).xlsx</x:v>
      </x:c>
      <x:c r="Z115" t="str">
        <x:v>ENH-20260830-01</x:v>
      </x:c>
      <x:c r="AA115" t="str">
        <x:f>IF(X115="LOAD","Active","Quarantine")</x:f>
        <x:v>Active</x:v>
      </x:c>
      <x:c r="AB115"/>
      <x:c r="AC115"/>
      <x:c r="AD115"/>
      <x:c r="AE115"/>
    </x:row>
    <x:row r="116">
      <x:c r="A116" t="str">
        <x:v>PLD-000112</x:v>
      </x:c>
      <x:c r="B116" t="str">
        <x:v>LOSS-KG01-L21-20251025-AM-ORD-2025-00021</x:v>
      </x:c>
      <x:c r="C116" t="str">
        <x:v>PE-KG01-L21-20251025-AM-ORD-2025-00021</x:v>
      </x:c>
      <x:c r="D116" t="str">
        <x:v>KG01</x:v>
      </x:c>
      <x:c r="E116" t="n">
        <x:v>21</x:v>
      </x:c>
      <x:c r="F116" s="52" t="n">
        <x:v>45955</x:v>
      </x:c>
      <x:c r="G116" t="str">
        <x:v>AM</x:v>
      </x:c>
      <x:c r="H116" t="str">
        <x:v>ORD-2025-00021</x:v>
      </x:c>
      <x:c r="I116" t="str">
        <x:v>Trial</x:v>
      </x:c>
      <x:c r="J116" t="str">
        <x:v>PROC_IS</x:v>
      </x:c>
      <x:c r="K116" t="str">
        <x:v>IS Machine</x:v>
      </x:c>
      <x:c r="L116" s="54" t="n">
        <x:v>0.020842869785467972</x:v>
      </x:c>
      <x:c r="M116" t="n">
        <x:v>131076</x:v>
      </x:c>
      <x:c r="N116" t="n">
        <x:f>L116*M116</x:f>
        <x:v>2732</x:v>
      </x:c>
      <x:c r="O116"/>
      <x:c r="P116"/>
      <x:c r="Q116"/>
      <x:c r="R116"/>
      <x:c r="S116" s="52"/>
      <x:c r="T116" t="str">
        <x:v>OK</x:v>
      </x:c>
      <x:c r="U116" t="str">
        <x:f>IF(AND(ISNUMBER(L116),L116&gt;=0,L116&lt;=1),"OK","CHECK")</x:f>
        <x:v>OK</x:v>
      </x:c>
      <x:c r="V116" t="str">
        <x:f>IF(AND(ISNUMBER(N116),N116&gt;=0),"OK","CHECK")</x:f>
        <x:v>OK</x:v>
      </x:c>
      <x:c r="W116" t="str">
        <x:f>IF(AND(T116="OK",U116="OK",V116="OK"),"OK","CHECK")</x:f>
        <x:v>OK</x:v>
      </x:c>
      <x:c r="X116" t="str">
        <x:f>IF(W116="OK","LOAD","QUARANTINE")</x:f>
        <x:v>LOAD</x:v>
      </x:c>
      <x:c r="Y116" t="str">
        <x:v>03_Process_Losses(6).xlsx</x:v>
      </x:c>
      <x:c r="Z116" t="str">
        <x:v>ENH-20260830-01</x:v>
      </x:c>
      <x:c r="AA116" t="str">
        <x:f>IF(X116="LOAD","Active","Quarantine")</x:f>
        <x:v>Active</x:v>
      </x:c>
      <x:c r="AB116"/>
      <x:c r="AC116"/>
      <x:c r="AD116"/>
      <x:c r="AE116"/>
    </x:row>
    <x:row r="117">
      <x:c r="A117" t="str">
        <x:v>PLD-000113</x:v>
      </x:c>
      <x:c r="B117" t="str">
        <x:v>LOSS-KG01-L21-20251025-AM-ORD-2025-00021</x:v>
      </x:c>
      <x:c r="C117" t="str">
        <x:v>PE-KG01-L21-20251025-AM-ORD-2025-00021</x:v>
      </x:c>
      <x:c r="D117" t="str">
        <x:v>KG01</x:v>
      </x:c>
      <x:c r="E117" t="n">
        <x:v>21</x:v>
      </x:c>
      <x:c r="F117" s="52" t="n">
        <x:v>45955</x:v>
      </x:c>
      <x:c r="G117" t="str">
        <x:v>AM</x:v>
      </x:c>
      <x:c r="H117" t="str">
        <x:v>ORD-2025-00021</x:v>
      </x:c>
      <x:c r="I117" t="str">
        <x:v>Trial</x:v>
      </x:c>
      <x:c r="J117" t="str">
        <x:v>PROC_HE_CONVEYER</x:v>
      </x:c>
      <x:c r="K117" t="str">
        <x:v>Hot End</x:v>
      </x:c>
      <x:c r="L117" s="54" t="n">
        <x:v>0.007980103146266288</x:v>
      </x:c>
      <x:c r="M117" t="n">
        <x:v>131076</x:v>
      </x:c>
      <x:c r="N117" t="n">
        <x:f>L117*M117</x:f>
        <x:v>1046</x:v>
      </x:c>
      <x:c r="O117"/>
      <x:c r="P117"/>
      <x:c r="Q117"/>
      <x:c r="R117"/>
      <x:c r="S117" s="52"/>
      <x:c r="T117" t="str">
        <x:v>OK</x:v>
      </x:c>
      <x:c r="U117" t="str">
        <x:f>IF(AND(ISNUMBER(L117),L117&gt;=0,L117&lt;=1),"OK","CHECK")</x:f>
        <x:v>OK</x:v>
      </x:c>
      <x:c r="V117" t="str">
        <x:f>IF(AND(ISNUMBER(N117),N117&gt;=0),"OK","CHECK")</x:f>
        <x:v>OK</x:v>
      </x:c>
      <x:c r="W117" t="str">
        <x:f>IF(AND(T117="OK",U117="OK",V117="OK"),"OK","CHECK")</x:f>
        <x:v>OK</x:v>
      </x:c>
      <x:c r="X117" t="str">
        <x:f>IF(W117="OK","LOAD","QUARANTINE")</x:f>
        <x:v>LOAD</x:v>
      </x:c>
      <x:c r="Y117" t="str">
        <x:v>03_Process_Losses(6).xlsx</x:v>
      </x:c>
      <x:c r="Z117" t="str">
        <x:v>ENH-20260830-01</x:v>
      </x:c>
      <x:c r="AA117" t="str">
        <x:f>IF(X117="LOAD","Active","Quarantine")</x:f>
        <x:v>Active</x:v>
      </x:c>
      <x:c r="AB117"/>
      <x:c r="AC117"/>
      <x:c r="AD117"/>
      <x:c r="AE117"/>
    </x:row>
    <x:row r="118">
      <x:c r="A118" t="str">
        <x:v>PLD-000114</x:v>
      </x:c>
      <x:c r="B118" t="str">
        <x:v>LOSS-KG01-L21-20251025-AM-ORD-2025-00021</x:v>
      </x:c>
      <x:c r="C118" t="str">
        <x:v>PE-KG01-L21-20251025-AM-ORD-2025-00021</x:v>
      </x:c>
      <x:c r="D118" t="str">
        <x:v>KG01</x:v>
      </x:c>
      <x:c r="E118" t="n">
        <x:v>21</x:v>
      </x:c>
      <x:c r="F118" s="52" t="n">
        <x:v>45955</x:v>
      </x:c>
      <x:c r="G118" t="str">
        <x:v>AM</x:v>
      </x:c>
      <x:c r="H118" t="str">
        <x:v>ORD-2025-00021</x:v>
      </x:c>
      <x:c r="I118" t="str">
        <x:v>Trial</x:v>
      </x:c>
      <x:c r="J118" t="str">
        <x:v>PROC_STUCKDOWN</x:v>
      </x:c>
      <x:c r="K118" t="str">
        <x:v>Forming</x:v>
      </x:c>
      <x:c r="L118" s="54" t="n">
        <x:v>0.00843022368702127</x:v>
      </x:c>
      <x:c r="M118" t="n">
        <x:v>131076</x:v>
      </x:c>
      <x:c r="N118" t="n">
        <x:f>L118*M118</x:f>
        <x:v>1105</x:v>
      </x:c>
      <x:c r="O118"/>
      <x:c r="P118"/>
      <x:c r="Q118"/>
      <x:c r="R118"/>
      <x:c r="S118" s="52"/>
      <x:c r="T118" t="str">
        <x:v>OK</x:v>
      </x:c>
      <x:c r="U118" t="str">
        <x:f>IF(AND(ISNUMBER(L118),L118&gt;=0,L118&lt;=1),"OK","CHECK")</x:f>
        <x:v>OK</x:v>
      </x:c>
      <x:c r="V118" t="str">
        <x:f>IF(AND(ISNUMBER(N118),N118&gt;=0),"OK","CHECK")</x:f>
        <x:v>OK</x:v>
      </x:c>
      <x:c r="W118" t="str">
        <x:f>IF(AND(T118="OK",U118="OK",V118="OK"),"OK","CHECK")</x:f>
        <x:v>OK</x:v>
      </x:c>
      <x:c r="X118" t="str">
        <x:f>IF(W118="OK","LOAD","QUARANTINE")</x:f>
        <x:v>LOAD</x:v>
      </x:c>
      <x:c r="Y118" t="str">
        <x:v>03_Process_Losses(6).xlsx</x:v>
      </x:c>
      <x:c r="Z118" t="str">
        <x:v>ENH-20260830-01</x:v>
      </x:c>
      <x:c r="AA118" t="str">
        <x:f>IF(X118="LOAD","Active","Quarantine")</x:f>
        <x:v>Active</x:v>
      </x:c>
      <x:c r="AB118"/>
      <x:c r="AC118"/>
      <x:c r="AD118"/>
      <x:c r="AE118"/>
    </x:row>
    <x:row r="119">
      <x:c r="A119" t="str">
        <x:v>PLD-000115</x:v>
      </x:c>
      <x:c r="B119" t="str">
        <x:v>LOSS-KG01-L21-20251025-AM-ORD-2025-00021</x:v>
      </x:c>
      <x:c r="C119" t="str">
        <x:v>PE-KG01-L21-20251025-AM-ORD-2025-00021</x:v>
      </x:c>
      <x:c r="D119" t="str">
        <x:v>KG01</x:v>
      </x:c>
      <x:c r="E119" t="n">
        <x:v>21</x:v>
      </x:c>
      <x:c r="F119" s="52" t="n">
        <x:v>45955</x:v>
      </x:c>
      <x:c r="G119" t="str">
        <x:v>AM</x:v>
      </x:c>
      <x:c r="H119" t="str">
        <x:v>ORD-2025-00021</x:v>
      </x:c>
      <x:c r="I119" t="str">
        <x:v>Trial</x:v>
      </x:c>
      <x:c r="J119" t="str">
        <x:v>PROC_LEHR</x:v>
      </x:c>
      <x:c r="K119" t="str">
        <x:v>Lehr</x:v>
      </x:c>
      <x:c r="L119" s="54" t="n">
        <x:v>0.00867435686166804</x:v>
      </x:c>
      <x:c r="M119" t="n">
        <x:v>131076</x:v>
      </x:c>
      <x:c r="N119" t="n">
        <x:f>L119*M119</x:f>
        <x:v>1137</x:v>
      </x:c>
      <x:c r="O119"/>
      <x:c r="P119"/>
      <x:c r="Q119"/>
      <x:c r="R119"/>
      <x:c r="S119" s="52"/>
      <x:c r="T119" t="str">
        <x:v>OK</x:v>
      </x:c>
      <x:c r="U119" t="str">
        <x:f>IF(AND(ISNUMBER(L119),L119&gt;=0,L119&lt;=1),"OK","CHECK")</x:f>
        <x:v>OK</x:v>
      </x:c>
      <x:c r="V119" t="str">
        <x:f>IF(AND(ISNUMBER(N119),N119&gt;=0),"OK","CHECK")</x:f>
        <x:v>OK</x:v>
      </x:c>
      <x:c r="W119" t="str">
        <x:f>IF(AND(T119="OK",U119="OK",V119="OK"),"OK","CHECK")</x:f>
        <x:v>OK</x:v>
      </x:c>
      <x:c r="X119" t="str">
        <x:f>IF(W119="OK","LOAD","QUARANTINE")</x:f>
        <x:v>LOAD</x:v>
      </x:c>
      <x:c r="Y119" t="str">
        <x:v>03_Process_Losses(6).xlsx</x:v>
      </x:c>
      <x:c r="Z119" t="str">
        <x:v>ENH-20260830-01</x:v>
      </x:c>
      <x:c r="AA119" t="str">
        <x:f>IF(X119="LOAD","Active","Quarantine")</x:f>
        <x:v>Active</x:v>
      </x:c>
      <x:c r="AB119"/>
      <x:c r="AC119"/>
      <x:c r="AD119"/>
      <x:c r="AE119"/>
    </x:row>
    <x:row r="120">
      <x:c r="A120" t="str">
        <x:v>PLD-000116</x:v>
      </x:c>
      <x:c r="B120" t="str">
        <x:v>LOSS-KG01-L21-20251025-AM-ORD-2025-00021</x:v>
      </x:c>
      <x:c r="C120" t="str">
        <x:v>PE-KG01-L21-20251025-AM-ORD-2025-00021</x:v>
      </x:c>
      <x:c r="D120" t="str">
        <x:v>KG01</x:v>
      </x:c>
      <x:c r="E120" t="n">
        <x:v>21</x:v>
      </x:c>
      <x:c r="F120" s="52" t="n">
        <x:v>45955</x:v>
      </x:c>
      <x:c r="G120" t="str">
        <x:v>AM</x:v>
      </x:c>
      <x:c r="H120" t="str">
        <x:v>ORD-2025-00021</x:v>
      </x:c>
      <x:c r="I120" t="str">
        <x:v>Trial</x:v>
      </x:c>
      <x:c r="J120" t="str">
        <x:v>PROC_EVO16</x:v>
      </x:c>
      <x:c r="K120" t="str">
        <x:v>Inspection</x:v>
      </x:c>
      <x:c r="L120" s="54" t="n">
        <x:v>0.00916262321096158</x:v>
      </x:c>
      <x:c r="M120" t="n">
        <x:v>131076</x:v>
      </x:c>
      <x:c r="N120" t="n">
        <x:f>L120*M120</x:f>
        <x:v>1201</x:v>
      </x:c>
      <x:c r="O120"/>
      <x:c r="P120"/>
      <x:c r="Q120"/>
      <x:c r="R120"/>
      <x:c r="S120" s="52"/>
      <x:c r="T120" t="str">
        <x:v>OK</x:v>
      </x:c>
      <x:c r="U120" t="str">
        <x:f>IF(AND(ISNUMBER(L120),L120&gt;=0,L120&lt;=1),"OK","CHECK")</x:f>
        <x:v>OK</x:v>
      </x:c>
      <x:c r="V120" t="str">
        <x:f>IF(AND(ISNUMBER(N120),N120&gt;=0),"OK","CHECK")</x:f>
        <x:v>OK</x:v>
      </x:c>
      <x:c r="W120" t="str">
        <x:f>IF(AND(T120="OK",U120="OK",V120="OK"),"OK","CHECK")</x:f>
        <x:v>OK</x:v>
      </x:c>
      <x:c r="X120" t="str">
        <x:f>IF(W120="OK","LOAD","QUARANTINE")</x:f>
        <x:v>LOAD</x:v>
      </x:c>
      <x:c r="Y120" t="str">
        <x:v>03_Process_Losses(6).xlsx</x:v>
      </x:c>
      <x:c r="Z120" t="str">
        <x:v>ENH-20260830-01</x:v>
      </x:c>
      <x:c r="AA120" t="str">
        <x:f>IF(X120="LOAD","Active","Quarantine")</x:f>
        <x:v>Active</x:v>
      </x:c>
      <x:c r="AB120"/>
      <x:c r="AC120"/>
      <x:c r="AD120"/>
      <x:c r="AE120"/>
    </x:row>
    <x:row r="121">
      <x:c r="A121" t="str">
        <x:v>PLD-000117</x:v>
      </x:c>
      <x:c r="B121" t="str">
        <x:v>LOSS-KG01-L21-20251025-AM-ORD-2025-00021</x:v>
      </x:c>
      <x:c r="C121" t="str">
        <x:v>PE-KG01-L21-20251025-AM-ORD-2025-00021</x:v>
      </x:c>
      <x:c r="D121" t="str">
        <x:v>KG01</x:v>
      </x:c>
      <x:c r="E121" t="n">
        <x:v>21</x:v>
      </x:c>
      <x:c r="F121" s="52" t="n">
        <x:v>45955</x:v>
      </x:c>
      <x:c r="G121" t="str">
        <x:v>AM</x:v>
      </x:c>
      <x:c r="H121" t="str">
        <x:v>ORD-2025-00021</x:v>
      </x:c>
      <x:c r="I121" t="str">
        <x:v>Trial</x:v>
      </x:c>
      <x:c r="J121" t="str">
        <x:v>PROC_EVO12</x:v>
      </x:c>
      <x:c r="K121" t="str">
        <x:v>Inspection</x:v>
      </x:c>
      <x:c r="L121" s="54" t="n">
        <x:v>0.005019988403674205</x:v>
      </x:c>
      <x:c r="M121" t="n">
        <x:v>131076</x:v>
      </x:c>
      <x:c r="N121" t="n">
        <x:f>L121*M121</x:f>
        <x:v>658</x:v>
      </x:c>
      <x:c r="O121"/>
      <x:c r="P121"/>
      <x:c r="Q121"/>
      <x:c r="R121"/>
      <x:c r="S121" s="52"/>
      <x:c r="T121" t="str">
        <x:v>OK</x:v>
      </x:c>
      <x:c r="U121" t="str">
        <x:f>IF(AND(ISNUMBER(L121),L121&gt;=0,L121&lt;=1),"OK","CHECK")</x:f>
        <x:v>OK</x:v>
      </x:c>
      <x:c r="V121" t="str">
        <x:f>IF(AND(ISNUMBER(N121),N121&gt;=0),"OK","CHECK")</x:f>
        <x:v>OK</x:v>
      </x:c>
      <x:c r="W121" t="str">
        <x:f>IF(AND(T121="OK",U121="OK",V121="OK"),"OK","CHECK")</x:f>
        <x:v>OK</x:v>
      </x:c>
      <x:c r="X121" t="str">
        <x:f>IF(W121="OK","LOAD","QUARANTINE")</x:f>
        <x:v>LOAD</x:v>
      </x:c>
      <x:c r="Y121" t="str">
        <x:v>03_Process_Losses(6).xlsx</x:v>
      </x:c>
      <x:c r="Z121" t="str">
        <x:v>ENH-20260830-01</x:v>
      </x:c>
      <x:c r="AA121" t="str">
        <x:f>IF(X121="LOAD","Active","Quarantine")</x:f>
        <x:v>Active</x:v>
      </x:c>
      <x:c r="AB121"/>
      <x:c r="AC121"/>
      <x:c r="AD121"/>
      <x:c r="AE121"/>
    </x:row>
    <x:row r="122">
      <x:c r="A122" t="str">
        <x:v>PLD-000118</x:v>
      </x:c>
      <x:c r="B122" t="str">
        <x:v>LOSS-KG01-L21-20251025-AM-ORD-2025-00021</x:v>
      </x:c>
      <x:c r="C122" t="str">
        <x:v>PE-KG01-L21-20251025-AM-ORD-2025-00021</x:v>
      </x:c>
      <x:c r="D122" t="str">
        <x:v>KG01</x:v>
      </x:c>
      <x:c r="E122" t="n">
        <x:v>21</x:v>
      </x:c>
      <x:c r="F122" s="52" t="n">
        <x:v>45955</x:v>
      </x:c>
      <x:c r="G122" t="str">
        <x:v>AM</x:v>
      </x:c>
      <x:c r="H122" t="str">
        <x:v>ORD-2025-00021</x:v>
      </x:c>
      <x:c r="I122" t="str">
        <x:v>Trial</x:v>
      </x:c>
      <x:c r="J122" t="str">
        <x:v>PROC_EVO5</x:v>
      </x:c>
      <x:c r="K122" t="str">
        <x:v>Inspection</x:v>
      </x:c>
      <x:c r="L122" s="54" t="n">
        <x:v>0.0018004821630199274</x:v>
      </x:c>
      <x:c r="M122" t="n">
        <x:v>131076</x:v>
      </x:c>
      <x:c r="N122" t="n">
        <x:f>L122*M122</x:f>
        <x:v>236</x:v>
      </x:c>
      <x:c r="O122"/>
      <x:c r="P122"/>
      <x:c r="Q122"/>
      <x:c r="R122"/>
      <x:c r="S122" s="52"/>
      <x:c r="T122" t="str">
        <x:v>OK</x:v>
      </x:c>
      <x:c r="U122" t="str">
        <x:f>IF(AND(ISNUMBER(L122),L122&gt;=0,L122&lt;=1),"OK","CHECK")</x:f>
        <x:v>OK</x:v>
      </x:c>
      <x:c r="V122" t="str">
        <x:f>IF(AND(ISNUMBER(N122),N122&gt;=0),"OK","CHECK")</x:f>
        <x:v>OK</x:v>
      </x:c>
      <x:c r="W122" t="str">
        <x:f>IF(AND(T122="OK",U122="OK",V122="OK"),"OK","CHECK")</x:f>
        <x:v>OK</x:v>
      </x:c>
      <x:c r="X122" t="str">
        <x:f>IF(W122="OK","LOAD","QUARANTINE")</x:f>
        <x:v>LOAD</x:v>
      </x:c>
      <x:c r="Y122" t="str">
        <x:v>03_Process_Losses(6).xlsx</x:v>
      </x:c>
      <x:c r="Z122" t="str">
        <x:v>ENH-20260830-01</x:v>
      </x:c>
      <x:c r="AA122" t="str">
        <x:f>IF(X122="LOAD","Active","Quarantine")</x:f>
        <x:v>Active</x:v>
      </x:c>
      <x:c r="AB122"/>
      <x:c r="AC122"/>
      <x:c r="AD122"/>
      <x:c r="AE122"/>
    </x:row>
    <x:row r="123">
      <x:c r="A123" t="str">
        <x:v>PLD-000119</x:v>
      </x:c>
      <x:c r="B123" t="str">
        <x:v>LOSS-KG01-L21-20251025-AM-ORD-2025-00021</x:v>
      </x:c>
      <x:c r="C123" t="str">
        <x:v>PE-KG01-L21-20251025-AM-ORD-2025-00021</x:v>
      </x:c>
      <x:c r="D123" t="str">
        <x:v>KG01</x:v>
      </x:c>
      <x:c r="E123" t="n">
        <x:v>21</x:v>
      </x:c>
      <x:c r="F123" s="52" t="n">
        <x:v>45955</x:v>
      </x:c>
      <x:c r="G123" t="str">
        <x:v>AM</x:v>
      </x:c>
      <x:c r="H123" t="str">
        <x:v>ORD-2025-00021</x:v>
      </x:c>
      <x:c r="I123" t="str">
        <x:v>Trial</x:v>
      </x:c>
      <x:c r="J123" t="str">
        <x:v>PROC_SANLI</x:v>
      </x:c>
      <x:c r="K123" t="str">
        <x:v>Inspection</x:v>
      </x:c>
      <x:c r="L123" s="54" t="n">
        <x:v>0.008002990631389423</x:v>
      </x:c>
      <x:c r="M123" t="n">
        <x:v>131076</x:v>
      </x:c>
      <x:c r="N123" t="n">
        <x:f>L123*M123</x:f>
        <x:v>1049</x:v>
      </x:c>
      <x:c r="O123"/>
      <x:c r="P123"/>
      <x:c r="Q123"/>
      <x:c r="R123"/>
      <x:c r="S123" s="52"/>
      <x:c r="T123" t="str">
        <x:v>OK</x:v>
      </x:c>
      <x:c r="U123" t="str">
        <x:f>IF(AND(ISNUMBER(L123),L123&gt;=0,L123&lt;=1),"OK","CHECK")</x:f>
        <x:v>OK</x:v>
      </x:c>
      <x:c r="V123" t="str">
        <x:f>IF(AND(ISNUMBER(N123),N123&gt;=0),"OK","CHECK")</x:f>
        <x:v>OK</x:v>
      </x:c>
      <x:c r="W123" t="str">
        <x:f>IF(AND(T123="OK",U123="OK",V123="OK"),"OK","CHECK")</x:f>
        <x:v>OK</x:v>
      </x:c>
      <x:c r="X123" t="str">
        <x:f>IF(W123="OK","LOAD","QUARANTINE")</x:f>
        <x:v>LOAD</x:v>
      </x:c>
      <x:c r="Y123" t="str">
        <x:v>03_Process_Losses(6).xlsx</x:v>
      </x:c>
      <x:c r="Z123" t="str">
        <x:v>ENH-20260830-01</x:v>
      </x:c>
      <x:c r="AA123" t="str">
        <x:f>IF(X123="LOAD","Active","Quarantine")</x:f>
        <x:v>Active</x:v>
      </x:c>
      <x:c r="AB123"/>
      <x:c r="AC123"/>
      <x:c r="AD123"/>
      <x:c r="AE123"/>
    </x:row>
    <x:row r="124">
      <x:c r="A124" t="str">
        <x:v>PLD-000120</x:v>
      </x:c>
      <x:c r="B124" t="str">
        <x:v>LOSS-KG01-L21-20251025-AM-ORD-2025-00021</x:v>
      </x:c>
      <x:c r="C124" t="str">
        <x:v>PE-KG01-L21-20251025-AM-ORD-2025-00021</x:v>
      </x:c>
      <x:c r="D124" t="str">
        <x:v>KG01</x:v>
      </x:c>
      <x:c r="E124" t="n">
        <x:v>21</x:v>
      </x:c>
      <x:c r="F124" s="52" t="n">
        <x:v>45955</x:v>
      </x:c>
      <x:c r="G124" t="str">
        <x:v>AM</x:v>
      </x:c>
      <x:c r="H124" t="str">
        <x:v>ORD-2025-00021</x:v>
      </x:c>
      <x:c r="I124" t="str">
        <x:v>Trial</x:v>
      </x:c>
      <x:c r="J124" t="str">
        <x:v>PROC_VISUAL</x:v>
      </x:c>
      <x:c r="K124" t="str">
        <x:v>Inspection</x:v>
      </x:c>
      <x:c r="L124" s="54" t="n">
        <x:v>0.023726692910982942</x:v>
      </x:c>
      <x:c r="M124" t="n">
        <x:v>131076</x:v>
      </x:c>
      <x:c r="N124" t="n">
        <x:f>L124*M124</x:f>
        <x:v>3110</x:v>
      </x:c>
      <x:c r="O124"/>
      <x:c r="P124"/>
      <x:c r="Q124"/>
      <x:c r="R124"/>
      <x:c r="S124" s="52"/>
      <x:c r="T124" t="str">
        <x:v>OK</x:v>
      </x:c>
      <x:c r="U124" t="str">
        <x:f>IF(AND(ISNUMBER(L124),L124&gt;=0,L124&lt;=1),"OK","CHECK")</x:f>
        <x:v>OK</x:v>
      </x:c>
      <x:c r="V124" t="str">
        <x:f>IF(AND(ISNUMBER(N124),N124&gt;=0),"OK","CHECK")</x:f>
        <x:v>OK</x:v>
      </x:c>
      <x:c r="W124" t="str">
        <x:f>IF(AND(T124="OK",U124="OK",V124="OK"),"OK","CHECK")</x:f>
        <x:v>OK</x:v>
      </x:c>
      <x:c r="X124" t="str">
        <x:f>IF(W124="OK","LOAD","QUARANTINE")</x:f>
        <x:v>LOAD</x:v>
      </x:c>
      <x:c r="Y124" t="str">
        <x:v>03_Process_Losses(6).xlsx</x:v>
      </x:c>
      <x:c r="Z124" t="str">
        <x:v>ENH-20260830-01</x:v>
      </x:c>
      <x:c r="AA124" t="str">
        <x:f>IF(X124="LOAD","Active","Quarantine")</x:f>
        <x:v>Active</x:v>
      </x:c>
      <x:c r="AB124"/>
      <x:c r="AC124"/>
      <x:c r="AD124"/>
      <x:c r="AE124"/>
    </x:row>
    <x:row r="125">
      <x:c r="A125" t="str">
        <x:v>PLD-000121</x:v>
      </x:c>
      <x:c r="B125" t="str">
        <x:v>LOSS-KG01-L21-20251025-AM-ORD-2025-00021</x:v>
      </x:c>
      <x:c r="C125" t="str">
        <x:v>PE-KG01-L21-20251025-AM-ORD-2025-00021</x:v>
      </x:c>
      <x:c r="D125" t="str">
        <x:v>KG01</x:v>
      </x:c>
      <x:c r="E125" t="n">
        <x:v>21</x:v>
      </x:c>
      <x:c r="F125" s="52" t="n">
        <x:v>45955</x:v>
      </x:c>
      <x:c r="G125" t="str">
        <x:v>AM</x:v>
      </x:c>
      <x:c r="H125" t="str">
        <x:v>ORD-2025-00021</x:v>
      </x:c>
      <x:c r="I125" t="str">
        <x:v>Trial</x:v>
      </x:c>
      <x:c r="J125" t="str">
        <x:v>PROC_PALLETIZER</x:v>
      </x:c>
      <x:c r="K125" t="str">
        <x:v>Palletizer</x:v>
      </x:c>
      <x:c r="L125" s="54" t="n">
        <x:v>0.004073972351917972</x:v>
      </x:c>
      <x:c r="M125" t="n">
        <x:v>131076</x:v>
      </x:c>
      <x:c r="N125" t="n">
        <x:f>L125*M125</x:f>
        <x:v>534</x:v>
      </x:c>
      <x:c r="O125"/>
      <x:c r="P125"/>
      <x:c r="Q125"/>
      <x:c r="R125"/>
      <x:c r="S125" s="52"/>
      <x:c r="T125" t="str">
        <x:v>OK</x:v>
      </x:c>
      <x:c r="U125" t="str">
        <x:f>IF(AND(ISNUMBER(L125),L125&gt;=0,L125&lt;=1),"OK","CHECK")</x:f>
        <x:v>OK</x:v>
      </x:c>
      <x:c r="V125" t="str">
        <x:f>IF(AND(ISNUMBER(N125),N125&gt;=0),"OK","CHECK")</x:f>
        <x:v>OK</x:v>
      </x:c>
      <x:c r="W125" t="str">
        <x:f>IF(AND(T125="OK",U125="OK",V125="OK"),"OK","CHECK")</x:f>
        <x:v>OK</x:v>
      </x:c>
      <x:c r="X125" t="str">
        <x:f>IF(W125="OK","LOAD","QUARANTINE")</x:f>
        <x:v>LOAD</x:v>
      </x:c>
      <x:c r="Y125" t="str">
        <x:v>03_Process_Losses(6).xlsx</x:v>
      </x:c>
      <x:c r="Z125" t="str">
        <x:v>ENH-20260830-01</x:v>
      </x:c>
      <x:c r="AA125" t="str">
        <x:f>IF(X125="LOAD","Active","Quarantine")</x:f>
        <x:v>Active</x:v>
      </x:c>
      <x:c r="AB125"/>
      <x:c r="AC125"/>
      <x:c r="AD125"/>
      <x:c r="AE125"/>
    </x:row>
    <x:row r="126">
      <x:c r="A126" t="str">
        <x:v>PLD-000122</x:v>
      </x:c>
      <x:c r="B126" t="str">
        <x:v>LOSS-KG01-L21-20251025-PM-ORD-2025-00021</x:v>
      </x:c>
      <x:c r="C126" t="str">
        <x:v>PE-KG01-L21-20251025-PM-ORD-2025-00021</x:v>
      </x:c>
      <x:c r="D126" t="str">
        <x:v>KG01</x:v>
      </x:c>
      <x:c r="E126" t="n">
        <x:v>21</x:v>
      </x:c>
      <x:c r="F126" s="52" t="n">
        <x:v>45955</x:v>
      </x:c>
      <x:c r="G126" t="str">
        <x:v>PM</x:v>
      </x:c>
      <x:c r="H126" t="str">
        <x:v>ORD-2025-00021</x:v>
      </x:c>
      <x:c r="I126" t="str">
        <x:v>Normal</x:v>
      </x:c>
      <x:c r="J126" t="str">
        <x:v>PROC_FIXED</x:v>
      </x:c>
      <x:c r="K126" t="str">
        <x:v>Fixed Losses</x:v>
      </x:c>
      <x:c r="L126" s="54" t="n">
        <x:v>0.003219813786824096</x:v>
      </x:c>
      <x:c r="M126" t="n">
        <x:v>272376</x:v>
      </x:c>
      <x:c r="N126" t="n">
        <x:f>L126*M126</x:f>
        <x:v>877</x:v>
      </x:c>
      <x:c r="O126"/>
      <x:c r="P126"/>
      <x:c r="Q126"/>
      <x:c r="R126"/>
      <x:c r="S126" s="52"/>
      <x:c r="T126" t="str">
        <x:v>OK</x:v>
      </x:c>
      <x:c r="U126" t="str">
        <x:f>IF(AND(ISNUMBER(L126),L126&gt;=0,L126&lt;=1),"OK","CHECK")</x:f>
        <x:v>OK</x:v>
      </x:c>
      <x:c r="V126" t="str">
        <x:f>IF(AND(ISNUMBER(N126),N126&gt;=0),"OK","CHECK")</x:f>
        <x:v>OK</x:v>
      </x:c>
      <x:c r="W126" t="str">
        <x:f>IF(AND(T126="OK",U126="OK",V126="OK"),"OK","CHECK")</x:f>
        <x:v>OK</x:v>
      </x:c>
      <x:c r="X126" t="str">
        <x:f>IF(W126="OK","LOAD","QUARANTINE")</x:f>
        <x:v>LOAD</x:v>
      </x:c>
      <x:c r="Y126" t="str">
        <x:v>03_Process_Losses(6).xlsx</x:v>
      </x:c>
      <x:c r="Z126" t="str">
        <x:v>ENH-20260830-01</x:v>
      </x:c>
      <x:c r="AA126" t="str">
        <x:f>IF(X126="LOAD","Active","Quarantine")</x:f>
        <x:v>Active</x:v>
      </x:c>
      <x:c r="AB126"/>
      <x:c r="AC126"/>
      <x:c r="AD126"/>
      <x:c r="AE126"/>
    </x:row>
    <x:row r="127">
      <x:c r="A127" t="str">
        <x:v>PLD-000123</x:v>
      </x:c>
      <x:c r="B127" t="str">
        <x:v>LOSS-KG01-L21-20251025-PM-ORD-2025-00021</x:v>
      </x:c>
      <x:c r="C127" t="str">
        <x:v>PE-KG01-L21-20251025-PM-ORD-2025-00021</x:v>
      </x:c>
      <x:c r="D127" t="str">
        <x:v>KG01</x:v>
      </x:c>
      <x:c r="E127" t="n">
        <x:v>21</x:v>
      </x:c>
      <x:c r="F127" s="52" t="n">
        <x:v>45955</x:v>
      </x:c>
      <x:c r="G127" t="str">
        <x:v>PM</x:v>
      </x:c>
      <x:c r="H127" t="str">
        <x:v>ORD-2025-00021</x:v>
      </x:c>
      <x:c r="I127" t="str">
        <x:v>Normal</x:v>
      </x:c>
      <x:c r="J127" t="str">
        <x:v>PROC_IS</x:v>
      </x:c>
      <x:c r="K127" t="str">
        <x:v>IS Machine</x:v>
      </x:c>
      <x:c r="L127" s="54" t="n">
        <x:v>0.01553734543425265</x:v>
      </x:c>
      <x:c r="M127" t="n">
        <x:v>272376</x:v>
      </x:c>
      <x:c r="N127" t="n">
        <x:f>L127*M127</x:f>
        <x:v>4232</x:v>
      </x:c>
      <x:c r="O127"/>
      <x:c r="P127"/>
      <x:c r="Q127"/>
      <x:c r="R127"/>
      <x:c r="S127" s="52"/>
      <x:c r="T127" t="str">
        <x:v>OK</x:v>
      </x:c>
      <x:c r="U127" t="str">
        <x:f>IF(AND(ISNUMBER(L127),L127&gt;=0,L127&lt;=1),"OK","CHECK")</x:f>
        <x:v>OK</x:v>
      </x:c>
      <x:c r="V127" t="str">
        <x:f>IF(AND(ISNUMBER(N127),N127&gt;=0),"OK","CHECK")</x:f>
        <x:v>OK</x:v>
      </x:c>
      <x:c r="W127" t="str">
        <x:f>IF(AND(T127="OK",U127="OK",V127="OK"),"OK","CHECK")</x:f>
        <x:v>OK</x:v>
      </x:c>
      <x:c r="X127" t="str">
        <x:f>IF(W127="OK","LOAD","QUARANTINE")</x:f>
        <x:v>LOAD</x:v>
      </x:c>
      <x:c r="Y127" t="str">
        <x:v>03_Process_Losses(6).xlsx</x:v>
      </x:c>
      <x:c r="Z127" t="str">
        <x:v>ENH-20260830-01</x:v>
      </x:c>
      <x:c r="AA127" t="str">
        <x:f>IF(X127="LOAD","Active","Quarantine")</x:f>
        <x:v>Active</x:v>
      </x:c>
      <x:c r="AB127"/>
      <x:c r="AC127"/>
      <x:c r="AD127"/>
      <x:c r="AE127"/>
    </x:row>
    <x:row r="128">
      <x:c r="A128" t="str">
        <x:v>PLD-000124</x:v>
      </x:c>
      <x:c r="B128" t="str">
        <x:v>LOSS-KG01-L21-20251025-PM-ORD-2025-00021</x:v>
      </x:c>
      <x:c r="C128" t="str">
        <x:v>PE-KG01-L21-20251025-PM-ORD-2025-00021</x:v>
      </x:c>
      <x:c r="D128" t="str">
        <x:v>KG01</x:v>
      </x:c>
      <x:c r="E128" t="n">
        <x:v>21</x:v>
      </x:c>
      <x:c r="F128" s="52" t="n">
        <x:v>45955</x:v>
      </x:c>
      <x:c r="G128" t="str">
        <x:v>PM</x:v>
      </x:c>
      <x:c r="H128" t="str">
        <x:v>ORD-2025-00021</x:v>
      </x:c>
      <x:c r="I128" t="str">
        <x:v>Normal</x:v>
      </x:c>
      <x:c r="J128" t="str">
        <x:v>PROC_HE_CONVEYER</x:v>
      </x:c>
      <x:c r="K128" t="str">
        <x:v>Hot End</x:v>
      </x:c>
      <x:c r="L128" s="54" t="n">
        <x:v>0.004424031485887156</x:v>
      </x:c>
      <x:c r="M128" t="n">
        <x:v>272376</x:v>
      </x:c>
      <x:c r="N128" t="n">
        <x:f>L128*M128</x:f>
        <x:v>1205</x:v>
      </x:c>
      <x:c r="O128"/>
      <x:c r="P128"/>
      <x:c r="Q128"/>
      <x:c r="R128"/>
      <x:c r="S128" s="52"/>
      <x:c r="T128" t="str">
        <x:v>OK</x:v>
      </x:c>
      <x:c r="U128" t="str">
        <x:f>IF(AND(ISNUMBER(L128),L128&gt;=0,L128&lt;=1),"OK","CHECK")</x:f>
        <x:v>OK</x:v>
      </x:c>
      <x:c r="V128" t="str">
        <x:f>IF(AND(ISNUMBER(N128),N128&gt;=0),"OK","CHECK")</x:f>
        <x:v>OK</x:v>
      </x:c>
      <x:c r="W128" t="str">
        <x:f>IF(AND(T128="OK",U128="OK",V128="OK"),"OK","CHECK")</x:f>
        <x:v>OK</x:v>
      </x:c>
      <x:c r="X128" t="str">
        <x:f>IF(W128="OK","LOAD","QUARANTINE")</x:f>
        <x:v>LOAD</x:v>
      </x:c>
      <x:c r="Y128" t="str">
        <x:v>03_Process_Losses(6).xlsx</x:v>
      </x:c>
      <x:c r="Z128" t="str">
        <x:v>ENH-20260830-01</x:v>
      </x:c>
      <x:c r="AA128" t="str">
        <x:f>IF(X128="LOAD","Active","Quarantine")</x:f>
        <x:v>Active</x:v>
      </x:c>
      <x:c r="AB128"/>
      <x:c r="AC128"/>
      <x:c r="AD128"/>
      <x:c r="AE128"/>
    </x:row>
    <x:row r="129">
      <x:c r="A129" t="str">
        <x:v>PLD-000125</x:v>
      </x:c>
      <x:c r="B129" t="str">
        <x:v>LOSS-KG01-L21-20251025-PM-ORD-2025-00021</x:v>
      </x:c>
      <x:c r="C129" t="str">
        <x:v>PE-KG01-L21-20251025-PM-ORD-2025-00021</x:v>
      </x:c>
      <x:c r="D129" t="str">
        <x:v>KG01</x:v>
      </x:c>
      <x:c r="E129" t="n">
        <x:v>21</x:v>
      </x:c>
      <x:c r="F129" s="52" t="n">
        <x:v>45955</x:v>
      </x:c>
      <x:c r="G129" t="str">
        <x:v>PM</x:v>
      </x:c>
      <x:c r="H129" t="str">
        <x:v>ORD-2025-00021</x:v>
      </x:c>
      <x:c r="I129" t="str">
        <x:v>Normal</x:v>
      </x:c>
      <x:c r="J129" t="str">
        <x:v>PROC_STUCKDOWN</x:v>
      </x:c>
      <x:c r="K129" t="str">
        <x:v>Forming</x:v>
      </x:c>
      <x:c r="L129" s="54" t="n">
        <x:v>0.0023900784210062562</x:v>
      </x:c>
      <x:c r="M129" t="n">
        <x:v>272376</x:v>
      </x:c>
      <x:c r="N129" t="n">
        <x:f>L129*M129</x:f>
        <x:v>651</x:v>
      </x:c>
      <x:c r="O129"/>
      <x:c r="P129"/>
      <x:c r="Q129"/>
      <x:c r="R129"/>
      <x:c r="S129" s="52"/>
      <x:c r="T129" t="str">
        <x:v>OK</x:v>
      </x:c>
      <x:c r="U129" t="str">
        <x:f>IF(AND(ISNUMBER(L129),L129&gt;=0,L129&lt;=1),"OK","CHECK")</x:f>
        <x:v>OK</x:v>
      </x:c>
      <x:c r="V129" t="str">
        <x:f>IF(AND(ISNUMBER(N129),N129&gt;=0),"OK","CHECK")</x:f>
        <x:v>OK</x:v>
      </x:c>
      <x:c r="W129" t="str">
        <x:f>IF(AND(T129="OK",U129="OK",V129="OK"),"OK","CHECK")</x:f>
        <x:v>OK</x:v>
      </x:c>
      <x:c r="X129" t="str">
        <x:f>IF(W129="OK","LOAD","QUARANTINE")</x:f>
        <x:v>LOAD</x:v>
      </x:c>
      <x:c r="Y129" t="str">
        <x:v>03_Process_Losses(6).xlsx</x:v>
      </x:c>
      <x:c r="Z129" t="str">
        <x:v>ENH-20260830-01</x:v>
      </x:c>
      <x:c r="AA129" t="str">
        <x:f>IF(X129="LOAD","Active","Quarantine")</x:f>
        <x:v>Active</x:v>
      </x:c>
      <x:c r="AB129"/>
      <x:c r="AC129"/>
      <x:c r="AD129"/>
      <x:c r="AE129"/>
    </x:row>
    <x:row r="130">
      <x:c r="A130" t="str">
        <x:v>PLD-000126</x:v>
      </x:c>
      <x:c r="B130" t="str">
        <x:v>LOSS-KG01-L21-20251025-PM-ORD-2025-00021</x:v>
      </x:c>
      <x:c r="C130" t="str">
        <x:v>PE-KG01-L21-20251025-PM-ORD-2025-00021</x:v>
      </x:c>
      <x:c r="D130" t="str">
        <x:v>KG01</x:v>
      </x:c>
      <x:c r="E130" t="n">
        <x:v>21</x:v>
      </x:c>
      <x:c r="F130" s="52" t="n">
        <x:v>45955</x:v>
      </x:c>
      <x:c r="G130" t="str">
        <x:v>PM</x:v>
      </x:c>
      <x:c r="H130" t="str">
        <x:v>ORD-2025-00021</x:v>
      </x:c>
      <x:c r="I130" t="str">
        <x:v>Normal</x:v>
      </x:c>
      <x:c r="J130" t="str">
        <x:v>PROC_LEHR</x:v>
      </x:c>
      <x:c r="K130" t="str">
        <x:v>Lehr</x:v>
      </x:c>
      <x:c r="L130" s="54" t="n">
        <x:v>0.0022248656269274825</x:v>
      </x:c>
      <x:c r="M130" t="n">
        <x:v>272376</x:v>
      </x:c>
      <x:c r="N130" t="n">
        <x:f>L130*M130</x:f>
        <x:v>606</x:v>
      </x:c>
      <x:c r="O130"/>
      <x:c r="P130"/>
      <x:c r="Q130"/>
      <x:c r="R130"/>
      <x:c r="S130" s="52"/>
      <x:c r="T130" t="str">
        <x:v>OK</x:v>
      </x:c>
      <x:c r="U130" t="str">
        <x:f>IF(AND(ISNUMBER(L130),L130&gt;=0,L130&lt;=1),"OK","CHECK")</x:f>
        <x:v>OK</x:v>
      </x:c>
      <x:c r="V130" t="str">
        <x:f>IF(AND(ISNUMBER(N130),N130&gt;=0),"OK","CHECK")</x:f>
        <x:v>OK</x:v>
      </x:c>
      <x:c r="W130" t="str">
        <x:f>IF(AND(T130="OK",U130="OK",V130="OK"),"OK","CHECK")</x:f>
        <x:v>OK</x:v>
      </x:c>
      <x:c r="X130" t="str">
        <x:f>IF(W130="OK","LOAD","QUARANTINE")</x:f>
        <x:v>LOAD</x:v>
      </x:c>
      <x:c r="Y130" t="str">
        <x:v>03_Process_Losses(6).xlsx</x:v>
      </x:c>
      <x:c r="Z130" t="str">
        <x:v>ENH-20260830-01</x:v>
      </x:c>
      <x:c r="AA130" t="str">
        <x:f>IF(X130="LOAD","Active","Quarantine")</x:f>
        <x:v>Active</x:v>
      </x:c>
      <x:c r="AB130"/>
      <x:c r="AC130"/>
      <x:c r="AD130"/>
      <x:c r="AE130"/>
    </x:row>
    <x:row r="131">
      <x:c r="A131" t="str">
        <x:v>PLD-000127</x:v>
      </x:c>
      <x:c r="B131" t="str">
        <x:v>LOSS-KG01-L21-20251025-PM-ORD-2025-00021</x:v>
      </x:c>
      <x:c r="C131" t="str">
        <x:v>PE-KG01-L21-20251025-PM-ORD-2025-00021</x:v>
      </x:c>
      <x:c r="D131" t="str">
        <x:v>KG01</x:v>
      </x:c>
      <x:c r="E131" t="n">
        <x:v>21</x:v>
      </x:c>
      <x:c r="F131" s="52" t="n">
        <x:v>45955</x:v>
      </x:c>
      <x:c r="G131" t="str">
        <x:v>PM</x:v>
      </x:c>
      <x:c r="H131" t="str">
        <x:v>ORD-2025-00021</x:v>
      </x:c>
      <x:c r="I131" t="str">
        <x:v>Normal</x:v>
      </x:c>
      <x:c r="J131" t="str">
        <x:v>PROC_EVO16</x:v>
      </x:c>
      <x:c r="K131" t="str">
        <x:v>Inspection</x:v>
      </x:c>
      <x:c r="L131" s="54" t="n">
        <x:v>0.0038292654272035717</x:v>
      </x:c>
      <x:c r="M131" t="n">
        <x:v>272376</x:v>
      </x:c>
      <x:c r="N131" t="n">
        <x:f>L131*M131</x:f>
        <x:v>1043</x:v>
      </x:c>
      <x:c r="O131"/>
      <x:c r="P131"/>
      <x:c r="Q131"/>
      <x:c r="R131"/>
      <x:c r="S131" s="52"/>
      <x:c r="T131" t="str">
        <x:v>OK</x:v>
      </x:c>
      <x:c r="U131" t="str">
        <x:f>IF(AND(ISNUMBER(L131),L131&gt;=0,L131&lt;=1),"OK","CHECK")</x:f>
        <x:v>OK</x:v>
      </x:c>
      <x:c r="V131" t="str">
        <x:f>IF(AND(ISNUMBER(N131),N131&gt;=0),"OK","CHECK")</x:f>
        <x:v>OK</x:v>
      </x:c>
      <x:c r="W131" t="str">
        <x:f>IF(AND(T131="OK",U131="OK",V131="OK"),"OK","CHECK")</x:f>
        <x:v>OK</x:v>
      </x:c>
      <x:c r="X131" t="str">
        <x:f>IF(W131="OK","LOAD","QUARANTINE")</x:f>
        <x:v>LOAD</x:v>
      </x:c>
      <x:c r="Y131" t="str">
        <x:v>03_Process_Losses(6).xlsx</x:v>
      </x:c>
      <x:c r="Z131" t="str">
        <x:v>ENH-20260830-01</x:v>
      </x:c>
      <x:c r="AA131" t="str">
        <x:f>IF(X131="LOAD","Active","Quarantine")</x:f>
        <x:v>Active</x:v>
      </x:c>
      <x:c r="AB131"/>
      <x:c r="AC131"/>
      <x:c r="AD131"/>
      <x:c r="AE131"/>
    </x:row>
    <x:row r="132">
      <x:c r="A132" t="str">
        <x:v>PLD-000128</x:v>
      </x:c>
      <x:c r="B132" t="str">
        <x:v>LOSS-KG01-L21-20251025-PM-ORD-2025-00021</x:v>
      </x:c>
      <x:c r="C132" t="str">
        <x:v>PE-KG01-L21-20251025-PM-ORD-2025-00021</x:v>
      </x:c>
      <x:c r="D132" t="str">
        <x:v>KG01</x:v>
      </x:c>
      <x:c r="E132" t="n">
        <x:v>21</x:v>
      </x:c>
      <x:c r="F132" s="52" t="n">
        <x:v>45955</x:v>
      </x:c>
      <x:c r="G132" t="str">
        <x:v>PM</x:v>
      </x:c>
      <x:c r="H132" t="str">
        <x:v>ORD-2025-00021</x:v>
      </x:c>
      <x:c r="I132" t="str">
        <x:v>Normal</x:v>
      </x:c>
      <x:c r="J132" t="str">
        <x:v>PROC_EVO12</x:v>
      </x:c>
      <x:c r="K132" t="str">
        <x:v>Inspection</x:v>
      </x:c>
      <x:c r="L132" s="54" t="n">
        <x:v>0.0034914970481980793</x:v>
      </x:c>
      <x:c r="M132" t="n">
        <x:v>272376</x:v>
      </x:c>
      <x:c r="N132" t="n">
        <x:f>L132*M132</x:f>
        <x:v>951</x:v>
      </x:c>
      <x:c r="O132"/>
      <x:c r="P132"/>
      <x:c r="Q132"/>
      <x:c r="R132"/>
      <x:c r="S132" s="52"/>
      <x:c r="T132" t="str">
        <x:v>OK</x:v>
      </x:c>
      <x:c r="U132" t="str">
        <x:f>IF(AND(ISNUMBER(L132),L132&gt;=0,L132&lt;=1),"OK","CHECK")</x:f>
        <x:v>OK</x:v>
      </x:c>
      <x:c r="V132" t="str">
        <x:f>IF(AND(ISNUMBER(N132),N132&gt;=0),"OK","CHECK")</x:f>
        <x:v>OK</x:v>
      </x:c>
      <x:c r="W132" t="str">
        <x:f>IF(AND(T132="OK",U132="OK",V132="OK"),"OK","CHECK")</x:f>
        <x:v>OK</x:v>
      </x:c>
      <x:c r="X132" t="str">
        <x:f>IF(W132="OK","LOAD","QUARANTINE")</x:f>
        <x:v>LOAD</x:v>
      </x:c>
      <x:c r="Y132" t="str">
        <x:v>03_Process_Losses(6).xlsx</x:v>
      </x:c>
      <x:c r="Z132" t="str">
        <x:v>ENH-20260830-01</x:v>
      </x:c>
      <x:c r="AA132" t="str">
        <x:f>IF(X132="LOAD","Active","Quarantine")</x:f>
        <x:v>Active</x:v>
      </x:c>
      <x:c r="AB132"/>
      <x:c r="AC132"/>
      <x:c r="AD132"/>
      <x:c r="AE132"/>
    </x:row>
    <x:row r="133">
      <x:c r="A133" t="str">
        <x:v>PLD-000129</x:v>
      </x:c>
      <x:c r="B133" t="str">
        <x:v>LOSS-KG01-L21-20251025-PM-ORD-2025-00021</x:v>
      </x:c>
      <x:c r="C133" t="str">
        <x:v>PE-KG01-L21-20251025-PM-ORD-2025-00021</x:v>
      </x:c>
      <x:c r="D133" t="str">
        <x:v>KG01</x:v>
      </x:c>
      <x:c r="E133" t="n">
        <x:v>21</x:v>
      </x:c>
      <x:c r="F133" s="52" t="n">
        <x:v>45955</x:v>
      </x:c>
      <x:c r="G133" t="str">
        <x:v>PM</x:v>
      </x:c>
      <x:c r="H133" t="str">
        <x:v>ORD-2025-00021</x:v>
      </x:c>
      <x:c r="I133" t="str">
        <x:v>Normal</x:v>
      </x:c>
      <x:c r="J133" t="str">
        <x:v>PROC_EVO5</x:v>
      </x:c>
      <x:c r="K133" t="str">
        <x:v>Inspection</x:v>
      </x:c>
      <x:c r="L133" s="54" t="n">
        <x:v>0.0008774635063294857</x:v>
      </x:c>
      <x:c r="M133" t="n">
        <x:v>272376</x:v>
      </x:c>
      <x:c r="N133" t="n">
        <x:f>L133*M133</x:f>
        <x:v>239</x:v>
      </x:c>
      <x:c r="O133"/>
      <x:c r="P133"/>
      <x:c r="Q133"/>
      <x:c r="R133"/>
      <x:c r="S133" s="52"/>
      <x:c r="T133" t="str">
        <x:v>OK</x:v>
      </x:c>
      <x:c r="U133" t="str">
        <x:f>IF(AND(ISNUMBER(L133),L133&gt;=0,L133&lt;=1),"OK","CHECK")</x:f>
        <x:v>OK</x:v>
      </x:c>
      <x:c r="V133" t="str">
        <x:f>IF(AND(ISNUMBER(N133),N133&gt;=0),"OK","CHECK")</x:f>
        <x:v>OK</x:v>
      </x:c>
      <x:c r="W133" t="str">
        <x:f>IF(AND(T133="OK",U133="OK",V133="OK"),"OK","CHECK")</x:f>
        <x:v>OK</x:v>
      </x:c>
      <x:c r="X133" t="str">
        <x:f>IF(W133="OK","LOAD","QUARANTINE")</x:f>
        <x:v>LOAD</x:v>
      </x:c>
      <x:c r="Y133" t="str">
        <x:v>03_Process_Losses(6).xlsx</x:v>
      </x:c>
      <x:c r="Z133" t="str">
        <x:v>ENH-20260830-01</x:v>
      </x:c>
      <x:c r="AA133" t="str">
        <x:f>IF(X133="LOAD","Active","Quarantine")</x:f>
        <x:v>Active</x:v>
      </x:c>
      <x:c r="AB133"/>
      <x:c r="AC133"/>
      <x:c r="AD133"/>
      <x:c r="AE133"/>
    </x:row>
    <x:row r="134">
      <x:c r="A134" t="str">
        <x:v>PLD-000130</x:v>
      </x:c>
      <x:c r="B134" t="str">
        <x:v>LOSS-KG01-L21-20251025-PM-ORD-2025-00021</x:v>
      </x:c>
      <x:c r="C134" t="str">
        <x:v>PE-KG01-L21-20251025-PM-ORD-2025-00021</x:v>
      </x:c>
      <x:c r="D134" t="str">
        <x:v>KG01</x:v>
      </x:c>
      <x:c r="E134" t="n">
        <x:v>21</x:v>
      </x:c>
      <x:c r="F134" s="52" t="n">
        <x:v>45955</x:v>
      </x:c>
      <x:c r="G134" t="str">
        <x:v>PM</x:v>
      </x:c>
      <x:c r="H134" t="str">
        <x:v>ORD-2025-00021</x:v>
      </x:c>
      <x:c r="I134" t="str">
        <x:v>Normal</x:v>
      </x:c>
      <x:c r="J134" t="str">
        <x:v>PROC_SANLI</x:v>
      </x:c>
      <x:c r="K134" t="str">
        <x:v>Inspection</x:v>
      </x:c>
      <x:c r="L134" s="54" t="n">
        <x:v>0.0026177049372925663</x:v>
      </x:c>
      <x:c r="M134" t="n">
        <x:v>272376</x:v>
      </x:c>
      <x:c r="N134" t="n">
        <x:f>L134*M134</x:f>
        <x:v>713</x:v>
      </x:c>
      <x:c r="O134"/>
      <x:c r="P134"/>
      <x:c r="Q134"/>
      <x:c r="R134"/>
      <x:c r="S134" s="52"/>
      <x:c r="T134" t="str">
        <x:v>OK</x:v>
      </x:c>
      <x:c r="U134" t="str">
        <x:f>IF(AND(ISNUMBER(L134),L134&gt;=0,L134&lt;=1),"OK","CHECK")</x:f>
        <x:v>OK</x:v>
      </x:c>
      <x:c r="V134" t="str">
        <x:f>IF(AND(ISNUMBER(N134),N134&gt;=0),"OK","CHECK")</x:f>
        <x:v>OK</x:v>
      </x:c>
      <x:c r="W134" t="str">
        <x:f>IF(AND(T134="OK",U134="OK",V134="OK"),"OK","CHECK")</x:f>
        <x:v>OK</x:v>
      </x:c>
      <x:c r="X134" t="str">
        <x:f>IF(W134="OK","LOAD","QUARANTINE")</x:f>
        <x:v>LOAD</x:v>
      </x:c>
      <x:c r="Y134" t="str">
        <x:v>03_Process_Losses(6).xlsx</x:v>
      </x:c>
      <x:c r="Z134" t="str">
        <x:v>ENH-20260830-01</x:v>
      </x:c>
      <x:c r="AA134" t="str">
        <x:f>IF(X134="LOAD","Active","Quarantine")</x:f>
        <x:v>Active</x:v>
      </x:c>
      <x:c r="AB134"/>
      <x:c r="AC134"/>
      <x:c r="AD134"/>
      <x:c r="AE134"/>
    </x:row>
    <x:row r="135">
      <x:c r="A135" t="str">
        <x:v>PLD-000131</x:v>
      </x:c>
      <x:c r="B135" t="str">
        <x:v>LOSS-KG01-L21-20251025-PM-ORD-2025-00021</x:v>
      </x:c>
      <x:c r="C135" t="str">
        <x:v>PE-KG01-L21-20251025-PM-ORD-2025-00021</x:v>
      </x:c>
      <x:c r="D135" t="str">
        <x:v>KG01</x:v>
      </x:c>
      <x:c r="E135" t="n">
        <x:v>21</x:v>
      </x:c>
      <x:c r="F135" s="52" t="n">
        <x:v>45955</x:v>
      </x:c>
      <x:c r="G135" t="str">
        <x:v>PM</x:v>
      </x:c>
      <x:c r="H135" t="str">
        <x:v>ORD-2025-00021</x:v>
      </x:c>
      <x:c r="I135" t="str">
        <x:v>Normal</x:v>
      </x:c>
      <x:c r="J135" t="str">
        <x:v>PROC_VISUAL</x:v>
      </x:c>
      <x:c r="K135" t="str">
        <x:v>Inspection</x:v>
      </x:c>
      <x:c r="L135" s="54" t="n">
        <x:v>0.008561694128704438</x:v>
      </x:c>
      <x:c r="M135" t="n">
        <x:v>272376</x:v>
      </x:c>
      <x:c r="N135" t="n">
        <x:f>L135*M135</x:f>
        <x:v>2332</x:v>
      </x:c>
      <x:c r="O135"/>
      <x:c r="P135"/>
      <x:c r="Q135"/>
      <x:c r="R135"/>
      <x:c r="S135" s="52"/>
      <x:c r="T135" t="str">
        <x:v>OK</x:v>
      </x:c>
      <x:c r="U135" t="str">
        <x:f>IF(AND(ISNUMBER(L135),L135&gt;=0,L135&lt;=1),"OK","CHECK")</x:f>
        <x:v>OK</x:v>
      </x:c>
      <x:c r="V135" t="str">
        <x:f>IF(AND(ISNUMBER(N135),N135&gt;=0),"OK","CHECK")</x:f>
        <x:v>OK</x:v>
      </x:c>
      <x:c r="W135" t="str">
        <x:f>IF(AND(T135="OK",U135="OK",V135="OK"),"OK","CHECK")</x:f>
        <x:v>OK</x:v>
      </x:c>
      <x:c r="X135" t="str">
        <x:f>IF(W135="OK","LOAD","QUARANTINE")</x:f>
        <x:v>LOAD</x:v>
      </x:c>
      <x:c r="Y135" t="str">
        <x:v>03_Process_Losses(6).xlsx</x:v>
      </x:c>
      <x:c r="Z135" t="str">
        <x:v>ENH-20260830-01</x:v>
      </x:c>
      <x:c r="AA135" t="str">
        <x:f>IF(X135="LOAD","Active","Quarantine")</x:f>
        <x:v>Active</x:v>
      </x:c>
      <x:c r="AB135"/>
      <x:c r="AC135"/>
      <x:c r="AD135"/>
      <x:c r="AE135"/>
    </x:row>
    <x:row r="136">
      <x:c r="A136" t="str">
        <x:v>PLD-000132</x:v>
      </x:c>
      <x:c r="B136" t="str">
        <x:v>LOSS-KG01-L21-20251025-PM-ORD-2025-00021</x:v>
      </x:c>
      <x:c r="C136" t="str">
        <x:v>PE-KG01-L21-20251025-PM-ORD-2025-00021</x:v>
      </x:c>
      <x:c r="D136" t="str">
        <x:v>KG01</x:v>
      </x:c>
      <x:c r="E136" t="n">
        <x:v>21</x:v>
      </x:c>
      <x:c r="F136" s="52" t="n">
        <x:v>45955</x:v>
      </x:c>
      <x:c r="G136" t="str">
        <x:v>PM</x:v>
      </x:c>
      <x:c r="H136" t="str">
        <x:v>ORD-2025-00021</x:v>
      </x:c>
      <x:c r="I136" t="str">
        <x:v>Normal</x:v>
      </x:c>
      <x:c r="J136" t="str">
        <x:v>PROC_PALLETIZER</x:v>
      </x:c>
      <x:c r="K136" t="str">
        <x:v>Palletizer</x:v>
      </x:c>
      <x:c r="L136" s="54" t="n">
        <x:v>0.002518577260845302</x:v>
      </x:c>
      <x:c r="M136" t="n">
        <x:v>272376</x:v>
      </x:c>
      <x:c r="N136" t="n">
        <x:f>L136*M136</x:f>
        <x:v>686</x:v>
      </x:c>
      <x:c r="O136"/>
      <x:c r="P136"/>
      <x:c r="Q136"/>
      <x:c r="R136"/>
      <x:c r="S136" s="52"/>
      <x:c r="T136" t="str">
        <x:v>OK</x:v>
      </x:c>
      <x:c r="U136" t="str">
        <x:f>IF(AND(ISNUMBER(L136),L136&gt;=0,L136&lt;=1),"OK","CHECK")</x:f>
        <x:v>OK</x:v>
      </x:c>
      <x:c r="V136" t="str">
        <x:f>IF(AND(ISNUMBER(N136),N136&gt;=0),"OK","CHECK")</x:f>
        <x:v>OK</x:v>
      </x:c>
      <x:c r="W136" t="str">
        <x:f>IF(AND(T136="OK",U136="OK",V136="OK"),"OK","CHECK")</x:f>
        <x:v>OK</x:v>
      </x:c>
      <x:c r="X136" t="str">
        <x:f>IF(W136="OK","LOAD","QUARANTINE")</x:f>
        <x:v>LOAD</x:v>
      </x:c>
      <x:c r="Y136" t="str">
        <x:v>03_Process_Losses(6).xlsx</x:v>
      </x:c>
      <x:c r="Z136" t="str">
        <x:v>ENH-20260830-01</x:v>
      </x:c>
      <x:c r="AA136" t="str">
        <x:f>IF(X136="LOAD","Active","Quarantine")</x:f>
        <x:v>Active</x:v>
      </x:c>
      <x:c r="AB136"/>
      <x:c r="AC136"/>
      <x:c r="AD136"/>
      <x:c r="AE136"/>
    </x:row>
    <x:row r="137">
      <x:c r="A137" t="str">
        <x:v>PLD-000133</x:v>
      </x:c>
      <x:c r="B137" t="str">
        <x:v>LOSS-KG01-L21-20251026-AM-ORD-2025-00021</x:v>
      </x:c>
      <x:c r="C137" t="str">
        <x:v>PE-KG01-L21-20251026-AM-ORD-2025-00021</x:v>
      </x:c>
      <x:c r="D137" t="str">
        <x:v>KG01</x:v>
      </x:c>
      <x:c r="E137" t="n">
        <x:v>21</x:v>
      </x:c>
      <x:c r="F137" s="52" t="n">
        <x:v>45956</x:v>
      </x:c>
      <x:c r="G137" t="str">
        <x:v>AM</x:v>
      </x:c>
      <x:c r="H137" t="str">
        <x:v>ORD-2025-00021</x:v>
      </x:c>
      <x:c r="I137" t="str">
        <x:v>Normal</x:v>
      </x:c>
      <x:c r="J137" t="str">
        <x:v>PROC_FIXED</x:v>
      </x:c>
      <x:c r="K137" t="str">
        <x:v>Fixed Losses</x:v>
      </x:c>
      <x:c r="L137" s="54" t="n">
        <x:v>0.004621474087122942</x:v>
      </x:c>
      <x:c r="M137" t="n">
        <x:v>275886</x:v>
      </x:c>
      <x:c r="N137" t="n">
        <x:f>L137*M137</x:f>
        <x:v>1275</x:v>
      </x:c>
      <x:c r="O137"/>
      <x:c r="P137"/>
      <x:c r="Q137"/>
      <x:c r="R137"/>
      <x:c r="S137" s="52"/>
      <x:c r="T137" t="str">
        <x:v>OK</x:v>
      </x:c>
      <x:c r="U137" t="str">
        <x:f>IF(AND(ISNUMBER(L137),L137&gt;=0,L137&lt;=1),"OK","CHECK")</x:f>
        <x:v>OK</x:v>
      </x:c>
      <x:c r="V137" t="str">
        <x:f>IF(AND(ISNUMBER(N137),N137&gt;=0),"OK","CHECK")</x:f>
        <x:v>OK</x:v>
      </x:c>
      <x:c r="W137" t="str">
        <x:f>IF(AND(T137="OK",U137="OK",V137="OK"),"OK","CHECK")</x:f>
        <x:v>OK</x:v>
      </x:c>
      <x:c r="X137" t="str">
        <x:f>IF(W137="OK","LOAD","QUARANTINE")</x:f>
        <x:v>LOAD</x:v>
      </x:c>
      <x:c r="Y137" t="str">
        <x:v>03_Process_Losses(6).xlsx</x:v>
      </x:c>
      <x:c r="Z137" t="str">
        <x:v>ENH-20260830-01</x:v>
      </x:c>
      <x:c r="AA137" t="str">
        <x:f>IF(X137="LOAD","Active","Quarantine")</x:f>
        <x:v>Active</x:v>
      </x:c>
      <x:c r="AB137"/>
      <x:c r="AC137"/>
      <x:c r="AD137"/>
      <x:c r="AE137"/>
    </x:row>
    <x:row r="138">
      <x:c r="A138" t="str">
        <x:v>PLD-000134</x:v>
      </x:c>
      <x:c r="B138" t="str">
        <x:v>LOSS-KG01-L21-20251026-AM-ORD-2025-00021</x:v>
      </x:c>
      <x:c r="C138" t="str">
        <x:v>PE-KG01-L21-20251026-AM-ORD-2025-00021</x:v>
      </x:c>
      <x:c r="D138" t="str">
        <x:v>KG01</x:v>
      </x:c>
      <x:c r="E138" t="n">
        <x:v>21</x:v>
      </x:c>
      <x:c r="F138" s="52" t="n">
        <x:v>45956</x:v>
      </x:c>
      <x:c r="G138" t="str">
        <x:v>AM</x:v>
      </x:c>
      <x:c r="H138" t="str">
        <x:v>ORD-2025-00021</x:v>
      </x:c>
      <x:c r="I138" t="str">
        <x:v>Normal</x:v>
      </x:c>
      <x:c r="J138" t="str">
        <x:v>PROC_IS</x:v>
      </x:c>
      <x:c r="K138" t="str">
        <x:v>IS Machine</x:v>
      </x:c>
      <x:c r="L138" s="54" t="n">
        <x:v>0.01491195638778336</x:v>
      </x:c>
      <x:c r="M138" t="n">
        <x:v>275886</x:v>
      </x:c>
      <x:c r="N138" t="n">
        <x:f>L138*M138</x:f>
        <x:v>4114</x:v>
      </x:c>
      <x:c r="O138"/>
      <x:c r="P138"/>
      <x:c r="Q138"/>
      <x:c r="R138"/>
      <x:c r="S138" s="52"/>
      <x:c r="T138" t="str">
        <x:v>OK</x:v>
      </x:c>
      <x:c r="U138" t="str">
        <x:f>IF(AND(ISNUMBER(L138),L138&gt;=0,L138&lt;=1),"OK","CHECK")</x:f>
        <x:v>OK</x:v>
      </x:c>
      <x:c r="V138" t="str">
        <x:f>IF(AND(ISNUMBER(N138),N138&gt;=0),"OK","CHECK")</x:f>
        <x:v>OK</x:v>
      </x:c>
      <x:c r="W138" t="str">
        <x:f>IF(AND(T138="OK",U138="OK",V138="OK"),"OK","CHECK")</x:f>
        <x:v>OK</x:v>
      </x:c>
      <x:c r="X138" t="str">
        <x:f>IF(W138="OK","LOAD","QUARANTINE")</x:f>
        <x:v>LOAD</x:v>
      </x:c>
      <x:c r="Y138" t="str">
        <x:v>03_Process_Losses(6).xlsx</x:v>
      </x:c>
      <x:c r="Z138" t="str">
        <x:v>ENH-20260830-01</x:v>
      </x:c>
      <x:c r="AA138" t="str">
        <x:f>IF(X138="LOAD","Active","Quarantine")</x:f>
        <x:v>Active</x:v>
      </x:c>
      <x:c r="AB138"/>
      <x:c r="AC138"/>
      <x:c r="AD138"/>
      <x:c r="AE138"/>
    </x:row>
    <x:row r="139">
      <x:c r="A139" t="str">
        <x:v>PLD-000135</x:v>
      </x:c>
      <x:c r="B139" t="str">
        <x:v>LOSS-KG01-L21-20251026-AM-ORD-2025-00021</x:v>
      </x:c>
      <x:c r="C139" t="str">
        <x:v>PE-KG01-L21-20251026-AM-ORD-2025-00021</x:v>
      </x:c>
      <x:c r="D139" t="str">
        <x:v>KG01</x:v>
      </x:c>
      <x:c r="E139" t="n">
        <x:v>21</x:v>
      </x:c>
      <x:c r="F139" s="52" t="n">
        <x:v>45956</x:v>
      </x:c>
      <x:c r="G139" t="str">
        <x:v>AM</x:v>
      </x:c>
      <x:c r="H139" t="str">
        <x:v>ORD-2025-00021</x:v>
      </x:c>
      <x:c r="I139" t="str">
        <x:v>Normal</x:v>
      </x:c>
      <x:c r="J139" t="str">
        <x:v>PROC_HE_CONVEYER</x:v>
      </x:c>
      <x:c r="K139" t="str">
        <x:v>Hot End</x:v>
      </x:c>
      <x:c r="L139" s="54" t="n">
        <x:v>0.002849002849002849</x:v>
      </x:c>
      <x:c r="M139" t="n">
        <x:v>275886</x:v>
      </x:c>
      <x:c r="N139" t="n">
        <x:f>L139*M139</x:f>
        <x:v>786</x:v>
      </x:c>
      <x:c r="O139"/>
      <x:c r="P139"/>
      <x:c r="Q139"/>
      <x:c r="R139"/>
      <x:c r="S139" s="52"/>
      <x:c r="T139" t="str">
        <x:v>OK</x:v>
      </x:c>
      <x:c r="U139" t="str">
        <x:f>IF(AND(ISNUMBER(L139),L139&gt;=0,L139&lt;=1),"OK","CHECK")</x:f>
        <x:v>OK</x:v>
      </x:c>
      <x:c r="V139" t="str">
        <x:f>IF(AND(ISNUMBER(N139),N139&gt;=0),"OK","CHECK")</x:f>
        <x:v>OK</x:v>
      </x:c>
      <x:c r="W139" t="str">
        <x:f>IF(AND(T139="OK",U139="OK",V139="OK"),"OK","CHECK")</x:f>
        <x:v>OK</x:v>
      </x:c>
      <x:c r="X139" t="str">
        <x:f>IF(W139="OK","LOAD","QUARANTINE")</x:f>
        <x:v>LOAD</x:v>
      </x:c>
      <x:c r="Y139" t="str">
        <x:v>03_Process_Losses(6).xlsx</x:v>
      </x:c>
      <x:c r="Z139" t="str">
        <x:v>ENH-20260830-01</x:v>
      </x:c>
      <x:c r="AA139" t="str">
        <x:f>IF(X139="LOAD","Active","Quarantine")</x:f>
        <x:v>Active</x:v>
      </x:c>
      <x:c r="AB139"/>
      <x:c r="AC139"/>
      <x:c r="AD139"/>
      <x:c r="AE139"/>
    </x:row>
    <x:row r="140">
      <x:c r="A140" t="str">
        <x:v>PLD-000136</x:v>
      </x:c>
      <x:c r="B140" t="str">
        <x:v>LOSS-KG01-L21-20251026-AM-ORD-2025-00021</x:v>
      </x:c>
      <x:c r="C140" t="str">
        <x:v>PE-KG01-L21-20251026-AM-ORD-2025-00021</x:v>
      </x:c>
      <x:c r="D140" t="str">
        <x:v>KG01</x:v>
      </x:c>
      <x:c r="E140" t="n">
        <x:v>21</x:v>
      </x:c>
      <x:c r="F140" s="52" t="n">
        <x:v>45956</x:v>
      </x:c>
      <x:c r="G140" t="str">
        <x:v>AM</x:v>
      </x:c>
      <x:c r="H140" t="str">
        <x:v>ORD-2025-00021</x:v>
      </x:c>
      <x:c r="I140" t="str">
        <x:v>Normal</x:v>
      </x:c>
      <x:c r="J140" t="str">
        <x:v>PROC_STUCKDOWN</x:v>
      </x:c>
      <x:c r="K140" t="str">
        <x:v>Forming</x:v>
      </x:c>
      <x:c r="L140" s="54" t="n">
        <x:v>0.005824869692554171</x:v>
      </x:c>
      <x:c r="M140" t="n">
        <x:v>275886</x:v>
      </x:c>
      <x:c r="N140" t="n">
        <x:f>L140*M140</x:f>
        <x:v>1607</x:v>
      </x:c>
      <x:c r="O140"/>
      <x:c r="P140"/>
      <x:c r="Q140"/>
      <x:c r="R140"/>
      <x:c r="S140" s="52"/>
      <x:c r="T140" t="str">
        <x:v>OK</x:v>
      </x:c>
      <x:c r="U140" t="str">
        <x:f>IF(AND(ISNUMBER(L140),L140&gt;=0,L140&lt;=1),"OK","CHECK")</x:f>
        <x:v>OK</x:v>
      </x:c>
      <x:c r="V140" t="str">
        <x:f>IF(AND(ISNUMBER(N140),N140&gt;=0),"OK","CHECK")</x:f>
        <x:v>OK</x:v>
      </x:c>
      <x:c r="W140" t="str">
        <x:f>IF(AND(T140="OK",U140="OK",V140="OK"),"OK","CHECK")</x:f>
        <x:v>OK</x:v>
      </x:c>
      <x:c r="X140" t="str">
        <x:f>IF(W140="OK","LOAD","QUARANTINE")</x:f>
        <x:v>LOAD</x:v>
      </x:c>
      <x:c r="Y140" t="str">
        <x:v>03_Process_Losses(6).xlsx</x:v>
      </x:c>
      <x:c r="Z140" t="str">
        <x:v>ENH-20260830-01</x:v>
      </x:c>
      <x:c r="AA140" t="str">
        <x:f>IF(X140="LOAD","Active","Quarantine")</x:f>
        <x:v>Active</x:v>
      </x:c>
      <x:c r="AB140"/>
      <x:c r="AC140"/>
      <x:c r="AD140"/>
      <x:c r="AE140"/>
    </x:row>
    <x:row r="141">
      <x:c r="A141" t="str">
        <x:v>PLD-000137</x:v>
      </x:c>
      <x:c r="B141" t="str">
        <x:v>LOSS-KG01-L21-20251026-AM-ORD-2025-00021</x:v>
      </x:c>
      <x:c r="C141" t="str">
        <x:v>PE-KG01-L21-20251026-AM-ORD-2025-00021</x:v>
      </x:c>
      <x:c r="D141" t="str">
        <x:v>KG01</x:v>
      </x:c>
      <x:c r="E141" t="n">
        <x:v>21</x:v>
      </x:c>
      <x:c r="F141" s="52" t="n">
        <x:v>45956</x:v>
      </x:c>
      <x:c r="G141" t="str">
        <x:v>AM</x:v>
      </x:c>
      <x:c r="H141" t="str">
        <x:v>ORD-2025-00021</x:v>
      </x:c>
      <x:c r="I141" t="str">
        <x:v>Normal</x:v>
      </x:c>
      <x:c r="J141" t="str">
        <x:v>PROC_LEHR</x:v>
      </x:c>
      <x:c r="K141" t="str">
        <x:v>Lehr</x:v>
      </x:c>
      <x:c r="L141" s="54" t="n">
        <x:v>0.0007575592817323097</x:v>
      </x:c>
      <x:c r="M141" t="n">
        <x:v>275886</x:v>
      </x:c>
      <x:c r="N141" t="n">
        <x:f>L141*M141</x:f>
        <x:v>208.99999999999997</x:v>
      </x:c>
      <x:c r="O141"/>
      <x:c r="P141"/>
      <x:c r="Q141"/>
      <x:c r="R141"/>
      <x:c r="S141" s="52"/>
      <x:c r="T141" t="str">
        <x:v>OK</x:v>
      </x:c>
      <x:c r="U141" t="str">
        <x:f>IF(AND(ISNUMBER(L141),L141&gt;=0,L141&lt;=1),"OK","CHECK")</x:f>
        <x:v>OK</x:v>
      </x:c>
      <x:c r="V141" t="str">
        <x:f>IF(AND(ISNUMBER(N141),N141&gt;=0),"OK","CHECK")</x:f>
        <x:v>OK</x:v>
      </x:c>
      <x:c r="W141" t="str">
        <x:f>IF(AND(T141="OK",U141="OK",V141="OK"),"OK","CHECK")</x:f>
        <x:v>OK</x:v>
      </x:c>
      <x:c r="X141" t="str">
        <x:f>IF(W141="OK","LOAD","QUARANTINE")</x:f>
        <x:v>LOAD</x:v>
      </x:c>
      <x:c r="Y141" t="str">
        <x:v>03_Process_Losses(6).xlsx</x:v>
      </x:c>
      <x:c r="Z141" t="str">
        <x:v>ENH-20260830-01</x:v>
      </x:c>
      <x:c r="AA141" t="str">
        <x:f>IF(X141="LOAD","Active","Quarantine")</x:f>
        <x:v>Active</x:v>
      </x:c>
      <x:c r="AB141"/>
      <x:c r="AC141"/>
      <x:c r="AD141"/>
      <x:c r="AE141"/>
    </x:row>
    <x:row r="142">
      <x:c r="A142" t="str">
        <x:v>PLD-000138</x:v>
      </x:c>
      <x:c r="B142" t="str">
        <x:v>LOSS-KG01-L21-20251026-AM-ORD-2025-00021</x:v>
      </x:c>
      <x:c r="C142" t="str">
        <x:v>PE-KG01-L21-20251026-AM-ORD-2025-00021</x:v>
      </x:c>
      <x:c r="D142" t="str">
        <x:v>KG01</x:v>
      </x:c>
      <x:c r="E142" t="n">
        <x:v>21</x:v>
      </x:c>
      <x:c r="F142" s="52" t="n">
        <x:v>45956</x:v>
      </x:c>
      <x:c r="G142" t="str">
        <x:v>AM</x:v>
      </x:c>
      <x:c r="H142" t="str">
        <x:v>ORD-2025-00021</x:v>
      </x:c>
      <x:c r="I142" t="str">
        <x:v>Normal</x:v>
      </x:c>
      <x:c r="J142" t="str">
        <x:v>PROC_EVO16</x:v>
      </x:c>
      <x:c r="K142" t="str">
        <x:v>Inspection</x:v>
      </x:c>
      <x:c r="L142" s="54" t="n">
        <x:v>0.0029468693590830996</x:v>
      </x:c>
      <x:c r="M142" t="n">
        <x:v>275886</x:v>
      </x:c>
      <x:c r="N142" t="n">
        <x:f>L142*M142</x:f>
        <x:v>813</x:v>
      </x:c>
      <x:c r="O142"/>
      <x:c r="P142"/>
      <x:c r="Q142"/>
      <x:c r="R142"/>
      <x:c r="S142" s="52"/>
      <x:c r="T142" t="str">
        <x:v>OK</x:v>
      </x:c>
      <x:c r="U142" t="str">
        <x:f>IF(AND(ISNUMBER(L142),L142&gt;=0,L142&lt;=1),"OK","CHECK")</x:f>
        <x:v>OK</x:v>
      </x:c>
      <x:c r="V142" t="str">
        <x:f>IF(AND(ISNUMBER(N142),N142&gt;=0),"OK","CHECK")</x:f>
        <x:v>OK</x:v>
      </x:c>
      <x:c r="W142" t="str">
        <x:f>IF(AND(T142="OK",U142="OK",V142="OK"),"OK","CHECK")</x:f>
        <x:v>OK</x:v>
      </x:c>
      <x:c r="X142" t="str">
        <x:f>IF(W142="OK","LOAD","QUARANTINE")</x:f>
        <x:v>LOAD</x:v>
      </x:c>
      <x:c r="Y142" t="str">
        <x:v>03_Process_Losses(6).xlsx</x:v>
      </x:c>
      <x:c r="Z142" t="str">
        <x:v>ENH-20260830-01</x:v>
      </x:c>
      <x:c r="AA142" t="str">
        <x:f>IF(X142="LOAD","Active","Quarantine")</x:f>
        <x:v>Active</x:v>
      </x:c>
      <x:c r="AB142"/>
      <x:c r="AC142"/>
      <x:c r="AD142"/>
      <x:c r="AE142"/>
    </x:row>
    <x:row r="143">
      <x:c r="A143" t="str">
        <x:v>PLD-000139</x:v>
      </x:c>
      <x:c r="B143" t="str">
        <x:v>LOSS-KG01-L21-20251026-AM-ORD-2025-00021</x:v>
      </x:c>
      <x:c r="C143" t="str">
        <x:v>PE-KG01-L21-20251026-AM-ORD-2025-00021</x:v>
      </x:c>
      <x:c r="D143" t="str">
        <x:v>KG01</x:v>
      </x:c>
      <x:c r="E143" t="n">
        <x:v>21</x:v>
      </x:c>
      <x:c r="F143" s="52" t="n">
        <x:v>45956</x:v>
      </x:c>
      <x:c r="G143" t="str">
        <x:v>AM</x:v>
      </x:c>
      <x:c r="H143" t="str">
        <x:v>ORD-2025-00021</x:v>
      </x:c>
      <x:c r="I143" t="str">
        <x:v>Normal</x:v>
      </x:c>
      <x:c r="J143" t="str">
        <x:v>PROC_EVO12</x:v>
      </x:c>
      <x:c r="K143" t="str">
        <x:v>Inspection</x:v>
      </x:c>
      <x:c r="L143" s="54" t="n">
        <x:v>0.0009786651008025053</x:v>
      </x:c>
      <x:c r="M143" t="n">
        <x:v>275886</x:v>
      </x:c>
      <x:c r="N143" t="n">
        <x:f>L143*M143</x:f>
        <x:v>270</x:v>
      </x:c>
      <x:c r="O143"/>
      <x:c r="P143"/>
      <x:c r="Q143"/>
      <x:c r="R143"/>
      <x:c r="S143" s="52"/>
      <x:c r="T143" t="str">
        <x:v>OK</x:v>
      </x:c>
      <x:c r="U143" t="str">
        <x:f>IF(AND(ISNUMBER(L143),L143&gt;=0,L143&lt;=1),"OK","CHECK")</x:f>
        <x:v>OK</x:v>
      </x:c>
      <x:c r="V143" t="str">
        <x:f>IF(AND(ISNUMBER(N143),N143&gt;=0),"OK","CHECK")</x:f>
        <x:v>OK</x:v>
      </x:c>
      <x:c r="W143" t="str">
        <x:f>IF(AND(T143="OK",U143="OK",V143="OK"),"OK","CHECK")</x:f>
        <x:v>OK</x:v>
      </x:c>
      <x:c r="X143" t="str">
        <x:f>IF(W143="OK","LOAD","QUARANTINE")</x:f>
        <x:v>LOAD</x:v>
      </x:c>
      <x:c r="Y143" t="str">
        <x:v>03_Process_Losses(6).xlsx</x:v>
      </x:c>
      <x:c r="Z143" t="str">
        <x:v>ENH-20260830-01</x:v>
      </x:c>
      <x:c r="AA143" t="str">
        <x:f>IF(X143="LOAD","Active","Quarantine")</x:f>
        <x:v>Active</x:v>
      </x:c>
      <x:c r="AB143"/>
      <x:c r="AC143"/>
      <x:c r="AD143"/>
      <x:c r="AE143"/>
    </x:row>
    <x:row r="144">
      <x:c r="A144" t="str">
        <x:v>PLD-000140</x:v>
      </x:c>
      <x:c r="B144" t="str">
        <x:v>LOSS-KG01-L21-20251026-AM-ORD-2025-00021</x:v>
      </x:c>
      <x:c r="C144" t="str">
        <x:v>PE-KG01-L21-20251026-AM-ORD-2025-00021</x:v>
      </x:c>
      <x:c r="D144" t="str">
        <x:v>KG01</x:v>
      </x:c>
      <x:c r="E144" t="n">
        <x:v>21</x:v>
      </x:c>
      <x:c r="F144" s="52" t="n">
        <x:v>45956</x:v>
      </x:c>
      <x:c r="G144" t="str">
        <x:v>AM</x:v>
      </x:c>
      <x:c r="H144" t="str">
        <x:v>ORD-2025-00021</x:v>
      </x:c>
      <x:c r="I144" t="str">
        <x:v>Normal</x:v>
      </x:c>
      <x:c r="J144" t="str">
        <x:v>PROC_EVO5</x:v>
      </x:c>
      <x:c r="K144" t="str">
        <x:v>Inspection</x:v>
      </x:c>
      <x:c r="L144" s="54" t="n">
        <x:v>0.0010982797242339228</x:v>
      </x:c>
      <x:c r="M144" t="n">
        <x:v>275886</x:v>
      </x:c>
      <x:c r="N144" t="n">
        <x:f>L144*M144</x:f>
        <x:v>303</x:v>
      </x:c>
      <x:c r="O144"/>
      <x:c r="P144"/>
      <x:c r="Q144"/>
      <x:c r="R144"/>
      <x:c r="S144" s="52"/>
      <x:c r="T144" t="str">
        <x:v>OK</x:v>
      </x:c>
      <x:c r="U144" t="str">
        <x:f>IF(AND(ISNUMBER(L144),L144&gt;=0,L144&lt;=1),"OK","CHECK")</x:f>
        <x:v>OK</x:v>
      </x:c>
      <x:c r="V144" t="str">
        <x:f>IF(AND(ISNUMBER(N144),N144&gt;=0),"OK","CHECK")</x:f>
        <x:v>OK</x:v>
      </x:c>
      <x:c r="W144" t="str">
        <x:f>IF(AND(T144="OK",U144="OK",V144="OK"),"OK","CHECK")</x:f>
        <x:v>OK</x:v>
      </x:c>
      <x:c r="X144" t="str">
        <x:f>IF(W144="OK","LOAD","QUARANTINE")</x:f>
        <x:v>LOAD</x:v>
      </x:c>
      <x:c r="Y144" t="str">
        <x:v>03_Process_Losses(6).xlsx</x:v>
      </x:c>
      <x:c r="Z144" t="str">
        <x:v>ENH-20260830-01</x:v>
      </x:c>
      <x:c r="AA144" t="str">
        <x:f>IF(X144="LOAD","Active","Quarantine")</x:f>
        <x:v>Active</x:v>
      </x:c>
      <x:c r="AB144"/>
      <x:c r="AC144"/>
      <x:c r="AD144"/>
      <x:c r="AE144"/>
    </x:row>
    <x:row r="145">
      <x:c r="A145" t="str">
        <x:v>PLD-000141</x:v>
      </x:c>
      <x:c r="B145" t="str">
        <x:v>LOSS-KG01-L21-20251026-AM-ORD-2025-00021</x:v>
      </x:c>
      <x:c r="C145" t="str">
        <x:v>PE-KG01-L21-20251026-AM-ORD-2025-00021</x:v>
      </x:c>
      <x:c r="D145" t="str">
        <x:v>KG01</x:v>
      </x:c>
      <x:c r="E145" t="n">
        <x:v>21</x:v>
      </x:c>
      <x:c r="F145" s="52" t="n">
        <x:v>45956</x:v>
      </x:c>
      <x:c r="G145" t="str">
        <x:v>AM</x:v>
      </x:c>
      <x:c r="H145" t="str">
        <x:v>ORD-2025-00021</x:v>
      </x:c>
      <x:c r="I145" t="str">
        <x:v>Normal</x:v>
      </x:c>
      <x:c r="J145" t="str">
        <x:v>PROC_SANLI</x:v>
      </x:c>
      <x:c r="K145" t="str">
        <x:v>Inspection</x:v>
      </x:c>
      <x:c r="L145" s="54" t="n">
        <x:v>0.0017978440370297877</x:v>
      </x:c>
      <x:c r="M145" t="n">
        <x:v>275886</x:v>
      </x:c>
      <x:c r="N145" t="n">
        <x:f>L145*M145</x:f>
        <x:v>496</x:v>
      </x:c>
      <x:c r="O145"/>
      <x:c r="P145"/>
      <x:c r="Q145"/>
      <x:c r="R145"/>
      <x:c r="S145" s="52"/>
      <x:c r="T145" t="str">
        <x:v>OK</x:v>
      </x:c>
      <x:c r="U145" t="str">
        <x:f>IF(AND(ISNUMBER(L145),L145&gt;=0,L145&lt;=1),"OK","CHECK")</x:f>
        <x:v>OK</x:v>
      </x:c>
      <x:c r="V145" t="str">
        <x:f>IF(AND(ISNUMBER(N145),N145&gt;=0),"OK","CHECK")</x:f>
        <x:v>OK</x:v>
      </x:c>
      <x:c r="W145" t="str">
        <x:f>IF(AND(T145="OK",U145="OK",V145="OK"),"OK","CHECK")</x:f>
        <x:v>OK</x:v>
      </x:c>
      <x:c r="X145" t="str">
        <x:f>IF(W145="OK","LOAD","QUARANTINE")</x:f>
        <x:v>LOAD</x:v>
      </x:c>
      <x:c r="Y145" t="str">
        <x:v>03_Process_Losses(6).xlsx</x:v>
      </x:c>
      <x:c r="Z145" t="str">
        <x:v>ENH-20260830-01</x:v>
      </x:c>
      <x:c r="AA145" t="str">
        <x:f>IF(X145="LOAD","Active","Quarantine")</x:f>
        <x:v>Active</x:v>
      </x:c>
      <x:c r="AB145"/>
      <x:c r="AC145"/>
      <x:c r="AD145"/>
      <x:c r="AE145"/>
    </x:row>
    <x:row r="146">
      <x:c r="A146" t="str">
        <x:v>PLD-000142</x:v>
      </x:c>
      <x:c r="B146" t="str">
        <x:v>LOSS-KG01-L21-20251026-AM-ORD-2025-00021</x:v>
      </x:c>
      <x:c r="C146" t="str">
        <x:v>PE-KG01-L21-20251026-AM-ORD-2025-00021</x:v>
      </x:c>
      <x:c r="D146" t="str">
        <x:v>KG01</x:v>
      </x:c>
      <x:c r="E146" t="n">
        <x:v>21</x:v>
      </x:c>
      <x:c r="F146" s="52" t="n">
        <x:v>45956</x:v>
      </x:c>
      <x:c r="G146" t="str">
        <x:v>AM</x:v>
      </x:c>
      <x:c r="H146" t="str">
        <x:v>ORD-2025-00021</x:v>
      </x:c>
      <x:c r="I146" t="str">
        <x:v>Normal</x:v>
      </x:c>
      <x:c r="J146" t="str">
        <x:v>PROC_VISUAL</x:v>
      </x:c>
      <x:c r="K146" t="str">
        <x:v>Inspection</x:v>
      </x:c>
      <x:c r="L146" s="54" t="n">
        <x:v>0.005368159312179668</x:v>
      </x:c>
      <x:c r="M146" t="n">
        <x:v>275886</x:v>
      </x:c>
      <x:c r="N146" t="n">
        <x:f>L146*M146</x:f>
        <x:v>1481</x:v>
      </x:c>
      <x:c r="O146"/>
      <x:c r="P146"/>
      <x:c r="Q146"/>
      <x:c r="R146"/>
      <x:c r="S146" s="52"/>
      <x:c r="T146" t="str">
        <x:v>OK</x:v>
      </x:c>
      <x:c r="U146" t="str">
        <x:f>IF(AND(ISNUMBER(L146),L146&gt;=0,L146&lt;=1),"OK","CHECK")</x:f>
        <x:v>OK</x:v>
      </x:c>
      <x:c r="V146" t="str">
        <x:f>IF(AND(ISNUMBER(N146),N146&gt;=0),"OK","CHECK")</x:f>
        <x:v>OK</x:v>
      </x:c>
      <x:c r="W146" t="str">
        <x:f>IF(AND(T146="OK",U146="OK",V146="OK"),"OK","CHECK")</x:f>
        <x:v>OK</x:v>
      </x:c>
      <x:c r="X146" t="str">
        <x:f>IF(W146="OK","LOAD","QUARANTINE")</x:f>
        <x:v>LOAD</x:v>
      </x:c>
      <x:c r="Y146" t="str">
        <x:v>03_Process_Losses(6).xlsx</x:v>
      </x:c>
      <x:c r="Z146" t="str">
        <x:v>ENH-20260830-01</x:v>
      </x:c>
      <x:c r="AA146" t="str">
        <x:f>IF(X146="LOAD","Active","Quarantine")</x:f>
        <x:v>Active</x:v>
      </x:c>
      <x:c r="AB146"/>
      <x:c r="AC146"/>
      <x:c r="AD146"/>
      <x:c r="AE146"/>
    </x:row>
    <x:row r="147">
      <x:c r="A147" t="str">
        <x:v>PLD-000143</x:v>
      </x:c>
      <x:c r="B147" t="str">
        <x:v>LOSS-KG01-L21-20251026-AM-ORD-2025-00021</x:v>
      </x:c>
      <x:c r="C147" t="str">
        <x:v>PE-KG01-L21-20251026-AM-ORD-2025-00021</x:v>
      </x:c>
      <x:c r="D147" t="str">
        <x:v>KG01</x:v>
      </x:c>
      <x:c r="E147" t="n">
        <x:v>21</x:v>
      </x:c>
      <x:c r="F147" s="52" t="n">
        <x:v>45956</x:v>
      </x:c>
      <x:c r="G147" t="str">
        <x:v>AM</x:v>
      </x:c>
      <x:c r="H147" t="str">
        <x:v>ORD-2025-00021</x:v>
      </x:c>
      <x:c r="I147" t="str">
        <x:v>Normal</x:v>
      </x:c>
      <x:c r="J147" t="str">
        <x:v>PROC_PALLETIZER</x:v>
      </x:c>
      <x:c r="K147" t="str">
        <x:v>Palletizer</x:v>
      </x:c>
      <x:c r="L147" s="54" t="n">
        <x:v>0.0056835069557715865</x:v>
      </x:c>
      <x:c r="M147" t="n">
        <x:v>275886</x:v>
      </x:c>
      <x:c r="N147" t="n">
        <x:f>L147*M147</x:f>
        <x:v>1568</x:v>
      </x:c>
      <x:c r="O147"/>
      <x:c r="P147"/>
      <x:c r="Q147"/>
      <x:c r="R147"/>
      <x:c r="S147" s="52"/>
      <x:c r="T147" t="str">
        <x:v>OK</x:v>
      </x:c>
      <x:c r="U147" t="str">
        <x:f>IF(AND(ISNUMBER(L147),L147&gt;=0,L147&lt;=1),"OK","CHECK")</x:f>
        <x:v>OK</x:v>
      </x:c>
      <x:c r="V147" t="str">
        <x:f>IF(AND(ISNUMBER(N147),N147&gt;=0),"OK","CHECK")</x:f>
        <x:v>OK</x:v>
      </x:c>
      <x:c r="W147" t="str">
        <x:f>IF(AND(T147="OK",U147="OK",V147="OK"),"OK","CHECK")</x:f>
        <x:v>OK</x:v>
      </x:c>
      <x:c r="X147" t="str">
        <x:f>IF(W147="OK","LOAD","QUARANTINE")</x:f>
        <x:v>LOAD</x:v>
      </x:c>
      <x:c r="Y147" t="str">
        <x:v>03_Process_Losses(6).xlsx</x:v>
      </x:c>
      <x:c r="Z147" t="str">
        <x:v>ENH-20260830-01</x:v>
      </x:c>
      <x:c r="AA147" t="str">
        <x:f>IF(X147="LOAD","Active","Quarantine")</x:f>
        <x:v>Active</x:v>
      </x:c>
      <x:c r="AB147"/>
      <x:c r="AC147"/>
      <x:c r="AD147"/>
      <x:c r="AE147"/>
    </x:row>
    <x:row r="148">
      <x:c r="A148" t="str">
        <x:v>PLD-000144</x:v>
      </x:c>
      <x:c r="B148" t="str">
        <x:v>LOSS-KG01-L21-20251026-PM-ORD-2025-00021</x:v>
      </x:c>
      <x:c r="C148" t="str">
        <x:v>PE-KG01-L21-20251026-PM-ORD-2025-00021</x:v>
      </x:c>
      <x:c r="D148" t="str">
        <x:v>KG01</x:v>
      </x:c>
      <x:c r="E148" t="n">
        <x:v>21</x:v>
      </x:c>
      <x:c r="F148" s="52" t="n">
        <x:v>45956</x:v>
      </x:c>
      <x:c r="G148" t="str">
        <x:v>PM</x:v>
      </x:c>
      <x:c r="H148" t="str">
        <x:v>ORD-2025-00021</x:v>
      </x:c>
      <x:c r="I148" t="str">
        <x:v>Normal</x:v>
      </x:c>
      <x:c r="J148" t="str">
        <x:v>PROC_FIXED</x:v>
      </x:c>
      <x:c r="K148" t="str">
        <x:v>Fixed Losses</x:v>
      </x:c>
      <x:c r="L148" s="54" t="n">
        <x:v>0.008890479702662444</x:v>
      </x:c>
      <x:c r="M148" t="n">
        <x:v>276588</x:v>
      </x:c>
      <x:c r="N148" t="n">
        <x:f>L148*M148</x:f>
        <x:v>2459</x:v>
      </x:c>
      <x:c r="O148"/>
      <x:c r="P148"/>
      <x:c r="Q148"/>
      <x:c r="R148"/>
      <x:c r="S148" s="52"/>
      <x:c r="T148" t="str">
        <x:v>OK</x:v>
      </x:c>
      <x:c r="U148" t="str">
        <x:f>IF(AND(ISNUMBER(L148),L148&gt;=0,L148&lt;=1),"OK","CHECK")</x:f>
        <x:v>OK</x:v>
      </x:c>
      <x:c r="V148" t="str">
        <x:f>IF(AND(ISNUMBER(N148),N148&gt;=0),"OK","CHECK")</x:f>
        <x:v>OK</x:v>
      </x:c>
      <x:c r="W148" t="str">
        <x:f>IF(AND(T148="OK",U148="OK",V148="OK"),"OK","CHECK")</x:f>
        <x:v>OK</x:v>
      </x:c>
      <x:c r="X148" t="str">
        <x:f>IF(W148="OK","LOAD","QUARANTINE")</x:f>
        <x:v>LOAD</x:v>
      </x:c>
      <x:c r="Y148" t="str">
        <x:v>03_Process_Losses(6).xlsx</x:v>
      </x:c>
      <x:c r="Z148" t="str">
        <x:v>ENH-20260830-01</x:v>
      </x:c>
      <x:c r="AA148" t="str">
        <x:f>IF(X148="LOAD","Active","Quarantine")</x:f>
        <x:v>Active</x:v>
      </x:c>
      <x:c r="AB148"/>
      <x:c r="AC148"/>
      <x:c r="AD148"/>
      <x:c r="AE148"/>
    </x:row>
    <x:row r="149">
      <x:c r="A149" t="str">
        <x:v>PLD-000145</x:v>
      </x:c>
      <x:c r="B149" t="str">
        <x:v>LOSS-KG01-L21-20251026-PM-ORD-2025-00021</x:v>
      </x:c>
      <x:c r="C149" t="str">
        <x:v>PE-KG01-L21-20251026-PM-ORD-2025-00021</x:v>
      </x:c>
      <x:c r="D149" t="str">
        <x:v>KG01</x:v>
      </x:c>
      <x:c r="E149" t="n">
        <x:v>21</x:v>
      </x:c>
      <x:c r="F149" s="52" t="n">
        <x:v>45956</x:v>
      </x:c>
      <x:c r="G149" t="str">
        <x:v>PM</x:v>
      </x:c>
      <x:c r="H149" t="str">
        <x:v>ORD-2025-00021</x:v>
      </x:c>
      <x:c r="I149" t="str">
        <x:v>Normal</x:v>
      </x:c>
      <x:c r="J149" t="str">
        <x:v>PROC_IS</x:v>
      </x:c>
      <x:c r="K149" t="str">
        <x:v>IS Machine</x:v>
      </x:c>
      <x:c r="L149" s="54" t="n">
        <x:v>0.005933012278189943</x:v>
      </x:c>
      <x:c r="M149" t="n">
        <x:v>276588</x:v>
      </x:c>
      <x:c r="N149" t="n">
        <x:f>L149*M149</x:f>
        <x:v>1641</x:v>
      </x:c>
      <x:c r="O149"/>
      <x:c r="P149"/>
      <x:c r="Q149"/>
      <x:c r="R149"/>
      <x:c r="S149" s="52"/>
      <x:c r="T149" t="str">
        <x:v>OK</x:v>
      </x:c>
      <x:c r="U149" t="str">
        <x:f>IF(AND(ISNUMBER(L149),L149&gt;=0,L149&lt;=1),"OK","CHECK")</x:f>
        <x:v>OK</x:v>
      </x:c>
      <x:c r="V149" t="str">
        <x:f>IF(AND(ISNUMBER(N149),N149&gt;=0),"OK","CHECK")</x:f>
        <x:v>OK</x:v>
      </x:c>
      <x:c r="W149" t="str">
        <x:f>IF(AND(T149="OK",U149="OK",V149="OK"),"OK","CHECK")</x:f>
        <x:v>OK</x:v>
      </x:c>
      <x:c r="X149" t="str">
        <x:f>IF(W149="OK","LOAD","QUARANTINE")</x:f>
        <x:v>LOAD</x:v>
      </x:c>
      <x:c r="Y149" t="str">
        <x:v>03_Process_Losses(6).xlsx</x:v>
      </x:c>
      <x:c r="Z149" t="str">
        <x:v>ENH-20260830-01</x:v>
      </x:c>
      <x:c r="AA149" t="str">
        <x:f>IF(X149="LOAD","Active","Quarantine")</x:f>
        <x:v>Active</x:v>
      </x:c>
      <x:c r="AB149"/>
      <x:c r="AC149"/>
      <x:c r="AD149"/>
      <x:c r="AE149"/>
    </x:row>
    <x:row r="150">
      <x:c r="A150" t="str">
        <x:v>PLD-000146</x:v>
      </x:c>
      <x:c r="B150" t="str">
        <x:v>LOSS-KG01-L21-20251026-PM-ORD-2025-00021</x:v>
      </x:c>
      <x:c r="C150" t="str">
        <x:v>PE-KG01-L21-20251026-PM-ORD-2025-00021</x:v>
      </x:c>
      <x:c r="D150" t="str">
        <x:v>KG01</x:v>
      </x:c>
      <x:c r="E150" t="n">
        <x:v>21</x:v>
      </x:c>
      <x:c r="F150" s="52" t="n">
        <x:v>45956</x:v>
      </x:c>
      <x:c r="G150" t="str">
        <x:v>PM</x:v>
      </x:c>
      <x:c r="H150" t="str">
        <x:v>ORD-2025-00021</x:v>
      </x:c>
      <x:c r="I150" t="str">
        <x:v>Normal</x:v>
      </x:c>
      <x:c r="J150" t="str">
        <x:v>PROC_HE_CONVEYER</x:v>
      </x:c>
      <x:c r="K150" t="str">
        <x:v>Hot End</x:v>
      </x:c>
      <x:c r="L150" s="54" t="n">
        <x:v>0.0023211419150505445</x:v>
      </x:c>
      <x:c r="M150" t="n">
        <x:v>276588</x:v>
      </x:c>
      <x:c r="N150" t="n">
        <x:f>L150*M150</x:f>
        <x:v>642</x:v>
      </x:c>
      <x:c r="O150"/>
      <x:c r="P150"/>
      <x:c r="Q150"/>
      <x:c r="R150"/>
      <x:c r="S150" s="52"/>
      <x:c r="T150" t="str">
        <x:v>OK</x:v>
      </x:c>
      <x:c r="U150" t="str">
        <x:f>IF(AND(ISNUMBER(L150),L150&gt;=0,L150&lt;=1),"OK","CHECK")</x:f>
        <x:v>OK</x:v>
      </x:c>
      <x:c r="V150" t="str">
        <x:f>IF(AND(ISNUMBER(N150),N150&gt;=0),"OK","CHECK")</x:f>
        <x:v>OK</x:v>
      </x:c>
      <x:c r="W150" t="str">
        <x:f>IF(AND(T150="OK",U150="OK",V150="OK"),"OK","CHECK")</x:f>
        <x:v>OK</x:v>
      </x:c>
      <x:c r="X150" t="str">
        <x:f>IF(W150="OK","LOAD","QUARANTINE")</x:f>
        <x:v>LOAD</x:v>
      </x:c>
      <x:c r="Y150" t="str">
        <x:v>03_Process_Losses(6).xlsx</x:v>
      </x:c>
      <x:c r="Z150" t="str">
        <x:v>ENH-20260830-01</x:v>
      </x:c>
      <x:c r="AA150" t="str">
        <x:f>IF(X150="LOAD","Active","Quarantine")</x:f>
        <x:v>Active</x:v>
      </x:c>
      <x:c r="AB150"/>
      <x:c r="AC150"/>
      <x:c r="AD150"/>
      <x:c r="AE150"/>
    </x:row>
    <x:row r="151">
      <x:c r="A151" t="str">
        <x:v>PLD-000147</x:v>
      </x:c>
      <x:c r="B151" t="str">
        <x:v>LOSS-KG01-L21-20251026-PM-ORD-2025-00021</x:v>
      </x:c>
      <x:c r="C151" t="str">
        <x:v>PE-KG01-L21-20251026-PM-ORD-2025-00021</x:v>
      </x:c>
      <x:c r="D151" t="str">
        <x:v>KG01</x:v>
      </x:c>
      <x:c r="E151" t="n">
        <x:v>21</x:v>
      </x:c>
      <x:c r="F151" s="52" t="n">
        <x:v>45956</x:v>
      </x:c>
      <x:c r="G151" t="str">
        <x:v>PM</x:v>
      </x:c>
      <x:c r="H151" t="str">
        <x:v>ORD-2025-00021</x:v>
      </x:c>
      <x:c r="I151" t="str">
        <x:v>Normal</x:v>
      </x:c>
      <x:c r="J151" t="str">
        <x:v>PROC_STUCKDOWN</x:v>
      </x:c>
      <x:c r="K151" t="str">
        <x:v>Forming</x:v>
      </x:c>
      <x:c r="L151" s="54" t="n">
        <x:v>0.0022922180282586376</x:v>
      </x:c>
      <x:c r="M151" t="n">
        <x:v>276588</x:v>
      </x:c>
      <x:c r="N151" t="n">
        <x:f>L151*M151</x:f>
        <x:v>634</x:v>
      </x:c>
      <x:c r="O151"/>
      <x:c r="P151"/>
      <x:c r="Q151"/>
      <x:c r="R151"/>
      <x:c r="S151" s="52"/>
      <x:c r="T151" t="str">
        <x:v>OK</x:v>
      </x:c>
      <x:c r="U151" t="str">
        <x:f>IF(AND(ISNUMBER(L151),L151&gt;=0,L151&lt;=1),"OK","CHECK")</x:f>
        <x:v>OK</x:v>
      </x:c>
      <x:c r="V151" t="str">
        <x:f>IF(AND(ISNUMBER(N151),N151&gt;=0),"OK","CHECK")</x:f>
        <x:v>OK</x:v>
      </x:c>
      <x:c r="W151" t="str">
        <x:f>IF(AND(T151="OK",U151="OK",V151="OK"),"OK","CHECK")</x:f>
        <x:v>OK</x:v>
      </x:c>
      <x:c r="X151" t="str">
        <x:f>IF(W151="OK","LOAD","QUARANTINE")</x:f>
        <x:v>LOAD</x:v>
      </x:c>
      <x:c r="Y151" t="str">
        <x:v>03_Process_Losses(6).xlsx</x:v>
      </x:c>
      <x:c r="Z151" t="str">
        <x:v>ENH-20260830-01</x:v>
      </x:c>
      <x:c r="AA151" t="str">
        <x:f>IF(X151="LOAD","Active","Quarantine")</x:f>
        <x:v>Active</x:v>
      </x:c>
      <x:c r="AB151"/>
      <x:c r="AC151"/>
      <x:c r="AD151"/>
      <x:c r="AE151"/>
    </x:row>
    <x:row r="152">
      <x:c r="A152" t="str">
        <x:v>PLD-000148</x:v>
      </x:c>
      <x:c r="B152" t="str">
        <x:v>LOSS-KG01-L21-20251026-PM-ORD-2025-00021</x:v>
      </x:c>
      <x:c r="C152" t="str">
        <x:v>PE-KG01-L21-20251026-PM-ORD-2025-00021</x:v>
      </x:c>
      <x:c r="D152" t="str">
        <x:v>KG01</x:v>
      </x:c>
      <x:c r="E152" t="n">
        <x:v>21</x:v>
      </x:c>
      <x:c r="F152" s="52" t="n">
        <x:v>45956</x:v>
      </x:c>
      <x:c r="G152" t="str">
        <x:v>PM</x:v>
      </x:c>
      <x:c r="H152" t="str">
        <x:v>ORD-2025-00021</x:v>
      </x:c>
      <x:c r="I152" t="str">
        <x:v>Normal</x:v>
      </x:c>
      <x:c r="J152" t="str">
        <x:v>PROC_LEHR</x:v>
      </x:c>
      <x:c r="K152" t="str">
        <x:v>Lehr</x:v>
      </x:c>
      <x:c r="L152" s="54" t="n">
        <x:v>0.001185879358468191</x:v>
      </x:c>
      <x:c r="M152" t="n">
        <x:v>276588</x:v>
      </x:c>
      <x:c r="N152" t="n">
        <x:f>L152*M152</x:f>
        <x:v>328</x:v>
      </x:c>
      <x:c r="O152"/>
      <x:c r="P152"/>
      <x:c r="Q152"/>
      <x:c r="R152"/>
      <x:c r="S152" s="52"/>
      <x:c r="T152" t="str">
        <x:v>OK</x:v>
      </x:c>
      <x:c r="U152" t="str">
        <x:f>IF(AND(ISNUMBER(L152),L152&gt;=0,L152&lt;=1),"OK","CHECK")</x:f>
        <x:v>OK</x:v>
      </x:c>
      <x:c r="V152" t="str">
        <x:f>IF(AND(ISNUMBER(N152),N152&gt;=0),"OK","CHECK")</x:f>
        <x:v>OK</x:v>
      </x:c>
      <x:c r="W152" t="str">
        <x:f>IF(AND(T152="OK",U152="OK",V152="OK"),"OK","CHECK")</x:f>
        <x:v>OK</x:v>
      </x:c>
      <x:c r="X152" t="str">
        <x:f>IF(W152="OK","LOAD","QUARANTINE")</x:f>
        <x:v>LOAD</x:v>
      </x:c>
      <x:c r="Y152" t="str">
        <x:v>03_Process_Losses(6).xlsx</x:v>
      </x:c>
      <x:c r="Z152" t="str">
        <x:v>ENH-20260830-01</x:v>
      </x:c>
      <x:c r="AA152" t="str">
        <x:f>IF(X152="LOAD","Active","Quarantine")</x:f>
        <x:v>Active</x:v>
      </x:c>
      <x:c r="AB152"/>
      <x:c r="AC152"/>
      <x:c r="AD152"/>
      <x:c r="AE152"/>
    </x:row>
    <x:row r="153">
      <x:c r="A153" t="str">
        <x:v>PLD-000149</x:v>
      </x:c>
      <x:c r="B153" t="str">
        <x:v>LOSS-KG01-L21-20251026-PM-ORD-2025-00021</x:v>
      </x:c>
      <x:c r="C153" t="str">
        <x:v>PE-KG01-L21-20251026-PM-ORD-2025-00021</x:v>
      </x:c>
      <x:c r="D153" t="str">
        <x:v>KG01</x:v>
      </x:c>
      <x:c r="E153" t="n">
        <x:v>21</x:v>
      </x:c>
      <x:c r="F153" s="52" t="n">
        <x:v>45956</x:v>
      </x:c>
      <x:c r="G153" t="str">
        <x:v>PM</x:v>
      </x:c>
      <x:c r="H153" t="str">
        <x:v>ORD-2025-00021</x:v>
      </x:c>
      <x:c r="I153" t="str">
        <x:v>Normal</x:v>
      </x:c>
      <x:c r="J153" t="str">
        <x:v>PROC_EVO16</x:v>
      </x:c>
      <x:c r="K153" t="str">
        <x:v>Inspection</x:v>
      </x:c>
      <x:c r="L153" s="54" t="n">
        <x:v>0.0020789043631683226</x:v>
      </x:c>
      <x:c r="M153" t="n">
        <x:v>276588</x:v>
      </x:c>
      <x:c r="N153" t="n">
        <x:f>L153*M153</x:f>
        <x:v>575</x:v>
      </x:c>
      <x:c r="O153"/>
      <x:c r="P153"/>
      <x:c r="Q153"/>
      <x:c r="R153"/>
      <x:c r="S153" s="52"/>
      <x:c r="T153" t="str">
        <x:v>OK</x:v>
      </x:c>
      <x:c r="U153" t="str">
        <x:f>IF(AND(ISNUMBER(L153),L153&gt;=0,L153&lt;=1),"OK","CHECK")</x:f>
        <x:v>OK</x:v>
      </x:c>
      <x:c r="V153" t="str">
        <x:f>IF(AND(ISNUMBER(N153),N153&gt;=0),"OK","CHECK")</x:f>
        <x:v>OK</x:v>
      </x:c>
      <x:c r="W153" t="str">
        <x:f>IF(AND(T153="OK",U153="OK",V153="OK"),"OK","CHECK")</x:f>
        <x:v>OK</x:v>
      </x:c>
      <x:c r="X153" t="str">
        <x:f>IF(W153="OK","LOAD","QUARANTINE")</x:f>
        <x:v>LOAD</x:v>
      </x:c>
      <x:c r="Y153" t="str">
        <x:v>03_Process_Losses(6).xlsx</x:v>
      </x:c>
      <x:c r="Z153" t="str">
        <x:v>ENH-20260830-01</x:v>
      </x:c>
      <x:c r="AA153" t="str">
        <x:f>IF(X153="LOAD","Active","Quarantine")</x:f>
        <x:v>Active</x:v>
      </x:c>
      <x:c r="AB153"/>
      <x:c r="AC153"/>
      <x:c r="AD153"/>
      <x:c r="AE153"/>
    </x:row>
    <x:row r="154">
      <x:c r="A154" t="str">
        <x:v>PLD-000150</x:v>
      </x:c>
      <x:c r="B154" t="str">
        <x:v>LOSS-KG01-L21-20251026-PM-ORD-2025-00021</x:v>
      </x:c>
      <x:c r="C154" t="str">
        <x:v>PE-KG01-L21-20251026-PM-ORD-2025-00021</x:v>
      </x:c>
      <x:c r="D154" t="str">
        <x:v>KG01</x:v>
      </x:c>
      <x:c r="E154" t="n">
        <x:v>21</x:v>
      </x:c>
      <x:c r="F154" s="52" t="n">
        <x:v>45956</x:v>
      </x:c>
      <x:c r="G154" t="str">
        <x:v>PM</x:v>
      </x:c>
      <x:c r="H154" t="str">
        <x:v>ORD-2025-00021</x:v>
      </x:c>
      <x:c r="I154" t="str">
        <x:v>Normal</x:v>
      </x:c>
      <x:c r="J154" t="str">
        <x:v>PROC_EVO12</x:v>
      </x:c>
      <x:c r="K154" t="str">
        <x:v>Inspection</x:v>
      </x:c>
      <x:c r="L154" s="54" t="n">
        <x:v>0.0020861353348662994</x:v>
      </x:c>
      <x:c r="M154" t="n">
        <x:v>276588</x:v>
      </x:c>
      <x:c r="N154" t="n">
        <x:f>L154*M154</x:f>
        <x:v>577</x:v>
      </x:c>
      <x:c r="O154"/>
      <x:c r="P154"/>
      <x:c r="Q154"/>
      <x:c r="R154"/>
      <x:c r="S154" s="52"/>
      <x:c r="T154" t="str">
        <x:v>OK</x:v>
      </x:c>
      <x:c r="U154" t="str">
        <x:f>IF(AND(ISNUMBER(L154),L154&gt;=0,L154&lt;=1),"OK","CHECK")</x:f>
        <x:v>OK</x:v>
      </x:c>
      <x:c r="V154" t="str">
        <x:f>IF(AND(ISNUMBER(N154),N154&gt;=0),"OK","CHECK")</x:f>
        <x:v>OK</x:v>
      </x:c>
      <x:c r="W154" t="str">
        <x:f>IF(AND(T154="OK",U154="OK",V154="OK"),"OK","CHECK")</x:f>
        <x:v>OK</x:v>
      </x:c>
      <x:c r="X154" t="str">
        <x:f>IF(W154="OK","LOAD","QUARANTINE")</x:f>
        <x:v>LOAD</x:v>
      </x:c>
      <x:c r="Y154" t="str">
        <x:v>03_Process_Losses(6).xlsx</x:v>
      </x:c>
      <x:c r="Z154" t="str">
        <x:v>ENH-20260830-01</x:v>
      </x:c>
      <x:c r="AA154" t="str">
        <x:f>IF(X154="LOAD","Active","Quarantine")</x:f>
        <x:v>Active</x:v>
      </x:c>
      <x:c r="AB154"/>
      <x:c r="AC154"/>
      <x:c r="AD154"/>
      <x:c r="AE154"/>
    </x:row>
    <x:row r="155">
      <x:c r="A155" t="str">
        <x:v>PLD-000151</x:v>
      </x:c>
      <x:c r="B155" t="str">
        <x:v>LOSS-KG01-L21-20251026-PM-ORD-2025-00021</x:v>
      </x:c>
      <x:c r="C155" t="str">
        <x:v>PE-KG01-L21-20251026-PM-ORD-2025-00021</x:v>
      </x:c>
      <x:c r="D155" t="str">
        <x:v>KG01</x:v>
      </x:c>
      <x:c r="E155" t="n">
        <x:v>21</x:v>
      </x:c>
      <x:c r="F155" s="52" t="n">
        <x:v>45956</x:v>
      </x:c>
      <x:c r="G155" t="str">
        <x:v>PM</x:v>
      </x:c>
      <x:c r="H155" t="str">
        <x:v>ORD-2025-00021</x:v>
      </x:c>
      <x:c r="I155" t="str">
        <x:v>Normal</x:v>
      </x:c>
      <x:c r="J155" t="str">
        <x:v>PROC_EVO5</x:v>
      </x:c>
      <x:c r="K155" t="str">
        <x:v>Inspection</x:v>
      </x:c>
      <x:c r="L155" s="54" t="n">
        <x:v>0.002317526429201556</x:v>
      </x:c>
      <x:c r="M155" t="n">
        <x:v>276588</x:v>
      </x:c>
      <x:c r="N155" t="n">
        <x:f>L155*M155</x:f>
        <x:v>641</x:v>
      </x:c>
      <x:c r="O155"/>
      <x:c r="P155"/>
      <x:c r="Q155"/>
      <x:c r="R155"/>
      <x:c r="S155" s="52"/>
      <x:c r="T155" t="str">
        <x:v>OK</x:v>
      </x:c>
      <x:c r="U155" t="str">
        <x:f>IF(AND(ISNUMBER(L155),L155&gt;=0,L155&lt;=1),"OK","CHECK")</x:f>
        <x:v>OK</x:v>
      </x:c>
      <x:c r="V155" t="str">
        <x:f>IF(AND(ISNUMBER(N155),N155&gt;=0),"OK","CHECK")</x:f>
        <x:v>OK</x:v>
      </x:c>
      <x:c r="W155" t="str">
        <x:f>IF(AND(T155="OK",U155="OK",V155="OK"),"OK","CHECK")</x:f>
        <x:v>OK</x:v>
      </x:c>
      <x:c r="X155" t="str">
        <x:f>IF(W155="OK","LOAD","QUARANTINE")</x:f>
        <x:v>LOAD</x:v>
      </x:c>
      <x:c r="Y155" t="str">
        <x:v>03_Process_Losses(6).xlsx</x:v>
      </x:c>
      <x:c r="Z155" t="str">
        <x:v>ENH-20260830-01</x:v>
      </x:c>
      <x:c r="AA155" t="str">
        <x:f>IF(X155="LOAD","Active","Quarantine")</x:f>
        <x:v>Active</x:v>
      </x:c>
      <x:c r="AB155"/>
      <x:c r="AC155"/>
      <x:c r="AD155"/>
      <x:c r="AE155"/>
    </x:row>
    <x:row r="156">
      <x:c r="A156" t="str">
        <x:v>PLD-000152</x:v>
      </x:c>
      <x:c r="B156" t="str">
        <x:v>LOSS-KG01-L21-20251026-PM-ORD-2025-00021</x:v>
      </x:c>
      <x:c r="C156" t="str">
        <x:v>PE-KG01-L21-20251026-PM-ORD-2025-00021</x:v>
      </x:c>
      <x:c r="D156" t="str">
        <x:v>KG01</x:v>
      </x:c>
      <x:c r="E156" t="n">
        <x:v>21</x:v>
      </x:c>
      <x:c r="F156" s="52" t="n">
        <x:v>45956</x:v>
      </x:c>
      <x:c r="G156" t="str">
        <x:v>PM</x:v>
      </x:c>
      <x:c r="H156" t="str">
        <x:v>ORD-2025-00021</x:v>
      </x:c>
      <x:c r="I156" t="str">
        <x:v>Normal</x:v>
      </x:c>
      <x:c r="J156" t="str">
        <x:v>PROC_SANLI</x:v>
      </x:c>
      <x:c r="K156" t="str">
        <x:v>Inspection</x:v>
      </x:c>
      <x:c r="L156" s="54" t="n">
        <x:v>0.004071037065960924</x:v>
      </x:c>
      <x:c r="M156" t="n">
        <x:v>276588</x:v>
      </x:c>
      <x:c r="N156" t="n">
        <x:f>L156*M156</x:f>
        <x:v>1126</x:v>
      </x:c>
      <x:c r="O156"/>
      <x:c r="P156"/>
      <x:c r="Q156"/>
      <x:c r="R156"/>
      <x:c r="S156" s="52"/>
      <x:c r="T156" t="str">
        <x:v>OK</x:v>
      </x:c>
      <x:c r="U156" t="str">
        <x:f>IF(AND(ISNUMBER(L156),L156&gt;=0,L156&lt;=1),"OK","CHECK")</x:f>
        <x:v>OK</x:v>
      </x:c>
      <x:c r="V156" t="str">
        <x:f>IF(AND(ISNUMBER(N156),N156&gt;=0),"OK","CHECK")</x:f>
        <x:v>OK</x:v>
      </x:c>
      <x:c r="W156" t="str">
        <x:f>IF(AND(T156="OK",U156="OK",V156="OK"),"OK","CHECK")</x:f>
        <x:v>OK</x:v>
      </x:c>
      <x:c r="X156" t="str">
        <x:f>IF(W156="OK","LOAD","QUARANTINE")</x:f>
        <x:v>LOAD</x:v>
      </x:c>
      <x:c r="Y156" t="str">
        <x:v>03_Process_Losses(6).xlsx</x:v>
      </x:c>
      <x:c r="Z156" t="str">
        <x:v>ENH-20260830-01</x:v>
      </x:c>
      <x:c r="AA156" t="str">
        <x:f>IF(X156="LOAD","Active","Quarantine")</x:f>
        <x:v>Active</x:v>
      </x:c>
      <x:c r="AB156"/>
      <x:c r="AC156"/>
      <x:c r="AD156"/>
      <x:c r="AE156"/>
    </x:row>
    <x:row r="157">
      <x:c r="A157" t="str">
        <x:v>PLD-000153</x:v>
      </x:c>
      <x:c r="B157" t="str">
        <x:v>LOSS-KG01-L21-20251026-PM-ORD-2025-00021</x:v>
      </x:c>
      <x:c r="C157" t="str">
        <x:v>PE-KG01-L21-20251026-PM-ORD-2025-00021</x:v>
      </x:c>
      <x:c r="D157" t="str">
        <x:v>KG01</x:v>
      </x:c>
      <x:c r="E157" t="n">
        <x:v>21</x:v>
      </x:c>
      <x:c r="F157" s="52" t="n">
        <x:v>45956</x:v>
      </x:c>
      <x:c r="G157" t="str">
        <x:v>PM</x:v>
      </x:c>
      <x:c r="H157" t="str">
        <x:v>ORD-2025-00021</x:v>
      </x:c>
      <x:c r="I157" t="str">
        <x:v>Normal</x:v>
      </x:c>
      <x:c r="J157" t="str">
        <x:v>PROC_VISUAL</x:v>
      </x:c>
      <x:c r="K157" t="str">
        <x:v>Inspection</x:v>
      </x:c>
      <x:c r="L157" s="54" t="n">
        <x:v>0.0045663586272723326</x:v>
      </x:c>
      <x:c r="M157" t="n">
        <x:v>276588</x:v>
      </x:c>
      <x:c r="N157" t="n">
        <x:f>L157*M157</x:f>
        <x:v>1263</x:v>
      </x:c>
      <x:c r="O157"/>
      <x:c r="P157"/>
      <x:c r="Q157"/>
      <x:c r="R157"/>
      <x:c r="S157" s="52"/>
      <x:c r="T157" t="str">
        <x:v>OK</x:v>
      </x:c>
      <x:c r="U157" t="str">
        <x:f>IF(AND(ISNUMBER(L157),L157&gt;=0,L157&lt;=1),"OK","CHECK")</x:f>
        <x:v>OK</x:v>
      </x:c>
      <x:c r="V157" t="str">
        <x:f>IF(AND(ISNUMBER(N157),N157&gt;=0),"OK","CHECK")</x:f>
        <x:v>OK</x:v>
      </x:c>
      <x:c r="W157" t="str">
        <x:f>IF(AND(T157="OK",U157="OK",V157="OK"),"OK","CHECK")</x:f>
        <x:v>OK</x:v>
      </x:c>
      <x:c r="X157" t="str">
        <x:f>IF(W157="OK","LOAD","QUARANTINE")</x:f>
        <x:v>LOAD</x:v>
      </x:c>
      <x:c r="Y157" t="str">
        <x:v>03_Process_Losses(6).xlsx</x:v>
      </x:c>
      <x:c r="Z157" t="str">
        <x:v>ENH-20260830-01</x:v>
      </x:c>
      <x:c r="AA157" t="str">
        <x:f>IF(X157="LOAD","Active","Quarantine")</x:f>
        <x:v>Active</x:v>
      </x:c>
      <x:c r="AB157"/>
      <x:c r="AC157"/>
      <x:c r="AD157"/>
      <x:c r="AE157"/>
    </x:row>
    <x:row r="158">
      <x:c r="A158" t="str">
        <x:v>PLD-000154</x:v>
      </x:c>
      <x:c r="B158" t="str">
        <x:v>LOSS-KG01-L21-20251026-PM-ORD-2025-00021</x:v>
      </x:c>
      <x:c r="C158" t="str">
        <x:v>PE-KG01-L21-20251026-PM-ORD-2025-00021</x:v>
      </x:c>
      <x:c r="D158" t="str">
        <x:v>KG01</x:v>
      </x:c>
      <x:c r="E158" t="n">
        <x:v>21</x:v>
      </x:c>
      <x:c r="F158" s="52" t="n">
        <x:v>45956</x:v>
      </x:c>
      <x:c r="G158" t="str">
        <x:v>PM</x:v>
      </x:c>
      <x:c r="H158" t="str">
        <x:v>ORD-2025-00021</x:v>
      </x:c>
      <x:c r="I158" t="str">
        <x:v>Normal</x:v>
      </x:c>
      <x:c r="J158" t="str">
        <x:v>PROC_PALLETIZER</x:v>
      </x:c>
      <x:c r="K158" t="str">
        <x:v>Palletizer</x:v>
      </x:c>
      <x:c r="L158" s="54" t="n">
        <x:v>0.0038649543725685857</x:v>
      </x:c>
      <x:c r="M158" t="n">
        <x:v>276588</x:v>
      </x:c>
      <x:c r="N158" t="n">
        <x:f>L158*M158</x:f>
        <x:v>1069</x:v>
      </x:c>
      <x:c r="O158"/>
      <x:c r="P158"/>
      <x:c r="Q158"/>
      <x:c r="R158"/>
      <x:c r="S158" s="52"/>
      <x:c r="T158" t="str">
        <x:v>OK</x:v>
      </x:c>
      <x:c r="U158" t="str">
        <x:f>IF(AND(ISNUMBER(L158),L158&gt;=0,L158&lt;=1),"OK","CHECK")</x:f>
        <x:v>OK</x:v>
      </x:c>
      <x:c r="V158" t="str">
        <x:f>IF(AND(ISNUMBER(N158),N158&gt;=0),"OK","CHECK")</x:f>
        <x:v>OK</x:v>
      </x:c>
      <x:c r="W158" t="str">
        <x:f>IF(AND(T158="OK",U158="OK",V158="OK"),"OK","CHECK")</x:f>
        <x:v>OK</x:v>
      </x:c>
      <x:c r="X158" t="str">
        <x:f>IF(W158="OK","LOAD","QUARANTINE")</x:f>
        <x:v>LOAD</x:v>
      </x:c>
      <x:c r="Y158" t="str">
        <x:v>03_Process_Losses(6).xlsx</x:v>
      </x:c>
      <x:c r="Z158" t="str">
        <x:v>ENH-20260830-01</x:v>
      </x:c>
      <x:c r="AA158" t="str">
        <x:f>IF(X158="LOAD","Active","Quarantine")</x:f>
        <x:v>Active</x:v>
      </x:c>
      <x:c r="AB158"/>
      <x:c r="AC158"/>
      <x:c r="AD158"/>
      <x:c r="AE158"/>
    </x:row>
    <x:row r="159">
      <x:c r="A159" t="str">
        <x:v>PLD-000155</x:v>
      </x:c>
      <x:c r="B159" t="str">
        <x:v>LOSS-KG01-L22-20251020-AM-ORD-2025-00056</x:v>
      </x:c>
      <x:c r="C159" t="str">
        <x:v>PE-KG01-L22-20251020-AM-ORD-2025-00056</x:v>
      </x:c>
      <x:c r="D159" t="str">
        <x:v>KG01</x:v>
      </x:c>
      <x:c r="E159" t="n">
        <x:v>22</x:v>
      </x:c>
      <x:c r="F159" s="52" t="n">
        <x:v>45950</x:v>
      </x:c>
      <x:c r="G159" t="str">
        <x:v>AM</x:v>
      </x:c>
      <x:c r="H159" t="str">
        <x:v>ORD-2025-00056</x:v>
      </x:c>
      <x:c r="I159" t="str">
        <x:v>Trial</x:v>
      </x:c>
      <x:c r="J159" t="str">
        <x:v>PROC_FIXED</x:v>
      </x:c>
      <x:c r="K159" t="str">
        <x:v>Fixed Losses</x:v>
      </x:c>
      <x:c r="L159" s="54" t="n">
        <x:v>0.006696428571428571</x:v>
      </x:c>
      <x:c r="M159" t="n">
        <x:v>26880</x:v>
      </x:c>
      <x:c r="N159" t="n">
        <x:f>L159*M159</x:f>
        <x:v>180</x:v>
      </x:c>
      <x:c r="O159"/>
      <x:c r="P159"/>
      <x:c r="Q159"/>
      <x:c r="R159"/>
      <x:c r="S159" s="52"/>
      <x:c r="T159" t="str">
        <x:v>OK</x:v>
      </x:c>
      <x:c r="U159" t="str">
        <x:f>IF(AND(ISNUMBER(L159),L159&gt;=0,L159&lt;=1),"OK","CHECK")</x:f>
        <x:v>OK</x:v>
      </x:c>
      <x:c r="V159" t="str">
        <x:f>IF(AND(ISNUMBER(N159),N159&gt;=0),"OK","CHECK")</x:f>
        <x:v>OK</x:v>
      </x:c>
      <x:c r="W159" t="str">
        <x:f>IF(AND(T159="OK",U159="OK",V159="OK"),"OK","CHECK")</x:f>
        <x:v>OK</x:v>
      </x:c>
      <x:c r="X159" t="str">
        <x:f>IF(W159="OK","LOAD","QUARANTINE")</x:f>
        <x:v>LOAD</x:v>
      </x:c>
      <x:c r="Y159" t="str">
        <x:v>03_Process_Losses(6).xlsx</x:v>
      </x:c>
      <x:c r="Z159" t="str">
        <x:v>ENH-20260830-01</x:v>
      </x:c>
      <x:c r="AA159" t="str">
        <x:f>IF(X159="LOAD","Active","Quarantine")</x:f>
        <x:v>Active</x:v>
      </x:c>
      <x:c r="AB159"/>
      <x:c r="AC159"/>
      <x:c r="AD159"/>
      <x:c r="AE159"/>
    </x:row>
    <x:row r="160">
      <x:c r="A160" t="str">
        <x:v>PLD-000156</x:v>
      </x:c>
      <x:c r="B160" t="str">
        <x:v>LOSS-KG01-L22-20251020-AM-ORD-2025-00056</x:v>
      </x:c>
      <x:c r="C160" t="str">
        <x:v>PE-KG01-L22-20251020-AM-ORD-2025-00056</x:v>
      </x:c>
      <x:c r="D160" t="str">
        <x:v>KG01</x:v>
      </x:c>
      <x:c r="E160" t="n">
        <x:v>22</x:v>
      </x:c>
      <x:c r="F160" s="52" t="n">
        <x:v>45950</x:v>
      </x:c>
      <x:c r="G160" t="str">
        <x:v>AM</x:v>
      </x:c>
      <x:c r="H160" t="str">
        <x:v>ORD-2025-00056</x:v>
      </x:c>
      <x:c r="I160" t="str">
        <x:v>Trial</x:v>
      </x:c>
      <x:c r="J160" t="str">
        <x:v>PROC_IS</x:v>
      </x:c>
      <x:c r="K160" t="str">
        <x:v>IS Machine</x:v>
      </x:c>
      <x:c r="L160" s="54" t="n">
        <x:v>0.028980654761904763</x:v>
      </x:c>
      <x:c r="M160" t="n">
        <x:v>26880</x:v>
      </x:c>
      <x:c r="N160" t="n">
        <x:f>L160*M160</x:f>
        <x:v>779</x:v>
      </x:c>
      <x:c r="O160"/>
      <x:c r="P160"/>
      <x:c r="Q160"/>
      <x:c r="R160"/>
      <x:c r="S160" s="52"/>
      <x:c r="T160" t="str">
        <x:v>OK</x:v>
      </x:c>
      <x:c r="U160" t="str">
        <x:f>IF(AND(ISNUMBER(L160),L160&gt;=0,L160&lt;=1),"OK","CHECK")</x:f>
        <x:v>OK</x:v>
      </x:c>
      <x:c r="V160" t="str">
        <x:f>IF(AND(ISNUMBER(N160),N160&gt;=0),"OK","CHECK")</x:f>
        <x:v>OK</x:v>
      </x:c>
      <x:c r="W160" t="str">
        <x:f>IF(AND(T160="OK",U160="OK",V160="OK"),"OK","CHECK")</x:f>
        <x:v>OK</x:v>
      </x:c>
      <x:c r="X160" t="str">
        <x:f>IF(W160="OK","LOAD","QUARANTINE")</x:f>
        <x:v>LOAD</x:v>
      </x:c>
      <x:c r="Y160" t="str">
        <x:v>03_Process_Losses(6).xlsx</x:v>
      </x:c>
      <x:c r="Z160" t="str">
        <x:v>ENH-20260830-01</x:v>
      </x:c>
      <x:c r="AA160" t="str">
        <x:f>IF(X160="LOAD","Active","Quarantine")</x:f>
        <x:v>Active</x:v>
      </x:c>
      <x:c r="AB160"/>
      <x:c r="AC160"/>
      <x:c r="AD160"/>
      <x:c r="AE160"/>
    </x:row>
    <x:row r="161">
      <x:c r="A161" t="str">
        <x:v>PLD-000157</x:v>
      </x:c>
      <x:c r="B161" t="str">
        <x:v>LOSS-KG01-L22-20251020-AM-ORD-2025-00056</x:v>
      </x:c>
      <x:c r="C161" t="str">
        <x:v>PE-KG01-L22-20251020-AM-ORD-2025-00056</x:v>
      </x:c>
      <x:c r="D161" t="str">
        <x:v>KG01</x:v>
      </x:c>
      <x:c r="E161" t="n">
        <x:v>22</x:v>
      </x:c>
      <x:c r="F161" s="52" t="n">
        <x:v>45950</x:v>
      </x:c>
      <x:c r="G161" t="str">
        <x:v>AM</x:v>
      </x:c>
      <x:c r="H161" t="str">
        <x:v>ORD-2025-00056</x:v>
      </x:c>
      <x:c r="I161" t="str">
        <x:v>Trial</x:v>
      </x:c>
      <x:c r="J161" t="str">
        <x:v>PROC_HE_CONVEYER</x:v>
      </x:c>
      <x:c r="K161" t="str">
        <x:v>Hot End</x:v>
      </x:c>
      <x:c r="L161" s="54" t="n">
        <x:v>0.008444940476190476</x:v>
      </x:c>
      <x:c r="M161" t="n">
        <x:v>26880</x:v>
      </x:c>
      <x:c r="N161" t="n">
        <x:f>L161*M161</x:f>
        <x:v>227</x:v>
      </x:c>
      <x:c r="O161"/>
      <x:c r="P161"/>
      <x:c r="Q161"/>
      <x:c r="R161"/>
      <x:c r="S161" s="52"/>
      <x:c r="T161" t="str">
        <x:v>OK</x:v>
      </x:c>
      <x:c r="U161" t="str">
        <x:f>IF(AND(ISNUMBER(L161),L161&gt;=0,L161&lt;=1),"OK","CHECK")</x:f>
        <x:v>OK</x:v>
      </x:c>
      <x:c r="V161" t="str">
        <x:f>IF(AND(ISNUMBER(N161),N161&gt;=0),"OK","CHECK")</x:f>
        <x:v>OK</x:v>
      </x:c>
      <x:c r="W161" t="str">
        <x:f>IF(AND(T161="OK",U161="OK",V161="OK"),"OK","CHECK")</x:f>
        <x:v>OK</x:v>
      </x:c>
      <x:c r="X161" t="str">
        <x:f>IF(W161="OK","LOAD","QUARANTINE")</x:f>
        <x:v>LOAD</x:v>
      </x:c>
      <x:c r="Y161" t="str">
        <x:v>03_Process_Losses(6).xlsx</x:v>
      </x:c>
      <x:c r="Z161" t="str">
        <x:v>ENH-20260830-01</x:v>
      </x:c>
      <x:c r="AA161" t="str">
        <x:f>IF(X161="LOAD","Active","Quarantine")</x:f>
        <x:v>Active</x:v>
      </x:c>
      <x:c r="AB161"/>
      <x:c r="AC161"/>
      <x:c r="AD161"/>
      <x:c r="AE161"/>
    </x:row>
    <x:row r="162">
      <x:c r="A162" t="str">
        <x:v>PLD-000158</x:v>
      </x:c>
      <x:c r="B162" t="str">
        <x:v>LOSS-KG01-L22-20251020-AM-ORD-2025-00056</x:v>
      </x:c>
      <x:c r="C162" t="str">
        <x:v>PE-KG01-L22-20251020-AM-ORD-2025-00056</x:v>
      </x:c>
      <x:c r="D162" t="str">
        <x:v>KG01</x:v>
      </x:c>
      <x:c r="E162" t="n">
        <x:v>22</x:v>
      </x:c>
      <x:c r="F162" s="52" t="n">
        <x:v>45950</x:v>
      </x:c>
      <x:c r="G162" t="str">
        <x:v>AM</x:v>
      </x:c>
      <x:c r="H162" t="str">
        <x:v>ORD-2025-00056</x:v>
      </x:c>
      <x:c r="I162" t="str">
        <x:v>Trial</x:v>
      </x:c>
      <x:c r="J162" t="str">
        <x:v>PROC_STUCKDOWN</x:v>
      </x:c>
      <x:c r="K162" t="str">
        <x:v>Forming</x:v>
      </x:c>
      <x:c r="L162" s="54" t="n">
        <x:v>0.00584077380952381</x:v>
      </x:c>
      <x:c r="M162" t="n">
        <x:v>26880</x:v>
      </x:c>
      <x:c r="N162" t="n">
        <x:f>L162*M162</x:f>
        <x:v>157</x:v>
      </x:c>
      <x:c r="O162"/>
      <x:c r="P162"/>
      <x:c r="Q162"/>
      <x:c r="R162"/>
      <x:c r="S162" s="52"/>
      <x:c r="T162" t="str">
        <x:v>OK</x:v>
      </x:c>
      <x:c r="U162" t="str">
        <x:f>IF(AND(ISNUMBER(L162),L162&gt;=0,L162&lt;=1),"OK","CHECK")</x:f>
        <x:v>OK</x:v>
      </x:c>
      <x:c r="V162" t="str">
        <x:f>IF(AND(ISNUMBER(N162),N162&gt;=0),"OK","CHECK")</x:f>
        <x:v>OK</x:v>
      </x:c>
      <x:c r="W162" t="str">
        <x:f>IF(AND(T162="OK",U162="OK",V162="OK"),"OK","CHECK")</x:f>
        <x:v>OK</x:v>
      </x:c>
      <x:c r="X162" t="str">
        <x:f>IF(W162="OK","LOAD","QUARANTINE")</x:f>
        <x:v>LOAD</x:v>
      </x:c>
      <x:c r="Y162" t="str">
        <x:v>03_Process_Losses(6).xlsx</x:v>
      </x:c>
      <x:c r="Z162" t="str">
        <x:v>ENH-20260830-01</x:v>
      </x:c>
      <x:c r="AA162" t="str">
        <x:f>IF(X162="LOAD","Active","Quarantine")</x:f>
        <x:v>Active</x:v>
      </x:c>
      <x:c r="AB162"/>
      <x:c r="AC162"/>
      <x:c r="AD162"/>
      <x:c r="AE162"/>
    </x:row>
    <x:row r="163">
      <x:c r="A163" t="str">
        <x:v>PLD-000159</x:v>
      </x:c>
      <x:c r="B163" t="str">
        <x:v>LOSS-KG01-L22-20251020-AM-ORD-2025-00056</x:v>
      </x:c>
      <x:c r="C163" t="str">
        <x:v>PE-KG01-L22-20251020-AM-ORD-2025-00056</x:v>
      </x:c>
      <x:c r="D163" t="str">
        <x:v>KG01</x:v>
      </x:c>
      <x:c r="E163" t="n">
        <x:v>22</x:v>
      </x:c>
      <x:c r="F163" s="52" t="n">
        <x:v>45950</x:v>
      </x:c>
      <x:c r="G163" t="str">
        <x:v>AM</x:v>
      </x:c>
      <x:c r="H163" t="str">
        <x:v>ORD-2025-00056</x:v>
      </x:c>
      <x:c r="I163" t="str">
        <x:v>Trial</x:v>
      </x:c>
      <x:c r="J163" t="str">
        <x:v>PROC_LEHR</x:v>
      </x:c>
      <x:c r="K163" t="str">
        <x:v>Lehr</x:v>
      </x:c>
      <x:c r="L163" s="54" t="n">
        <x:v>0.010193452380952381</x:v>
      </x:c>
      <x:c r="M163" t="n">
        <x:v>26880</x:v>
      </x:c>
      <x:c r="N163" t="n">
        <x:f>L163*M163</x:f>
        <x:v>274</x:v>
      </x:c>
      <x:c r="O163"/>
      <x:c r="P163"/>
      <x:c r="Q163"/>
      <x:c r="R163"/>
      <x:c r="S163" s="52"/>
      <x:c r="T163" t="str">
        <x:v>OK</x:v>
      </x:c>
      <x:c r="U163" t="str">
        <x:f>IF(AND(ISNUMBER(L163),L163&gt;=0,L163&lt;=1),"OK","CHECK")</x:f>
        <x:v>OK</x:v>
      </x:c>
      <x:c r="V163" t="str">
        <x:f>IF(AND(ISNUMBER(N163),N163&gt;=0),"OK","CHECK")</x:f>
        <x:v>OK</x:v>
      </x:c>
      <x:c r="W163" t="str">
        <x:f>IF(AND(T163="OK",U163="OK",V163="OK"),"OK","CHECK")</x:f>
        <x:v>OK</x:v>
      </x:c>
      <x:c r="X163" t="str">
        <x:f>IF(W163="OK","LOAD","QUARANTINE")</x:f>
        <x:v>LOAD</x:v>
      </x:c>
      <x:c r="Y163" t="str">
        <x:v>03_Process_Losses(6).xlsx</x:v>
      </x:c>
      <x:c r="Z163" t="str">
        <x:v>ENH-20260830-01</x:v>
      </x:c>
      <x:c r="AA163" t="str">
        <x:f>IF(X163="LOAD","Active","Quarantine")</x:f>
        <x:v>Active</x:v>
      </x:c>
      <x:c r="AB163"/>
      <x:c r="AC163"/>
      <x:c r="AD163"/>
      <x:c r="AE163"/>
    </x:row>
    <x:row r="164">
      <x:c r="A164" t="str">
        <x:v>PLD-000160</x:v>
      </x:c>
      <x:c r="B164" t="str">
        <x:v>LOSS-KG01-L22-20251020-AM-ORD-2025-00056</x:v>
      </x:c>
      <x:c r="C164" t="str">
        <x:v>PE-KG01-L22-20251020-AM-ORD-2025-00056</x:v>
      </x:c>
      <x:c r="D164" t="str">
        <x:v>KG01</x:v>
      </x:c>
      <x:c r="E164" t="n">
        <x:v>22</x:v>
      </x:c>
      <x:c r="F164" s="52" t="n">
        <x:v>45950</x:v>
      </x:c>
      <x:c r="G164" t="str">
        <x:v>AM</x:v>
      </x:c>
      <x:c r="H164" t="str">
        <x:v>ORD-2025-00056</x:v>
      </x:c>
      <x:c r="I164" t="str">
        <x:v>Trial</x:v>
      </x:c>
      <x:c r="J164" t="str">
        <x:v>PROC_EVO16</x:v>
      </x:c>
      <x:c r="K164" t="str">
        <x:v>Inspection</x:v>
      </x:c>
      <x:c r="L164" s="54" t="n">
        <x:v>0.010193452380952381</x:v>
      </x:c>
      <x:c r="M164" t="n">
        <x:v>26880</x:v>
      </x:c>
      <x:c r="N164" t="n">
        <x:f>L164*M164</x:f>
        <x:v>274</x:v>
      </x:c>
      <x:c r="O164"/>
      <x:c r="P164"/>
      <x:c r="Q164"/>
      <x:c r="R164"/>
      <x:c r="S164" s="52"/>
      <x:c r="T164" t="str">
        <x:v>OK</x:v>
      </x:c>
      <x:c r="U164" t="str">
        <x:f>IF(AND(ISNUMBER(L164),L164&gt;=0,L164&lt;=1),"OK","CHECK")</x:f>
        <x:v>OK</x:v>
      </x:c>
      <x:c r="V164" t="str">
        <x:f>IF(AND(ISNUMBER(N164),N164&gt;=0),"OK","CHECK")</x:f>
        <x:v>OK</x:v>
      </x:c>
      <x:c r="W164" t="str">
        <x:f>IF(AND(T164="OK",U164="OK",V164="OK"),"OK","CHECK")</x:f>
        <x:v>OK</x:v>
      </x:c>
      <x:c r="X164" t="str">
        <x:f>IF(W164="OK","LOAD","QUARANTINE")</x:f>
        <x:v>LOAD</x:v>
      </x:c>
      <x:c r="Y164" t="str">
        <x:v>03_Process_Losses(6).xlsx</x:v>
      </x:c>
      <x:c r="Z164" t="str">
        <x:v>ENH-20260830-01</x:v>
      </x:c>
      <x:c r="AA164" t="str">
        <x:f>IF(X164="LOAD","Active","Quarantine")</x:f>
        <x:v>Active</x:v>
      </x:c>
      <x:c r="AB164"/>
      <x:c r="AC164"/>
      <x:c r="AD164"/>
      <x:c r="AE164"/>
    </x:row>
    <x:row r="165">
      <x:c r="A165" t="str">
        <x:v>PLD-000161</x:v>
      </x:c>
      <x:c r="B165" t="str">
        <x:v>LOSS-KG01-L22-20251020-AM-ORD-2025-00056</x:v>
      </x:c>
      <x:c r="C165" t="str">
        <x:v>PE-KG01-L22-20251020-AM-ORD-2025-00056</x:v>
      </x:c>
      <x:c r="D165" t="str">
        <x:v>KG01</x:v>
      </x:c>
      <x:c r="E165" t="n">
        <x:v>22</x:v>
      </x:c>
      <x:c r="F165" s="52" t="n">
        <x:v>45950</x:v>
      </x:c>
      <x:c r="G165" t="str">
        <x:v>AM</x:v>
      </x:c>
      <x:c r="H165" t="str">
        <x:v>ORD-2025-00056</x:v>
      </x:c>
      <x:c r="I165" t="str">
        <x:v>Trial</x:v>
      </x:c>
      <x:c r="J165" t="str">
        <x:v>PROC_EVO12</x:v>
      </x:c>
      <x:c r="K165" t="str">
        <x:v>Inspection</x:v>
      </x:c>
      <x:c r="L165" s="54" t="n">
        <x:v>0.012574404761904762</x:v>
      </x:c>
      <x:c r="M165" t="n">
        <x:v>26880</x:v>
      </x:c>
      <x:c r="N165" t="n">
        <x:f>L165*M165</x:f>
        <x:v>338</x:v>
      </x:c>
      <x:c r="O165"/>
      <x:c r="P165"/>
      <x:c r="Q165"/>
      <x:c r="R165"/>
      <x:c r="S165" s="52"/>
      <x:c r="T165" t="str">
        <x:v>OK</x:v>
      </x:c>
      <x:c r="U165" t="str">
        <x:f>IF(AND(ISNUMBER(L165),L165&gt;=0,L165&lt;=1),"OK","CHECK")</x:f>
        <x:v>OK</x:v>
      </x:c>
      <x:c r="V165" t="str">
        <x:f>IF(AND(ISNUMBER(N165),N165&gt;=0),"OK","CHECK")</x:f>
        <x:v>OK</x:v>
      </x:c>
      <x:c r="W165" t="str">
        <x:f>IF(AND(T165="OK",U165="OK",V165="OK"),"OK","CHECK")</x:f>
        <x:v>OK</x:v>
      </x:c>
      <x:c r="X165" t="str">
        <x:f>IF(W165="OK","LOAD","QUARANTINE")</x:f>
        <x:v>LOAD</x:v>
      </x:c>
      <x:c r="Y165" t="str">
        <x:v>03_Process_Losses(6).xlsx</x:v>
      </x:c>
      <x:c r="Z165" t="str">
        <x:v>ENH-20260830-01</x:v>
      </x:c>
      <x:c r="AA165" t="str">
        <x:f>IF(X165="LOAD","Active","Quarantine")</x:f>
        <x:v>Active</x:v>
      </x:c>
      <x:c r="AB165"/>
      <x:c r="AC165"/>
      <x:c r="AD165"/>
      <x:c r="AE165"/>
    </x:row>
    <x:row r="166">
      <x:c r="A166" t="str">
        <x:v>PLD-000162</x:v>
      </x:c>
      <x:c r="B166" t="str">
        <x:v>LOSS-KG01-L22-20251020-AM-ORD-2025-00056</x:v>
      </x:c>
      <x:c r="C166" t="str">
        <x:v>PE-KG01-L22-20251020-AM-ORD-2025-00056</x:v>
      </x:c>
      <x:c r="D166" t="str">
        <x:v>KG01</x:v>
      </x:c>
      <x:c r="E166" t="n">
        <x:v>22</x:v>
      </x:c>
      <x:c r="F166" s="52" t="n">
        <x:v>45950</x:v>
      </x:c>
      <x:c r="G166" t="str">
        <x:v>AM</x:v>
      </x:c>
      <x:c r="H166" t="str">
        <x:v>ORD-2025-00056</x:v>
      </x:c>
      <x:c r="I166" t="str">
        <x:v>Trial</x:v>
      </x:c>
      <x:c r="J166" t="str">
        <x:v>PROC_EVO5</x:v>
      </x:c>
      <x:c r="K166" t="str">
        <x:v>Inspection</x:v>
      </x:c>
      <x:c r="L166" s="54" t="n">
        <x:v>0.0015625</x:v>
      </x:c>
      <x:c r="M166" t="n">
        <x:v>26880</x:v>
      </x:c>
      <x:c r="N166" t="n">
        <x:f>L166*M166</x:f>
        <x:v>42</x:v>
      </x:c>
      <x:c r="O166"/>
      <x:c r="P166"/>
      <x:c r="Q166"/>
      <x:c r="R166"/>
      <x:c r="S166" s="52"/>
      <x:c r="T166" t="str">
        <x:v>OK</x:v>
      </x:c>
      <x:c r="U166" t="str">
        <x:f>IF(AND(ISNUMBER(L166),L166&gt;=0,L166&lt;=1),"OK","CHECK")</x:f>
        <x:v>OK</x:v>
      </x:c>
      <x:c r="V166" t="str">
        <x:f>IF(AND(ISNUMBER(N166),N166&gt;=0),"OK","CHECK")</x:f>
        <x:v>OK</x:v>
      </x:c>
      <x:c r="W166" t="str">
        <x:f>IF(AND(T166="OK",U166="OK",V166="OK"),"OK","CHECK")</x:f>
        <x:v>OK</x:v>
      </x:c>
      <x:c r="X166" t="str">
        <x:f>IF(W166="OK","LOAD","QUARANTINE")</x:f>
        <x:v>LOAD</x:v>
      </x:c>
      <x:c r="Y166" t="str">
        <x:v>03_Process_Losses(6).xlsx</x:v>
      </x:c>
      <x:c r="Z166" t="str">
        <x:v>ENH-20260830-01</x:v>
      </x:c>
      <x:c r="AA166" t="str">
        <x:f>IF(X166="LOAD","Active","Quarantine")</x:f>
        <x:v>Active</x:v>
      </x:c>
      <x:c r="AB166"/>
      <x:c r="AC166"/>
      <x:c r="AD166"/>
      <x:c r="AE166"/>
    </x:row>
    <x:row r="167">
      <x:c r="A167" t="str">
        <x:v>PLD-000163</x:v>
      </x:c>
      <x:c r="B167" t="str">
        <x:v>LOSS-KG01-L22-20251020-AM-ORD-2025-00056</x:v>
      </x:c>
      <x:c r="C167" t="str">
        <x:v>PE-KG01-L22-20251020-AM-ORD-2025-00056</x:v>
      </x:c>
      <x:c r="D167" t="str">
        <x:v>KG01</x:v>
      </x:c>
      <x:c r="E167" t="n">
        <x:v>22</x:v>
      </x:c>
      <x:c r="F167" s="52" t="n">
        <x:v>45950</x:v>
      </x:c>
      <x:c r="G167" t="str">
        <x:v>AM</x:v>
      </x:c>
      <x:c r="H167" t="str">
        <x:v>ORD-2025-00056</x:v>
      </x:c>
      <x:c r="I167" t="str">
        <x:v>Trial</x:v>
      </x:c>
      <x:c r="J167" t="str">
        <x:v>PROC_SANLI</x:v>
      </x:c>
      <x:c r="K167" t="str">
        <x:v>Inspection</x:v>
      </x:c>
      <x:c r="L167" s="54" t="n">
        <x:v>0.012723214285714286</x:v>
      </x:c>
      <x:c r="M167" t="n">
        <x:v>26880</x:v>
      </x:c>
      <x:c r="N167" t="n">
        <x:f>L167*M167</x:f>
        <x:v>342</x:v>
      </x:c>
      <x:c r="O167"/>
      <x:c r="P167"/>
      <x:c r="Q167"/>
      <x:c r="R167"/>
      <x:c r="S167" s="52"/>
      <x:c r="T167" t="str">
        <x:v>OK</x:v>
      </x:c>
      <x:c r="U167" t="str">
        <x:f>IF(AND(ISNUMBER(L167),L167&gt;=0,L167&lt;=1),"OK","CHECK")</x:f>
        <x:v>OK</x:v>
      </x:c>
      <x:c r="V167" t="str">
        <x:f>IF(AND(ISNUMBER(N167),N167&gt;=0),"OK","CHECK")</x:f>
        <x:v>OK</x:v>
      </x:c>
      <x:c r="W167" t="str">
        <x:f>IF(AND(T167="OK",U167="OK",V167="OK"),"OK","CHECK")</x:f>
        <x:v>OK</x:v>
      </x:c>
      <x:c r="X167" t="str">
        <x:f>IF(W167="OK","LOAD","QUARANTINE")</x:f>
        <x:v>LOAD</x:v>
      </x:c>
      <x:c r="Y167" t="str">
        <x:v>03_Process_Losses(6).xlsx</x:v>
      </x:c>
      <x:c r="Z167" t="str">
        <x:v>ENH-20260830-01</x:v>
      </x:c>
      <x:c r="AA167" t="str">
        <x:f>IF(X167="LOAD","Active","Quarantine")</x:f>
        <x:v>Active</x:v>
      </x:c>
      <x:c r="AB167"/>
      <x:c r="AC167"/>
      <x:c r="AD167"/>
      <x:c r="AE167"/>
    </x:row>
    <x:row r="168">
      <x:c r="A168" t="str">
        <x:v>PLD-000164</x:v>
      </x:c>
      <x:c r="B168" t="str">
        <x:v>LOSS-KG01-L22-20251020-AM-ORD-2025-00056</x:v>
      </x:c>
      <x:c r="C168" t="str">
        <x:v>PE-KG01-L22-20251020-AM-ORD-2025-00056</x:v>
      </x:c>
      <x:c r="D168" t="str">
        <x:v>KG01</x:v>
      </x:c>
      <x:c r="E168" t="n">
        <x:v>22</x:v>
      </x:c>
      <x:c r="F168" s="52" t="n">
        <x:v>45950</x:v>
      </x:c>
      <x:c r="G168" t="str">
        <x:v>AM</x:v>
      </x:c>
      <x:c r="H168" t="str">
        <x:v>ORD-2025-00056</x:v>
      </x:c>
      <x:c r="I168" t="str">
        <x:v>Trial</x:v>
      </x:c>
      <x:c r="J168" t="str">
        <x:v>PROC_VISUAL</x:v>
      </x:c>
      <x:c r="K168" t="str">
        <x:v>Inspection</x:v>
      </x:c>
      <x:c r="L168" s="54" t="n">
        <x:v>0.005654761904761905</x:v>
      </x:c>
      <x:c r="M168" t="n">
        <x:v>26880</x:v>
      </x:c>
      <x:c r="N168" t="n">
        <x:f>L168*M168</x:f>
        <x:v>152</x:v>
      </x:c>
      <x:c r="O168"/>
      <x:c r="P168"/>
      <x:c r="Q168"/>
      <x:c r="R168"/>
      <x:c r="S168" s="52"/>
      <x:c r="T168" t="str">
        <x:v>OK</x:v>
      </x:c>
      <x:c r="U168" t="str">
        <x:f>IF(AND(ISNUMBER(L168),L168&gt;=0,L168&lt;=1),"OK","CHECK")</x:f>
        <x:v>OK</x:v>
      </x:c>
      <x:c r="V168" t="str">
        <x:f>IF(AND(ISNUMBER(N168),N168&gt;=0),"OK","CHECK")</x:f>
        <x:v>OK</x:v>
      </x:c>
      <x:c r="W168" t="str">
        <x:f>IF(AND(T168="OK",U168="OK",V168="OK"),"OK","CHECK")</x:f>
        <x:v>OK</x:v>
      </x:c>
      <x:c r="X168" t="str">
        <x:f>IF(W168="OK","LOAD","QUARANTINE")</x:f>
        <x:v>LOAD</x:v>
      </x:c>
      <x:c r="Y168" t="str">
        <x:v>03_Process_Losses(6).xlsx</x:v>
      </x:c>
      <x:c r="Z168" t="str">
        <x:v>ENH-20260830-01</x:v>
      </x:c>
      <x:c r="AA168" t="str">
        <x:f>IF(X168="LOAD","Active","Quarantine")</x:f>
        <x:v>Active</x:v>
      </x:c>
      <x:c r="AB168"/>
      <x:c r="AC168"/>
      <x:c r="AD168"/>
      <x:c r="AE168"/>
    </x:row>
    <x:row r="169">
      <x:c r="A169" t="str">
        <x:v>PLD-000165</x:v>
      </x:c>
      <x:c r="B169" t="str">
        <x:v>LOSS-KG01-L22-20251020-AM-ORD-2025-00056</x:v>
      </x:c>
      <x:c r="C169" t="str">
        <x:v>PE-KG01-L22-20251020-AM-ORD-2025-00056</x:v>
      </x:c>
      <x:c r="D169" t="str">
        <x:v>KG01</x:v>
      </x:c>
      <x:c r="E169" t="n">
        <x:v>22</x:v>
      </x:c>
      <x:c r="F169" s="52" t="n">
        <x:v>45950</x:v>
      </x:c>
      <x:c r="G169" t="str">
        <x:v>AM</x:v>
      </x:c>
      <x:c r="H169" t="str">
        <x:v>ORD-2025-00056</x:v>
      </x:c>
      <x:c r="I169" t="str">
        <x:v>Trial</x:v>
      </x:c>
      <x:c r="J169" t="str">
        <x:v>PROC_PALLETIZER</x:v>
      </x:c>
      <x:c r="K169" t="str">
        <x:v>Palletizer</x:v>
      </x:c>
      <x:c r="L169" s="54" t="n">
        <x:v>0.009635416666666667</x:v>
      </x:c>
      <x:c r="M169" t="n">
        <x:v>26880</x:v>
      </x:c>
      <x:c r="N169" t="n">
        <x:f>L169*M169</x:f>
        <x:v>259</x:v>
      </x:c>
      <x:c r="O169"/>
      <x:c r="P169"/>
      <x:c r="Q169"/>
      <x:c r="R169"/>
      <x:c r="S169" s="52"/>
      <x:c r="T169" t="str">
        <x:v>OK</x:v>
      </x:c>
      <x:c r="U169" t="str">
        <x:f>IF(AND(ISNUMBER(L169),L169&gt;=0,L169&lt;=1),"OK","CHECK")</x:f>
        <x:v>OK</x:v>
      </x:c>
      <x:c r="V169" t="str">
        <x:f>IF(AND(ISNUMBER(N169),N169&gt;=0),"OK","CHECK")</x:f>
        <x:v>OK</x:v>
      </x:c>
      <x:c r="W169" t="str">
        <x:f>IF(AND(T169="OK",U169="OK",V169="OK"),"OK","CHECK")</x:f>
        <x:v>OK</x:v>
      </x:c>
      <x:c r="X169" t="str">
        <x:f>IF(W169="OK","LOAD","QUARANTINE")</x:f>
        <x:v>LOAD</x:v>
      </x:c>
      <x:c r="Y169" t="str">
        <x:v>03_Process_Losses(6).xlsx</x:v>
      </x:c>
      <x:c r="Z169" t="str">
        <x:v>ENH-20260830-01</x:v>
      </x:c>
      <x:c r="AA169" t="str">
        <x:f>IF(X169="LOAD","Active","Quarantine")</x:f>
        <x:v>Active</x:v>
      </x:c>
      <x:c r="AB169"/>
      <x:c r="AC169"/>
      <x:c r="AD169"/>
      <x:c r="AE169"/>
    </x:row>
    <x:row r="170">
      <x:c r="A170" t="str">
        <x:v>PLD-000166</x:v>
      </x:c>
      <x:c r="B170" t="str">
        <x:v>LOSS-KG01-L22-20251020-PM-ORD-2025-00056</x:v>
      </x:c>
      <x:c r="C170" t="str">
        <x:v>PE-KG01-L22-20251020-PM-ORD-2025-00056</x:v>
      </x:c>
      <x:c r="D170" t="str">
        <x:v>KG01</x:v>
      </x:c>
      <x:c r="E170" t="n">
        <x:v>22</x:v>
      </x:c>
      <x:c r="F170" s="52" t="n">
        <x:v>45950</x:v>
      </x:c>
      <x:c r="G170" t="str">
        <x:v>PM</x:v>
      </x:c>
      <x:c r="H170" t="str">
        <x:v>ORD-2025-00056</x:v>
      </x:c>
      <x:c r="I170" t="str">
        <x:v>Normal</x:v>
      </x:c>
      <x:c r="J170" t="str">
        <x:v>PROC_FIXED</x:v>
      </x:c>
      <x:c r="K170" t="str">
        <x:v>Fixed Losses</x:v>
      </x:c>
      <x:c r="L170" s="54" t="n">
        <x:v>0.0063856470106470106</x:v>
      </x:c>
      <x:c r="M170" t="n">
        <x:v>156288</x:v>
      </x:c>
      <x:c r="N170" t="n">
        <x:f>L170*M170</x:f>
        <x:v>998</x:v>
      </x:c>
      <x:c r="O170"/>
      <x:c r="P170"/>
      <x:c r="Q170"/>
      <x:c r="R170"/>
      <x:c r="S170" s="52"/>
      <x:c r="T170" t="str">
        <x:v>OK</x:v>
      </x:c>
      <x:c r="U170" t="str">
        <x:f>IF(AND(ISNUMBER(L170),L170&gt;=0,L170&lt;=1),"OK","CHECK")</x:f>
        <x:v>OK</x:v>
      </x:c>
      <x:c r="V170" t="str">
        <x:f>IF(AND(ISNUMBER(N170),N170&gt;=0),"OK","CHECK")</x:f>
        <x:v>OK</x:v>
      </x:c>
      <x:c r="W170" t="str">
        <x:f>IF(AND(T170="OK",U170="OK",V170="OK"),"OK","CHECK")</x:f>
        <x:v>OK</x:v>
      </x:c>
      <x:c r="X170" t="str">
        <x:f>IF(W170="OK","LOAD","QUARANTINE")</x:f>
        <x:v>LOAD</x:v>
      </x:c>
      <x:c r="Y170" t="str">
        <x:v>03_Process_Losses(6).xlsx</x:v>
      </x:c>
      <x:c r="Z170" t="str">
        <x:v>ENH-20260830-01</x:v>
      </x:c>
      <x:c r="AA170" t="str">
        <x:f>IF(X170="LOAD","Active","Quarantine")</x:f>
        <x:v>Active</x:v>
      </x:c>
      <x:c r="AB170"/>
      <x:c r="AC170"/>
      <x:c r="AD170"/>
      <x:c r="AE170"/>
    </x:row>
    <x:row r="171">
      <x:c r="A171" t="str">
        <x:v>PLD-000167</x:v>
      </x:c>
      <x:c r="B171" t="str">
        <x:v>LOSS-KG01-L22-20251020-PM-ORD-2025-00056</x:v>
      </x:c>
      <x:c r="C171" t="str">
        <x:v>PE-KG01-L22-20251020-PM-ORD-2025-00056</x:v>
      </x:c>
      <x:c r="D171" t="str">
        <x:v>KG01</x:v>
      </x:c>
      <x:c r="E171" t="n">
        <x:v>22</x:v>
      </x:c>
      <x:c r="F171" s="52" t="n">
        <x:v>45950</x:v>
      </x:c>
      <x:c r="G171" t="str">
        <x:v>PM</x:v>
      </x:c>
      <x:c r="H171" t="str">
        <x:v>ORD-2025-00056</x:v>
      </x:c>
      <x:c r="I171" t="str">
        <x:v>Normal</x:v>
      </x:c>
      <x:c r="J171" t="str">
        <x:v>PROC_IS</x:v>
      </x:c>
      <x:c r="K171" t="str">
        <x:v>IS Machine</x:v>
      </x:c>
      <x:c r="L171" s="54" t="n">
        <x:v>0.010384674447174447</x:v>
      </x:c>
      <x:c r="M171" t="n">
        <x:v>156288</x:v>
      </x:c>
      <x:c r="N171" t="n">
        <x:f>L171*M171</x:f>
        <x:v>1623</x:v>
      </x:c>
      <x:c r="O171"/>
      <x:c r="P171"/>
      <x:c r="Q171"/>
      <x:c r="R171"/>
      <x:c r="S171" s="52"/>
      <x:c r="T171" t="str">
        <x:v>OK</x:v>
      </x:c>
      <x:c r="U171" t="str">
        <x:f>IF(AND(ISNUMBER(L171),L171&gt;=0,L171&lt;=1),"OK","CHECK")</x:f>
        <x:v>OK</x:v>
      </x:c>
      <x:c r="V171" t="str">
        <x:f>IF(AND(ISNUMBER(N171),N171&gt;=0),"OK","CHECK")</x:f>
        <x:v>OK</x:v>
      </x:c>
      <x:c r="W171" t="str">
        <x:f>IF(AND(T171="OK",U171="OK",V171="OK"),"OK","CHECK")</x:f>
        <x:v>OK</x:v>
      </x:c>
      <x:c r="X171" t="str">
        <x:f>IF(W171="OK","LOAD","QUARANTINE")</x:f>
        <x:v>LOAD</x:v>
      </x:c>
      <x:c r="Y171" t="str">
        <x:v>03_Process_Losses(6).xlsx</x:v>
      </x:c>
      <x:c r="Z171" t="str">
        <x:v>ENH-20260830-01</x:v>
      </x:c>
      <x:c r="AA171" t="str">
        <x:f>IF(X171="LOAD","Active","Quarantine")</x:f>
        <x:v>Active</x:v>
      </x:c>
      <x:c r="AB171"/>
      <x:c r="AC171"/>
      <x:c r="AD171"/>
      <x:c r="AE171"/>
    </x:row>
    <x:row r="172">
      <x:c r="A172" t="str">
        <x:v>PLD-000168</x:v>
      </x:c>
      <x:c r="B172" t="str">
        <x:v>LOSS-KG01-L22-20251020-PM-ORD-2025-00056</x:v>
      </x:c>
      <x:c r="C172" t="str">
        <x:v>PE-KG01-L22-20251020-PM-ORD-2025-00056</x:v>
      </x:c>
      <x:c r="D172" t="str">
        <x:v>KG01</x:v>
      </x:c>
      <x:c r="E172" t="n">
        <x:v>22</x:v>
      </x:c>
      <x:c r="F172" s="52" t="n">
        <x:v>45950</x:v>
      </x:c>
      <x:c r="G172" t="str">
        <x:v>PM</x:v>
      </x:c>
      <x:c r="H172" t="str">
        <x:v>ORD-2025-00056</x:v>
      </x:c>
      <x:c r="I172" t="str">
        <x:v>Normal</x:v>
      </x:c>
      <x:c r="J172" t="str">
        <x:v>PROC_HE_CONVEYER</x:v>
      </x:c>
      <x:c r="K172" t="str">
        <x:v>Hot End</x:v>
      </x:c>
      <x:c r="L172" s="54" t="n">
        <x:v>0.0033527846027846028</x:v>
      </x:c>
      <x:c r="M172" t="n">
        <x:v>156288</x:v>
      </x:c>
      <x:c r="N172" t="n">
        <x:f>L172*M172</x:f>
        <x:v>524</x:v>
      </x:c>
      <x:c r="O172"/>
      <x:c r="P172"/>
      <x:c r="Q172"/>
      <x:c r="R172"/>
      <x:c r="S172" s="52"/>
      <x:c r="T172" t="str">
        <x:v>OK</x:v>
      </x:c>
      <x:c r="U172" t="str">
        <x:f>IF(AND(ISNUMBER(L172),L172&gt;=0,L172&lt;=1),"OK","CHECK")</x:f>
        <x:v>OK</x:v>
      </x:c>
      <x:c r="V172" t="str">
        <x:f>IF(AND(ISNUMBER(N172),N172&gt;=0),"OK","CHECK")</x:f>
        <x:v>OK</x:v>
      </x:c>
      <x:c r="W172" t="str">
        <x:f>IF(AND(T172="OK",U172="OK",V172="OK"),"OK","CHECK")</x:f>
        <x:v>OK</x:v>
      </x:c>
      <x:c r="X172" t="str">
        <x:f>IF(W172="OK","LOAD","QUARANTINE")</x:f>
        <x:v>LOAD</x:v>
      </x:c>
      <x:c r="Y172" t="str">
        <x:v>03_Process_Losses(6).xlsx</x:v>
      </x:c>
      <x:c r="Z172" t="str">
        <x:v>ENH-20260830-01</x:v>
      </x:c>
      <x:c r="AA172" t="str">
        <x:f>IF(X172="LOAD","Active","Quarantine")</x:f>
        <x:v>Active</x:v>
      </x:c>
      <x:c r="AB172"/>
      <x:c r="AC172"/>
      <x:c r="AD172"/>
      <x:c r="AE172"/>
    </x:row>
    <x:row r="173">
      <x:c r="A173" t="str">
        <x:v>PLD-000169</x:v>
      </x:c>
      <x:c r="B173" t="str">
        <x:v>LOSS-KG01-L22-20251020-PM-ORD-2025-00056</x:v>
      </x:c>
      <x:c r="C173" t="str">
        <x:v>PE-KG01-L22-20251020-PM-ORD-2025-00056</x:v>
      </x:c>
      <x:c r="D173" t="str">
        <x:v>KG01</x:v>
      </x:c>
      <x:c r="E173" t="n">
        <x:v>22</x:v>
      </x:c>
      <x:c r="F173" s="52" t="n">
        <x:v>45950</x:v>
      </x:c>
      <x:c r="G173" t="str">
        <x:v>PM</x:v>
      </x:c>
      <x:c r="H173" t="str">
        <x:v>ORD-2025-00056</x:v>
      </x:c>
      <x:c r="I173" t="str">
        <x:v>Normal</x:v>
      </x:c>
      <x:c r="J173" t="str">
        <x:v>PROC_STUCKDOWN</x:v>
      </x:c>
      <x:c r="K173" t="str">
        <x:v>Forming</x:v>
      </x:c>
      <x:c r="L173" s="54" t="n">
        <x:v>0.0036023239148239147</x:v>
      </x:c>
      <x:c r="M173" t="n">
        <x:v>156288</x:v>
      </x:c>
      <x:c r="N173" t="n">
        <x:f>L173*M173</x:f>
        <x:v>563</x:v>
      </x:c>
      <x:c r="O173"/>
      <x:c r="P173"/>
      <x:c r="Q173"/>
      <x:c r="R173"/>
      <x:c r="S173" s="52"/>
      <x:c r="T173" t="str">
        <x:v>OK</x:v>
      </x:c>
      <x:c r="U173" t="str">
        <x:f>IF(AND(ISNUMBER(L173),L173&gt;=0,L173&lt;=1),"OK","CHECK")</x:f>
        <x:v>OK</x:v>
      </x:c>
      <x:c r="V173" t="str">
        <x:f>IF(AND(ISNUMBER(N173),N173&gt;=0),"OK","CHECK")</x:f>
        <x:v>OK</x:v>
      </x:c>
      <x:c r="W173" t="str">
        <x:f>IF(AND(T173="OK",U173="OK",V173="OK"),"OK","CHECK")</x:f>
        <x:v>OK</x:v>
      </x:c>
      <x:c r="X173" t="str">
        <x:f>IF(W173="OK","LOAD","QUARANTINE")</x:f>
        <x:v>LOAD</x:v>
      </x:c>
      <x:c r="Y173" t="str">
        <x:v>03_Process_Losses(6).xlsx</x:v>
      </x:c>
      <x:c r="Z173" t="str">
        <x:v>ENH-20260830-01</x:v>
      </x:c>
      <x:c r="AA173" t="str">
        <x:f>IF(X173="LOAD","Active","Quarantine")</x:f>
        <x:v>Active</x:v>
      </x:c>
      <x:c r="AB173"/>
      <x:c r="AC173"/>
      <x:c r="AD173"/>
      <x:c r="AE173"/>
    </x:row>
    <x:row r="174">
      <x:c r="A174" t="str">
        <x:v>PLD-000170</x:v>
      </x:c>
      <x:c r="B174" t="str">
        <x:v>LOSS-KG01-L22-20251020-PM-ORD-2025-00056</x:v>
      </x:c>
      <x:c r="C174" t="str">
        <x:v>PE-KG01-L22-20251020-PM-ORD-2025-00056</x:v>
      </x:c>
      <x:c r="D174" t="str">
        <x:v>KG01</x:v>
      </x:c>
      <x:c r="E174" t="n">
        <x:v>22</x:v>
      </x:c>
      <x:c r="F174" s="52" t="n">
        <x:v>45950</x:v>
      </x:c>
      <x:c r="G174" t="str">
        <x:v>PM</x:v>
      </x:c>
      <x:c r="H174" t="str">
        <x:v>ORD-2025-00056</x:v>
      </x:c>
      <x:c r="I174" t="str">
        <x:v>Normal</x:v>
      </x:c>
      <x:c r="J174" t="str">
        <x:v>PROC_LEHR</x:v>
      </x:c>
      <x:c r="K174" t="str">
        <x:v>Lehr</x:v>
      </x:c>
      <x:c r="L174" s="54" t="n">
        <x:v>0.005182739557739558</x:v>
      </x:c>
      <x:c r="M174" t="n">
        <x:v>156288</x:v>
      </x:c>
      <x:c r="N174" t="n">
        <x:f>L174*M174</x:f>
        <x:v>810.0000000000001</x:v>
      </x:c>
      <x:c r="O174"/>
      <x:c r="P174"/>
      <x:c r="Q174"/>
      <x:c r="R174"/>
      <x:c r="S174" s="52"/>
      <x:c r="T174" t="str">
        <x:v>OK</x:v>
      </x:c>
      <x:c r="U174" t="str">
        <x:f>IF(AND(ISNUMBER(L174),L174&gt;=0,L174&lt;=1),"OK","CHECK")</x:f>
        <x:v>OK</x:v>
      </x:c>
      <x:c r="V174" t="str">
        <x:f>IF(AND(ISNUMBER(N174),N174&gt;=0),"OK","CHECK")</x:f>
        <x:v>OK</x:v>
      </x:c>
      <x:c r="W174" t="str">
        <x:f>IF(AND(T174="OK",U174="OK",V174="OK"),"OK","CHECK")</x:f>
        <x:v>OK</x:v>
      </x:c>
      <x:c r="X174" t="str">
        <x:f>IF(W174="OK","LOAD","QUARANTINE")</x:f>
        <x:v>LOAD</x:v>
      </x:c>
      <x:c r="Y174" t="str">
        <x:v>03_Process_Losses(6).xlsx</x:v>
      </x:c>
      <x:c r="Z174" t="str">
        <x:v>ENH-20260830-01</x:v>
      </x:c>
      <x:c r="AA174" t="str">
        <x:f>IF(X174="LOAD","Active","Quarantine")</x:f>
        <x:v>Active</x:v>
      </x:c>
      <x:c r="AB174"/>
      <x:c r="AC174"/>
      <x:c r="AD174"/>
      <x:c r="AE174"/>
    </x:row>
    <x:row r="175">
      <x:c r="A175" t="str">
        <x:v>PLD-000171</x:v>
      </x:c>
      <x:c r="B175" t="str">
        <x:v>LOSS-KG01-L22-20251020-PM-ORD-2025-00056</x:v>
      </x:c>
      <x:c r="C175" t="str">
        <x:v>PE-KG01-L22-20251020-PM-ORD-2025-00056</x:v>
      </x:c>
      <x:c r="D175" t="str">
        <x:v>KG01</x:v>
      </x:c>
      <x:c r="E175" t="n">
        <x:v>22</x:v>
      </x:c>
      <x:c r="F175" s="52" t="n">
        <x:v>45950</x:v>
      </x:c>
      <x:c r="G175" t="str">
        <x:v>PM</x:v>
      </x:c>
      <x:c r="H175" t="str">
        <x:v>ORD-2025-00056</x:v>
      </x:c>
      <x:c r="I175" t="str">
        <x:v>Normal</x:v>
      </x:c>
      <x:c r="J175" t="str">
        <x:v>PROC_EVO16</x:v>
      </x:c>
      <x:c r="K175" t="str">
        <x:v>Inspection</x:v>
      </x:c>
      <x:c r="L175" s="54" t="n">
        <x:v>0.00705748361998362</x:v>
      </x:c>
      <x:c r="M175" t="n">
        <x:v>156288</x:v>
      </x:c>
      <x:c r="N175" t="n">
        <x:f>L175*M175</x:f>
        <x:v>1103</x:v>
      </x:c>
      <x:c r="O175"/>
      <x:c r="P175"/>
      <x:c r="Q175"/>
      <x:c r="R175"/>
      <x:c r="S175" s="52"/>
      <x:c r="T175" t="str">
        <x:v>OK</x:v>
      </x:c>
      <x:c r="U175" t="str">
        <x:f>IF(AND(ISNUMBER(L175),L175&gt;=0,L175&lt;=1),"OK","CHECK")</x:f>
        <x:v>OK</x:v>
      </x:c>
      <x:c r="V175" t="str">
        <x:f>IF(AND(ISNUMBER(N175),N175&gt;=0),"OK","CHECK")</x:f>
        <x:v>OK</x:v>
      </x:c>
      <x:c r="W175" t="str">
        <x:f>IF(AND(T175="OK",U175="OK",V175="OK"),"OK","CHECK")</x:f>
        <x:v>OK</x:v>
      </x:c>
      <x:c r="X175" t="str">
        <x:f>IF(W175="OK","LOAD","QUARANTINE")</x:f>
        <x:v>LOAD</x:v>
      </x:c>
      <x:c r="Y175" t="str">
        <x:v>03_Process_Losses(6).xlsx</x:v>
      </x:c>
      <x:c r="Z175" t="str">
        <x:v>ENH-20260830-01</x:v>
      </x:c>
      <x:c r="AA175" t="str">
        <x:f>IF(X175="LOAD","Active","Quarantine")</x:f>
        <x:v>Active</x:v>
      </x:c>
      <x:c r="AB175"/>
      <x:c r="AC175"/>
      <x:c r="AD175"/>
      <x:c r="AE175"/>
    </x:row>
    <x:row r="176">
      <x:c r="A176" t="str">
        <x:v>PLD-000172</x:v>
      </x:c>
      <x:c r="B176" t="str">
        <x:v>LOSS-KG01-L22-20251020-PM-ORD-2025-00056</x:v>
      </x:c>
      <x:c r="C176" t="str">
        <x:v>PE-KG01-L22-20251020-PM-ORD-2025-00056</x:v>
      </x:c>
      <x:c r="D176" t="str">
        <x:v>KG01</x:v>
      </x:c>
      <x:c r="E176" t="n">
        <x:v>22</x:v>
      </x:c>
      <x:c r="F176" s="52" t="n">
        <x:v>45950</x:v>
      </x:c>
      <x:c r="G176" t="str">
        <x:v>PM</x:v>
      </x:c>
      <x:c r="H176" t="str">
        <x:v>ORD-2025-00056</x:v>
      </x:c>
      <x:c r="I176" t="str">
        <x:v>Normal</x:v>
      </x:c>
      <x:c r="J176" t="str">
        <x:v>PROC_EVO12</x:v>
      </x:c>
      <x:c r="K176" t="str">
        <x:v>Inspection</x:v>
      </x:c>
      <x:c r="L176" s="54" t="n">
        <x:v>0.0033655814905814907</x:v>
      </x:c>
      <x:c r="M176" t="n">
        <x:v>156288</x:v>
      </x:c>
      <x:c r="N176" t="n">
        <x:f>L176*M176</x:f>
        <x:v>526</x:v>
      </x:c>
      <x:c r="O176"/>
      <x:c r="P176"/>
      <x:c r="Q176"/>
      <x:c r="R176"/>
      <x:c r="S176" s="52"/>
      <x:c r="T176" t="str">
        <x:v>OK</x:v>
      </x:c>
      <x:c r="U176" t="str">
        <x:f>IF(AND(ISNUMBER(L176),L176&gt;=0,L176&lt;=1),"OK","CHECK")</x:f>
        <x:v>OK</x:v>
      </x:c>
      <x:c r="V176" t="str">
        <x:f>IF(AND(ISNUMBER(N176),N176&gt;=0),"OK","CHECK")</x:f>
        <x:v>OK</x:v>
      </x:c>
      <x:c r="W176" t="str">
        <x:f>IF(AND(T176="OK",U176="OK",V176="OK"),"OK","CHECK")</x:f>
        <x:v>OK</x:v>
      </x:c>
      <x:c r="X176" t="str">
        <x:f>IF(W176="OK","LOAD","QUARANTINE")</x:f>
        <x:v>LOAD</x:v>
      </x:c>
      <x:c r="Y176" t="str">
        <x:v>03_Process_Losses(6).xlsx</x:v>
      </x:c>
      <x:c r="Z176" t="str">
        <x:v>ENH-20260830-01</x:v>
      </x:c>
      <x:c r="AA176" t="str">
        <x:f>IF(X176="LOAD","Active","Quarantine")</x:f>
        <x:v>Active</x:v>
      </x:c>
      <x:c r="AB176"/>
      <x:c r="AC176"/>
      <x:c r="AD176"/>
      <x:c r="AE176"/>
    </x:row>
    <x:row r="177">
      <x:c r="A177" t="str">
        <x:v>PLD-000173</x:v>
      </x:c>
      <x:c r="B177" t="str">
        <x:v>LOSS-KG01-L22-20251020-PM-ORD-2025-00056</x:v>
      </x:c>
      <x:c r="C177" t="str">
        <x:v>PE-KG01-L22-20251020-PM-ORD-2025-00056</x:v>
      </x:c>
      <x:c r="D177" t="str">
        <x:v>KG01</x:v>
      </x:c>
      <x:c r="E177" t="n">
        <x:v>22</x:v>
      </x:c>
      <x:c r="F177" s="52" t="n">
        <x:v>45950</x:v>
      </x:c>
      <x:c r="G177" t="str">
        <x:v>PM</x:v>
      </x:c>
      <x:c r="H177" t="str">
        <x:v>ORD-2025-00056</x:v>
      </x:c>
      <x:c r="I177" t="str">
        <x:v>Normal</x:v>
      </x:c>
      <x:c r="J177" t="str">
        <x:v>PROC_EVO5</x:v>
      </x:c>
      <x:c r="K177" t="str">
        <x:v>Inspection</x:v>
      </x:c>
      <x:c r="L177" s="54" t="n">
        <x:v>0.002463400900900901</x:v>
      </x:c>
      <x:c r="M177" t="n">
        <x:v>156288</x:v>
      </x:c>
      <x:c r="N177" t="n">
        <x:f>L177*M177</x:f>
        <x:v>385</x:v>
      </x:c>
      <x:c r="O177"/>
      <x:c r="P177"/>
      <x:c r="Q177"/>
      <x:c r="R177"/>
      <x:c r="S177" s="52"/>
      <x:c r="T177" t="str">
        <x:v>OK</x:v>
      </x:c>
      <x:c r="U177" t="str">
        <x:f>IF(AND(ISNUMBER(L177),L177&gt;=0,L177&lt;=1),"OK","CHECK")</x:f>
        <x:v>OK</x:v>
      </x:c>
      <x:c r="V177" t="str">
        <x:f>IF(AND(ISNUMBER(N177),N177&gt;=0),"OK","CHECK")</x:f>
        <x:v>OK</x:v>
      </x:c>
      <x:c r="W177" t="str">
        <x:f>IF(AND(T177="OK",U177="OK",V177="OK"),"OK","CHECK")</x:f>
        <x:v>OK</x:v>
      </x:c>
      <x:c r="X177" t="str">
        <x:f>IF(W177="OK","LOAD","QUARANTINE")</x:f>
        <x:v>LOAD</x:v>
      </x:c>
      <x:c r="Y177" t="str">
        <x:v>03_Process_Losses(6).xlsx</x:v>
      </x:c>
      <x:c r="Z177" t="str">
        <x:v>ENH-20260830-01</x:v>
      </x:c>
      <x:c r="AA177" t="str">
        <x:f>IF(X177="LOAD","Active","Quarantine")</x:f>
        <x:v>Active</x:v>
      </x:c>
      <x:c r="AB177"/>
      <x:c r="AC177"/>
      <x:c r="AD177"/>
      <x:c r="AE177"/>
    </x:row>
    <x:row r="178">
      <x:c r="A178" t="str">
        <x:v>PLD-000174</x:v>
      </x:c>
      <x:c r="B178" t="str">
        <x:v>LOSS-KG01-L22-20251020-PM-ORD-2025-00056</x:v>
      </x:c>
      <x:c r="C178" t="str">
        <x:v>PE-KG01-L22-20251020-PM-ORD-2025-00056</x:v>
      </x:c>
      <x:c r="D178" t="str">
        <x:v>KG01</x:v>
      </x:c>
      <x:c r="E178" t="n">
        <x:v>22</x:v>
      </x:c>
      <x:c r="F178" s="52" t="n">
        <x:v>45950</x:v>
      </x:c>
      <x:c r="G178" t="str">
        <x:v>PM</x:v>
      </x:c>
      <x:c r="H178" t="str">
        <x:v>ORD-2025-00056</x:v>
      </x:c>
      <x:c r="I178" t="str">
        <x:v>Normal</x:v>
      </x:c>
      <x:c r="J178" t="str">
        <x:v>PROC_SANLI</x:v>
      </x:c>
      <x:c r="K178" t="str">
        <x:v>Inspection</x:v>
      </x:c>
      <x:c r="L178" s="54" t="n">
        <x:v>0.0025529791154791153</x:v>
      </x:c>
      <x:c r="M178" t="n">
        <x:v>156288</x:v>
      </x:c>
      <x:c r="N178" t="n">
        <x:f>L178*M178</x:f>
        <x:v>399</x:v>
      </x:c>
      <x:c r="O178"/>
      <x:c r="P178"/>
      <x:c r="Q178"/>
      <x:c r="R178"/>
      <x:c r="S178" s="52"/>
      <x:c r="T178" t="str">
        <x:v>OK</x:v>
      </x:c>
      <x:c r="U178" t="str">
        <x:f>IF(AND(ISNUMBER(L178),L178&gt;=0,L178&lt;=1),"OK","CHECK")</x:f>
        <x:v>OK</x:v>
      </x:c>
      <x:c r="V178" t="str">
        <x:f>IF(AND(ISNUMBER(N178),N178&gt;=0),"OK","CHECK")</x:f>
        <x:v>OK</x:v>
      </x:c>
      <x:c r="W178" t="str">
        <x:f>IF(AND(T178="OK",U178="OK",V178="OK"),"OK","CHECK")</x:f>
        <x:v>OK</x:v>
      </x:c>
      <x:c r="X178" t="str">
        <x:f>IF(W178="OK","LOAD","QUARANTINE")</x:f>
        <x:v>LOAD</x:v>
      </x:c>
      <x:c r="Y178" t="str">
        <x:v>03_Process_Losses(6).xlsx</x:v>
      </x:c>
      <x:c r="Z178" t="str">
        <x:v>ENH-20260830-01</x:v>
      </x:c>
      <x:c r="AA178" t="str">
        <x:f>IF(X178="LOAD","Active","Quarantine")</x:f>
        <x:v>Active</x:v>
      </x:c>
      <x:c r="AB178"/>
      <x:c r="AC178"/>
      <x:c r="AD178"/>
      <x:c r="AE178"/>
    </x:row>
    <x:row r="179">
      <x:c r="A179" t="str">
        <x:v>PLD-000175</x:v>
      </x:c>
      <x:c r="B179" t="str">
        <x:v>LOSS-KG01-L22-20251020-PM-ORD-2025-00056</x:v>
      </x:c>
      <x:c r="C179" t="str">
        <x:v>PE-KG01-L22-20251020-PM-ORD-2025-00056</x:v>
      </x:c>
      <x:c r="D179" t="str">
        <x:v>KG01</x:v>
      </x:c>
      <x:c r="E179" t="n">
        <x:v>22</x:v>
      </x:c>
      <x:c r="F179" s="52" t="n">
        <x:v>45950</x:v>
      </x:c>
      <x:c r="G179" t="str">
        <x:v>PM</x:v>
      </x:c>
      <x:c r="H179" t="str">
        <x:v>ORD-2025-00056</x:v>
      </x:c>
      <x:c r="I179" t="str">
        <x:v>Normal</x:v>
      </x:c>
      <x:c r="J179" t="str">
        <x:v>PROC_VISUAL</x:v>
      </x:c>
      <x:c r="K179" t="str">
        <x:v>Inspection</x:v>
      </x:c>
      <x:c r="L179" s="54" t="n">
        <x:v>0.006852733415233415</x:v>
      </x:c>
      <x:c r="M179" t="n">
        <x:v>156288</x:v>
      </x:c>
      <x:c r="N179" t="n">
        <x:f>L179*M179</x:f>
        <x:v>1071</x:v>
      </x:c>
      <x:c r="O179"/>
      <x:c r="P179"/>
      <x:c r="Q179"/>
      <x:c r="R179"/>
      <x:c r="S179" s="52"/>
      <x:c r="T179" t="str">
        <x:v>OK</x:v>
      </x:c>
      <x:c r="U179" t="str">
        <x:f>IF(AND(ISNUMBER(L179),L179&gt;=0,L179&lt;=1),"OK","CHECK")</x:f>
        <x:v>OK</x:v>
      </x:c>
      <x:c r="V179" t="str">
        <x:f>IF(AND(ISNUMBER(N179),N179&gt;=0),"OK","CHECK")</x:f>
        <x:v>OK</x:v>
      </x:c>
      <x:c r="W179" t="str">
        <x:f>IF(AND(T179="OK",U179="OK",V179="OK"),"OK","CHECK")</x:f>
        <x:v>OK</x:v>
      </x:c>
      <x:c r="X179" t="str">
        <x:f>IF(W179="OK","LOAD","QUARANTINE")</x:f>
        <x:v>LOAD</x:v>
      </x:c>
      <x:c r="Y179" t="str">
        <x:v>03_Process_Losses(6).xlsx</x:v>
      </x:c>
      <x:c r="Z179" t="str">
        <x:v>ENH-20260830-01</x:v>
      </x:c>
      <x:c r="AA179" t="str">
        <x:f>IF(X179="LOAD","Active","Quarantine")</x:f>
        <x:v>Active</x:v>
      </x:c>
      <x:c r="AB179"/>
      <x:c r="AC179"/>
      <x:c r="AD179"/>
      <x:c r="AE179"/>
    </x:row>
    <x:row r="180">
      <x:c r="A180" t="str">
        <x:v>PLD-000176</x:v>
      </x:c>
      <x:c r="B180" t="str">
        <x:v>LOSS-KG01-L22-20251020-PM-ORD-2025-00056</x:v>
      </x:c>
      <x:c r="C180" t="str">
        <x:v>PE-KG01-L22-20251020-PM-ORD-2025-00056</x:v>
      </x:c>
      <x:c r="D180" t="str">
        <x:v>KG01</x:v>
      </x:c>
      <x:c r="E180" t="n">
        <x:v>22</x:v>
      </x:c>
      <x:c r="F180" s="52" t="n">
        <x:v>45950</x:v>
      </x:c>
      <x:c r="G180" t="str">
        <x:v>PM</x:v>
      </x:c>
      <x:c r="H180" t="str">
        <x:v>ORD-2025-00056</x:v>
      </x:c>
      <x:c r="I180" t="str">
        <x:v>Normal</x:v>
      </x:c>
      <x:c r="J180" t="str">
        <x:v>PROC_PALLETIZER</x:v>
      </x:c>
      <x:c r="K180" t="str">
        <x:v>Palletizer</x:v>
      </x:c>
      <x:c r="L180" s="54" t="n">
        <x:v>0.003205620393120393</x:v>
      </x:c>
      <x:c r="M180" t="n">
        <x:v>156288</x:v>
      </x:c>
      <x:c r="N180" t="n">
        <x:f>L180*M180</x:f>
        <x:v>501</x:v>
      </x:c>
      <x:c r="O180"/>
      <x:c r="P180"/>
      <x:c r="Q180"/>
      <x:c r="R180"/>
      <x:c r="S180" s="52"/>
      <x:c r="T180" t="str">
        <x:v>OK</x:v>
      </x:c>
      <x:c r="U180" t="str">
        <x:f>IF(AND(ISNUMBER(L180),L180&gt;=0,L180&lt;=1),"OK","CHECK")</x:f>
        <x:v>OK</x:v>
      </x:c>
      <x:c r="V180" t="str">
        <x:f>IF(AND(ISNUMBER(N180),N180&gt;=0),"OK","CHECK")</x:f>
        <x:v>OK</x:v>
      </x:c>
      <x:c r="W180" t="str">
        <x:f>IF(AND(T180="OK",U180="OK",V180="OK"),"OK","CHECK")</x:f>
        <x:v>OK</x:v>
      </x:c>
      <x:c r="X180" t="str">
        <x:f>IF(W180="OK","LOAD","QUARANTINE")</x:f>
        <x:v>LOAD</x:v>
      </x:c>
      <x:c r="Y180" t="str">
        <x:v>03_Process_Losses(6).xlsx</x:v>
      </x:c>
      <x:c r="Z180" t="str">
        <x:v>ENH-20260830-01</x:v>
      </x:c>
      <x:c r="AA180" t="str">
        <x:f>IF(X180="LOAD","Active","Quarantine")</x:f>
        <x:v>Active</x:v>
      </x:c>
      <x:c r="AB180"/>
      <x:c r="AC180"/>
      <x:c r="AD180"/>
      <x:c r="AE180"/>
    </x:row>
    <x:row r="181">
      <x:c r="A181" t="str">
        <x:v>PLD-000177</x:v>
      </x:c>
      <x:c r="B181" t="str">
        <x:v>LOSS-KG01-L22-20251021-AM-ORD-2025-00056</x:v>
      </x:c>
      <x:c r="C181" t="str">
        <x:v>PE-KG01-L22-20251021-AM-ORD-2025-00056</x:v>
      </x:c>
      <x:c r="D181" t="str">
        <x:v>KG01</x:v>
      </x:c>
      <x:c r="E181" t="n">
        <x:v>22</x:v>
      </x:c>
      <x:c r="F181" s="52" t="n">
        <x:v>45951</x:v>
      </x:c>
      <x:c r="G181" t="str">
        <x:v>AM</x:v>
      </x:c>
      <x:c r="H181" t="str">
        <x:v>ORD-2025-00056</x:v>
      </x:c>
      <x:c r="I181" t="str">
        <x:v>Normal</x:v>
      </x:c>
      <x:c r="J181" t="str">
        <x:v>PROC_FIXED</x:v>
      </x:c>
      <x:c r="K181" t="str">
        <x:v>Fixed Losses</x:v>
      </x:c>
      <x:c r="L181" s="54" t="n">
        <x:v>0.0056506849315068495</x:v>
      </x:c>
      <x:c r="M181" t="n">
        <x:v>140160</x:v>
      </x:c>
      <x:c r="N181" t="n">
        <x:f>L181*M181</x:f>
        <x:v>792</x:v>
      </x:c>
      <x:c r="O181"/>
      <x:c r="P181"/>
      <x:c r="Q181"/>
      <x:c r="R181"/>
      <x:c r="S181" s="52"/>
      <x:c r="T181" t="str">
        <x:v>OK</x:v>
      </x:c>
      <x:c r="U181" t="str">
        <x:f>IF(AND(ISNUMBER(L181),L181&gt;=0,L181&lt;=1),"OK","CHECK")</x:f>
        <x:v>OK</x:v>
      </x:c>
      <x:c r="V181" t="str">
        <x:f>IF(AND(ISNUMBER(N181),N181&gt;=0),"OK","CHECK")</x:f>
        <x:v>OK</x:v>
      </x:c>
      <x:c r="W181" t="str">
        <x:f>IF(AND(T181="OK",U181="OK",V181="OK"),"OK","CHECK")</x:f>
        <x:v>OK</x:v>
      </x:c>
      <x:c r="X181" t="str">
        <x:f>IF(W181="OK","LOAD","QUARANTINE")</x:f>
        <x:v>LOAD</x:v>
      </x:c>
      <x:c r="Y181" t="str">
        <x:v>03_Process_Losses(6).xlsx</x:v>
      </x:c>
      <x:c r="Z181" t="str">
        <x:v>ENH-20260830-01</x:v>
      </x:c>
      <x:c r="AA181" t="str">
        <x:f>IF(X181="LOAD","Active","Quarantine")</x:f>
        <x:v>Active</x:v>
      </x:c>
      <x:c r="AB181"/>
      <x:c r="AC181"/>
      <x:c r="AD181"/>
      <x:c r="AE181"/>
    </x:row>
    <x:row r="182">
      <x:c r="A182" t="str">
        <x:v>PLD-000178</x:v>
      </x:c>
      <x:c r="B182" t="str">
        <x:v>LOSS-KG01-L22-20251021-AM-ORD-2025-00056</x:v>
      </x:c>
      <x:c r="C182" t="str">
        <x:v>PE-KG01-L22-20251021-AM-ORD-2025-00056</x:v>
      </x:c>
      <x:c r="D182" t="str">
        <x:v>KG01</x:v>
      </x:c>
      <x:c r="E182" t="n">
        <x:v>22</x:v>
      </x:c>
      <x:c r="F182" s="52" t="n">
        <x:v>45951</x:v>
      </x:c>
      <x:c r="G182" t="str">
        <x:v>AM</x:v>
      </x:c>
      <x:c r="H182" t="str">
        <x:v>ORD-2025-00056</x:v>
      </x:c>
      <x:c r="I182" t="str">
        <x:v>Normal</x:v>
      </x:c>
      <x:c r="J182" t="str">
        <x:v>PROC_IS</x:v>
      </x:c>
      <x:c r="K182" t="str">
        <x:v>IS Machine</x:v>
      </x:c>
      <x:c r="L182" s="54" t="n">
        <x:v>0.008433219178082192</x:v>
      </x:c>
      <x:c r="M182" t="n">
        <x:v>140160</x:v>
      </x:c>
      <x:c r="N182" t="n">
        <x:f>L182*M182</x:f>
        <x:v>1182</x:v>
      </x:c>
      <x:c r="O182"/>
      <x:c r="P182"/>
      <x:c r="Q182"/>
      <x:c r="R182"/>
      <x:c r="S182" s="52"/>
      <x:c r="T182" t="str">
        <x:v>OK</x:v>
      </x:c>
      <x:c r="U182" t="str">
        <x:f>IF(AND(ISNUMBER(L182),L182&gt;=0,L182&lt;=1),"OK","CHECK")</x:f>
        <x:v>OK</x:v>
      </x:c>
      <x:c r="V182" t="str">
        <x:f>IF(AND(ISNUMBER(N182),N182&gt;=0),"OK","CHECK")</x:f>
        <x:v>OK</x:v>
      </x:c>
      <x:c r="W182" t="str">
        <x:f>IF(AND(T182="OK",U182="OK",V182="OK"),"OK","CHECK")</x:f>
        <x:v>OK</x:v>
      </x:c>
      <x:c r="X182" t="str">
        <x:f>IF(W182="OK","LOAD","QUARANTINE")</x:f>
        <x:v>LOAD</x:v>
      </x:c>
      <x:c r="Y182" t="str">
        <x:v>03_Process_Losses(6).xlsx</x:v>
      </x:c>
      <x:c r="Z182" t="str">
        <x:v>ENH-20260830-01</x:v>
      </x:c>
      <x:c r="AA182" t="str">
        <x:f>IF(X182="LOAD","Active","Quarantine")</x:f>
        <x:v>Active</x:v>
      </x:c>
      <x:c r="AB182"/>
      <x:c r="AC182"/>
      <x:c r="AD182"/>
      <x:c r="AE182"/>
    </x:row>
    <x:row r="183">
      <x:c r="A183" t="str">
        <x:v>PLD-000179</x:v>
      </x:c>
      <x:c r="B183" t="str">
        <x:v>LOSS-KG01-L22-20251021-AM-ORD-2025-00056</x:v>
      </x:c>
      <x:c r="C183" t="str">
        <x:v>PE-KG01-L22-20251021-AM-ORD-2025-00056</x:v>
      </x:c>
      <x:c r="D183" t="str">
        <x:v>KG01</x:v>
      </x:c>
      <x:c r="E183" t="n">
        <x:v>22</x:v>
      </x:c>
      <x:c r="F183" s="52" t="n">
        <x:v>45951</x:v>
      </x:c>
      <x:c r="G183" t="str">
        <x:v>AM</x:v>
      </x:c>
      <x:c r="H183" t="str">
        <x:v>ORD-2025-00056</x:v>
      </x:c>
      <x:c r="I183" t="str">
        <x:v>Normal</x:v>
      </x:c>
      <x:c r="J183" t="str">
        <x:v>PROC_HE_CONVEYER</x:v>
      </x:c>
      <x:c r="K183" t="str">
        <x:v>Hot End</x:v>
      </x:c>
      <x:c r="L183" s="54" t="n">
        <x:v>0.004095319634703196</x:v>
      </x:c>
      <x:c r="M183" t="n">
        <x:v>140160</x:v>
      </x:c>
      <x:c r="N183" t="n">
        <x:f>L183*M183</x:f>
        <x:v>574</x:v>
      </x:c>
      <x:c r="O183"/>
      <x:c r="P183"/>
      <x:c r="Q183"/>
      <x:c r="R183"/>
      <x:c r="S183" s="52"/>
      <x:c r="T183" t="str">
        <x:v>OK</x:v>
      </x:c>
      <x:c r="U183" t="str">
        <x:f>IF(AND(ISNUMBER(L183),L183&gt;=0,L183&lt;=1),"OK","CHECK")</x:f>
        <x:v>OK</x:v>
      </x:c>
      <x:c r="V183" t="str">
        <x:f>IF(AND(ISNUMBER(N183),N183&gt;=0),"OK","CHECK")</x:f>
        <x:v>OK</x:v>
      </x:c>
      <x:c r="W183" t="str">
        <x:f>IF(AND(T183="OK",U183="OK",V183="OK"),"OK","CHECK")</x:f>
        <x:v>OK</x:v>
      </x:c>
      <x:c r="X183" t="str">
        <x:f>IF(W183="OK","LOAD","QUARANTINE")</x:f>
        <x:v>LOAD</x:v>
      </x:c>
      <x:c r="Y183" t="str">
        <x:v>03_Process_Losses(6).xlsx</x:v>
      </x:c>
      <x:c r="Z183" t="str">
        <x:v>ENH-20260830-01</x:v>
      </x:c>
      <x:c r="AA183" t="str">
        <x:f>IF(X183="LOAD","Active","Quarantine")</x:f>
        <x:v>Active</x:v>
      </x:c>
      <x:c r="AB183"/>
      <x:c r="AC183"/>
      <x:c r="AD183"/>
      <x:c r="AE183"/>
    </x:row>
    <x:row r="184">
      <x:c r="A184" t="str">
        <x:v>PLD-000180</x:v>
      </x:c>
      <x:c r="B184" t="str">
        <x:v>LOSS-KG01-L22-20251021-AM-ORD-2025-00056</x:v>
      </x:c>
      <x:c r="C184" t="str">
        <x:v>PE-KG01-L22-20251021-AM-ORD-2025-00056</x:v>
      </x:c>
      <x:c r="D184" t="str">
        <x:v>KG01</x:v>
      </x:c>
      <x:c r="E184" t="n">
        <x:v>22</x:v>
      </x:c>
      <x:c r="F184" s="52" t="n">
        <x:v>45951</x:v>
      </x:c>
      <x:c r="G184" t="str">
        <x:v>AM</x:v>
      </x:c>
      <x:c r="H184" t="str">
        <x:v>ORD-2025-00056</x:v>
      </x:c>
      <x:c r="I184" t="str">
        <x:v>Normal</x:v>
      </x:c>
      <x:c r="J184" t="str">
        <x:v>PROC_STUCKDOWN</x:v>
      </x:c>
      <x:c r="K184" t="str">
        <x:v>Forming</x:v>
      </x:c>
      <x:c r="L184" s="54" t="n">
        <x:v>0.0023901255707762556</x:v>
      </x:c>
      <x:c r="M184" t="n">
        <x:v>140160</x:v>
      </x:c>
      <x:c r="N184" t="n">
        <x:f>L184*M184</x:f>
        <x:v>335</x:v>
      </x:c>
      <x:c r="O184"/>
      <x:c r="P184"/>
      <x:c r="Q184"/>
      <x:c r="R184"/>
      <x:c r="S184" s="52"/>
      <x:c r="T184" t="str">
        <x:v>OK</x:v>
      </x:c>
      <x:c r="U184" t="str">
        <x:f>IF(AND(ISNUMBER(L184),L184&gt;=0,L184&lt;=1),"OK","CHECK")</x:f>
        <x:v>OK</x:v>
      </x:c>
      <x:c r="V184" t="str">
        <x:f>IF(AND(ISNUMBER(N184),N184&gt;=0),"OK","CHECK")</x:f>
        <x:v>OK</x:v>
      </x:c>
      <x:c r="W184" t="str">
        <x:f>IF(AND(T184="OK",U184="OK",V184="OK"),"OK","CHECK")</x:f>
        <x:v>OK</x:v>
      </x:c>
      <x:c r="X184" t="str">
        <x:f>IF(W184="OK","LOAD","QUARANTINE")</x:f>
        <x:v>LOAD</x:v>
      </x:c>
      <x:c r="Y184" t="str">
        <x:v>03_Process_Losses(6).xlsx</x:v>
      </x:c>
      <x:c r="Z184" t="str">
        <x:v>ENH-20260830-01</x:v>
      </x:c>
      <x:c r="AA184" t="str">
        <x:f>IF(X184="LOAD","Active","Quarantine")</x:f>
        <x:v>Active</x:v>
      </x:c>
      <x:c r="AB184"/>
      <x:c r="AC184"/>
      <x:c r="AD184"/>
      <x:c r="AE184"/>
    </x:row>
    <x:row r="185">
      <x:c r="A185" t="str">
        <x:v>PLD-000181</x:v>
      </x:c>
      <x:c r="B185" t="str">
        <x:v>LOSS-KG01-L22-20251021-AM-ORD-2025-00056</x:v>
      </x:c>
      <x:c r="C185" t="str">
        <x:v>PE-KG01-L22-20251021-AM-ORD-2025-00056</x:v>
      </x:c>
      <x:c r="D185" t="str">
        <x:v>KG01</x:v>
      </x:c>
      <x:c r="E185" t="n">
        <x:v>22</x:v>
      </x:c>
      <x:c r="F185" s="52" t="n">
        <x:v>45951</x:v>
      </x:c>
      <x:c r="G185" t="str">
        <x:v>AM</x:v>
      </x:c>
      <x:c r="H185" t="str">
        <x:v>ORD-2025-00056</x:v>
      </x:c>
      <x:c r="I185" t="str">
        <x:v>Normal</x:v>
      </x:c>
      <x:c r="J185" t="str">
        <x:v>PROC_LEHR</x:v>
      </x:c>
      <x:c r="K185" t="str">
        <x:v>Lehr</x:v>
      </x:c>
      <x:c r="L185" s="54" t="n">
        <x:v>0.0027682648401826486</x:v>
      </x:c>
      <x:c r="M185" t="n">
        <x:v>140160</x:v>
      </x:c>
      <x:c r="N185" t="n">
        <x:f>L185*M185</x:f>
        <x:v>388</x:v>
      </x:c>
      <x:c r="O185"/>
      <x:c r="P185"/>
      <x:c r="Q185"/>
      <x:c r="R185"/>
      <x:c r="S185" s="52"/>
      <x:c r="T185" t="str">
        <x:v>OK</x:v>
      </x:c>
      <x:c r="U185" t="str">
        <x:f>IF(AND(ISNUMBER(L185),L185&gt;=0,L185&lt;=1),"OK","CHECK")</x:f>
        <x:v>OK</x:v>
      </x:c>
      <x:c r="V185" t="str">
        <x:f>IF(AND(ISNUMBER(N185),N185&gt;=0),"OK","CHECK")</x:f>
        <x:v>OK</x:v>
      </x:c>
      <x:c r="W185" t="str">
        <x:f>IF(AND(T185="OK",U185="OK",V185="OK"),"OK","CHECK")</x:f>
        <x:v>OK</x:v>
      </x:c>
      <x:c r="X185" t="str">
        <x:f>IF(W185="OK","LOAD","QUARANTINE")</x:f>
        <x:v>LOAD</x:v>
      </x:c>
      <x:c r="Y185" t="str">
        <x:v>03_Process_Losses(6).xlsx</x:v>
      </x:c>
      <x:c r="Z185" t="str">
        <x:v>ENH-20260830-01</x:v>
      </x:c>
      <x:c r="AA185" t="str">
        <x:f>IF(X185="LOAD","Active","Quarantine")</x:f>
        <x:v>Active</x:v>
      </x:c>
      <x:c r="AB185"/>
      <x:c r="AC185"/>
      <x:c r="AD185"/>
      <x:c r="AE185"/>
    </x:row>
    <x:row r="186">
      <x:c r="A186" t="str">
        <x:v>PLD-000182</x:v>
      </x:c>
      <x:c r="B186" t="str">
        <x:v>LOSS-KG01-L22-20251021-AM-ORD-2025-00056</x:v>
      </x:c>
      <x:c r="C186" t="str">
        <x:v>PE-KG01-L22-20251021-AM-ORD-2025-00056</x:v>
      </x:c>
      <x:c r="D186" t="str">
        <x:v>KG01</x:v>
      </x:c>
      <x:c r="E186" t="n">
        <x:v>22</x:v>
      </x:c>
      <x:c r="F186" s="52" t="n">
        <x:v>45951</x:v>
      </x:c>
      <x:c r="G186" t="str">
        <x:v>AM</x:v>
      </x:c>
      <x:c r="H186" t="str">
        <x:v>ORD-2025-00056</x:v>
      </x:c>
      <x:c r="I186" t="str">
        <x:v>Normal</x:v>
      </x:c>
      <x:c r="J186" t="str">
        <x:v>PROC_EVO16</x:v>
      </x:c>
      <x:c r="K186" t="str">
        <x:v>Inspection</x:v>
      </x:c>
      <x:c r="L186" s="54" t="n">
        <x:v>0.0031035958904109587</x:v>
      </x:c>
      <x:c r="M186" t="n">
        <x:v>140160</x:v>
      </x:c>
      <x:c r="N186" t="n">
        <x:f>L186*M186</x:f>
        <x:v>435</x:v>
      </x:c>
      <x:c r="O186"/>
      <x:c r="P186"/>
      <x:c r="Q186"/>
      <x:c r="R186"/>
      <x:c r="S186" s="52"/>
      <x:c r="T186" t="str">
        <x:v>OK</x:v>
      </x:c>
      <x:c r="U186" t="str">
        <x:f>IF(AND(ISNUMBER(L186),L186&gt;=0,L186&lt;=1),"OK","CHECK")</x:f>
        <x:v>OK</x:v>
      </x:c>
      <x:c r="V186" t="str">
        <x:f>IF(AND(ISNUMBER(N186),N186&gt;=0),"OK","CHECK")</x:f>
        <x:v>OK</x:v>
      </x:c>
      <x:c r="W186" t="str">
        <x:f>IF(AND(T186="OK",U186="OK",V186="OK"),"OK","CHECK")</x:f>
        <x:v>OK</x:v>
      </x:c>
      <x:c r="X186" t="str">
        <x:f>IF(W186="OK","LOAD","QUARANTINE")</x:f>
        <x:v>LOAD</x:v>
      </x:c>
      <x:c r="Y186" t="str">
        <x:v>03_Process_Losses(6).xlsx</x:v>
      </x:c>
      <x:c r="Z186" t="str">
        <x:v>ENH-20260830-01</x:v>
      </x:c>
      <x:c r="AA186" t="str">
        <x:f>IF(X186="LOAD","Active","Quarantine")</x:f>
        <x:v>Active</x:v>
      </x:c>
      <x:c r="AB186"/>
      <x:c r="AC186"/>
      <x:c r="AD186"/>
      <x:c r="AE186"/>
    </x:row>
    <x:row r="187">
      <x:c r="A187" t="str">
        <x:v>PLD-000183</x:v>
      </x:c>
      <x:c r="B187" t="str">
        <x:v>LOSS-KG01-L22-20251021-AM-ORD-2025-00056</x:v>
      </x:c>
      <x:c r="C187" t="str">
        <x:v>PE-KG01-L22-20251021-AM-ORD-2025-00056</x:v>
      </x:c>
      <x:c r="D187" t="str">
        <x:v>KG01</x:v>
      </x:c>
      <x:c r="E187" t="n">
        <x:v>22</x:v>
      </x:c>
      <x:c r="F187" s="52" t="n">
        <x:v>45951</x:v>
      </x:c>
      <x:c r="G187" t="str">
        <x:v>AM</x:v>
      </x:c>
      <x:c r="H187" t="str">
        <x:v>ORD-2025-00056</x:v>
      </x:c>
      <x:c r="I187" t="str">
        <x:v>Normal</x:v>
      </x:c>
      <x:c r="J187" t="str">
        <x:v>PROC_EVO12</x:v>
      </x:c>
      <x:c r="K187" t="str">
        <x:v>Inspection</x:v>
      </x:c>
      <x:c r="L187" s="54" t="n">
        <x:v>0.00430222602739726</x:v>
      </x:c>
      <x:c r="M187" t="n">
        <x:v>140160</x:v>
      </x:c>
      <x:c r="N187" t="n">
        <x:f>L187*M187</x:f>
        <x:v>603</x:v>
      </x:c>
      <x:c r="O187"/>
      <x:c r="P187"/>
      <x:c r="Q187"/>
      <x:c r="R187"/>
      <x:c r="S187" s="52"/>
      <x:c r="T187" t="str">
        <x:v>OK</x:v>
      </x:c>
      <x:c r="U187" t="str">
        <x:f>IF(AND(ISNUMBER(L187),L187&gt;=0,L187&lt;=1),"OK","CHECK")</x:f>
        <x:v>OK</x:v>
      </x:c>
      <x:c r="V187" t="str">
        <x:f>IF(AND(ISNUMBER(N187),N187&gt;=0),"OK","CHECK")</x:f>
        <x:v>OK</x:v>
      </x:c>
      <x:c r="W187" t="str">
        <x:f>IF(AND(T187="OK",U187="OK",V187="OK"),"OK","CHECK")</x:f>
        <x:v>OK</x:v>
      </x:c>
      <x:c r="X187" t="str">
        <x:f>IF(W187="OK","LOAD","QUARANTINE")</x:f>
        <x:v>LOAD</x:v>
      </x:c>
      <x:c r="Y187" t="str">
        <x:v>03_Process_Losses(6).xlsx</x:v>
      </x:c>
      <x:c r="Z187" t="str">
        <x:v>ENH-20260830-01</x:v>
      </x:c>
      <x:c r="AA187" t="str">
        <x:f>IF(X187="LOAD","Active","Quarantine")</x:f>
        <x:v>Active</x:v>
      </x:c>
      <x:c r="AB187"/>
      <x:c r="AC187"/>
      <x:c r="AD187"/>
      <x:c r="AE187"/>
    </x:row>
    <x:row r="188">
      <x:c r="A188" t="str">
        <x:v>PLD-000184</x:v>
      </x:c>
      <x:c r="B188" t="str">
        <x:v>LOSS-KG01-L22-20251021-AM-ORD-2025-00056</x:v>
      </x:c>
      <x:c r="C188" t="str">
        <x:v>PE-KG01-L22-20251021-AM-ORD-2025-00056</x:v>
      </x:c>
      <x:c r="D188" t="str">
        <x:v>KG01</x:v>
      </x:c>
      <x:c r="E188" t="n">
        <x:v>22</x:v>
      </x:c>
      <x:c r="F188" s="52" t="n">
        <x:v>45951</x:v>
      </x:c>
      <x:c r="G188" t="str">
        <x:v>AM</x:v>
      </x:c>
      <x:c r="H188" t="str">
        <x:v>ORD-2025-00056</x:v>
      </x:c>
      <x:c r="I188" t="str">
        <x:v>Normal</x:v>
      </x:c>
      <x:c r="J188" t="str">
        <x:v>PROC_EVO5</x:v>
      </x:c>
      <x:c r="K188" t="str">
        <x:v>Inspection</x:v>
      </x:c>
      <x:c r="L188" s="54" t="n">
        <x:v>0.00018550228310502284</x:v>
      </x:c>
      <x:c r="M188" t="n">
        <x:v>140160</x:v>
      </x:c>
      <x:c r="N188" t="n">
        <x:f>L188*M188</x:f>
        <x:v>26</x:v>
      </x:c>
      <x:c r="O188"/>
      <x:c r="P188"/>
      <x:c r="Q188"/>
      <x:c r="R188"/>
      <x:c r="S188" s="52"/>
      <x:c r="T188" t="str">
        <x:v>OK</x:v>
      </x:c>
      <x:c r="U188" t="str">
        <x:f>IF(AND(ISNUMBER(L188),L188&gt;=0,L188&lt;=1),"OK","CHECK")</x:f>
        <x:v>OK</x:v>
      </x:c>
      <x:c r="V188" t="str">
        <x:f>IF(AND(ISNUMBER(N188),N188&gt;=0),"OK","CHECK")</x:f>
        <x:v>OK</x:v>
      </x:c>
      <x:c r="W188" t="str">
        <x:f>IF(AND(T188="OK",U188="OK",V188="OK"),"OK","CHECK")</x:f>
        <x:v>OK</x:v>
      </x:c>
      <x:c r="X188" t="str">
        <x:f>IF(W188="OK","LOAD","QUARANTINE")</x:f>
        <x:v>LOAD</x:v>
      </x:c>
      <x:c r="Y188" t="str">
        <x:v>03_Process_Losses(6).xlsx</x:v>
      </x:c>
      <x:c r="Z188" t="str">
        <x:v>ENH-20260830-01</x:v>
      </x:c>
      <x:c r="AA188" t="str">
        <x:f>IF(X188="LOAD","Active","Quarantine")</x:f>
        <x:v>Active</x:v>
      </x:c>
      <x:c r="AB188"/>
      <x:c r="AC188"/>
      <x:c r="AD188"/>
      <x:c r="AE188"/>
    </x:row>
    <x:row r="189">
      <x:c r="A189" t="str">
        <x:v>PLD-000185</x:v>
      </x:c>
      <x:c r="B189" t="str">
        <x:v>LOSS-KG01-L22-20251021-AM-ORD-2025-00056</x:v>
      </x:c>
      <x:c r="C189" t="str">
        <x:v>PE-KG01-L22-20251021-AM-ORD-2025-00056</x:v>
      </x:c>
      <x:c r="D189" t="str">
        <x:v>KG01</x:v>
      </x:c>
      <x:c r="E189" t="n">
        <x:v>22</x:v>
      </x:c>
      <x:c r="F189" s="52" t="n">
        <x:v>45951</x:v>
      </x:c>
      <x:c r="G189" t="str">
        <x:v>AM</x:v>
      </x:c>
      <x:c r="H189" t="str">
        <x:v>ORD-2025-00056</x:v>
      </x:c>
      <x:c r="I189" t="str">
        <x:v>Normal</x:v>
      </x:c>
      <x:c r="J189" t="str">
        <x:v>PROC_SANLI</x:v>
      </x:c>
      <x:c r="K189" t="str">
        <x:v>Inspection</x:v>
      </x:c>
      <x:c r="L189" s="54" t="n">
        <x:v>0.0026184360730593607</x:v>
      </x:c>
      <x:c r="M189" t="n">
        <x:v>140160</x:v>
      </x:c>
      <x:c r="N189" t="n">
        <x:f>L189*M189</x:f>
        <x:v>367</x:v>
      </x:c>
      <x:c r="O189"/>
      <x:c r="P189"/>
      <x:c r="Q189"/>
      <x:c r="R189"/>
      <x:c r="S189" s="52"/>
      <x:c r="T189" t="str">
        <x:v>OK</x:v>
      </x:c>
      <x:c r="U189" t="str">
        <x:f>IF(AND(ISNUMBER(L189),L189&gt;=0,L189&lt;=1),"OK","CHECK")</x:f>
        <x:v>OK</x:v>
      </x:c>
      <x:c r="V189" t="str">
        <x:f>IF(AND(ISNUMBER(N189),N189&gt;=0),"OK","CHECK")</x:f>
        <x:v>OK</x:v>
      </x:c>
      <x:c r="W189" t="str">
        <x:f>IF(AND(T189="OK",U189="OK",V189="OK"),"OK","CHECK")</x:f>
        <x:v>OK</x:v>
      </x:c>
      <x:c r="X189" t="str">
        <x:f>IF(W189="OK","LOAD","QUARANTINE")</x:f>
        <x:v>LOAD</x:v>
      </x:c>
      <x:c r="Y189" t="str">
        <x:v>03_Process_Losses(6).xlsx</x:v>
      </x:c>
      <x:c r="Z189" t="str">
        <x:v>ENH-20260830-01</x:v>
      </x:c>
      <x:c r="AA189" t="str">
        <x:f>IF(X189="LOAD","Active","Quarantine")</x:f>
        <x:v>Active</x:v>
      </x:c>
      <x:c r="AB189"/>
      <x:c r="AC189"/>
      <x:c r="AD189"/>
      <x:c r="AE189"/>
    </x:row>
    <x:row r="190">
      <x:c r="A190" t="str">
        <x:v>PLD-000186</x:v>
      </x:c>
      <x:c r="B190" t="str">
        <x:v>LOSS-KG01-L22-20251021-AM-ORD-2025-00056</x:v>
      </x:c>
      <x:c r="C190" t="str">
        <x:v>PE-KG01-L22-20251021-AM-ORD-2025-00056</x:v>
      </x:c>
      <x:c r="D190" t="str">
        <x:v>KG01</x:v>
      </x:c>
      <x:c r="E190" t="n">
        <x:v>22</x:v>
      </x:c>
      <x:c r="F190" s="52" t="n">
        <x:v>45951</x:v>
      </x:c>
      <x:c r="G190" t="str">
        <x:v>AM</x:v>
      </x:c>
      <x:c r="H190" t="str">
        <x:v>ORD-2025-00056</x:v>
      </x:c>
      <x:c r="I190" t="str">
        <x:v>Normal</x:v>
      </x:c>
      <x:c r="J190" t="str">
        <x:v>PROC_VISUAL</x:v>
      </x:c>
      <x:c r="K190" t="str">
        <x:v>Inspection</x:v>
      </x:c>
      <x:c r="L190" s="54" t="n">
        <x:v>0.003132134703196347</x:v>
      </x:c>
      <x:c r="M190" t="n">
        <x:v>140160</x:v>
      </x:c>
      <x:c r="N190" t="n">
        <x:f>L190*M190</x:f>
        <x:v>439</x:v>
      </x:c>
      <x:c r="O190"/>
      <x:c r="P190"/>
      <x:c r="Q190"/>
      <x:c r="R190"/>
      <x:c r="S190" s="52"/>
      <x:c r="T190" t="str">
        <x:v>OK</x:v>
      </x:c>
      <x:c r="U190" t="str">
        <x:f>IF(AND(ISNUMBER(L190),L190&gt;=0,L190&lt;=1),"OK","CHECK")</x:f>
        <x:v>OK</x:v>
      </x:c>
      <x:c r="V190" t="str">
        <x:f>IF(AND(ISNUMBER(N190),N190&gt;=0),"OK","CHECK")</x:f>
        <x:v>OK</x:v>
      </x:c>
      <x:c r="W190" t="str">
        <x:f>IF(AND(T190="OK",U190="OK",V190="OK"),"OK","CHECK")</x:f>
        <x:v>OK</x:v>
      </x:c>
      <x:c r="X190" t="str">
        <x:f>IF(W190="OK","LOAD","QUARANTINE")</x:f>
        <x:v>LOAD</x:v>
      </x:c>
      <x:c r="Y190" t="str">
        <x:v>03_Process_Losses(6).xlsx</x:v>
      </x:c>
      <x:c r="Z190" t="str">
        <x:v>ENH-20260830-01</x:v>
      </x:c>
      <x:c r="AA190" t="str">
        <x:f>IF(X190="LOAD","Active","Quarantine")</x:f>
        <x:v>Active</x:v>
      </x:c>
      <x:c r="AB190"/>
      <x:c r="AC190"/>
      <x:c r="AD190"/>
      <x:c r="AE190"/>
    </x:row>
    <x:row r="191">
      <x:c r="A191" t="str">
        <x:v>PLD-000187</x:v>
      </x:c>
      <x:c r="B191" t="str">
        <x:v>LOSS-KG01-L22-20251021-AM-ORD-2025-00056</x:v>
      </x:c>
      <x:c r="C191" t="str">
        <x:v>PE-KG01-L22-20251021-AM-ORD-2025-00056</x:v>
      </x:c>
      <x:c r="D191" t="str">
        <x:v>KG01</x:v>
      </x:c>
      <x:c r="E191" t="n">
        <x:v>22</x:v>
      </x:c>
      <x:c r="F191" s="52" t="n">
        <x:v>45951</x:v>
      </x:c>
      <x:c r="G191" t="str">
        <x:v>AM</x:v>
      </x:c>
      <x:c r="H191" t="str">
        <x:v>ORD-2025-00056</x:v>
      </x:c>
      <x:c r="I191" t="str">
        <x:v>Normal</x:v>
      </x:c>
      <x:c r="J191" t="str">
        <x:v>PROC_PALLETIZER</x:v>
      </x:c>
      <x:c r="K191" t="str">
        <x:v>Palletizer</x:v>
      </x:c>
      <x:c r="L191" s="54" t="n">
        <x:v>0.002925228310502283</x:v>
      </x:c>
      <x:c r="M191" t="n">
        <x:v>140160</x:v>
      </x:c>
      <x:c r="N191" t="n">
        <x:f>L191*M191</x:f>
        <x:v>410</x:v>
      </x:c>
      <x:c r="O191"/>
      <x:c r="P191"/>
      <x:c r="Q191"/>
      <x:c r="R191"/>
      <x:c r="S191" s="52"/>
      <x:c r="T191" t="str">
        <x:v>OK</x:v>
      </x:c>
      <x:c r="U191" t="str">
        <x:f>IF(AND(ISNUMBER(L191),L191&gt;=0,L191&lt;=1),"OK","CHECK")</x:f>
        <x:v>OK</x:v>
      </x:c>
      <x:c r="V191" t="str">
        <x:f>IF(AND(ISNUMBER(N191),N191&gt;=0),"OK","CHECK")</x:f>
        <x:v>OK</x:v>
      </x:c>
      <x:c r="W191" t="str">
        <x:f>IF(AND(T191="OK",U191="OK",V191="OK"),"OK","CHECK")</x:f>
        <x:v>OK</x:v>
      </x:c>
      <x:c r="X191" t="str">
        <x:f>IF(W191="OK","LOAD","QUARANTINE")</x:f>
        <x:v>LOAD</x:v>
      </x:c>
      <x:c r="Y191" t="str">
        <x:v>03_Process_Losses(6).xlsx</x:v>
      </x:c>
      <x:c r="Z191" t="str">
        <x:v>ENH-20260830-01</x:v>
      </x:c>
      <x:c r="AA191" t="str">
        <x:f>IF(X191="LOAD","Active","Quarantine")</x:f>
        <x:v>Active</x:v>
      </x:c>
      <x:c r="AB191"/>
      <x:c r="AC191"/>
      <x:c r="AD191"/>
      <x:c r="AE191"/>
    </x:row>
    <x:row r="192">
      <x:c r="A192" t="str">
        <x:v>PLD-000188</x:v>
      </x:c>
      <x:c r="B192" t="str">
        <x:v>LOSS-KG01-L22-20251021-PM-ORD-2025-00056</x:v>
      </x:c>
      <x:c r="C192" t="str">
        <x:v>PE-KG01-L22-20251021-PM-ORD-2025-00056</x:v>
      </x:c>
      <x:c r="D192" t="str">
        <x:v>KG01</x:v>
      </x:c>
      <x:c r="E192" t="n">
        <x:v>22</x:v>
      </x:c>
      <x:c r="F192" s="52" t="n">
        <x:v>45951</x:v>
      </x:c>
      <x:c r="G192" t="str">
        <x:v>PM</x:v>
      </x:c>
      <x:c r="H192" t="str">
        <x:v>ORD-2025-00056</x:v>
      </x:c>
      <x:c r="I192" t="str">
        <x:v>Normal</x:v>
      </x:c>
      <x:c r="J192" t="str">
        <x:v>PROC_FIXED</x:v>
      </x:c>
      <x:c r="K192" t="str">
        <x:v>Fixed Losses</x:v>
      </x:c>
      <x:c r="L192" s="54" t="n">
        <x:v>0.003039469893402478</x:v>
      </x:c>
      <x:c r="M192" t="n">
        <x:v>138840</x:v>
      </x:c>
      <x:c r="N192" t="n">
        <x:f>L192*M192</x:f>
        <x:v>422</x:v>
      </x:c>
      <x:c r="O192"/>
      <x:c r="P192"/>
      <x:c r="Q192"/>
      <x:c r="R192"/>
      <x:c r="S192" s="52"/>
      <x:c r="T192" t="str">
        <x:v>OK</x:v>
      </x:c>
      <x:c r="U192" t="str">
        <x:f>IF(AND(ISNUMBER(L192),L192&gt;=0,L192&lt;=1),"OK","CHECK")</x:f>
        <x:v>OK</x:v>
      </x:c>
      <x:c r="V192" t="str">
        <x:f>IF(AND(ISNUMBER(N192),N192&gt;=0),"OK","CHECK")</x:f>
        <x:v>OK</x:v>
      </x:c>
      <x:c r="W192" t="str">
        <x:f>IF(AND(T192="OK",U192="OK",V192="OK"),"OK","CHECK")</x:f>
        <x:v>OK</x:v>
      </x:c>
      <x:c r="X192" t="str">
        <x:f>IF(W192="OK","LOAD","QUARANTINE")</x:f>
        <x:v>LOAD</x:v>
      </x:c>
      <x:c r="Y192" t="str">
        <x:v>03_Process_Losses(6).xlsx</x:v>
      </x:c>
      <x:c r="Z192" t="str">
        <x:v>ENH-20260830-01</x:v>
      </x:c>
      <x:c r="AA192" t="str">
        <x:f>IF(X192="LOAD","Active","Quarantine")</x:f>
        <x:v>Active</x:v>
      </x:c>
      <x:c r="AB192"/>
      <x:c r="AC192"/>
      <x:c r="AD192"/>
      <x:c r="AE192"/>
    </x:row>
    <x:row r="193">
      <x:c r="A193" t="str">
        <x:v>PLD-000189</x:v>
      </x:c>
      <x:c r="B193" t="str">
        <x:v>LOSS-KG01-L22-20251021-PM-ORD-2025-00056</x:v>
      </x:c>
      <x:c r="C193" t="str">
        <x:v>PE-KG01-L22-20251021-PM-ORD-2025-00056</x:v>
      </x:c>
      <x:c r="D193" t="str">
        <x:v>KG01</x:v>
      </x:c>
      <x:c r="E193" t="n">
        <x:v>22</x:v>
      </x:c>
      <x:c r="F193" s="52" t="n">
        <x:v>45951</x:v>
      </x:c>
      <x:c r="G193" t="str">
        <x:v>PM</x:v>
      </x:c>
      <x:c r="H193" t="str">
        <x:v>ORD-2025-00056</x:v>
      </x:c>
      <x:c r="I193" t="str">
        <x:v>Normal</x:v>
      </x:c>
      <x:c r="J193" t="str">
        <x:v>PROC_IS</x:v>
      </x:c>
      <x:c r="K193" t="str">
        <x:v>IS Machine</x:v>
      </x:c>
      <x:c r="L193" s="54" t="n">
        <x:v>0.012676462114664363</x:v>
      </x:c>
      <x:c r="M193" t="n">
        <x:v>138840</x:v>
      </x:c>
      <x:c r="N193" t="n">
        <x:f>L193*M193</x:f>
        <x:v>1760</x:v>
      </x:c>
      <x:c r="O193"/>
      <x:c r="P193"/>
      <x:c r="Q193"/>
      <x:c r="R193"/>
      <x:c r="S193" s="52"/>
      <x:c r="T193" t="str">
        <x:v>OK</x:v>
      </x:c>
      <x:c r="U193" t="str">
        <x:f>IF(AND(ISNUMBER(L193),L193&gt;=0,L193&lt;=1),"OK","CHECK")</x:f>
        <x:v>OK</x:v>
      </x:c>
      <x:c r="V193" t="str">
        <x:f>IF(AND(ISNUMBER(N193),N193&gt;=0),"OK","CHECK")</x:f>
        <x:v>OK</x:v>
      </x:c>
      <x:c r="W193" t="str">
        <x:f>IF(AND(T193="OK",U193="OK",V193="OK"),"OK","CHECK")</x:f>
        <x:v>OK</x:v>
      </x:c>
      <x:c r="X193" t="str">
        <x:f>IF(W193="OK","LOAD","QUARANTINE")</x:f>
        <x:v>LOAD</x:v>
      </x:c>
      <x:c r="Y193" t="str">
        <x:v>03_Process_Losses(6).xlsx</x:v>
      </x:c>
      <x:c r="Z193" t="str">
        <x:v>ENH-20260830-01</x:v>
      </x:c>
      <x:c r="AA193" t="str">
        <x:f>IF(X193="LOAD","Active","Quarantine")</x:f>
        <x:v>Active</x:v>
      </x:c>
      <x:c r="AB193"/>
      <x:c r="AC193"/>
      <x:c r="AD193"/>
      <x:c r="AE193"/>
    </x:row>
    <x:row r="194">
      <x:c r="A194" t="str">
        <x:v>PLD-000190</x:v>
      </x:c>
      <x:c r="B194" t="str">
        <x:v>LOSS-KG01-L22-20251021-PM-ORD-2025-00056</x:v>
      </x:c>
      <x:c r="C194" t="str">
        <x:v>PE-KG01-L22-20251021-PM-ORD-2025-00056</x:v>
      </x:c>
      <x:c r="D194" t="str">
        <x:v>KG01</x:v>
      </x:c>
      <x:c r="E194" t="n">
        <x:v>22</x:v>
      </x:c>
      <x:c r="F194" s="52" t="n">
        <x:v>45951</x:v>
      </x:c>
      <x:c r="G194" t="str">
        <x:v>PM</x:v>
      </x:c>
      <x:c r="H194" t="str">
        <x:v>ORD-2025-00056</x:v>
      </x:c>
      <x:c r="I194" t="str">
        <x:v>Normal</x:v>
      </x:c>
      <x:c r="J194" t="str">
        <x:v>PROC_HE_CONVEYER</x:v>
      </x:c>
      <x:c r="K194" t="str">
        <x:v>Hot End</x:v>
      </x:c>
      <x:c r="L194" s="54" t="n">
        <x:v>0.008131662345145492</x:v>
      </x:c>
      <x:c r="M194" t="n">
        <x:v>138840</x:v>
      </x:c>
      <x:c r="N194" t="n">
        <x:f>L194*M194</x:f>
        <x:v>1129</x:v>
      </x:c>
      <x:c r="O194"/>
      <x:c r="P194"/>
      <x:c r="Q194"/>
      <x:c r="R194"/>
      <x:c r="S194" s="52"/>
      <x:c r="T194" t="str">
        <x:v>OK</x:v>
      </x:c>
      <x:c r="U194" t="str">
        <x:f>IF(AND(ISNUMBER(L194),L194&gt;=0,L194&lt;=1),"OK","CHECK")</x:f>
        <x:v>OK</x:v>
      </x:c>
      <x:c r="V194" t="str">
        <x:f>IF(AND(ISNUMBER(N194),N194&gt;=0),"OK","CHECK")</x:f>
        <x:v>OK</x:v>
      </x:c>
      <x:c r="W194" t="str">
        <x:f>IF(AND(T194="OK",U194="OK",V194="OK"),"OK","CHECK")</x:f>
        <x:v>OK</x:v>
      </x:c>
      <x:c r="X194" t="str">
        <x:f>IF(W194="OK","LOAD","QUARANTINE")</x:f>
        <x:v>LOAD</x:v>
      </x:c>
      <x:c r="Y194" t="str">
        <x:v>03_Process_Losses(6).xlsx</x:v>
      </x:c>
      <x:c r="Z194" t="str">
        <x:v>ENH-20260830-01</x:v>
      </x:c>
      <x:c r="AA194" t="str">
        <x:f>IF(X194="LOAD","Active","Quarantine")</x:f>
        <x:v>Active</x:v>
      </x:c>
      <x:c r="AB194"/>
      <x:c r="AC194"/>
      <x:c r="AD194"/>
      <x:c r="AE194"/>
    </x:row>
    <x:row r="195">
      <x:c r="A195" t="str">
        <x:v>PLD-000191</x:v>
      </x:c>
      <x:c r="B195" t="str">
        <x:v>LOSS-KG01-L22-20251021-PM-ORD-2025-00056</x:v>
      </x:c>
      <x:c r="C195" t="str">
        <x:v>PE-KG01-L22-20251021-PM-ORD-2025-00056</x:v>
      </x:c>
      <x:c r="D195" t="str">
        <x:v>KG01</x:v>
      </x:c>
      <x:c r="E195" t="n">
        <x:v>22</x:v>
      </x:c>
      <x:c r="F195" s="52" t="n">
        <x:v>45951</x:v>
      </x:c>
      <x:c r="G195" t="str">
        <x:v>PM</x:v>
      </x:c>
      <x:c r="H195" t="str">
        <x:v>ORD-2025-00056</x:v>
      </x:c>
      <x:c r="I195" t="str">
        <x:v>Normal</x:v>
      </x:c>
      <x:c r="J195" t="str">
        <x:v>PROC_STUCKDOWN</x:v>
      </x:c>
      <x:c r="K195" t="str">
        <x:v>Forming</x:v>
      </x:c>
      <x:c r="L195" s="54" t="n">
        <x:v>0.0013036588879285509</x:v>
      </x:c>
      <x:c r="M195" t="n">
        <x:v>138840</x:v>
      </x:c>
      <x:c r="N195" t="n">
        <x:f>L195*M195</x:f>
        <x:v>181</x:v>
      </x:c>
      <x:c r="O195"/>
      <x:c r="P195"/>
      <x:c r="Q195"/>
      <x:c r="R195"/>
      <x:c r="S195" s="52"/>
      <x:c r="T195" t="str">
        <x:v>OK</x:v>
      </x:c>
      <x:c r="U195" t="str">
        <x:f>IF(AND(ISNUMBER(L195),L195&gt;=0,L195&lt;=1),"OK","CHECK")</x:f>
        <x:v>OK</x:v>
      </x:c>
      <x:c r="V195" t="str">
        <x:f>IF(AND(ISNUMBER(N195),N195&gt;=0),"OK","CHECK")</x:f>
        <x:v>OK</x:v>
      </x:c>
      <x:c r="W195" t="str">
        <x:f>IF(AND(T195="OK",U195="OK",V195="OK"),"OK","CHECK")</x:f>
        <x:v>OK</x:v>
      </x:c>
      <x:c r="X195" t="str">
        <x:f>IF(W195="OK","LOAD","QUARANTINE")</x:f>
        <x:v>LOAD</x:v>
      </x:c>
      <x:c r="Y195" t="str">
        <x:v>03_Process_Losses(6).xlsx</x:v>
      </x:c>
      <x:c r="Z195" t="str">
        <x:v>ENH-20260830-01</x:v>
      </x:c>
      <x:c r="AA195" t="str">
        <x:f>IF(X195="LOAD","Active","Quarantine")</x:f>
        <x:v>Active</x:v>
      </x:c>
      <x:c r="AB195"/>
      <x:c r="AC195"/>
      <x:c r="AD195"/>
      <x:c r="AE195"/>
    </x:row>
    <x:row r="196">
      <x:c r="A196" t="str">
        <x:v>PLD-000192</x:v>
      </x:c>
      <x:c r="B196" t="str">
        <x:v>LOSS-KG01-L22-20251021-PM-ORD-2025-00056</x:v>
      </x:c>
      <x:c r="C196" t="str">
        <x:v>PE-KG01-L22-20251021-PM-ORD-2025-00056</x:v>
      </x:c>
      <x:c r="D196" t="str">
        <x:v>KG01</x:v>
      </x:c>
      <x:c r="E196" t="n">
        <x:v>22</x:v>
      </x:c>
      <x:c r="F196" s="52" t="n">
        <x:v>45951</x:v>
      </x:c>
      <x:c r="G196" t="str">
        <x:v>PM</x:v>
      </x:c>
      <x:c r="H196" t="str">
        <x:v>ORD-2025-00056</x:v>
      </x:c>
      <x:c r="I196" t="str">
        <x:v>Normal</x:v>
      </x:c>
      <x:c r="J196" t="str">
        <x:v>PROC_LEHR</x:v>
      </x:c>
      <x:c r="K196" t="str">
        <x:v>Lehr</x:v>
      </x:c>
      <x:c r="L196" s="54" t="n">
        <x:v>0.002362431575914722</x:v>
      </x:c>
      <x:c r="M196" t="n">
        <x:v>138840</x:v>
      </x:c>
      <x:c r="N196" t="n">
        <x:f>L196*M196</x:f>
        <x:v>328</x:v>
      </x:c>
      <x:c r="O196"/>
      <x:c r="P196"/>
      <x:c r="Q196"/>
      <x:c r="R196"/>
      <x:c r="S196" s="52"/>
      <x:c r="T196" t="str">
        <x:v>OK</x:v>
      </x:c>
      <x:c r="U196" t="str">
        <x:f>IF(AND(ISNUMBER(L196),L196&gt;=0,L196&lt;=1),"OK","CHECK")</x:f>
        <x:v>OK</x:v>
      </x:c>
      <x:c r="V196" t="str">
        <x:f>IF(AND(ISNUMBER(N196),N196&gt;=0),"OK","CHECK")</x:f>
        <x:v>OK</x:v>
      </x:c>
      <x:c r="W196" t="str">
        <x:f>IF(AND(T196="OK",U196="OK",V196="OK"),"OK","CHECK")</x:f>
        <x:v>OK</x:v>
      </x:c>
      <x:c r="X196" t="str">
        <x:f>IF(W196="OK","LOAD","QUARANTINE")</x:f>
        <x:v>LOAD</x:v>
      </x:c>
      <x:c r="Y196" t="str">
        <x:v>03_Process_Losses(6).xlsx</x:v>
      </x:c>
      <x:c r="Z196" t="str">
        <x:v>ENH-20260830-01</x:v>
      </x:c>
      <x:c r="AA196" t="str">
        <x:f>IF(X196="LOAD","Active","Quarantine")</x:f>
        <x:v>Active</x:v>
      </x:c>
      <x:c r="AB196"/>
      <x:c r="AC196"/>
      <x:c r="AD196"/>
      <x:c r="AE196"/>
    </x:row>
    <x:row r="197">
      <x:c r="A197" t="str">
        <x:v>PLD-000193</x:v>
      </x:c>
      <x:c r="B197" t="str">
        <x:v>LOSS-KG01-L22-20251021-PM-ORD-2025-00056</x:v>
      </x:c>
      <x:c r="C197" t="str">
        <x:v>PE-KG01-L22-20251021-PM-ORD-2025-00056</x:v>
      </x:c>
      <x:c r="D197" t="str">
        <x:v>KG01</x:v>
      </x:c>
      <x:c r="E197" t="n">
        <x:v>22</x:v>
      </x:c>
      <x:c r="F197" s="52" t="n">
        <x:v>45951</x:v>
      </x:c>
      <x:c r="G197" t="str">
        <x:v>PM</x:v>
      </x:c>
      <x:c r="H197" t="str">
        <x:v>ORD-2025-00056</x:v>
      </x:c>
      <x:c r="I197" t="str">
        <x:v>Normal</x:v>
      </x:c>
      <x:c r="J197" t="str">
        <x:v>PROC_EVO16</x:v>
      </x:c>
      <x:c r="K197" t="str">
        <x:v>Inspection</x:v>
      </x:c>
      <x:c r="L197" s="54" t="n">
        <x:v>0.0013468740996830885</x:v>
      </x:c>
      <x:c r="M197" t="n">
        <x:v>138840</x:v>
      </x:c>
      <x:c r="N197" t="n">
        <x:f>L197*M197</x:f>
        <x:v>187</x:v>
      </x:c>
      <x:c r="O197"/>
      <x:c r="P197"/>
      <x:c r="Q197"/>
      <x:c r="R197"/>
      <x:c r="S197" s="52"/>
      <x:c r="T197" t="str">
        <x:v>OK</x:v>
      </x:c>
      <x:c r="U197" t="str">
        <x:f>IF(AND(ISNUMBER(L197),L197&gt;=0,L197&lt;=1),"OK","CHECK")</x:f>
        <x:v>OK</x:v>
      </x:c>
      <x:c r="V197" t="str">
        <x:f>IF(AND(ISNUMBER(N197),N197&gt;=0),"OK","CHECK")</x:f>
        <x:v>OK</x:v>
      </x:c>
      <x:c r="W197" t="str">
        <x:f>IF(AND(T197="OK",U197="OK",V197="OK"),"OK","CHECK")</x:f>
        <x:v>OK</x:v>
      </x:c>
      <x:c r="X197" t="str">
        <x:f>IF(W197="OK","LOAD","QUARANTINE")</x:f>
        <x:v>LOAD</x:v>
      </x:c>
      <x:c r="Y197" t="str">
        <x:v>03_Process_Losses(6).xlsx</x:v>
      </x:c>
      <x:c r="Z197" t="str">
        <x:v>ENH-20260830-01</x:v>
      </x:c>
      <x:c r="AA197" t="str">
        <x:f>IF(X197="LOAD","Active","Quarantine")</x:f>
        <x:v>Active</x:v>
      </x:c>
      <x:c r="AB197"/>
      <x:c r="AC197"/>
      <x:c r="AD197"/>
      <x:c r="AE197"/>
    </x:row>
    <x:row r="198">
      <x:c r="A198" t="str">
        <x:v>PLD-000194</x:v>
      </x:c>
      <x:c r="B198" t="str">
        <x:v>LOSS-KG01-L22-20251021-PM-ORD-2025-00056</x:v>
      </x:c>
      <x:c r="C198" t="str">
        <x:v>PE-KG01-L22-20251021-PM-ORD-2025-00056</x:v>
      </x:c>
      <x:c r="D198" t="str">
        <x:v>KG01</x:v>
      </x:c>
      <x:c r="E198" t="n">
        <x:v>22</x:v>
      </x:c>
      <x:c r="F198" s="52" t="n">
        <x:v>45951</x:v>
      </x:c>
      <x:c r="G198" t="str">
        <x:v>PM</x:v>
      </x:c>
      <x:c r="H198" t="str">
        <x:v>ORD-2025-00056</x:v>
      </x:c>
      <x:c r="I198" t="str">
        <x:v>Normal</x:v>
      </x:c>
      <x:c r="J198" t="str">
        <x:v>PROC_EVO12</x:v>
      </x:c>
      <x:c r="K198" t="str">
        <x:v>Inspection</x:v>
      </x:c>
      <x:c r="L198" s="54" t="n">
        <x:v>0.002002304811293575</x:v>
      </x:c>
      <x:c r="M198" t="n">
        <x:v>138840</x:v>
      </x:c>
      <x:c r="N198" t="n">
        <x:f>L198*M198</x:f>
        <x:v>278</x:v>
      </x:c>
      <x:c r="O198"/>
      <x:c r="P198"/>
      <x:c r="Q198"/>
      <x:c r="R198"/>
      <x:c r="S198" s="52"/>
      <x:c r="T198" t="str">
        <x:v>OK</x:v>
      </x:c>
      <x:c r="U198" t="str">
        <x:f>IF(AND(ISNUMBER(L198),L198&gt;=0,L198&lt;=1),"OK","CHECK")</x:f>
        <x:v>OK</x:v>
      </x:c>
      <x:c r="V198" t="str">
        <x:f>IF(AND(ISNUMBER(N198),N198&gt;=0),"OK","CHECK")</x:f>
        <x:v>OK</x:v>
      </x:c>
      <x:c r="W198" t="str">
        <x:f>IF(AND(T198="OK",U198="OK",V198="OK"),"OK","CHECK")</x:f>
        <x:v>OK</x:v>
      </x:c>
      <x:c r="X198" t="str">
        <x:f>IF(W198="OK","LOAD","QUARANTINE")</x:f>
        <x:v>LOAD</x:v>
      </x:c>
      <x:c r="Y198" t="str">
        <x:v>03_Process_Losses(6).xlsx</x:v>
      </x:c>
      <x:c r="Z198" t="str">
        <x:v>ENH-20260830-01</x:v>
      </x:c>
      <x:c r="AA198" t="str">
        <x:f>IF(X198="LOAD","Active","Quarantine")</x:f>
        <x:v>Active</x:v>
      </x:c>
      <x:c r="AB198"/>
      <x:c r="AC198"/>
      <x:c r="AD198"/>
      <x:c r="AE198"/>
    </x:row>
    <x:row r="199">
      <x:c r="A199" t="str">
        <x:v>PLD-000195</x:v>
      </x:c>
      <x:c r="B199" t="str">
        <x:v>LOSS-KG01-L22-20251021-PM-ORD-2025-00056</x:v>
      </x:c>
      <x:c r="C199" t="str">
        <x:v>PE-KG01-L22-20251021-PM-ORD-2025-00056</x:v>
      </x:c>
      <x:c r="D199" t="str">
        <x:v>KG01</x:v>
      </x:c>
      <x:c r="E199" t="n">
        <x:v>22</x:v>
      </x:c>
      <x:c r="F199" s="52" t="n">
        <x:v>45951</x:v>
      </x:c>
      <x:c r="G199" t="str">
        <x:v>PM</x:v>
      </x:c>
      <x:c r="H199" t="str">
        <x:v>ORD-2025-00056</x:v>
      </x:c>
      <x:c r="I199" t="str">
        <x:v>Normal</x:v>
      </x:c>
      <x:c r="J199" t="str">
        <x:v>PROC_EVO5</x:v>
      </x:c>
      <x:c r="K199" t="str">
        <x:v>Inspection</x:v>
      </x:c>
      <x:c r="L199" s="54" t="n">
        <x:v>0.0023264188994526072</x:v>
      </x:c>
      <x:c r="M199" t="n">
        <x:v>138840</x:v>
      </x:c>
      <x:c r="N199" t="n">
        <x:f>L199*M199</x:f>
        <x:v>323</x:v>
      </x:c>
      <x:c r="O199"/>
      <x:c r="P199"/>
      <x:c r="Q199"/>
      <x:c r="R199"/>
      <x:c r="S199" s="52"/>
      <x:c r="T199" t="str">
        <x:v>OK</x:v>
      </x:c>
      <x:c r="U199" t="str">
        <x:f>IF(AND(ISNUMBER(L199),L199&gt;=0,L199&lt;=1),"OK","CHECK")</x:f>
        <x:v>OK</x:v>
      </x:c>
      <x:c r="V199" t="str">
        <x:f>IF(AND(ISNUMBER(N199),N199&gt;=0),"OK","CHECK")</x:f>
        <x:v>OK</x:v>
      </x:c>
      <x:c r="W199" t="str">
        <x:f>IF(AND(T199="OK",U199="OK",V199="OK"),"OK","CHECK")</x:f>
        <x:v>OK</x:v>
      </x:c>
      <x:c r="X199" t="str">
        <x:f>IF(W199="OK","LOAD","QUARANTINE")</x:f>
        <x:v>LOAD</x:v>
      </x:c>
      <x:c r="Y199" t="str">
        <x:v>03_Process_Losses(6).xlsx</x:v>
      </x:c>
      <x:c r="Z199" t="str">
        <x:v>ENH-20260830-01</x:v>
      </x:c>
      <x:c r="AA199" t="str">
        <x:f>IF(X199="LOAD","Active","Quarantine")</x:f>
        <x:v>Active</x:v>
      </x:c>
      <x:c r="AB199"/>
      <x:c r="AC199"/>
      <x:c r="AD199"/>
      <x:c r="AE199"/>
    </x:row>
    <x:row r="200">
      <x:c r="A200" t="str">
        <x:v>PLD-000196</x:v>
      </x:c>
      <x:c r="B200" t="str">
        <x:v>LOSS-KG01-L22-20251021-PM-ORD-2025-00056</x:v>
      </x:c>
      <x:c r="C200" t="str">
        <x:v>PE-KG01-L22-20251021-PM-ORD-2025-00056</x:v>
      </x:c>
      <x:c r="D200" t="str">
        <x:v>KG01</x:v>
      </x:c>
      <x:c r="E200" t="n">
        <x:v>22</x:v>
      </x:c>
      <x:c r="F200" s="52" t="n">
        <x:v>45951</x:v>
      </x:c>
      <x:c r="G200" t="str">
        <x:v>PM</x:v>
      </x:c>
      <x:c r="H200" t="str">
        <x:v>ORD-2025-00056</x:v>
      </x:c>
      <x:c r="I200" t="str">
        <x:v>Normal</x:v>
      </x:c>
      <x:c r="J200" t="str">
        <x:v>PROC_SANLI</x:v>
      </x:c>
      <x:c r="K200" t="str">
        <x:v>Inspection</x:v>
      </x:c>
      <x:c r="L200" s="54" t="n">
        <x:v>0.00473926822241429</x:v>
      </x:c>
      <x:c r="M200" t="n">
        <x:v>138840</x:v>
      </x:c>
      <x:c r="N200" t="n">
        <x:f>L200*M200</x:f>
        <x:v>658</x:v>
      </x:c>
      <x:c r="O200"/>
      <x:c r="P200"/>
      <x:c r="Q200"/>
      <x:c r="R200"/>
      <x:c r="S200" s="52"/>
      <x:c r="T200" t="str">
        <x:v>OK</x:v>
      </x:c>
      <x:c r="U200" t="str">
        <x:f>IF(AND(ISNUMBER(L200),L200&gt;=0,L200&lt;=1),"OK","CHECK")</x:f>
        <x:v>OK</x:v>
      </x:c>
      <x:c r="V200" t="str">
        <x:f>IF(AND(ISNUMBER(N200),N200&gt;=0),"OK","CHECK")</x:f>
        <x:v>OK</x:v>
      </x:c>
      <x:c r="W200" t="str">
        <x:f>IF(AND(T200="OK",U200="OK",V200="OK"),"OK","CHECK")</x:f>
        <x:v>OK</x:v>
      </x:c>
      <x:c r="X200" t="str">
        <x:f>IF(W200="OK","LOAD","QUARANTINE")</x:f>
        <x:v>LOAD</x:v>
      </x:c>
      <x:c r="Y200" t="str">
        <x:v>03_Process_Losses(6).xlsx</x:v>
      </x:c>
      <x:c r="Z200" t="str">
        <x:v>ENH-20260830-01</x:v>
      </x:c>
      <x:c r="AA200" t="str">
        <x:f>IF(X200="LOAD","Active","Quarantine")</x:f>
        <x:v>Active</x:v>
      </x:c>
      <x:c r="AB200"/>
      <x:c r="AC200"/>
      <x:c r="AD200"/>
      <x:c r="AE200"/>
    </x:row>
    <x:row r="201">
      <x:c r="A201" t="str">
        <x:v>PLD-000197</x:v>
      </x:c>
      <x:c r="B201" t="str">
        <x:v>LOSS-KG01-L22-20251021-PM-ORD-2025-00056</x:v>
      </x:c>
      <x:c r="C201" t="str">
        <x:v>PE-KG01-L22-20251021-PM-ORD-2025-00056</x:v>
      </x:c>
      <x:c r="D201" t="str">
        <x:v>KG01</x:v>
      </x:c>
      <x:c r="E201" t="n">
        <x:v>22</x:v>
      </x:c>
      <x:c r="F201" s="52" t="n">
        <x:v>45951</x:v>
      </x:c>
      <x:c r="G201" t="str">
        <x:v>PM</x:v>
      </x:c>
      <x:c r="H201" t="str">
        <x:v>ORD-2025-00056</x:v>
      </x:c>
      <x:c r="I201" t="str">
        <x:v>Normal</x:v>
      </x:c>
      <x:c r="J201" t="str">
        <x:v>PROC_VISUAL</x:v>
      </x:c>
      <x:c r="K201" t="str">
        <x:v>Inspection</x:v>
      </x:c>
      <x:c r="L201" s="54" t="n">
        <x:v>0.004904926534140017</x:v>
      </x:c>
      <x:c r="M201" t="n">
        <x:v>138840</x:v>
      </x:c>
      <x:c r="N201" t="n">
        <x:f>L201*M201</x:f>
        <x:v>681</x:v>
      </x:c>
      <x:c r="O201"/>
      <x:c r="P201"/>
      <x:c r="Q201"/>
      <x:c r="R201"/>
      <x:c r="S201" s="52"/>
      <x:c r="T201" t="str">
        <x:v>OK</x:v>
      </x:c>
      <x:c r="U201" t="str">
        <x:f>IF(AND(ISNUMBER(L201),L201&gt;=0,L201&lt;=1),"OK","CHECK")</x:f>
        <x:v>OK</x:v>
      </x:c>
      <x:c r="V201" t="str">
        <x:f>IF(AND(ISNUMBER(N201),N201&gt;=0),"OK","CHECK")</x:f>
        <x:v>OK</x:v>
      </x:c>
      <x:c r="W201" t="str">
        <x:f>IF(AND(T201="OK",U201="OK",V201="OK"),"OK","CHECK")</x:f>
        <x:v>OK</x:v>
      </x:c>
      <x:c r="X201" t="str">
        <x:f>IF(W201="OK","LOAD","QUARANTINE")</x:f>
        <x:v>LOAD</x:v>
      </x:c>
      <x:c r="Y201" t="str">
        <x:v>03_Process_Losses(6).xlsx</x:v>
      </x:c>
      <x:c r="Z201" t="str">
        <x:v>ENH-20260830-01</x:v>
      </x:c>
      <x:c r="AA201" t="str">
        <x:f>IF(X201="LOAD","Active","Quarantine")</x:f>
        <x:v>Active</x:v>
      </x:c>
      <x:c r="AB201"/>
      <x:c r="AC201"/>
      <x:c r="AD201"/>
      <x:c r="AE201"/>
    </x:row>
    <x:row r="202">
      <x:c r="A202" t="str">
        <x:v>PLD-000198</x:v>
      </x:c>
      <x:c r="B202" t="str">
        <x:v>LOSS-KG01-L22-20251021-PM-ORD-2025-00056</x:v>
      </x:c>
      <x:c r="C202" t="str">
        <x:v>PE-KG01-L22-20251021-PM-ORD-2025-00056</x:v>
      </x:c>
      <x:c r="D202" t="str">
        <x:v>KG01</x:v>
      </x:c>
      <x:c r="E202" t="n">
        <x:v>22</x:v>
      </x:c>
      <x:c r="F202" s="52" t="n">
        <x:v>45951</x:v>
      </x:c>
      <x:c r="G202" t="str">
        <x:v>PM</x:v>
      </x:c>
      <x:c r="H202" t="str">
        <x:v>ORD-2025-00056</x:v>
      </x:c>
      <x:c r="I202" t="str">
        <x:v>Normal</x:v>
      </x:c>
      <x:c r="J202" t="str">
        <x:v>PROC_PALLETIZER</x:v>
      </x:c>
      <x:c r="K202" t="str">
        <x:v>Palletizer</x:v>
      </x:c>
      <x:c r="L202" s="54" t="n">
        <x:v>0.002794583693460098</x:v>
      </x:c>
      <x:c r="M202" t="n">
        <x:v>138840</x:v>
      </x:c>
      <x:c r="N202" t="n">
        <x:f>L202*M202</x:f>
        <x:v>388.00000000000006</x:v>
      </x:c>
      <x:c r="O202"/>
      <x:c r="P202"/>
      <x:c r="Q202"/>
      <x:c r="R202"/>
      <x:c r="S202" s="52"/>
      <x:c r="T202" t="str">
        <x:v>OK</x:v>
      </x:c>
      <x:c r="U202" t="str">
        <x:f>IF(AND(ISNUMBER(L202),L202&gt;=0,L202&lt;=1),"OK","CHECK")</x:f>
        <x:v>OK</x:v>
      </x:c>
      <x:c r="V202" t="str">
        <x:f>IF(AND(ISNUMBER(N202),N202&gt;=0),"OK","CHECK")</x:f>
        <x:v>OK</x:v>
      </x:c>
      <x:c r="W202" t="str">
        <x:f>IF(AND(T202="OK",U202="OK",V202="OK"),"OK","CHECK")</x:f>
        <x:v>OK</x:v>
      </x:c>
      <x:c r="X202" t="str">
        <x:f>IF(W202="OK","LOAD","QUARANTINE")</x:f>
        <x:v>LOAD</x:v>
      </x:c>
      <x:c r="Y202" t="str">
        <x:v>03_Process_Losses(6).xlsx</x:v>
      </x:c>
      <x:c r="Z202" t="str">
        <x:v>ENH-20260830-01</x:v>
      </x:c>
      <x:c r="AA202" t="str">
        <x:f>IF(X202="LOAD","Active","Quarantine")</x:f>
        <x:v>Active</x:v>
      </x:c>
      <x:c r="AB202"/>
      <x:c r="AC202"/>
      <x:c r="AD202"/>
      <x:c r="AE202"/>
    </x:row>
    <x:row r="203">
      <x:c r="A203" t="str">
        <x:v>PLD-000199</x:v>
      </x:c>
      <x:c r="B203" t="str">
        <x:v>LOSS-KG01-L22-20251022-AM-ORD-2025-00057</x:v>
      </x:c>
      <x:c r="C203" t="str">
        <x:v>PE-KG01-L22-20251022-AM-ORD-2025-00057</x:v>
      </x:c>
      <x:c r="D203" t="str">
        <x:v>KG01</x:v>
      </x:c>
      <x:c r="E203" t="n">
        <x:v>22</x:v>
      </x:c>
      <x:c r="F203" s="52" t="n">
        <x:v>45952</x:v>
      </x:c>
      <x:c r="G203" t="str">
        <x:v>AM</x:v>
      </x:c>
      <x:c r="H203" t="str">
        <x:v>ORD-2025-00057</x:v>
      </x:c>
      <x:c r="I203" t="str">
        <x:v>Normal</x:v>
      </x:c>
      <x:c r="J203" t="str">
        <x:v>PROC_FIXED</x:v>
      </x:c>
      <x:c r="K203" t="str">
        <x:v>Fixed Losses</x:v>
      </x:c>
      <x:c r="L203" s="54" t="n">
        <x:v>0.008285017267053196</x:v>
      </x:c>
      <x:c r="M203" t="n">
        <x:v>126252</x:v>
      </x:c>
      <x:c r="N203" t="n">
        <x:f>L203*M203</x:f>
        <x:v>1046</x:v>
      </x:c>
      <x:c r="O203"/>
      <x:c r="P203"/>
      <x:c r="Q203"/>
      <x:c r="R203"/>
      <x:c r="S203" s="52"/>
      <x:c r="T203" t="str">
        <x:v>OK</x:v>
      </x:c>
      <x:c r="U203" t="str">
        <x:f>IF(AND(ISNUMBER(L203),L203&gt;=0,L203&lt;=1),"OK","CHECK")</x:f>
        <x:v>OK</x:v>
      </x:c>
      <x:c r="V203" t="str">
        <x:f>IF(AND(ISNUMBER(N203),N203&gt;=0),"OK","CHECK")</x:f>
        <x:v>OK</x:v>
      </x:c>
      <x:c r="W203" t="str">
        <x:f>IF(AND(T203="OK",U203="OK",V203="OK"),"OK","CHECK")</x:f>
        <x:v>OK</x:v>
      </x:c>
      <x:c r="X203" t="str">
        <x:f>IF(W203="OK","LOAD","QUARANTINE")</x:f>
        <x:v>LOAD</x:v>
      </x:c>
      <x:c r="Y203" t="str">
        <x:v>03_Process_Losses(6).xlsx</x:v>
      </x:c>
      <x:c r="Z203" t="str">
        <x:v>ENH-20260830-01</x:v>
      </x:c>
      <x:c r="AA203" t="str">
        <x:f>IF(X203="LOAD","Active","Quarantine")</x:f>
        <x:v>Active</x:v>
      </x:c>
      <x:c r="AB203"/>
      <x:c r="AC203"/>
      <x:c r="AD203"/>
      <x:c r="AE203"/>
    </x:row>
    <x:row r="204">
      <x:c r="A204" t="str">
        <x:v>PLD-000200</x:v>
      </x:c>
      <x:c r="B204" t="str">
        <x:v>LOSS-KG01-L22-20251022-AM-ORD-2025-00057</x:v>
      </x:c>
      <x:c r="C204" t="str">
        <x:v>PE-KG01-L22-20251022-AM-ORD-2025-00057</x:v>
      </x:c>
      <x:c r="D204" t="str">
        <x:v>KG01</x:v>
      </x:c>
      <x:c r="E204" t="n">
        <x:v>22</x:v>
      </x:c>
      <x:c r="F204" s="52" t="n">
        <x:v>45952</x:v>
      </x:c>
      <x:c r="G204" t="str">
        <x:v>AM</x:v>
      </x:c>
      <x:c r="H204" t="str">
        <x:v>ORD-2025-00057</x:v>
      </x:c>
      <x:c r="I204" t="str">
        <x:v>Normal</x:v>
      </x:c>
      <x:c r="J204" t="str">
        <x:v>PROC_IS</x:v>
      </x:c>
      <x:c r="K204" t="str">
        <x:v>IS Machine</x:v>
      </x:c>
      <x:c r="L204" s="54" t="n">
        <x:v>0.010193897918448817</x:v>
      </x:c>
      <x:c r="M204" t="n">
        <x:v>126252</x:v>
      </x:c>
      <x:c r="N204" t="n">
        <x:f>L204*M204</x:f>
        <x:v>1287</x:v>
      </x:c>
      <x:c r="O204"/>
      <x:c r="P204"/>
      <x:c r="Q204"/>
      <x:c r="R204"/>
      <x:c r="S204" s="52"/>
      <x:c r="T204" t="str">
        <x:v>OK</x:v>
      </x:c>
      <x:c r="U204" t="str">
        <x:f>IF(AND(ISNUMBER(L204),L204&gt;=0,L204&lt;=1),"OK","CHECK")</x:f>
        <x:v>OK</x:v>
      </x:c>
      <x:c r="V204" t="str">
        <x:f>IF(AND(ISNUMBER(N204),N204&gt;=0),"OK","CHECK")</x:f>
        <x:v>OK</x:v>
      </x:c>
      <x:c r="W204" t="str">
        <x:f>IF(AND(T204="OK",U204="OK",V204="OK"),"OK","CHECK")</x:f>
        <x:v>OK</x:v>
      </x:c>
      <x:c r="X204" t="str">
        <x:f>IF(W204="OK","LOAD","QUARANTINE")</x:f>
        <x:v>LOAD</x:v>
      </x:c>
      <x:c r="Y204" t="str">
        <x:v>03_Process_Losses(6).xlsx</x:v>
      </x:c>
      <x:c r="Z204" t="str">
        <x:v>ENH-20260830-01</x:v>
      </x:c>
      <x:c r="AA204" t="str">
        <x:f>IF(X204="LOAD","Active","Quarantine")</x:f>
        <x:v>Active</x:v>
      </x:c>
      <x:c r="AB204"/>
      <x:c r="AC204"/>
      <x:c r="AD204"/>
      <x:c r="AE204"/>
    </x:row>
    <x:row r="205">
      <x:c r="A205" t="str">
        <x:v>PLD-000201</x:v>
      </x:c>
      <x:c r="B205" t="str">
        <x:v>LOSS-KG01-L22-20251022-AM-ORD-2025-00057</x:v>
      </x:c>
      <x:c r="C205" t="str">
        <x:v>PE-KG01-L22-20251022-AM-ORD-2025-00057</x:v>
      </x:c>
      <x:c r="D205" t="str">
        <x:v>KG01</x:v>
      </x:c>
      <x:c r="E205" t="n">
        <x:v>22</x:v>
      </x:c>
      <x:c r="F205" s="52" t="n">
        <x:v>45952</x:v>
      </x:c>
      <x:c r="G205" t="str">
        <x:v>AM</x:v>
      </x:c>
      <x:c r="H205" t="str">
        <x:v>ORD-2025-00057</x:v>
      </x:c>
      <x:c r="I205" t="str">
        <x:v>Normal</x:v>
      </x:c>
      <x:c r="J205" t="str">
        <x:v>PROC_HE_CONVEYER</x:v>
      </x:c>
      <x:c r="K205" t="str">
        <x:v>Hot End</x:v>
      </x:c>
      <x:c r="L205" s="54" t="n">
        <x:v>0.004799923961600608</x:v>
      </x:c>
      <x:c r="M205" t="n">
        <x:v>126252</x:v>
      </x:c>
      <x:c r="N205" t="n">
        <x:f>L205*M205</x:f>
        <x:v>606</x:v>
      </x:c>
      <x:c r="O205"/>
      <x:c r="P205"/>
      <x:c r="Q205"/>
      <x:c r="R205"/>
      <x:c r="S205" s="52"/>
      <x:c r="T205" t="str">
        <x:v>OK</x:v>
      </x:c>
      <x:c r="U205" t="str">
        <x:f>IF(AND(ISNUMBER(L205),L205&gt;=0,L205&lt;=1),"OK","CHECK")</x:f>
        <x:v>OK</x:v>
      </x:c>
      <x:c r="V205" t="str">
        <x:f>IF(AND(ISNUMBER(N205),N205&gt;=0),"OK","CHECK")</x:f>
        <x:v>OK</x:v>
      </x:c>
      <x:c r="W205" t="str">
        <x:f>IF(AND(T205="OK",U205="OK",V205="OK"),"OK","CHECK")</x:f>
        <x:v>OK</x:v>
      </x:c>
      <x:c r="X205" t="str">
        <x:f>IF(W205="OK","LOAD","QUARANTINE")</x:f>
        <x:v>LOAD</x:v>
      </x:c>
      <x:c r="Y205" t="str">
        <x:v>03_Process_Losses(6).xlsx</x:v>
      </x:c>
      <x:c r="Z205" t="str">
        <x:v>ENH-20260830-01</x:v>
      </x:c>
      <x:c r="AA205" t="str">
        <x:f>IF(X205="LOAD","Active","Quarantine")</x:f>
        <x:v>Active</x:v>
      </x:c>
      <x:c r="AB205"/>
      <x:c r="AC205"/>
      <x:c r="AD205"/>
      <x:c r="AE205"/>
    </x:row>
    <x:row r="206">
      <x:c r="A206" t="str">
        <x:v>PLD-000202</x:v>
      </x:c>
      <x:c r="B206" t="str">
        <x:v>LOSS-KG01-L22-20251022-AM-ORD-2025-00057</x:v>
      </x:c>
      <x:c r="C206" t="str">
        <x:v>PE-KG01-L22-20251022-AM-ORD-2025-00057</x:v>
      </x:c>
      <x:c r="D206" t="str">
        <x:v>KG01</x:v>
      </x:c>
      <x:c r="E206" t="n">
        <x:v>22</x:v>
      </x:c>
      <x:c r="F206" s="52" t="n">
        <x:v>45952</x:v>
      </x:c>
      <x:c r="G206" t="str">
        <x:v>AM</x:v>
      </x:c>
      <x:c r="H206" t="str">
        <x:v>ORD-2025-00057</x:v>
      </x:c>
      <x:c r="I206" t="str">
        <x:v>Normal</x:v>
      </x:c>
      <x:c r="J206" t="str">
        <x:v>PROC_STUCKDOWN</x:v>
      </x:c>
      <x:c r="K206" t="str">
        <x:v>Forming</x:v>
      </x:c>
      <x:c r="L206" s="54" t="n">
        <x:v>0.004712796628964294</x:v>
      </x:c>
      <x:c r="M206" t="n">
        <x:v>126252</x:v>
      </x:c>
      <x:c r="N206" t="n">
        <x:f>L206*M206</x:f>
        <x:v>595</x:v>
      </x:c>
      <x:c r="O206"/>
      <x:c r="P206"/>
      <x:c r="Q206"/>
      <x:c r="R206"/>
      <x:c r="S206" s="52"/>
      <x:c r="T206" t="str">
        <x:v>OK</x:v>
      </x:c>
      <x:c r="U206" t="str">
        <x:f>IF(AND(ISNUMBER(L206),L206&gt;=0,L206&lt;=1),"OK","CHECK")</x:f>
        <x:v>OK</x:v>
      </x:c>
      <x:c r="V206" t="str">
        <x:f>IF(AND(ISNUMBER(N206),N206&gt;=0),"OK","CHECK")</x:f>
        <x:v>OK</x:v>
      </x:c>
      <x:c r="W206" t="str">
        <x:f>IF(AND(T206="OK",U206="OK",V206="OK"),"OK","CHECK")</x:f>
        <x:v>OK</x:v>
      </x:c>
      <x:c r="X206" t="str">
        <x:f>IF(W206="OK","LOAD","QUARANTINE")</x:f>
        <x:v>LOAD</x:v>
      </x:c>
      <x:c r="Y206" t="str">
        <x:v>03_Process_Losses(6).xlsx</x:v>
      </x:c>
      <x:c r="Z206" t="str">
        <x:v>ENH-20260830-01</x:v>
      </x:c>
      <x:c r="AA206" t="str">
        <x:f>IF(X206="LOAD","Active","Quarantine")</x:f>
        <x:v>Active</x:v>
      </x:c>
      <x:c r="AB206"/>
      <x:c r="AC206"/>
      <x:c r="AD206"/>
      <x:c r="AE206"/>
    </x:row>
    <x:row r="207">
      <x:c r="A207" t="str">
        <x:v>PLD-000203</x:v>
      </x:c>
      <x:c r="B207" t="str">
        <x:v>LOSS-KG01-L22-20251022-AM-ORD-2025-00057</x:v>
      </x:c>
      <x:c r="C207" t="str">
        <x:v>PE-KG01-L22-20251022-AM-ORD-2025-00057</x:v>
      </x:c>
      <x:c r="D207" t="str">
        <x:v>KG01</x:v>
      </x:c>
      <x:c r="E207" t="n">
        <x:v>22</x:v>
      </x:c>
      <x:c r="F207" s="52" t="n">
        <x:v>45952</x:v>
      </x:c>
      <x:c r="G207" t="str">
        <x:v>AM</x:v>
      </x:c>
      <x:c r="H207" t="str">
        <x:v>ORD-2025-00057</x:v>
      </x:c>
      <x:c r="I207" t="str">
        <x:v>Normal</x:v>
      </x:c>
      <x:c r="J207" t="str">
        <x:v>PROC_LEHR</x:v>
      </x:c>
      <x:c r="K207" t="str">
        <x:v>Lehr</x:v>
      </x:c>
      <x:c r="L207" s="54" t="n">
        <x:v>0.006978107277508475</x:v>
      </x:c>
      <x:c r="M207" t="n">
        <x:v>126252</x:v>
      </x:c>
      <x:c r="N207" t="n">
        <x:f>L207*M207</x:f>
        <x:v>881</x:v>
      </x:c>
      <x:c r="O207"/>
      <x:c r="P207"/>
      <x:c r="Q207"/>
      <x:c r="R207"/>
      <x:c r="S207" s="52"/>
      <x:c r="T207" t="str">
        <x:v>OK</x:v>
      </x:c>
      <x:c r="U207" t="str">
        <x:f>IF(AND(ISNUMBER(L207),L207&gt;=0,L207&lt;=1),"OK","CHECK")</x:f>
        <x:v>OK</x:v>
      </x:c>
      <x:c r="V207" t="str">
        <x:f>IF(AND(ISNUMBER(N207),N207&gt;=0),"OK","CHECK")</x:f>
        <x:v>OK</x:v>
      </x:c>
      <x:c r="W207" t="str">
        <x:f>IF(AND(T207="OK",U207="OK",V207="OK"),"OK","CHECK")</x:f>
        <x:v>OK</x:v>
      </x:c>
      <x:c r="X207" t="str">
        <x:f>IF(W207="OK","LOAD","QUARANTINE")</x:f>
        <x:v>LOAD</x:v>
      </x:c>
      <x:c r="Y207" t="str">
        <x:v>03_Process_Losses(6).xlsx</x:v>
      </x:c>
      <x:c r="Z207" t="str">
        <x:v>ENH-20260830-01</x:v>
      </x:c>
      <x:c r="AA207" t="str">
        <x:f>IF(X207="LOAD","Active","Quarantine")</x:f>
        <x:v>Active</x:v>
      </x:c>
      <x:c r="AB207"/>
      <x:c r="AC207"/>
      <x:c r="AD207"/>
      <x:c r="AE207"/>
    </x:row>
    <x:row r="208">
      <x:c r="A208" t="str">
        <x:v>PLD-000204</x:v>
      </x:c>
      <x:c r="B208" t="str">
        <x:v>LOSS-KG01-L22-20251022-AM-ORD-2025-00057</x:v>
      </x:c>
      <x:c r="C208" t="str">
        <x:v>PE-KG01-L22-20251022-AM-ORD-2025-00057</x:v>
      </x:c>
      <x:c r="D208" t="str">
        <x:v>KG01</x:v>
      </x:c>
      <x:c r="E208" t="n">
        <x:v>22</x:v>
      </x:c>
      <x:c r="F208" s="52" t="n">
        <x:v>45952</x:v>
      </x:c>
      <x:c r="G208" t="str">
        <x:v>AM</x:v>
      </x:c>
      <x:c r="H208" t="str">
        <x:v>ORD-2025-00057</x:v>
      </x:c>
      <x:c r="I208" t="str">
        <x:v>Normal</x:v>
      </x:c>
      <x:c r="J208" t="str">
        <x:v>PROC_EVO16</x:v>
      </x:c>
      <x:c r="K208" t="str">
        <x:v>Inspection</x:v>
      </x:c>
      <x:c r="L208" s="54" t="n">
        <x:v>0.0033346006399898615</x:v>
      </x:c>
      <x:c r="M208" t="n">
        <x:v>126252</x:v>
      </x:c>
      <x:c r="N208" t="n">
        <x:f>L208*M208</x:f>
        <x:v>421</x:v>
      </x:c>
      <x:c r="O208"/>
      <x:c r="P208"/>
      <x:c r="Q208"/>
      <x:c r="R208"/>
      <x:c r="S208" s="52"/>
      <x:c r="T208" t="str">
        <x:v>OK</x:v>
      </x:c>
      <x:c r="U208" t="str">
        <x:f>IF(AND(ISNUMBER(L208),L208&gt;=0,L208&lt;=1),"OK","CHECK")</x:f>
        <x:v>OK</x:v>
      </x:c>
      <x:c r="V208" t="str">
        <x:f>IF(AND(ISNUMBER(N208),N208&gt;=0),"OK","CHECK")</x:f>
        <x:v>OK</x:v>
      </x:c>
      <x:c r="W208" t="str">
        <x:f>IF(AND(T208="OK",U208="OK",V208="OK"),"OK","CHECK")</x:f>
        <x:v>OK</x:v>
      </x:c>
      <x:c r="X208" t="str">
        <x:f>IF(W208="OK","LOAD","QUARANTINE")</x:f>
        <x:v>LOAD</x:v>
      </x:c>
      <x:c r="Y208" t="str">
        <x:v>03_Process_Losses(6).xlsx</x:v>
      </x:c>
      <x:c r="Z208" t="str">
        <x:v>ENH-20260830-01</x:v>
      </x:c>
      <x:c r="AA208" t="str">
        <x:f>IF(X208="LOAD","Active","Quarantine")</x:f>
        <x:v>Active</x:v>
      </x:c>
      <x:c r="AB208"/>
      <x:c r="AC208"/>
      <x:c r="AD208"/>
      <x:c r="AE208"/>
    </x:row>
    <x:row r="209">
      <x:c r="A209" t="str">
        <x:v>PLD-000205</x:v>
      </x:c>
      <x:c r="B209" t="str">
        <x:v>LOSS-KG01-L22-20251022-AM-ORD-2025-00057</x:v>
      </x:c>
      <x:c r="C209" t="str">
        <x:v>PE-KG01-L22-20251022-AM-ORD-2025-00057</x:v>
      </x:c>
      <x:c r="D209" t="str">
        <x:v>KG01</x:v>
      </x:c>
      <x:c r="E209" t="n">
        <x:v>22</x:v>
      </x:c>
      <x:c r="F209" s="52" t="n">
        <x:v>45952</x:v>
      </x:c>
      <x:c r="G209" t="str">
        <x:v>AM</x:v>
      </x:c>
      <x:c r="H209" t="str">
        <x:v>ORD-2025-00057</x:v>
      </x:c>
      <x:c r="I209" t="str">
        <x:v>Normal</x:v>
      </x:c>
      <x:c r="J209" t="str">
        <x:v>PROC_EVO12</x:v>
      </x:c>
      <x:c r="K209" t="str">
        <x:v>Inspection</x:v>
      </x:c>
      <x:c r="L209" s="54" t="n">
        <x:v>0.0007920666603301334</x:v>
      </x:c>
      <x:c r="M209" t="n">
        <x:v>126252</x:v>
      </x:c>
      <x:c r="N209" t="n">
        <x:f>L209*M209</x:f>
        <x:v>100</x:v>
      </x:c>
      <x:c r="O209"/>
      <x:c r="P209"/>
      <x:c r="Q209"/>
      <x:c r="R209"/>
      <x:c r="S209" s="52"/>
      <x:c r="T209" t="str">
        <x:v>OK</x:v>
      </x:c>
      <x:c r="U209" t="str">
        <x:f>IF(AND(ISNUMBER(L209),L209&gt;=0,L209&lt;=1),"OK","CHECK")</x:f>
        <x:v>OK</x:v>
      </x:c>
      <x:c r="V209" t="str">
        <x:f>IF(AND(ISNUMBER(N209),N209&gt;=0),"OK","CHECK")</x:f>
        <x:v>OK</x:v>
      </x:c>
      <x:c r="W209" t="str">
        <x:f>IF(AND(T209="OK",U209="OK",V209="OK"),"OK","CHECK")</x:f>
        <x:v>OK</x:v>
      </x:c>
      <x:c r="X209" t="str">
        <x:f>IF(W209="OK","LOAD","QUARANTINE")</x:f>
        <x:v>LOAD</x:v>
      </x:c>
      <x:c r="Y209" t="str">
        <x:v>03_Process_Losses(6).xlsx</x:v>
      </x:c>
      <x:c r="Z209" t="str">
        <x:v>ENH-20260830-01</x:v>
      </x:c>
      <x:c r="AA209" t="str">
        <x:f>IF(X209="LOAD","Active","Quarantine")</x:f>
        <x:v>Active</x:v>
      </x:c>
      <x:c r="AB209"/>
      <x:c r="AC209"/>
      <x:c r="AD209"/>
      <x:c r="AE209"/>
    </x:row>
    <x:row r="210">
      <x:c r="A210" t="str">
        <x:v>PLD-000206</x:v>
      </x:c>
      <x:c r="B210" t="str">
        <x:v>LOSS-KG01-L22-20251022-AM-ORD-2025-00057</x:v>
      </x:c>
      <x:c r="C210" t="str">
        <x:v>PE-KG01-L22-20251022-AM-ORD-2025-00057</x:v>
      </x:c>
      <x:c r="D210" t="str">
        <x:v>KG01</x:v>
      </x:c>
      <x:c r="E210" t="n">
        <x:v>22</x:v>
      </x:c>
      <x:c r="F210" s="52" t="n">
        <x:v>45952</x:v>
      </x:c>
      <x:c r="G210" t="str">
        <x:v>AM</x:v>
      </x:c>
      <x:c r="H210" t="str">
        <x:v>ORD-2025-00057</x:v>
      </x:c>
      <x:c r="I210" t="str">
        <x:v>Normal</x:v>
      </x:c>
      <x:c r="J210" t="str">
        <x:v>PROC_EVO5</x:v>
      </x:c>
      <x:c r="K210" t="str">
        <x:v>Inspection</x:v>
      </x:c>
      <x:c r="L210" s="54" t="n">
        <x:v>0.002700947311725755</x:v>
      </x:c>
      <x:c r="M210" t="n">
        <x:v>126252</x:v>
      </x:c>
      <x:c r="N210" t="n">
        <x:f>L210*M210</x:f>
        <x:v>341</x:v>
      </x:c>
      <x:c r="O210"/>
      <x:c r="P210"/>
      <x:c r="Q210"/>
      <x:c r="R210"/>
      <x:c r="S210" s="52"/>
      <x:c r="T210" t="str">
        <x:v>OK</x:v>
      </x:c>
      <x:c r="U210" t="str">
        <x:f>IF(AND(ISNUMBER(L210),L210&gt;=0,L210&lt;=1),"OK","CHECK")</x:f>
        <x:v>OK</x:v>
      </x:c>
      <x:c r="V210" t="str">
        <x:f>IF(AND(ISNUMBER(N210),N210&gt;=0),"OK","CHECK")</x:f>
        <x:v>OK</x:v>
      </x:c>
      <x:c r="W210" t="str">
        <x:f>IF(AND(T210="OK",U210="OK",V210="OK"),"OK","CHECK")</x:f>
        <x:v>OK</x:v>
      </x:c>
      <x:c r="X210" t="str">
        <x:f>IF(W210="OK","LOAD","QUARANTINE")</x:f>
        <x:v>LOAD</x:v>
      </x:c>
      <x:c r="Y210" t="str">
        <x:v>03_Process_Losses(6).xlsx</x:v>
      </x:c>
      <x:c r="Z210" t="str">
        <x:v>ENH-20260830-01</x:v>
      </x:c>
      <x:c r="AA210" t="str">
        <x:f>IF(X210="LOAD","Active","Quarantine")</x:f>
        <x:v>Active</x:v>
      </x:c>
      <x:c r="AB210"/>
      <x:c r="AC210"/>
      <x:c r="AD210"/>
      <x:c r="AE210"/>
    </x:row>
    <x:row r="211">
      <x:c r="A211" t="str">
        <x:v>PLD-000207</x:v>
      </x:c>
      <x:c r="B211" t="str">
        <x:v>LOSS-KG01-L22-20251022-AM-ORD-2025-00057</x:v>
      </x:c>
      <x:c r="C211" t="str">
        <x:v>PE-KG01-L22-20251022-AM-ORD-2025-00057</x:v>
      </x:c>
      <x:c r="D211" t="str">
        <x:v>KG01</x:v>
      </x:c>
      <x:c r="E211" t="n">
        <x:v>22</x:v>
      </x:c>
      <x:c r="F211" s="52" t="n">
        <x:v>45952</x:v>
      </x:c>
      <x:c r="G211" t="str">
        <x:v>AM</x:v>
      </x:c>
      <x:c r="H211" t="str">
        <x:v>ORD-2025-00057</x:v>
      </x:c>
      <x:c r="I211" t="str">
        <x:v>Normal</x:v>
      </x:c>
      <x:c r="J211" t="str">
        <x:v>PROC_SANLI</x:v>
      </x:c>
      <x:c r="K211" t="str">
        <x:v>Inspection</x:v>
      </x:c>
      <x:c r="L211" s="54" t="n">
        <x:v>0.002368279314387099</x:v>
      </x:c>
      <x:c r="M211" t="n">
        <x:v>126252</x:v>
      </x:c>
      <x:c r="N211" t="n">
        <x:f>L211*M211</x:f>
        <x:v>299</x:v>
      </x:c>
      <x:c r="O211"/>
      <x:c r="P211"/>
      <x:c r="Q211"/>
      <x:c r="R211"/>
      <x:c r="S211" s="52"/>
      <x:c r="T211" t="str">
        <x:v>OK</x:v>
      </x:c>
      <x:c r="U211" t="str">
        <x:f>IF(AND(ISNUMBER(L211),L211&gt;=0,L211&lt;=1),"OK","CHECK")</x:f>
        <x:v>OK</x:v>
      </x:c>
      <x:c r="V211" t="str">
        <x:f>IF(AND(ISNUMBER(N211),N211&gt;=0),"OK","CHECK")</x:f>
        <x:v>OK</x:v>
      </x:c>
      <x:c r="W211" t="str">
        <x:f>IF(AND(T211="OK",U211="OK",V211="OK"),"OK","CHECK")</x:f>
        <x:v>OK</x:v>
      </x:c>
      <x:c r="X211" t="str">
        <x:f>IF(W211="OK","LOAD","QUARANTINE")</x:f>
        <x:v>LOAD</x:v>
      </x:c>
      <x:c r="Y211" t="str">
        <x:v>03_Process_Losses(6).xlsx</x:v>
      </x:c>
      <x:c r="Z211" t="str">
        <x:v>ENH-20260830-01</x:v>
      </x:c>
      <x:c r="AA211" t="str">
        <x:f>IF(X211="LOAD","Active","Quarantine")</x:f>
        <x:v>Active</x:v>
      </x:c>
      <x:c r="AB211"/>
      <x:c r="AC211"/>
      <x:c r="AD211"/>
      <x:c r="AE211"/>
    </x:row>
    <x:row r="212">
      <x:c r="A212" t="str">
        <x:v>PLD-000208</x:v>
      </x:c>
      <x:c r="B212" t="str">
        <x:v>LOSS-KG01-L22-20251022-AM-ORD-2025-00057</x:v>
      </x:c>
      <x:c r="C212" t="str">
        <x:v>PE-KG01-L22-20251022-AM-ORD-2025-00057</x:v>
      </x:c>
      <x:c r="D212" t="str">
        <x:v>KG01</x:v>
      </x:c>
      <x:c r="E212" t="n">
        <x:v>22</x:v>
      </x:c>
      <x:c r="F212" s="52" t="n">
        <x:v>45952</x:v>
      </x:c>
      <x:c r="G212" t="str">
        <x:v>AM</x:v>
      </x:c>
      <x:c r="H212" t="str">
        <x:v>ORD-2025-00057</x:v>
      </x:c>
      <x:c r="I212" t="str">
        <x:v>Normal</x:v>
      </x:c>
      <x:c r="J212" t="str">
        <x:v>PROC_VISUAL</x:v>
      </x:c>
      <x:c r="K212" t="str">
        <x:v>Inspection</x:v>
      </x:c>
      <x:c r="L212" s="54" t="n">
        <x:v>0.010288945917688433</x:v>
      </x:c>
      <x:c r="M212" t="n">
        <x:v>126252</x:v>
      </x:c>
      <x:c r="N212" t="n">
        <x:f>L212*M212</x:f>
        <x:v>1299</x:v>
      </x:c>
      <x:c r="O212"/>
      <x:c r="P212"/>
      <x:c r="Q212"/>
      <x:c r="R212"/>
      <x:c r="S212" s="52"/>
      <x:c r="T212" t="str">
        <x:v>OK</x:v>
      </x:c>
      <x:c r="U212" t="str">
        <x:f>IF(AND(ISNUMBER(L212),L212&gt;=0,L212&lt;=1),"OK","CHECK")</x:f>
        <x:v>OK</x:v>
      </x:c>
      <x:c r="V212" t="str">
        <x:f>IF(AND(ISNUMBER(N212),N212&gt;=0),"OK","CHECK")</x:f>
        <x:v>OK</x:v>
      </x:c>
      <x:c r="W212" t="str">
        <x:f>IF(AND(T212="OK",U212="OK",V212="OK"),"OK","CHECK")</x:f>
        <x:v>OK</x:v>
      </x:c>
      <x:c r="X212" t="str">
        <x:f>IF(W212="OK","LOAD","QUARANTINE")</x:f>
        <x:v>LOAD</x:v>
      </x:c>
      <x:c r="Y212" t="str">
        <x:v>03_Process_Losses(6).xlsx</x:v>
      </x:c>
      <x:c r="Z212" t="str">
        <x:v>ENH-20260830-01</x:v>
      </x:c>
      <x:c r="AA212" t="str">
        <x:f>IF(X212="LOAD","Active","Quarantine")</x:f>
        <x:v>Active</x:v>
      </x:c>
      <x:c r="AB212"/>
      <x:c r="AC212"/>
      <x:c r="AD212"/>
      <x:c r="AE212"/>
    </x:row>
    <x:row r="213">
      <x:c r="A213" t="str">
        <x:v>PLD-000209</x:v>
      </x:c>
      <x:c r="B213" t="str">
        <x:v>LOSS-KG01-L22-20251022-AM-ORD-2025-00057</x:v>
      </x:c>
      <x:c r="C213" t="str">
        <x:v>PE-KG01-L22-20251022-AM-ORD-2025-00057</x:v>
      </x:c>
      <x:c r="D213" t="str">
        <x:v>KG01</x:v>
      </x:c>
      <x:c r="E213" t="n">
        <x:v>22</x:v>
      </x:c>
      <x:c r="F213" s="52" t="n">
        <x:v>45952</x:v>
      </x:c>
      <x:c r="G213" t="str">
        <x:v>AM</x:v>
      </x:c>
      <x:c r="H213" t="str">
        <x:v>ORD-2025-00057</x:v>
      </x:c>
      <x:c r="I213" t="str">
        <x:v>Normal</x:v>
      </x:c>
      <x:c r="J213" t="str">
        <x:v>PROC_PALLETIZER</x:v>
      </x:c>
      <x:c r="K213" t="str">
        <x:v>Palletizer</x:v>
      </x:c>
      <x:c r="L213" s="54" t="n">
        <x:v>0.0025108513132465226</x:v>
      </x:c>
      <x:c r="M213" t="n">
        <x:v>126252</x:v>
      </x:c>
      <x:c r="N213" t="n">
        <x:f>L213*M213</x:f>
        <x:v>317</x:v>
      </x:c>
      <x:c r="O213"/>
      <x:c r="P213"/>
      <x:c r="Q213"/>
      <x:c r="R213"/>
      <x:c r="S213" s="52"/>
      <x:c r="T213" t="str">
        <x:v>OK</x:v>
      </x:c>
      <x:c r="U213" t="str">
        <x:f>IF(AND(ISNUMBER(L213),L213&gt;=0,L213&lt;=1),"OK","CHECK")</x:f>
        <x:v>OK</x:v>
      </x:c>
      <x:c r="V213" t="str">
        <x:f>IF(AND(ISNUMBER(N213),N213&gt;=0),"OK","CHECK")</x:f>
        <x:v>OK</x:v>
      </x:c>
      <x:c r="W213" t="str">
        <x:f>IF(AND(T213="OK",U213="OK",V213="OK"),"OK","CHECK")</x:f>
        <x:v>OK</x:v>
      </x:c>
      <x:c r="X213" t="str">
        <x:f>IF(W213="OK","LOAD","QUARANTINE")</x:f>
        <x:v>LOAD</x:v>
      </x:c>
      <x:c r="Y213" t="str">
        <x:v>03_Process_Losses(6).xlsx</x:v>
      </x:c>
      <x:c r="Z213" t="str">
        <x:v>ENH-20260830-01</x:v>
      </x:c>
      <x:c r="AA213" t="str">
        <x:f>IF(X213="LOAD","Active","Quarantine")</x:f>
        <x:v>Active</x:v>
      </x:c>
      <x:c r="AB213"/>
      <x:c r="AC213"/>
      <x:c r="AD213"/>
      <x:c r="AE213"/>
    </x:row>
    <x:row r="214">
      <x:c r="A214" t="str">
        <x:v>PLD-000210</x:v>
      </x:c>
      <x:c r="B214" t="str">
        <x:v>LOSS-KG01-L22-20251022-PM-ORD-2025-00057</x:v>
      </x:c>
      <x:c r="C214" t="str">
        <x:v>PE-KG01-L22-20251022-PM-ORD-2025-00057</x:v>
      </x:c>
      <x:c r="D214" t="str">
        <x:v>KG01</x:v>
      </x:c>
      <x:c r="E214" t="n">
        <x:v>22</x:v>
      </x:c>
      <x:c r="F214" s="52" t="n">
        <x:v>45952</x:v>
      </x:c>
      <x:c r="G214" t="str">
        <x:v>PM</x:v>
      </x:c>
      <x:c r="H214" t="str">
        <x:v>ORD-2025-00057</x:v>
      </x:c>
      <x:c r="I214" t="str">
        <x:v>Normal</x:v>
      </x:c>
      <x:c r="J214" t="str">
        <x:v>PROC_FIXED</x:v>
      </x:c>
      <x:c r="K214" t="str">
        <x:v>Fixed Losses</x:v>
      </x:c>
      <x:c r="L214" s="54" t="n">
        <x:v>0.005053344867358708</x:v>
      </x:c>
      <x:c r="M214" t="n">
        <x:v>138720</x:v>
      </x:c>
      <x:c r="N214" t="n">
        <x:f>L214*M214</x:f>
        <x:v>701</x:v>
      </x:c>
      <x:c r="O214"/>
      <x:c r="P214"/>
      <x:c r="Q214"/>
      <x:c r="R214"/>
      <x:c r="S214" s="52"/>
      <x:c r="T214" t="str">
        <x:v>OK</x:v>
      </x:c>
      <x:c r="U214" t="str">
        <x:f>IF(AND(ISNUMBER(L214),L214&gt;=0,L214&lt;=1),"OK","CHECK")</x:f>
        <x:v>OK</x:v>
      </x:c>
      <x:c r="V214" t="str">
        <x:f>IF(AND(ISNUMBER(N214),N214&gt;=0),"OK","CHECK")</x:f>
        <x:v>OK</x:v>
      </x:c>
      <x:c r="W214" t="str">
        <x:f>IF(AND(T214="OK",U214="OK",V214="OK"),"OK","CHECK")</x:f>
        <x:v>OK</x:v>
      </x:c>
      <x:c r="X214" t="str">
        <x:f>IF(W214="OK","LOAD","QUARANTINE")</x:f>
        <x:v>LOAD</x:v>
      </x:c>
      <x:c r="Y214" t="str">
        <x:v>03_Process_Losses(6).xlsx</x:v>
      </x:c>
      <x:c r="Z214" t="str">
        <x:v>ENH-20260830-01</x:v>
      </x:c>
      <x:c r="AA214" t="str">
        <x:f>IF(X214="LOAD","Active","Quarantine")</x:f>
        <x:v>Active</x:v>
      </x:c>
      <x:c r="AB214"/>
      <x:c r="AC214"/>
      <x:c r="AD214"/>
      <x:c r="AE214"/>
    </x:row>
    <x:row r="215">
      <x:c r="A215" t="str">
        <x:v>PLD-000211</x:v>
      </x:c>
      <x:c r="B215" t="str">
        <x:v>LOSS-KG01-L22-20251022-PM-ORD-2025-00057</x:v>
      </x:c>
      <x:c r="C215" t="str">
        <x:v>PE-KG01-L22-20251022-PM-ORD-2025-00057</x:v>
      </x:c>
      <x:c r="D215" t="str">
        <x:v>KG01</x:v>
      </x:c>
      <x:c r="E215" t="n">
        <x:v>22</x:v>
      </x:c>
      <x:c r="F215" s="52" t="n">
        <x:v>45952</x:v>
      </x:c>
      <x:c r="G215" t="str">
        <x:v>PM</x:v>
      </x:c>
      <x:c r="H215" t="str">
        <x:v>ORD-2025-00057</x:v>
      </x:c>
      <x:c r="I215" t="str">
        <x:v>Normal</x:v>
      </x:c>
      <x:c r="J215" t="str">
        <x:v>PROC_IS</x:v>
      </x:c>
      <x:c r="K215" t="str">
        <x:v>IS Machine</x:v>
      </x:c>
      <x:c r="L215" s="54" t="n">
        <x:v>0.008600057670126874</x:v>
      </x:c>
      <x:c r="M215" t="n">
        <x:v>138720</x:v>
      </x:c>
      <x:c r="N215" t="n">
        <x:f>L215*M215</x:f>
        <x:v>1193</x:v>
      </x:c>
      <x:c r="O215"/>
      <x:c r="P215"/>
      <x:c r="Q215"/>
      <x:c r="R215"/>
      <x:c r="S215" s="52"/>
      <x:c r="T215" t="str">
        <x:v>OK</x:v>
      </x:c>
      <x:c r="U215" t="str">
        <x:f>IF(AND(ISNUMBER(L215),L215&gt;=0,L215&lt;=1),"OK","CHECK")</x:f>
        <x:v>OK</x:v>
      </x:c>
      <x:c r="V215" t="str">
        <x:f>IF(AND(ISNUMBER(N215),N215&gt;=0),"OK","CHECK")</x:f>
        <x:v>OK</x:v>
      </x:c>
      <x:c r="W215" t="str">
        <x:f>IF(AND(T215="OK",U215="OK",V215="OK"),"OK","CHECK")</x:f>
        <x:v>OK</x:v>
      </x:c>
      <x:c r="X215" t="str">
        <x:f>IF(W215="OK","LOAD","QUARANTINE")</x:f>
        <x:v>LOAD</x:v>
      </x:c>
      <x:c r="Y215" t="str">
        <x:v>03_Process_Losses(6).xlsx</x:v>
      </x:c>
      <x:c r="Z215" t="str">
        <x:v>ENH-20260830-01</x:v>
      </x:c>
      <x:c r="AA215" t="str">
        <x:f>IF(X215="LOAD","Active","Quarantine")</x:f>
        <x:v>Active</x:v>
      </x:c>
      <x:c r="AB215"/>
      <x:c r="AC215"/>
      <x:c r="AD215"/>
      <x:c r="AE215"/>
    </x:row>
    <x:row r="216">
      <x:c r="A216" t="str">
        <x:v>PLD-000212</x:v>
      </x:c>
      <x:c r="B216" t="str">
        <x:v>LOSS-KG01-L22-20251022-PM-ORD-2025-00057</x:v>
      </x:c>
      <x:c r="C216" t="str">
        <x:v>PE-KG01-L22-20251022-PM-ORD-2025-00057</x:v>
      </x:c>
      <x:c r="D216" t="str">
        <x:v>KG01</x:v>
      </x:c>
      <x:c r="E216" t="n">
        <x:v>22</x:v>
      </x:c>
      <x:c r="F216" s="52" t="n">
        <x:v>45952</x:v>
      </x:c>
      <x:c r="G216" t="str">
        <x:v>PM</x:v>
      </x:c>
      <x:c r="H216" t="str">
        <x:v>ORD-2025-00057</x:v>
      </x:c>
      <x:c r="I216" t="str">
        <x:v>Normal</x:v>
      </x:c>
      <x:c r="J216" t="str">
        <x:v>PROC_HE_CONVEYER</x:v>
      </x:c>
      <x:c r="K216" t="str">
        <x:v>Hot End</x:v>
      </x:c>
      <x:c r="L216" s="54" t="n">
        <x:v>0.004022491349480969</x:v>
      </x:c>
      <x:c r="M216" t="n">
        <x:v>138720</x:v>
      </x:c>
      <x:c r="N216" t="n">
        <x:f>L216*M216</x:f>
        <x:v>558</x:v>
      </x:c>
      <x:c r="O216"/>
      <x:c r="P216"/>
      <x:c r="Q216"/>
      <x:c r="R216"/>
      <x:c r="S216" s="52"/>
      <x:c r="T216" t="str">
        <x:v>OK</x:v>
      </x:c>
      <x:c r="U216" t="str">
        <x:f>IF(AND(ISNUMBER(L216),L216&gt;=0,L216&lt;=1),"OK","CHECK")</x:f>
        <x:v>OK</x:v>
      </x:c>
      <x:c r="V216" t="str">
        <x:f>IF(AND(ISNUMBER(N216),N216&gt;=0),"OK","CHECK")</x:f>
        <x:v>OK</x:v>
      </x:c>
      <x:c r="W216" t="str">
        <x:f>IF(AND(T216="OK",U216="OK",V216="OK"),"OK","CHECK")</x:f>
        <x:v>OK</x:v>
      </x:c>
      <x:c r="X216" t="str">
        <x:f>IF(W216="OK","LOAD","QUARANTINE")</x:f>
        <x:v>LOAD</x:v>
      </x:c>
      <x:c r="Y216" t="str">
        <x:v>03_Process_Losses(6).xlsx</x:v>
      </x:c>
      <x:c r="Z216" t="str">
        <x:v>ENH-20260830-01</x:v>
      </x:c>
      <x:c r="AA216" t="str">
        <x:f>IF(X216="LOAD","Active","Quarantine")</x:f>
        <x:v>Active</x:v>
      </x:c>
      <x:c r="AB216"/>
      <x:c r="AC216"/>
      <x:c r="AD216"/>
      <x:c r="AE216"/>
    </x:row>
    <x:row r="217">
      <x:c r="A217" t="str">
        <x:v>PLD-000213</x:v>
      </x:c>
      <x:c r="B217" t="str">
        <x:v>LOSS-KG01-L22-20251022-PM-ORD-2025-00057</x:v>
      </x:c>
      <x:c r="C217" t="str">
        <x:v>PE-KG01-L22-20251022-PM-ORD-2025-00057</x:v>
      </x:c>
      <x:c r="D217" t="str">
        <x:v>KG01</x:v>
      </x:c>
      <x:c r="E217" t="n">
        <x:v>22</x:v>
      </x:c>
      <x:c r="F217" s="52" t="n">
        <x:v>45952</x:v>
      </x:c>
      <x:c r="G217" t="str">
        <x:v>PM</x:v>
      </x:c>
      <x:c r="H217" t="str">
        <x:v>ORD-2025-00057</x:v>
      </x:c>
      <x:c r="I217" t="str">
        <x:v>Normal</x:v>
      </x:c>
      <x:c r="J217" t="str">
        <x:v>PROC_STUCKDOWN</x:v>
      </x:c>
      <x:c r="K217" t="str">
        <x:v>Forming</x:v>
      </x:c>
      <x:c r="L217" s="54" t="n">
        <x:v>0.0012399077277970012</x:v>
      </x:c>
      <x:c r="M217" t="n">
        <x:v>138720</x:v>
      </x:c>
      <x:c r="N217" t="n">
        <x:f>L217*M217</x:f>
        <x:v>172</x:v>
      </x:c>
      <x:c r="O217"/>
      <x:c r="P217"/>
      <x:c r="Q217"/>
      <x:c r="R217"/>
      <x:c r="S217" s="52"/>
      <x:c r="T217" t="str">
        <x:v>OK</x:v>
      </x:c>
      <x:c r="U217" t="str">
        <x:f>IF(AND(ISNUMBER(L217),L217&gt;=0,L217&lt;=1),"OK","CHECK")</x:f>
        <x:v>OK</x:v>
      </x:c>
      <x:c r="V217" t="str">
        <x:f>IF(AND(ISNUMBER(N217),N217&gt;=0),"OK","CHECK")</x:f>
        <x:v>OK</x:v>
      </x:c>
      <x:c r="W217" t="str">
        <x:f>IF(AND(T217="OK",U217="OK",V217="OK"),"OK","CHECK")</x:f>
        <x:v>OK</x:v>
      </x:c>
      <x:c r="X217" t="str">
        <x:f>IF(W217="OK","LOAD","QUARANTINE")</x:f>
        <x:v>LOAD</x:v>
      </x:c>
      <x:c r="Y217" t="str">
        <x:v>03_Process_Losses(6).xlsx</x:v>
      </x:c>
      <x:c r="Z217" t="str">
        <x:v>ENH-20260830-01</x:v>
      </x:c>
      <x:c r="AA217" t="str">
        <x:f>IF(X217="LOAD","Active","Quarantine")</x:f>
        <x:v>Active</x:v>
      </x:c>
      <x:c r="AB217"/>
      <x:c r="AC217"/>
      <x:c r="AD217"/>
      <x:c r="AE217"/>
    </x:row>
    <x:row r="218">
      <x:c r="A218" t="str">
        <x:v>PLD-000214</x:v>
      </x:c>
      <x:c r="B218" t="str">
        <x:v>LOSS-KG01-L22-20251022-PM-ORD-2025-00057</x:v>
      </x:c>
      <x:c r="C218" t="str">
        <x:v>PE-KG01-L22-20251022-PM-ORD-2025-00057</x:v>
      </x:c>
      <x:c r="D218" t="str">
        <x:v>KG01</x:v>
      </x:c>
      <x:c r="E218" t="n">
        <x:v>22</x:v>
      </x:c>
      <x:c r="F218" s="52" t="n">
        <x:v>45952</x:v>
      </x:c>
      <x:c r="G218" t="str">
        <x:v>PM</x:v>
      </x:c>
      <x:c r="H218" t="str">
        <x:v>ORD-2025-00057</x:v>
      </x:c>
      <x:c r="I218" t="str">
        <x:v>Normal</x:v>
      </x:c>
      <x:c r="J218" t="str">
        <x:v>PROC_LEHR</x:v>
      </x:c>
      <x:c r="K218" t="str">
        <x:v>Lehr</x:v>
      </x:c>
      <x:c r="L218" s="54" t="n">
        <x:v>0.005810265282583622</x:v>
      </x:c>
      <x:c r="M218" t="n">
        <x:v>138720</x:v>
      </x:c>
      <x:c r="N218" t="n">
        <x:f>L218*M218</x:f>
        <x:v>806</x:v>
      </x:c>
      <x:c r="O218"/>
      <x:c r="P218"/>
      <x:c r="Q218"/>
      <x:c r="R218"/>
      <x:c r="S218" s="52"/>
      <x:c r="T218" t="str">
        <x:v>OK</x:v>
      </x:c>
      <x:c r="U218" t="str">
        <x:f>IF(AND(ISNUMBER(L218),L218&gt;=0,L218&lt;=1),"OK","CHECK")</x:f>
        <x:v>OK</x:v>
      </x:c>
      <x:c r="V218" t="str">
        <x:f>IF(AND(ISNUMBER(N218),N218&gt;=0),"OK","CHECK")</x:f>
        <x:v>OK</x:v>
      </x:c>
      <x:c r="W218" t="str">
        <x:f>IF(AND(T218="OK",U218="OK",V218="OK"),"OK","CHECK")</x:f>
        <x:v>OK</x:v>
      </x:c>
      <x:c r="X218" t="str">
        <x:f>IF(W218="OK","LOAD","QUARANTINE")</x:f>
        <x:v>LOAD</x:v>
      </x:c>
      <x:c r="Y218" t="str">
        <x:v>03_Process_Losses(6).xlsx</x:v>
      </x:c>
      <x:c r="Z218" t="str">
        <x:v>ENH-20260830-01</x:v>
      </x:c>
      <x:c r="AA218" t="str">
        <x:f>IF(X218="LOAD","Active","Quarantine")</x:f>
        <x:v>Active</x:v>
      </x:c>
      <x:c r="AB218"/>
      <x:c r="AC218"/>
      <x:c r="AD218"/>
      <x:c r="AE218"/>
    </x:row>
    <x:row r="219">
      <x:c r="A219" t="str">
        <x:v>PLD-000215</x:v>
      </x:c>
      <x:c r="B219" t="str">
        <x:v>LOSS-KG01-L22-20251022-PM-ORD-2025-00057</x:v>
      </x:c>
      <x:c r="C219" t="str">
        <x:v>PE-KG01-L22-20251022-PM-ORD-2025-00057</x:v>
      </x:c>
      <x:c r="D219" t="str">
        <x:v>KG01</x:v>
      </x:c>
      <x:c r="E219" t="n">
        <x:v>22</x:v>
      </x:c>
      <x:c r="F219" s="52" t="n">
        <x:v>45952</x:v>
      </x:c>
      <x:c r="G219" t="str">
        <x:v>PM</x:v>
      </x:c>
      <x:c r="H219" t="str">
        <x:v>ORD-2025-00057</x:v>
      </x:c>
      <x:c r="I219" t="str">
        <x:v>Normal</x:v>
      </x:c>
      <x:c r="J219" t="str">
        <x:v>PROC_EVO16</x:v>
      </x:c>
      <x:c r="K219" t="str">
        <x:v>Inspection</x:v>
      </x:c>
      <x:c r="L219" s="54" t="n">
        <x:v>0.0024149365628604383</x:v>
      </x:c>
      <x:c r="M219" t="n">
        <x:v>138720</x:v>
      </x:c>
      <x:c r="N219" t="n">
        <x:f>L219*M219</x:f>
        <x:v>335</x:v>
      </x:c>
      <x:c r="O219"/>
      <x:c r="P219"/>
      <x:c r="Q219"/>
      <x:c r="R219"/>
      <x:c r="S219" s="52"/>
      <x:c r="T219" t="str">
        <x:v>OK</x:v>
      </x:c>
      <x:c r="U219" t="str">
        <x:f>IF(AND(ISNUMBER(L219),L219&gt;=0,L219&lt;=1),"OK","CHECK")</x:f>
        <x:v>OK</x:v>
      </x:c>
      <x:c r="V219" t="str">
        <x:f>IF(AND(ISNUMBER(N219),N219&gt;=0),"OK","CHECK")</x:f>
        <x:v>OK</x:v>
      </x:c>
      <x:c r="W219" t="str">
        <x:f>IF(AND(T219="OK",U219="OK",V219="OK"),"OK","CHECK")</x:f>
        <x:v>OK</x:v>
      </x:c>
      <x:c r="X219" t="str">
        <x:f>IF(W219="OK","LOAD","QUARANTINE")</x:f>
        <x:v>LOAD</x:v>
      </x:c>
      <x:c r="Y219" t="str">
        <x:v>03_Process_Losses(6).xlsx</x:v>
      </x:c>
      <x:c r="Z219" t="str">
        <x:v>ENH-20260830-01</x:v>
      </x:c>
      <x:c r="AA219" t="str">
        <x:f>IF(X219="LOAD","Active","Quarantine")</x:f>
        <x:v>Active</x:v>
      </x:c>
      <x:c r="AB219"/>
      <x:c r="AC219"/>
      <x:c r="AD219"/>
      <x:c r="AE219"/>
    </x:row>
    <x:row r="220">
      <x:c r="A220" t="str">
        <x:v>PLD-000216</x:v>
      </x:c>
      <x:c r="B220" t="str">
        <x:v>LOSS-KG01-L22-20251022-PM-ORD-2025-00057</x:v>
      </x:c>
      <x:c r="C220" t="str">
        <x:v>PE-KG01-L22-20251022-PM-ORD-2025-00057</x:v>
      </x:c>
      <x:c r="D220" t="str">
        <x:v>KG01</x:v>
      </x:c>
      <x:c r="E220" t="n">
        <x:v>22</x:v>
      </x:c>
      <x:c r="F220" s="52" t="n">
        <x:v>45952</x:v>
      </x:c>
      <x:c r="G220" t="str">
        <x:v>PM</x:v>
      </x:c>
      <x:c r="H220" t="str">
        <x:v>ORD-2025-00057</x:v>
      </x:c>
      <x:c r="I220" t="str">
        <x:v>Normal</x:v>
      </x:c>
      <x:c r="J220" t="str">
        <x:v>PROC_EVO12</x:v>
      </x:c>
      <x:c r="K220" t="str">
        <x:v>Inspection</x:v>
      </x:c>
      <x:c r="L220" s="54" t="n">
        <x:v>0.0010308535178777394</x:v>
      </x:c>
      <x:c r="M220" t="n">
        <x:v>138720</x:v>
      </x:c>
      <x:c r="N220" t="n">
        <x:f>L220*M220</x:f>
        <x:v>143</x:v>
      </x:c>
      <x:c r="O220"/>
      <x:c r="P220"/>
      <x:c r="Q220"/>
      <x:c r="R220"/>
      <x:c r="S220" s="52"/>
      <x:c r="T220" t="str">
        <x:v>OK</x:v>
      </x:c>
      <x:c r="U220" t="str">
        <x:f>IF(AND(ISNUMBER(L220),L220&gt;=0,L220&lt;=1),"OK","CHECK")</x:f>
        <x:v>OK</x:v>
      </x:c>
      <x:c r="V220" t="str">
        <x:f>IF(AND(ISNUMBER(N220),N220&gt;=0),"OK","CHECK")</x:f>
        <x:v>OK</x:v>
      </x:c>
      <x:c r="W220" t="str">
        <x:f>IF(AND(T220="OK",U220="OK",V220="OK"),"OK","CHECK")</x:f>
        <x:v>OK</x:v>
      </x:c>
      <x:c r="X220" t="str">
        <x:f>IF(W220="OK","LOAD","QUARANTINE")</x:f>
        <x:v>LOAD</x:v>
      </x:c>
      <x:c r="Y220" t="str">
        <x:v>03_Process_Losses(6).xlsx</x:v>
      </x:c>
      <x:c r="Z220" t="str">
        <x:v>ENH-20260830-01</x:v>
      </x:c>
      <x:c r="AA220" t="str">
        <x:f>IF(X220="LOAD","Active","Quarantine")</x:f>
        <x:v>Active</x:v>
      </x:c>
      <x:c r="AB220"/>
      <x:c r="AC220"/>
      <x:c r="AD220"/>
      <x:c r="AE220"/>
    </x:row>
    <x:row r="221">
      <x:c r="A221" t="str">
        <x:v>PLD-000217</x:v>
      </x:c>
      <x:c r="B221" t="str">
        <x:v>LOSS-KG01-L22-20251022-PM-ORD-2025-00057</x:v>
      </x:c>
      <x:c r="C221" t="str">
        <x:v>PE-KG01-L22-20251022-PM-ORD-2025-00057</x:v>
      </x:c>
      <x:c r="D221" t="str">
        <x:v>KG01</x:v>
      </x:c>
      <x:c r="E221" t="n">
        <x:v>22</x:v>
      </x:c>
      <x:c r="F221" s="52" t="n">
        <x:v>45952</x:v>
      </x:c>
      <x:c r="G221" t="str">
        <x:v>PM</x:v>
      </x:c>
      <x:c r="H221" t="str">
        <x:v>ORD-2025-00057</x:v>
      </x:c>
      <x:c r="I221" t="str">
        <x:v>Normal</x:v>
      </x:c>
      <x:c r="J221" t="str">
        <x:v>PROC_EVO5</x:v>
      </x:c>
      <x:c r="K221" t="str">
        <x:v>Inspection</x:v>
      </x:c>
      <x:c r="L221" s="54" t="n">
        <x:v>0.0011101499423298731</x:v>
      </x:c>
      <x:c r="M221" t="n">
        <x:v>138720</x:v>
      </x:c>
      <x:c r="N221" t="n">
        <x:f>L221*M221</x:f>
        <x:v>154</x:v>
      </x:c>
      <x:c r="O221"/>
      <x:c r="P221"/>
      <x:c r="Q221"/>
      <x:c r="R221"/>
      <x:c r="S221" s="52"/>
      <x:c r="T221" t="str">
        <x:v>OK</x:v>
      </x:c>
      <x:c r="U221" t="str">
        <x:f>IF(AND(ISNUMBER(L221),L221&gt;=0,L221&lt;=1),"OK","CHECK")</x:f>
        <x:v>OK</x:v>
      </x:c>
      <x:c r="V221" t="str">
        <x:f>IF(AND(ISNUMBER(N221),N221&gt;=0),"OK","CHECK")</x:f>
        <x:v>OK</x:v>
      </x:c>
      <x:c r="W221" t="str">
        <x:f>IF(AND(T221="OK",U221="OK",V221="OK"),"OK","CHECK")</x:f>
        <x:v>OK</x:v>
      </x:c>
      <x:c r="X221" t="str">
        <x:f>IF(W221="OK","LOAD","QUARANTINE")</x:f>
        <x:v>LOAD</x:v>
      </x:c>
      <x:c r="Y221" t="str">
        <x:v>03_Process_Losses(6).xlsx</x:v>
      </x:c>
      <x:c r="Z221" t="str">
        <x:v>ENH-20260830-01</x:v>
      </x:c>
      <x:c r="AA221" t="str">
        <x:f>IF(X221="LOAD","Active","Quarantine")</x:f>
        <x:v>Active</x:v>
      </x:c>
      <x:c r="AB221"/>
      <x:c r="AC221"/>
      <x:c r="AD221"/>
      <x:c r="AE221"/>
    </x:row>
    <x:row r="222">
      <x:c r="A222" t="str">
        <x:v>PLD-000218</x:v>
      </x:c>
      <x:c r="B222" t="str">
        <x:v>LOSS-KG01-L22-20251022-PM-ORD-2025-00057</x:v>
      </x:c>
      <x:c r="C222" t="str">
        <x:v>PE-KG01-L22-20251022-PM-ORD-2025-00057</x:v>
      </x:c>
      <x:c r="D222" t="str">
        <x:v>KG01</x:v>
      </x:c>
      <x:c r="E222" t="n">
        <x:v>22</x:v>
      </x:c>
      <x:c r="F222" s="52" t="n">
        <x:v>45952</x:v>
      </x:c>
      <x:c r="G222" t="str">
        <x:v>PM</x:v>
      </x:c>
      <x:c r="H222" t="str">
        <x:v>ORD-2025-00057</x:v>
      </x:c>
      <x:c r="I222" t="str">
        <x:v>Normal</x:v>
      </x:c>
      <x:c r="J222" t="str">
        <x:v>PROC_SANLI</x:v>
      </x:c>
      <x:c r="K222" t="str">
        <x:v>Inspection</x:v>
      </x:c>
      <x:c r="L222" s="54" t="n">
        <x:v>0.0012038638985005768</x:v>
      </x:c>
      <x:c r="M222" t="n">
        <x:v>138720</x:v>
      </x:c>
      <x:c r="N222" t="n">
        <x:f>L222*M222</x:f>
        <x:v>167</x:v>
      </x:c>
      <x:c r="O222"/>
      <x:c r="P222"/>
      <x:c r="Q222"/>
      <x:c r="R222"/>
      <x:c r="S222" s="52"/>
      <x:c r="T222" t="str">
        <x:v>OK</x:v>
      </x:c>
      <x:c r="U222" t="str">
        <x:f>IF(AND(ISNUMBER(L222),L222&gt;=0,L222&lt;=1),"OK","CHECK")</x:f>
        <x:v>OK</x:v>
      </x:c>
      <x:c r="V222" t="str">
        <x:f>IF(AND(ISNUMBER(N222),N222&gt;=0),"OK","CHECK")</x:f>
        <x:v>OK</x:v>
      </x:c>
      <x:c r="W222" t="str">
        <x:f>IF(AND(T222="OK",U222="OK",V222="OK"),"OK","CHECK")</x:f>
        <x:v>OK</x:v>
      </x:c>
      <x:c r="X222" t="str">
        <x:f>IF(W222="OK","LOAD","QUARANTINE")</x:f>
        <x:v>LOAD</x:v>
      </x:c>
      <x:c r="Y222" t="str">
        <x:v>03_Process_Losses(6).xlsx</x:v>
      </x:c>
      <x:c r="Z222" t="str">
        <x:v>ENH-20260830-01</x:v>
      </x:c>
      <x:c r="AA222" t="str">
        <x:f>IF(X222="LOAD","Active","Quarantine")</x:f>
        <x:v>Active</x:v>
      </x:c>
      <x:c r="AB222"/>
      <x:c r="AC222"/>
      <x:c r="AD222"/>
      <x:c r="AE222"/>
    </x:row>
    <x:row r="223">
      <x:c r="A223" t="str">
        <x:v>PLD-000219</x:v>
      </x:c>
      <x:c r="B223" t="str">
        <x:v>LOSS-KG01-L22-20251022-PM-ORD-2025-00057</x:v>
      </x:c>
      <x:c r="C223" t="str">
        <x:v>PE-KG01-L22-20251022-PM-ORD-2025-00057</x:v>
      </x:c>
      <x:c r="D223" t="str">
        <x:v>KG01</x:v>
      </x:c>
      <x:c r="E223" t="n">
        <x:v>22</x:v>
      </x:c>
      <x:c r="F223" s="52" t="n">
        <x:v>45952</x:v>
      </x:c>
      <x:c r="G223" t="str">
        <x:v>PM</x:v>
      </x:c>
      <x:c r="H223" t="str">
        <x:v>ORD-2025-00057</x:v>
      </x:c>
      <x:c r="I223" t="str">
        <x:v>Normal</x:v>
      </x:c>
      <x:c r="J223" t="str">
        <x:v>PROC_VISUAL</x:v>
      </x:c>
      <x:c r="K223" t="str">
        <x:v>Inspection</x:v>
      </x:c>
      <x:c r="L223" s="54" t="n">
        <x:v>0.005320069204152249</x:v>
      </x:c>
      <x:c r="M223" t="n">
        <x:v>138720</x:v>
      </x:c>
      <x:c r="N223" t="n">
        <x:f>L223*M223</x:f>
        <x:v>738</x:v>
      </x:c>
      <x:c r="O223"/>
      <x:c r="P223"/>
      <x:c r="Q223"/>
      <x:c r="R223"/>
      <x:c r="S223" s="52"/>
      <x:c r="T223" t="str">
        <x:v>OK</x:v>
      </x:c>
      <x:c r="U223" t="str">
        <x:f>IF(AND(ISNUMBER(L223),L223&gt;=0,L223&lt;=1),"OK","CHECK")</x:f>
        <x:v>OK</x:v>
      </x:c>
      <x:c r="V223" t="str">
        <x:f>IF(AND(ISNUMBER(N223),N223&gt;=0),"OK","CHECK")</x:f>
        <x:v>OK</x:v>
      </x:c>
      <x:c r="W223" t="str">
        <x:f>IF(AND(T223="OK",U223="OK",V223="OK"),"OK","CHECK")</x:f>
        <x:v>OK</x:v>
      </x:c>
      <x:c r="X223" t="str">
        <x:f>IF(W223="OK","LOAD","QUARANTINE")</x:f>
        <x:v>LOAD</x:v>
      </x:c>
      <x:c r="Y223" t="str">
        <x:v>03_Process_Losses(6).xlsx</x:v>
      </x:c>
      <x:c r="Z223" t="str">
        <x:v>ENH-20260830-01</x:v>
      </x:c>
      <x:c r="AA223" t="str">
        <x:f>IF(X223="LOAD","Active","Quarantine")</x:f>
        <x:v>Active</x:v>
      </x:c>
      <x:c r="AB223"/>
      <x:c r="AC223"/>
      <x:c r="AD223"/>
      <x:c r="AE223"/>
    </x:row>
    <x:row r="224">
      <x:c r="A224" t="str">
        <x:v>PLD-000220</x:v>
      </x:c>
      <x:c r="B224" t="str">
        <x:v>LOSS-KG01-L22-20251022-PM-ORD-2025-00057</x:v>
      </x:c>
      <x:c r="C224" t="str">
        <x:v>PE-KG01-L22-20251022-PM-ORD-2025-00057</x:v>
      </x:c>
      <x:c r="D224" t="str">
        <x:v>KG01</x:v>
      </x:c>
      <x:c r="E224" t="n">
        <x:v>22</x:v>
      </x:c>
      <x:c r="F224" s="52" t="n">
        <x:v>45952</x:v>
      </x:c>
      <x:c r="G224" t="str">
        <x:v>PM</x:v>
      </x:c>
      <x:c r="H224" t="str">
        <x:v>ORD-2025-00057</x:v>
      </x:c>
      <x:c r="I224" t="str">
        <x:v>Normal</x:v>
      </x:c>
      <x:c r="J224" t="str">
        <x:v>PROC_PALLETIZER</x:v>
      </x:c>
      <x:c r="K224" t="str">
        <x:v>Palletizer</x:v>
      </x:c>
      <x:c r="L224" s="54" t="n">
        <x:v>0.0029411764705882353</x:v>
      </x:c>
      <x:c r="M224" t="n">
        <x:v>138720</x:v>
      </x:c>
      <x:c r="N224" t="n">
        <x:f>L224*M224</x:f>
        <x:v>408</x:v>
      </x:c>
      <x:c r="O224"/>
      <x:c r="P224"/>
      <x:c r="Q224"/>
      <x:c r="R224"/>
      <x:c r="S224" s="52"/>
      <x:c r="T224" t="str">
        <x:v>OK</x:v>
      </x:c>
      <x:c r="U224" t="str">
        <x:f>IF(AND(ISNUMBER(L224),L224&gt;=0,L224&lt;=1),"OK","CHECK")</x:f>
        <x:v>OK</x:v>
      </x:c>
      <x:c r="V224" t="str">
        <x:f>IF(AND(ISNUMBER(N224),N224&gt;=0),"OK","CHECK")</x:f>
        <x:v>OK</x:v>
      </x:c>
      <x:c r="W224" t="str">
        <x:f>IF(AND(T224="OK",U224="OK",V224="OK"),"OK","CHECK")</x:f>
        <x:v>OK</x:v>
      </x:c>
      <x:c r="X224" t="str">
        <x:f>IF(W224="OK","LOAD","QUARANTINE")</x:f>
        <x:v>LOAD</x:v>
      </x:c>
      <x:c r="Y224" t="str">
        <x:v>03_Process_Losses(6).xlsx</x:v>
      </x:c>
      <x:c r="Z224" t="str">
        <x:v>ENH-20260830-01</x:v>
      </x:c>
      <x:c r="AA224" t="str">
        <x:f>IF(X224="LOAD","Active","Quarantine")</x:f>
        <x:v>Active</x:v>
      </x:c>
      <x:c r="AB224"/>
      <x:c r="AC224"/>
      <x:c r="AD224"/>
      <x:c r="AE224"/>
    </x:row>
    <x:row r="225">
      <x:c r="A225" t="str">
        <x:v>PLD-000221</x:v>
      </x:c>
      <x:c r="B225" t="str">
        <x:v>LOSS-KG01-L22-20251023-AM-ORD-2025-00057</x:v>
      </x:c>
      <x:c r="C225" t="str">
        <x:v>PE-KG01-L22-20251023-AM-ORD-2025-00057</x:v>
      </x:c>
      <x:c r="D225" t="str">
        <x:v>KG01</x:v>
      </x:c>
      <x:c r="E225" t="n">
        <x:v>22</x:v>
      </x:c>
      <x:c r="F225" s="52" t="n">
        <x:v>45953</x:v>
      </x:c>
      <x:c r="G225" t="str">
        <x:v>AM</x:v>
      </x:c>
      <x:c r="H225" t="str">
        <x:v>ORD-2025-00057</x:v>
      </x:c>
      <x:c r="I225" t="str">
        <x:v>Normal</x:v>
      </x:c>
      <x:c r="J225" t="str">
        <x:v>PROC_FIXED</x:v>
      </x:c>
      <x:c r="K225" t="str">
        <x:v>Fixed Losses</x:v>
      </x:c>
      <x:c r="L225" s="54" t="n">
        <x:v>0.004864672364672365</x:v>
      </x:c>
      <x:c r="M225" t="n">
        <x:v>140400</x:v>
      </x:c>
      <x:c r="N225" t="n">
        <x:f>L225*M225</x:f>
        <x:v>683</x:v>
      </x:c>
      <x:c r="O225"/>
      <x:c r="P225"/>
      <x:c r="Q225"/>
      <x:c r="R225"/>
      <x:c r="S225" s="52"/>
      <x:c r="T225" t="str">
        <x:v>OK</x:v>
      </x:c>
      <x:c r="U225" t="str">
        <x:f>IF(AND(ISNUMBER(L225),L225&gt;=0,L225&lt;=1),"OK","CHECK")</x:f>
        <x:v>OK</x:v>
      </x:c>
      <x:c r="V225" t="str">
        <x:f>IF(AND(ISNUMBER(N225),N225&gt;=0),"OK","CHECK")</x:f>
        <x:v>OK</x:v>
      </x:c>
      <x:c r="W225" t="str">
        <x:f>IF(AND(T225="OK",U225="OK",V225="OK"),"OK","CHECK")</x:f>
        <x:v>OK</x:v>
      </x:c>
      <x:c r="X225" t="str">
        <x:f>IF(W225="OK","LOAD","QUARANTINE")</x:f>
        <x:v>LOAD</x:v>
      </x:c>
      <x:c r="Y225" t="str">
        <x:v>03_Process_Losses(6).xlsx</x:v>
      </x:c>
      <x:c r="Z225" t="str">
        <x:v>ENH-20260830-01</x:v>
      </x:c>
      <x:c r="AA225" t="str">
        <x:f>IF(X225="LOAD","Active","Quarantine")</x:f>
        <x:v>Active</x:v>
      </x:c>
      <x:c r="AB225"/>
      <x:c r="AC225"/>
      <x:c r="AD225"/>
      <x:c r="AE225"/>
    </x:row>
    <x:row r="226">
      <x:c r="A226" t="str">
        <x:v>PLD-000222</x:v>
      </x:c>
      <x:c r="B226" t="str">
        <x:v>LOSS-KG01-L22-20251023-AM-ORD-2025-00057</x:v>
      </x:c>
      <x:c r="C226" t="str">
        <x:v>PE-KG01-L22-20251023-AM-ORD-2025-00057</x:v>
      </x:c>
      <x:c r="D226" t="str">
        <x:v>KG01</x:v>
      </x:c>
      <x:c r="E226" t="n">
        <x:v>22</x:v>
      </x:c>
      <x:c r="F226" s="52" t="n">
        <x:v>45953</x:v>
      </x:c>
      <x:c r="G226" t="str">
        <x:v>AM</x:v>
      </x:c>
      <x:c r="H226" t="str">
        <x:v>ORD-2025-00057</x:v>
      </x:c>
      <x:c r="I226" t="str">
        <x:v>Normal</x:v>
      </x:c>
      <x:c r="J226" t="str">
        <x:v>PROC_IS</x:v>
      </x:c>
      <x:c r="K226" t="str">
        <x:v>IS Machine</x:v>
      </x:c>
      <x:c r="L226" s="54" t="n">
        <x:v>0.013482905982905982</x:v>
      </x:c>
      <x:c r="M226" t="n">
        <x:v>140400</x:v>
      </x:c>
      <x:c r="N226" t="n">
        <x:f>L226*M226</x:f>
        <x:v>1893</x:v>
      </x:c>
      <x:c r="O226"/>
      <x:c r="P226"/>
      <x:c r="Q226"/>
      <x:c r="R226"/>
      <x:c r="S226" s="52"/>
      <x:c r="T226" t="str">
        <x:v>OK</x:v>
      </x:c>
      <x:c r="U226" t="str">
        <x:f>IF(AND(ISNUMBER(L226),L226&gt;=0,L226&lt;=1),"OK","CHECK")</x:f>
        <x:v>OK</x:v>
      </x:c>
      <x:c r="V226" t="str">
        <x:f>IF(AND(ISNUMBER(N226),N226&gt;=0),"OK","CHECK")</x:f>
        <x:v>OK</x:v>
      </x:c>
      <x:c r="W226" t="str">
        <x:f>IF(AND(T226="OK",U226="OK",V226="OK"),"OK","CHECK")</x:f>
        <x:v>OK</x:v>
      </x:c>
      <x:c r="X226" t="str">
        <x:f>IF(W226="OK","LOAD","QUARANTINE")</x:f>
        <x:v>LOAD</x:v>
      </x:c>
      <x:c r="Y226" t="str">
        <x:v>03_Process_Losses(6).xlsx</x:v>
      </x:c>
      <x:c r="Z226" t="str">
        <x:v>ENH-20260830-01</x:v>
      </x:c>
      <x:c r="AA226" t="str">
        <x:f>IF(X226="LOAD","Active","Quarantine")</x:f>
        <x:v>Active</x:v>
      </x:c>
      <x:c r="AB226"/>
      <x:c r="AC226"/>
      <x:c r="AD226"/>
      <x:c r="AE226"/>
    </x:row>
    <x:row r="227">
      <x:c r="A227" t="str">
        <x:v>PLD-000223</x:v>
      </x:c>
      <x:c r="B227" t="str">
        <x:v>LOSS-KG01-L22-20251023-AM-ORD-2025-00057</x:v>
      </x:c>
      <x:c r="C227" t="str">
        <x:v>PE-KG01-L22-20251023-AM-ORD-2025-00057</x:v>
      </x:c>
      <x:c r="D227" t="str">
        <x:v>KG01</x:v>
      </x:c>
      <x:c r="E227" t="n">
        <x:v>22</x:v>
      </x:c>
      <x:c r="F227" s="52" t="n">
        <x:v>45953</x:v>
      </x:c>
      <x:c r="G227" t="str">
        <x:v>AM</x:v>
      </x:c>
      <x:c r="H227" t="str">
        <x:v>ORD-2025-00057</x:v>
      </x:c>
      <x:c r="I227" t="str">
        <x:v>Normal</x:v>
      </x:c>
      <x:c r="J227" t="str">
        <x:v>PROC_HE_CONVEYER</x:v>
      </x:c>
      <x:c r="K227" t="str">
        <x:v>Hot End</x:v>
      </x:c>
      <x:c r="L227" s="54" t="n">
        <x:v>0.0040028490028490024</x:v>
      </x:c>
      <x:c r="M227" t="n">
        <x:v>140400</x:v>
      </x:c>
      <x:c r="N227" t="n">
        <x:f>L227*M227</x:f>
        <x:v>562</x:v>
      </x:c>
      <x:c r="O227"/>
      <x:c r="P227"/>
      <x:c r="Q227"/>
      <x:c r="R227"/>
      <x:c r="S227" s="52"/>
      <x:c r="T227" t="str">
        <x:v>OK</x:v>
      </x:c>
      <x:c r="U227" t="str">
        <x:f>IF(AND(ISNUMBER(L227),L227&gt;=0,L227&lt;=1),"OK","CHECK")</x:f>
        <x:v>OK</x:v>
      </x:c>
      <x:c r="V227" t="str">
        <x:f>IF(AND(ISNUMBER(N227),N227&gt;=0),"OK","CHECK")</x:f>
        <x:v>OK</x:v>
      </x:c>
      <x:c r="W227" t="str">
        <x:f>IF(AND(T227="OK",U227="OK",V227="OK"),"OK","CHECK")</x:f>
        <x:v>OK</x:v>
      </x:c>
      <x:c r="X227" t="str">
        <x:f>IF(W227="OK","LOAD","QUARANTINE")</x:f>
        <x:v>LOAD</x:v>
      </x:c>
      <x:c r="Y227" t="str">
        <x:v>03_Process_Losses(6).xlsx</x:v>
      </x:c>
      <x:c r="Z227" t="str">
        <x:v>ENH-20260830-01</x:v>
      </x:c>
      <x:c r="AA227" t="str">
        <x:f>IF(X227="LOAD","Active","Quarantine")</x:f>
        <x:v>Active</x:v>
      </x:c>
      <x:c r="AB227"/>
      <x:c r="AC227"/>
      <x:c r="AD227"/>
      <x:c r="AE227"/>
    </x:row>
    <x:row r="228">
      <x:c r="A228" t="str">
        <x:v>PLD-000224</x:v>
      </x:c>
      <x:c r="B228" t="str">
        <x:v>LOSS-KG01-L22-20251023-AM-ORD-2025-00057</x:v>
      </x:c>
      <x:c r="C228" t="str">
        <x:v>PE-KG01-L22-20251023-AM-ORD-2025-00057</x:v>
      </x:c>
      <x:c r="D228" t="str">
        <x:v>KG01</x:v>
      </x:c>
      <x:c r="E228" t="n">
        <x:v>22</x:v>
      </x:c>
      <x:c r="F228" s="52" t="n">
        <x:v>45953</x:v>
      </x:c>
      <x:c r="G228" t="str">
        <x:v>AM</x:v>
      </x:c>
      <x:c r="H228" t="str">
        <x:v>ORD-2025-00057</x:v>
      </x:c>
      <x:c r="I228" t="str">
        <x:v>Normal</x:v>
      </x:c>
      <x:c r="J228" t="str">
        <x:v>PROC_STUCKDOWN</x:v>
      </x:c>
      <x:c r="K228" t="str">
        <x:v>Forming</x:v>
      </x:c>
      <x:c r="L228" s="54" t="n">
        <x:v>0.005270655270655271</x:v>
      </x:c>
      <x:c r="M228" t="n">
        <x:v>140400</x:v>
      </x:c>
      <x:c r="N228" t="n">
        <x:f>L228*M228</x:f>
        <x:v>740</x:v>
      </x:c>
      <x:c r="O228"/>
      <x:c r="P228"/>
      <x:c r="Q228"/>
      <x:c r="R228"/>
      <x:c r="S228" s="52"/>
      <x:c r="T228" t="str">
        <x:v>OK</x:v>
      </x:c>
      <x:c r="U228" t="str">
        <x:f>IF(AND(ISNUMBER(L228),L228&gt;=0,L228&lt;=1),"OK","CHECK")</x:f>
        <x:v>OK</x:v>
      </x:c>
      <x:c r="V228" t="str">
        <x:f>IF(AND(ISNUMBER(N228),N228&gt;=0),"OK","CHECK")</x:f>
        <x:v>OK</x:v>
      </x:c>
      <x:c r="W228" t="str">
        <x:f>IF(AND(T228="OK",U228="OK",V228="OK"),"OK","CHECK")</x:f>
        <x:v>OK</x:v>
      </x:c>
      <x:c r="X228" t="str">
        <x:f>IF(W228="OK","LOAD","QUARANTINE")</x:f>
        <x:v>LOAD</x:v>
      </x:c>
      <x:c r="Y228" t="str">
        <x:v>03_Process_Losses(6).xlsx</x:v>
      </x:c>
      <x:c r="Z228" t="str">
        <x:v>ENH-20260830-01</x:v>
      </x:c>
      <x:c r="AA228" t="str">
        <x:f>IF(X228="LOAD","Active","Quarantine")</x:f>
        <x:v>Active</x:v>
      </x:c>
      <x:c r="AB228"/>
      <x:c r="AC228"/>
      <x:c r="AD228"/>
      <x:c r="AE228"/>
    </x:row>
    <x:row r="229">
      <x:c r="A229" t="str">
        <x:v>PLD-000225</x:v>
      </x:c>
      <x:c r="B229" t="str">
        <x:v>LOSS-KG01-L22-20251023-AM-ORD-2025-00057</x:v>
      </x:c>
      <x:c r="C229" t="str">
        <x:v>PE-KG01-L22-20251023-AM-ORD-2025-00057</x:v>
      </x:c>
      <x:c r="D229" t="str">
        <x:v>KG01</x:v>
      </x:c>
      <x:c r="E229" t="n">
        <x:v>22</x:v>
      </x:c>
      <x:c r="F229" s="52" t="n">
        <x:v>45953</x:v>
      </x:c>
      <x:c r="G229" t="str">
        <x:v>AM</x:v>
      </x:c>
      <x:c r="H229" t="str">
        <x:v>ORD-2025-00057</x:v>
      </x:c>
      <x:c r="I229" t="str">
        <x:v>Normal</x:v>
      </x:c>
      <x:c r="J229" t="str">
        <x:v>PROC_LEHR</x:v>
      </x:c>
      <x:c r="K229" t="str">
        <x:v>Lehr</x:v>
      </x:c>
      <x:c r="L229" s="54" t="n">
        <x:v>0.005391737891737892</x:v>
      </x:c>
      <x:c r="M229" t="n">
        <x:v>140400</x:v>
      </x:c>
      <x:c r="N229" t="n">
        <x:f>L229*M229</x:f>
        <x:v>757</x:v>
      </x:c>
      <x:c r="O229"/>
      <x:c r="P229"/>
      <x:c r="Q229"/>
      <x:c r="R229"/>
      <x:c r="S229" s="52"/>
      <x:c r="T229" t="str">
        <x:v>OK</x:v>
      </x:c>
      <x:c r="U229" t="str">
        <x:f>IF(AND(ISNUMBER(L229),L229&gt;=0,L229&lt;=1),"OK","CHECK")</x:f>
        <x:v>OK</x:v>
      </x:c>
      <x:c r="V229" t="str">
        <x:f>IF(AND(ISNUMBER(N229),N229&gt;=0),"OK","CHECK")</x:f>
        <x:v>OK</x:v>
      </x:c>
      <x:c r="W229" t="str">
        <x:f>IF(AND(T229="OK",U229="OK",V229="OK"),"OK","CHECK")</x:f>
        <x:v>OK</x:v>
      </x:c>
      <x:c r="X229" t="str">
        <x:f>IF(W229="OK","LOAD","QUARANTINE")</x:f>
        <x:v>LOAD</x:v>
      </x:c>
      <x:c r="Y229" t="str">
        <x:v>03_Process_Losses(6).xlsx</x:v>
      </x:c>
      <x:c r="Z229" t="str">
        <x:v>ENH-20260830-01</x:v>
      </x:c>
      <x:c r="AA229" t="str">
        <x:f>IF(X229="LOAD","Active","Quarantine")</x:f>
        <x:v>Active</x:v>
      </x:c>
      <x:c r="AB229"/>
      <x:c r="AC229"/>
      <x:c r="AD229"/>
      <x:c r="AE229"/>
    </x:row>
    <x:row r="230">
      <x:c r="A230" t="str">
        <x:v>PLD-000226</x:v>
      </x:c>
      <x:c r="B230" t="str">
        <x:v>LOSS-KG01-L22-20251023-AM-ORD-2025-00057</x:v>
      </x:c>
      <x:c r="C230" t="str">
        <x:v>PE-KG01-L22-20251023-AM-ORD-2025-00057</x:v>
      </x:c>
      <x:c r="D230" t="str">
        <x:v>KG01</x:v>
      </x:c>
      <x:c r="E230" t="n">
        <x:v>22</x:v>
      </x:c>
      <x:c r="F230" s="52" t="n">
        <x:v>45953</x:v>
      </x:c>
      <x:c r="G230" t="str">
        <x:v>AM</x:v>
      </x:c>
      <x:c r="H230" t="str">
        <x:v>ORD-2025-00057</x:v>
      </x:c>
      <x:c r="I230" t="str">
        <x:v>Normal</x:v>
      </x:c>
      <x:c r="J230" t="str">
        <x:v>PROC_EVO16</x:v>
      </x:c>
      <x:c r="K230" t="str">
        <x:v>Inspection</x:v>
      </x:c>
      <x:c r="L230" s="54" t="n">
        <x:v>0.002905982905982906</x:v>
      </x:c>
      <x:c r="M230" t="n">
        <x:v>140400</x:v>
      </x:c>
      <x:c r="N230" t="n">
        <x:f>L230*M230</x:f>
        <x:v>408</x:v>
      </x:c>
      <x:c r="O230"/>
      <x:c r="P230"/>
      <x:c r="Q230"/>
      <x:c r="R230"/>
      <x:c r="S230" s="52"/>
      <x:c r="T230" t="str">
        <x:v>OK</x:v>
      </x:c>
      <x:c r="U230" t="str">
        <x:f>IF(AND(ISNUMBER(L230),L230&gt;=0,L230&lt;=1),"OK","CHECK")</x:f>
        <x:v>OK</x:v>
      </x:c>
      <x:c r="V230" t="str">
        <x:f>IF(AND(ISNUMBER(N230),N230&gt;=0),"OK","CHECK")</x:f>
        <x:v>OK</x:v>
      </x:c>
      <x:c r="W230" t="str">
        <x:f>IF(AND(T230="OK",U230="OK",V230="OK"),"OK","CHECK")</x:f>
        <x:v>OK</x:v>
      </x:c>
      <x:c r="X230" t="str">
        <x:f>IF(W230="OK","LOAD","QUARANTINE")</x:f>
        <x:v>LOAD</x:v>
      </x:c>
      <x:c r="Y230" t="str">
        <x:v>03_Process_Losses(6).xlsx</x:v>
      </x:c>
      <x:c r="Z230" t="str">
        <x:v>ENH-20260830-01</x:v>
      </x:c>
      <x:c r="AA230" t="str">
        <x:f>IF(X230="LOAD","Active","Quarantine")</x:f>
        <x:v>Active</x:v>
      </x:c>
      <x:c r="AB230"/>
      <x:c r="AC230"/>
      <x:c r="AD230"/>
      <x:c r="AE230"/>
    </x:row>
    <x:row r="231">
      <x:c r="A231" t="str">
        <x:v>PLD-000227</x:v>
      </x:c>
      <x:c r="B231" t="str">
        <x:v>LOSS-KG01-L22-20251023-AM-ORD-2025-00057</x:v>
      </x:c>
      <x:c r="C231" t="str">
        <x:v>PE-KG01-L22-20251023-AM-ORD-2025-00057</x:v>
      </x:c>
      <x:c r="D231" t="str">
        <x:v>KG01</x:v>
      </x:c>
      <x:c r="E231" t="n">
        <x:v>22</x:v>
      </x:c>
      <x:c r="F231" s="52" t="n">
        <x:v>45953</x:v>
      </x:c>
      <x:c r="G231" t="str">
        <x:v>AM</x:v>
      </x:c>
      <x:c r="H231" t="str">
        <x:v>ORD-2025-00057</x:v>
      </x:c>
      <x:c r="I231" t="str">
        <x:v>Normal</x:v>
      </x:c>
      <x:c r="J231" t="str">
        <x:v>PROC_EVO12</x:v>
      </x:c>
      <x:c r="K231" t="str">
        <x:v>Inspection</x:v>
      </x:c>
      <x:c r="L231" s="54" t="n">
        <x:v>0.002492877492877493</x:v>
      </x:c>
      <x:c r="M231" t="n">
        <x:v>140400</x:v>
      </x:c>
      <x:c r="N231" t="n">
        <x:f>L231*M231</x:f>
        <x:v>350</x:v>
      </x:c>
      <x:c r="O231"/>
      <x:c r="P231"/>
      <x:c r="Q231"/>
      <x:c r="R231"/>
      <x:c r="S231" s="52"/>
      <x:c r="T231" t="str">
        <x:v>OK</x:v>
      </x:c>
      <x:c r="U231" t="str">
        <x:f>IF(AND(ISNUMBER(L231),L231&gt;=0,L231&lt;=1),"OK","CHECK")</x:f>
        <x:v>OK</x:v>
      </x:c>
      <x:c r="V231" t="str">
        <x:f>IF(AND(ISNUMBER(N231),N231&gt;=0),"OK","CHECK")</x:f>
        <x:v>OK</x:v>
      </x:c>
      <x:c r="W231" t="str">
        <x:f>IF(AND(T231="OK",U231="OK",V231="OK"),"OK","CHECK")</x:f>
        <x:v>OK</x:v>
      </x:c>
      <x:c r="X231" t="str">
        <x:f>IF(W231="OK","LOAD","QUARANTINE")</x:f>
        <x:v>LOAD</x:v>
      </x:c>
      <x:c r="Y231" t="str">
        <x:v>03_Process_Losses(6).xlsx</x:v>
      </x:c>
      <x:c r="Z231" t="str">
        <x:v>ENH-20260830-01</x:v>
      </x:c>
      <x:c r="AA231" t="str">
        <x:f>IF(X231="LOAD","Active","Quarantine")</x:f>
        <x:v>Active</x:v>
      </x:c>
      <x:c r="AB231"/>
      <x:c r="AC231"/>
      <x:c r="AD231"/>
      <x:c r="AE231"/>
    </x:row>
    <x:row r="232">
      <x:c r="A232" t="str">
        <x:v>PLD-000228</x:v>
      </x:c>
      <x:c r="B232" t="str">
        <x:v>LOSS-KG01-L22-20251023-AM-ORD-2025-00057</x:v>
      </x:c>
      <x:c r="C232" t="str">
        <x:v>PE-KG01-L22-20251023-AM-ORD-2025-00057</x:v>
      </x:c>
      <x:c r="D232" t="str">
        <x:v>KG01</x:v>
      </x:c>
      <x:c r="E232" t="n">
        <x:v>22</x:v>
      </x:c>
      <x:c r="F232" s="52" t="n">
        <x:v>45953</x:v>
      </x:c>
      <x:c r="G232" t="str">
        <x:v>AM</x:v>
      </x:c>
      <x:c r="H232" t="str">
        <x:v>ORD-2025-00057</x:v>
      </x:c>
      <x:c r="I232" t="str">
        <x:v>Normal</x:v>
      </x:c>
      <x:c r="J232" t="str">
        <x:v>PROC_EVO5</x:v>
      </x:c>
      <x:c r="K232" t="str">
        <x:v>Inspection</x:v>
      </x:c>
      <x:c r="L232" s="54" t="n">
        <x:v>0.001745014245014245</x:v>
      </x:c>
      <x:c r="M232" t="n">
        <x:v>140400</x:v>
      </x:c>
      <x:c r="N232" t="n">
        <x:f>L232*M232</x:f>
        <x:v>245</x:v>
      </x:c>
      <x:c r="O232"/>
      <x:c r="P232"/>
      <x:c r="Q232"/>
      <x:c r="R232"/>
      <x:c r="S232" s="52"/>
      <x:c r="T232" t="str">
        <x:v>OK</x:v>
      </x:c>
      <x:c r="U232" t="str">
        <x:f>IF(AND(ISNUMBER(L232),L232&gt;=0,L232&lt;=1),"OK","CHECK")</x:f>
        <x:v>OK</x:v>
      </x:c>
      <x:c r="V232" t="str">
        <x:f>IF(AND(ISNUMBER(N232),N232&gt;=0),"OK","CHECK")</x:f>
        <x:v>OK</x:v>
      </x:c>
      <x:c r="W232" t="str">
        <x:f>IF(AND(T232="OK",U232="OK",V232="OK"),"OK","CHECK")</x:f>
        <x:v>OK</x:v>
      </x:c>
      <x:c r="X232" t="str">
        <x:f>IF(W232="OK","LOAD","QUARANTINE")</x:f>
        <x:v>LOAD</x:v>
      </x:c>
      <x:c r="Y232" t="str">
        <x:v>03_Process_Losses(6).xlsx</x:v>
      </x:c>
      <x:c r="Z232" t="str">
        <x:v>ENH-20260830-01</x:v>
      </x:c>
      <x:c r="AA232" t="str">
        <x:f>IF(X232="LOAD","Active","Quarantine")</x:f>
        <x:v>Active</x:v>
      </x:c>
      <x:c r="AB232"/>
      <x:c r="AC232"/>
      <x:c r="AD232"/>
      <x:c r="AE232"/>
    </x:row>
    <x:row r="233">
      <x:c r="A233" t="str">
        <x:v>PLD-000229</x:v>
      </x:c>
      <x:c r="B233" t="str">
        <x:v>LOSS-KG01-L22-20251023-AM-ORD-2025-00057</x:v>
      </x:c>
      <x:c r="C233" t="str">
        <x:v>PE-KG01-L22-20251023-AM-ORD-2025-00057</x:v>
      </x:c>
      <x:c r="D233" t="str">
        <x:v>KG01</x:v>
      </x:c>
      <x:c r="E233" t="n">
        <x:v>22</x:v>
      </x:c>
      <x:c r="F233" s="52" t="n">
        <x:v>45953</x:v>
      </x:c>
      <x:c r="G233" t="str">
        <x:v>AM</x:v>
      </x:c>
      <x:c r="H233" t="str">
        <x:v>ORD-2025-00057</x:v>
      </x:c>
      <x:c r="I233" t="str">
        <x:v>Normal</x:v>
      </x:c>
      <x:c r="J233" t="str">
        <x:v>PROC_SANLI</x:v>
      </x:c>
      <x:c r="K233" t="str">
        <x:v>Inspection</x:v>
      </x:c>
      <x:c r="L233" s="54" t="n">
        <x:v>0.0012037037037037038</x:v>
      </x:c>
      <x:c r="M233" t="n">
        <x:v>140400</x:v>
      </x:c>
      <x:c r="N233" t="n">
        <x:f>L233*M233</x:f>
        <x:v>169</x:v>
      </x:c>
      <x:c r="O233"/>
      <x:c r="P233"/>
      <x:c r="Q233"/>
      <x:c r="R233"/>
      <x:c r="S233" s="52"/>
      <x:c r="T233" t="str">
        <x:v>OK</x:v>
      </x:c>
      <x:c r="U233" t="str">
        <x:f>IF(AND(ISNUMBER(L233),L233&gt;=0,L233&lt;=1),"OK","CHECK")</x:f>
        <x:v>OK</x:v>
      </x:c>
      <x:c r="V233" t="str">
        <x:f>IF(AND(ISNUMBER(N233),N233&gt;=0),"OK","CHECK")</x:f>
        <x:v>OK</x:v>
      </x:c>
      <x:c r="W233" t="str">
        <x:f>IF(AND(T233="OK",U233="OK",V233="OK"),"OK","CHECK")</x:f>
        <x:v>OK</x:v>
      </x:c>
      <x:c r="X233" t="str">
        <x:f>IF(W233="OK","LOAD","QUARANTINE")</x:f>
        <x:v>LOAD</x:v>
      </x:c>
      <x:c r="Y233" t="str">
        <x:v>03_Process_Losses(6).xlsx</x:v>
      </x:c>
      <x:c r="Z233" t="str">
        <x:v>ENH-20260830-01</x:v>
      </x:c>
      <x:c r="AA233" t="str">
        <x:f>IF(X233="LOAD","Active","Quarantine")</x:f>
        <x:v>Active</x:v>
      </x:c>
      <x:c r="AB233"/>
      <x:c r="AC233"/>
      <x:c r="AD233"/>
      <x:c r="AE233"/>
    </x:row>
    <x:row r="234">
      <x:c r="A234" t="str">
        <x:v>PLD-000230</x:v>
      </x:c>
      <x:c r="B234" t="str">
        <x:v>LOSS-KG01-L22-20251023-AM-ORD-2025-00057</x:v>
      </x:c>
      <x:c r="C234" t="str">
        <x:v>PE-KG01-L22-20251023-AM-ORD-2025-00057</x:v>
      </x:c>
      <x:c r="D234" t="str">
        <x:v>KG01</x:v>
      </x:c>
      <x:c r="E234" t="n">
        <x:v>22</x:v>
      </x:c>
      <x:c r="F234" s="52" t="n">
        <x:v>45953</x:v>
      </x:c>
      <x:c r="G234" t="str">
        <x:v>AM</x:v>
      </x:c>
      <x:c r="H234" t="str">
        <x:v>ORD-2025-00057</x:v>
      </x:c>
      <x:c r="I234" t="str">
        <x:v>Normal</x:v>
      </x:c>
      <x:c r="J234" t="str">
        <x:v>PROC_VISUAL</x:v>
      </x:c>
      <x:c r="K234" t="str">
        <x:v>Inspection</x:v>
      </x:c>
      <x:c r="L234" s="54" t="n">
        <x:v>0.004715099715099715</x:v>
      </x:c>
      <x:c r="M234" t="n">
        <x:v>140400</x:v>
      </x:c>
      <x:c r="N234" t="n">
        <x:f>L234*M234</x:f>
        <x:v>662</x:v>
      </x:c>
      <x:c r="O234"/>
      <x:c r="P234"/>
      <x:c r="Q234"/>
      <x:c r="R234"/>
      <x:c r="S234" s="52"/>
      <x:c r="T234" t="str">
        <x:v>OK</x:v>
      </x:c>
      <x:c r="U234" t="str">
        <x:f>IF(AND(ISNUMBER(L234),L234&gt;=0,L234&lt;=1),"OK","CHECK")</x:f>
        <x:v>OK</x:v>
      </x:c>
      <x:c r="V234" t="str">
        <x:f>IF(AND(ISNUMBER(N234),N234&gt;=0),"OK","CHECK")</x:f>
        <x:v>OK</x:v>
      </x:c>
      <x:c r="W234" t="str">
        <x:f>IF(AND(T234="OK",U234="OK",V234="OK"),"OK","CHECK")</x:f>
        <x:v>OK</x:v>
      </x:c>
      <x:c r="X234" t="str">
        <x:f>IF(W234="OK","LOAD","QUARANTINE")</x:f>
        <x:v>LOAD</x:v>
      </x:c>
      <x:c r="Y234" t="str">
        <x:v>03_Process_Losses(6).xlsx</x:v>
      </x:c>
      <x:c r="Z234" t="str">
        <x:v>ENH-20260830-01</x:v>
      </x:c>
      <x:c r="AA234" t="str">
        <x:f>IF(X234="LOAD","Active","Quarantine")</x:f>
        <x:v>Active</x:v>
      </x:c>
      <x:c r="AB234"/>
      <x:c r="AC234"/>
      <x:c r="AD234"/>
      <x:c r="AE234"/>
    </x:row>
    <x:row r="235">
      <x:c r="A235" t="str">
        <x:v>PLD-000231</x:v>
      </x:c>
      <x:c r="B235" t="str">
        <x:v>LOSS-KG01-L22-20251023-AM-ORD-2025-00057</x:v>
      </x:c>
      <x:c r="C235" t="str">
        <x:v>PE-KG01-L22-20251023-AM-ORD-2025-00057</x:v>
      </x:c>
      <x:c r="D235" t="str">
        <x:v>KG01</x:v>
      </x:c>
      <x:c r="E235" t="n">
        <x:v>22</x:v>
      </x:c>
      <x:c r="F235" s="52" t="n">
        <x:v>45953</x:v>
      </x:c>
      <x:c r="G235" t="str">
        <x:v>AM</x:v>
      </x:c>
      <x:c r="H235" t="str">
        <x:v>ORD-2025-00057</x:v>
      </x:c>
      <x:c r="I235" t="str">
        <x:v>Normal</x:v>
      </x:c>
      <x:c r="J235" t="str">
        <x:v>PROC_PALLETIZER</x:v>
      </x:c>
      <x:c r="K235" t="str">
        <x:v>Palletizer</x:v>
      </x:c>
      <x:c r="L235" s="54" t="n">
        <x:v>0.0032621082621082623</x:v>
      </x:c>
      <x:c r="M235" t="n">
        <x:v>140400</x:v>
      </x:c>
      <x:c r="N235" t="n">
        <x:f>L235*M235</x:f>
        <x:v>458</x:v>
      </x:c>
      <x:c r="O235"/>
      <x:c r="P235"/>
      <x:c r="Q235"/>
      <x:c r="R235"/>
      <x:c r="S235" s="52"/>
      <x:c r="T235" t="str">
        <x:v>OK</x:v>
      </x:c>
      <x:c r="U235" t="str">
        <x:f>IF(AND(ISNUMBER(L235),L235&gt;=0,L235&lt;=1),"OK","CHECK")</x:f>
        <x:v>OK</x:v>
      </x:c>
      <x:c r="V235" t="str">
        <x:f>IF(AND(ISNUMBER(N235),N235&gt;=0),"OK","CHECK")</x:f>
        <x:v>OK</x:v>
      </x:c>
      <x:c r="W235" t="str">
        <x:f>IF(AND(T235="OK",U235="OK",V235="OK"),"OK","CHECK")</x:f>
        <x:v>OK</x:v>
      </x:c>
      <x:c r="X235" t="str">
        <x:f>IF(W235="OK","LOAD","QUARANTINE")</x:f>
        <x:v>LOAD</x:v>
      </x:c>
      <x:c r="Y235" t="str">
        <x:v>03_Process_Losses(6).xlsx</x:v>
      </x:c>
      <x:c r="Z235" t="str">
        <x:v>ENH-20260830-01</x:v>
      </x:c>
      <x:c r="AA235" t="str">
        <x:f>IF(X235="LOAD","Active","Quarantine")</x:f>
        <x:v>Active</x:v>
      </x:c>
      <x:c r="AB235"/>
      <x:c r="AC235"/>
      <x:c r="AD235"/>
      <x:c r="AE235"/>
    </x:row>
    <x:row r="236">
      <x:c r="A236" t="str">
        <x:v>PLD-000232</x:v>
      </x:c>
      <x:c r="B236" t="str">
        <x:v>LOSS-KG01-L22-20251023-PM-ORD-2025-00057</x:v>
      </x:c>
      <x:c r="C236" t="str">
        <x:v>PE-KG01-L22-20251023-PM-ORD-2025-00057</x:v>
      </x:c>
      <x:c r="D236" t="str">
        <x:v>KG01</x:v>
      </x:c>
      <x:c r="E236" t="n">
        <x:v>22</x:v>
      </x:c>
      <x:c r="F236" s="52" t="n">
        <x:v>45953</x:v>
      </x:c>
      <x:c r="G236" t="str">
        <x:v>PM</x:v>
      </x:c>
      <x:c r="H236" t="str">
        <x:v>ORD-2025-00057</x:v>
      </x:c>
      <x:c r="I236" t="str">
        <x:v>Normal</x:v>
      </x:c>
      <x:c r="J236" t="str">
        <x:v>PROC_FIXED</x:v>
      </x:c>
      <x:c r="K236" t="str">
        <x:v>Fixed Losses</x:v>
      </x:c>
      <x:c r="L236" s="54" t="n">
        <x:v>0.00819173038799207</x:v>
      </x:c>
      <x:c r="M236" t="n">
        <x:v>141240</x:v>
      </x:c>
      <x:c r="N236" t="n">
        <x:f>L236*M236</x:f>
        <x:v>1157</x:v>
      </x:c>
      <x:c r="O236"/>
      <x:c r="P236"/>
      <x:c r="Q236"/>
      <x:c r="R236"/>
      <x:c r="S236" s="52"/>
      <x:c r="T236" t="str">
        <x:v>OK</x:v>
      </x:c>
      <x:c r="U236" t="str">
        <x:f>IF(AND(ISNUMBER(L236),L236&gt;=0,L236&lt;=1),"OK","CHECK")</x:f>
        <x:v>OK</x:v>
      </x:c>
      <x:c r="V236" t="str">
        <x:f>IF(AND(ISNUMBER(N236),N236&gt;=0),"OK","CHECK")</x:f>
        <x:v>OK</x:v>
      </x:c>
      <x:c r="W236" t="str">
        <x:f>IF(AND(T236="OK",U236="OK",V236="OK"),"OK","CHECK")</x:f>
        <x:v>OK</x:v>
      </x:c>
      <x:c r="X236" t="str">
        <x:f>IF(W236="OK","LOAD","QUARANTINE")</x:f>
        <x:v>LOAD</x:v>
      </x:c>
      <x:c r="Y236" t="str">
        <x:v>03_Process_Losses(6).xlsx</x:v>
      </x:c>
      <x:c r="Z236" t="str">
        <x:v>ENH-20260830-01</x:v>
      </x:c>
      <x:c r="AA236" t="str">
        <x:f>IF(X236="LOAD","Active","Quarantine")</x:f>
        <x:v>Active</x:v>
      </x:c>
      <x:c r="AB236"/>
      <x:c r="AC236"/>
      <x:c r="AD236"/>
      <x:c r="AE236"/>
    </x:row>
    <x:row r="237">
      <x:c r="A237" t="str">
        <x:v>PLD-000233</x:v>
      </x:c>
      <x:c r="B237" t="str">
        <x:v>LOSS-KG01-L22-20251023-PM-ORD-2025-00057</x:v>
      </x:c>
      <x:c r="C237" t="str">
        <x:v>PE-KG01-L22-20251023-PM-ORD-2025-00057</x:v>
      </x:c>
      <x:c r="D237" t="str">
        <x:v>KG01</x:v>
      </x:c>
      <x:c r="E237" t="n">
        <x:v>22</x:v>
      </x:c>
      <x:c r="F237" s="52" t="n">
        <x:v>45953</x:v>
      </x:c>
      <x:c r="G237" t="str">
        <x:v>PM</x:v>
      </x:c>
      <x:c r="H237" t="str">
        <x:v>ORD-2025-00057</x:v>
      </x:c>
      <x:c r="I237" t="str">
        <x:v>Normal</x:v>
      </x:c>
      <x:c r="J237" t="str">
        <x:v>PROC_IS</x:v>
      </x:c>
      <x:c r="K237" t="str">
        <x:v>IS Machine</x:v>
      </x:c>
      <x:c r="L237" s="54" t="n">
        <x:v>0.012022090059473236</x:v>
      </x:c>
      <x:c r="M237" t="n">
        <x:v>141240</x:v>
      </x:c>
      <x:c r="N237" t="n">
        <x:f>L237*M237</x:f>
        <x:v>1698</x:v>
      </x:c>
      <x:c r="O237"/>
      <x:c r="P237"/>
      <x:c r="Q237"/>
      <x:c r="R237"/>
      <x:c r="S237" s="52"/>
      <x:c r="T237" t="str">
        <x:v>OK</x:v>
      </x:c>
      <x:c r="U237" t="str">
        <x:f>IF(AND(ISNUMBER(L237),L237&gt;=0,L237&lt;=1),"OK","CHECK")</x:f>
        <x:v>OK</x:v>
      </x:c>
      <x:c r="V237" t="str">
        <x:f>IF(AND(ISNUMBER(N237),N237&gt;=0),"OK","CHECK")</x:f>
        <x:v>OK</x:v>
      </x:c>
      <x:c r="W237" t="str">
        <x:f>IF(AND(T237="OK",U237="OK",V237="OK"),"OK","CHECK")</x:f>
        <x:v>OK</x:v>
      </x:c>
      <x:c r="X237" t="str">
        <x:f>IF(W237="OK","LOAD","QUARANTINE")</x:f>
        <x:v>LOAD</x:v>
      </x:c>
      <x:c r="Y237" t="str">
        <x:v>03_Process_Losses(6).xlsx</x:v>
      </x:c>
      <x:c r="Z237" t="str">
        <x:v>ENH-20260830-01</x:v>
      </x:c>
      <x:c r="AA237" t="str">
        <x:f>IF(X237="LOAD","Active","Quarantine")</x:f>
        <x:v>Active</x:v>
      </x:c>
      <x:c r="AB237"/>
      <x:c r="AC237"/>
      <x:c r="AD237"/>
      <x:c r="AE237"/>
    </x:row>
    <x:row r="238">
      <x:c r="A238" t="str">
        <x:v>PLD-000234</x:v>
      </x:c>
      <x:c r="B238" t="str">
        <x:v>LOSS-KG01-L22-20251023-PM-ORD-2025-00057</x:v>
      </x:c>
      <x:c r="C238" t="str">
        <x:v>PE-KG01-L22-20251023-PM-ORD-2025-00057</x:v>
      </x:c>
      <x:c r="D238" t="str">
        <x:v>KG01</x:v>
      </x:c>
      <x:c r="E238" t="n">
        <x:v>22</x:v>
      </x:c>
      <x:c r="F238" s="52" t="n">
        <x:v>45953</x:v>
      </x:c>
      <x:c r="G238" t="str">
        <x:v>PM</x:v>
      </x:c>
      <x:c r="H238" t="str">
        <x:v>ORD-2025-00057</x:v>
      </x:c>
      <x:c r="I238" t="str">
        <x:v>Normal</x:v>
      </x:c>
      <x:c r="J238" t="str">
        <x:v>PROC_HE_CONVEYER</x:v>
      </x:c>
      <x:c r="K238" t="str">
        <x:v>Hot End</x:v>
      </x:c>
      <x:c r="L238" s="54" t="n">
        <x:v>0.0036037949589351457</x:v>
      </x:c>
      <x:c r="M238" t="n">
        <x:v>141240</x:v>
      </x:c>
      <x:c r="N238" t="n">
        <x:f>L238*M238</x:f>
        <x:v>509</x:v>
      </x:c>
      <x:c r="O238"/>
      <x:c r="P238"/>
      <x:c r="Q238"/>
      <x:c r="R238"/>
      <x:c r="S238" s="52"/>
      <x:c r="T238" t="str">
        <x:v>OK</x:v>
      </x:c>
      <x:c r="U238" t="str">
        <x:f>IF(AND(ISNUMBER(L238),L238&gt;=0,L238&lt;=1),"OK","CHECK")</x:f>
        <x:v>OK</x:v>
      </x:c>
      <x:c r="V238" t="str">
        <x:f>IF(AND(ISNUMBER(N238),N238&gt;=0),"OK","CHECK")</x:f>
        <x:v>OK</x:v>
      </x:c>
      <x:c r="W238" t="str">
        <x:f>IF(AND(T238="OK",U238="OK",V238="OK"),"OK","CHECK")</x:f>
        <x:v>OK</x:v>
      </x:c>
      <x:c r="X238" t="str">
        <x:f>IF(W238="OK","LOAD","QUARANTINE")</x:f>
        <x:v>LOAD</x:v>
      </x:c>
      <x:c r="Y238" t="str">
        <x:v>03_Process_Losses(6).xlsx</x:v>
      </x:c>
      <x:c r="Z238" t="str">
        <x:v>ENH-20260830-01</x:v>
      </x:c>
      <x:c r="AA238" t="str">
        <x:f>IF(X238="LOAD","Active","Quarantine")</x:f>
        <x:v>Active</x:v>
      </x:c>
      <x:c r="AB238"/>
      <x:c r="AC238"/>
      <x:c r="AD238"/>
      <x:c r="AE238"/>
    </x:row>
    <x:row r="239">
      <x:c r="A239" t="str">
        <x:v>PLD-000235</x:v>
      </x:c>
      <x:c r="B239" t="str">
        <x:v>LOSS-KG01-L22-20251023-PM-ORD-2025-00057</x:v>
      </x:c>
      <x:c r="C239" t="str">
        <x:v>PE-KG01-L22-20251023-PM-ORD-2025-00057</x:v>
      </x:c>
      <x:c r="D239" t="str">
        <x:v>KG01</x:v>
      </x:c>
      <x:c r="E239" t="n">
        <x:v>22</x:v>
      </x:c>
      <x:c r="F239" s="52" t="n">
        <x:v>45953</x:v>
      </x:c>
      <x:c r="G239" t="str">
        <x:v>PM</x:v>
      </x:c>
      <x:c r="H239" t="str">
        <x:v>ORD-2025-00057</x:v>
      </x:c>
      <x:c r="I239" t="str">
        <x:v>Normal</x:v>
      </x:c>
      <x:c r="J239" t="str">
        <x:v>PROC_STUCKDOWN</x:v>
      </x:c>
      <x:c r="K239" t="str">
        <x:v>Forming</x:v>
      </x:c>
      <x:c r="L239" s="54" t="n">
        <x:v>0.002470971396205041</x:v>
      </x:c>
      <x:c r="M239" t="n">
        <x:v>141240</x:v>
      </x:c>
      <x:c r="N239" t="n">
        <x:f>L239*M239</x:f>
        <x:v>349</x:v>
      </x:c>
      <x:c r="O239"/>
      <x:c r="P239"/>
      <x:c r="Q239"/>
      <x:c r="R239"/>
      <x:c r="S239" s="52"/>
      <x:c r="T239" t="str">
        <x:v>OK</x:v>
      </x:c>
      <x:c r="U239" t="str">
        <x:f>IF(AND(ISNUMBER(L239),L239&gt;=0,L239&lt;=1),"OK","CHECK")</x:f>
        <x:v>OK</x:v>
      </x:c>
      <x:c r="V239" t="str">
        <x:f>IF(AND(ISNUMBER(N239),N239&gt;=0),"OK","CHECK")</x:f>
        <x:v>OK</x:v>
      </x:c>
      <x:c r="W239" t="str">
        <x:f>IF(AND(T239="OK",U239="OK",V239="OK"),"OK","CHECK")</x:f>
        <x:v>OK</x:v>
      </x:c>
      <x:c r="X239" t="str">
        <x:f>IF(W239="OK","LOAD","QUARANTINE")</x:f>
        <x:v>LOAD</x:v>
      </x:c>
      <x:c r="Y239" t="str">
        <x:v>03_Process_Losses(6).xlsx</x:v>
      </x:c>
      <x:c r="Z239" t="str">
        <x:v>ENH-20260830-01</x:v>
      </x:c>
      <x:c r="AA239" t="str">
        <x:f>IF(X239="LOAD","Active","Quarantine")</x:f>
        <x:v>Active</x:v>
      </x:c>
      <x:c r="AB239"/>
      <x:c r="AC239"/>
      <x:c r="AD239"/>
      <x:c r="AE239"/>
    </x:row>
    <x:row r="240">
      <x:c r="A240" t="str">
        <x:v>PLD-000236</x:v>
      </x:c>
      <x:c r="B240" t="str">
        <x:v>LOSS-KG01-L22-20251023-PM-ORD-2025-00057</x:v>
      </x:c>
      <x:c r="C240" t="str">
        <x:v>PE-KG01-L22-20251023-PM-ORD-2025-00057</x:v>
      </x:c>
      <x:c r="D240" t="str">
        <x:v>KG01</x:v>
      </x:c>
      <x:c r="E240" t="n">
        <x:v>22</x:v>
      </x:c>
      <x:c r="F240" s="52" t="n">
        <x:v>45953</x:v>
      </x:c>
      <x:c r="G240" t="str">
        <x:v>PM</x:v>
      </x:c>
      <x:c r="H240" t="str">
        <x:v>ORD-2025-00057</x:v>
      </x:c>
      <x:c r="I240" t="str">
        <x:v>Normal</x:v>
      </x:c>
      <x:c r="J240" t="str">
        <x:v>PROC_LEHR</x:v>
      </x:c>
      <x:c r="K240" t="str">
        <x:v>Lehr</x:v>
      </x:c>
      <x:c r="L240" s="54" t="n">
        <x:v>0.004269328802039082</x:v>
      </x:c>
      <x:c r="M240" t="n">
        <x:v>141240</x:v>
      </x:c>
      <x:c r="N240" t="n">
        <x:f>L240*M240</x:f>
        <x:v>603</x:v>
      </x:c>
      <x:c r="O240"/>
      <x:c r="P240"/>
      <x:c r="Q240"/>
      <x:c r="R240"/>
      <x:c r="S240" s="52"/>
      <x:c r="T240" t="str">
        <x:v>OK</x:v>
      </x:c>
      <x:c r="U240" t="str">
        <x:f>IF(AND(ISNUMBER(L240),L240&gt;=0,L240&lt;=1),"OK","CHECK")</x:f>
        <x:v>OK</x:v>
      </x:c>
      <x:c r="V240" t="str">
        <x:f>IF(AND(ISNUMBER(N240),N240&gt;=0),"OK","CHECK")</x:f>
        <x:v>OK</x:v>
      </x:c>
      <x:c r="W240" t="str">
        <x:f>IF(AND(T240="OK",U240="OK",V240="OK"),"OK","CHECK")</x:f>
        <x:v>OK</x:v>
      </x:c>
      <x:c r="X240" t="str">
        <x:f>IF(W240="OK","LOAD","QUARANTINE")</x:f>
        <x:v>LOAD</x:v>
      </x:c>
      <x:c r="Y240" t="str">
        <x:v>03_Process_Losses(6).xlsx</x:v>
      </x:c>
      <x:c r="Z240" t="str">
        <x:v>ENH-20260830-01</x:v>
      </x:c>
      <x:c r="AA240" t="str">
        <x:f>IF(X240="LOAD","Active","Quarantine")</x:f>
        <x:v>Active</x:v>
      </x:c>
      <x:c r="AB240"/>
      <x:c r="AC240"/>
      <x:c r="AD240"/>
      <x:c r="AE240"/>
    </x:row>
    <x:row r="241">
      <x:c r="A241" t="str">
        <x:v>PLD-000237</x:v>
      </x:c>
      <x:c r="B241" t="str">
        <x:v>LOSS-KG01-L22-20251023-PM-ORD-2025-00057</x:v>
      </x:c>
      <x:c r="C241" t="str">
        <x:v>PE-KG01-L22-20251023-PM-ORD-2025-00057</x:v>
      </x:c>
      <x:c r="D241" t="str">
        <x:v>KG01</x:v>
      </x:c>
      <x:c r="E241" t="n">
        <x:v>22</x:v>
      </x:c>
      <x:c r="F241" s="52" t="n">
        <x:v>45953</x:v>
      </x:c>
      <x:c r="G241" t="str">
        <x:v>PM</x:v>
      </x:c>
      <x:c r="H241" t="str">
        <x:v>ORD-2025-00057</x:v>
      </x:c>
      <x:c r="I241" t="str">
        <x:v>Normal</x:v>
      </x:c>
      <x:c r="J241" t="str">
        <x:v>PROC_EVO16</x:v>
      </x:c>
      <x:c r="K241" t="str">
        <x:v>Inspection</x:v>
      </x:c>
      <x:c r="L241" s="54" t="n">
        <x:v>0.0029453412630982725</x:v>
      </x:c>
      <x:c r="M241" t="n">
        <x:v>141240</x:v>
      </x:c>
      <x:c r="N241" t="n">
        <x:f>L241*M241</x:f>
        <x:v>416</x:v>
      </x:c>
      <x:c r="O241"/>
      <x:c r="P241"/>
      <x:c r="Q241"/>
      <x:c r="R241"/>
      <x:c r="S241" s="52"/>
      <x:c r="T241" t="str">
        <x:v>OK</x:v>
      </x:c>
      <x:c r="U241" t="str">
        <x:f>IF(AND(ISNUMBER(L241),L241&gt;=0,L241&lt;=1),"OK","CHECK")</x:f>
        <x:v>OK</x:v>
      </x:c>
      <x:c r="V241" t="str">
        <x:f>IF(AND(ISNUMBER(N241),N241&gt;=0),"OK","CHECK")</x:f>
        <x:v>OK</x:v>
      </x:c>
      <x:c r="W241" t="str">
        <x:f>IF(AND(T241="OK",U241="OK",V241="OK"),"OK","CHECK")</x:f>
        <x:v>OK</x:v>
      </x:c>
      <x:c r="X241" t="str">
        <x:f>IF(W241="OK","LOAD","QUARANTINE")</x:f>
        <x:v>LOAD</x:v>
      </x:c>
      <x:c r="Y241" t="str">
        <x:v>03_Process_Losses(6).xlsx</x:v>
      </x:c>
      <x:c r="Z241" t="str">
        <x:v>ENH-20260830-01</x:v>
      </x:c>
      <x:c r="AA241" t="str">
        <x:f>IF(X241="LOAD","Active","Quarantine")</x:f>
        <x:v>Active</x:v>
      </x:c>
      <x:c r="AB241"/>
      <x:c r="AC241"/>
      <x:c r="AD241"/>
      <x:c r="AE241"/>
    </x:row>
    <x:row r="242">
      <x:c r="A242" t="str">
        <x:v>PLD-000238</x:v>
      </x:c>
      <x:c r="B242" t="str">
        <x:v>LOSS-KG01-L22-20251023-PM-ORD-2025-00057</x:v>
      </x:c>
      <x:c r="C242" t="str">
        <x:v>PE-KG01-L22-20251023-PM-ORD-2025-00057</x:v>
      </x:c>
      <x:c r="D242" t="str">
        <x:v>KG01</x:v>
      </x:c>
      <x:c r="E242" t="n">
        <x:v>22</x:v>
      </x:c>
      <x:c r="F242" s="52" t="n">
        <x:v>45953</x:v>
      </x:c>
      <x:c r="G242" t="str">
        <x:v>PM</x:v>
      </x:c>
      <x:c r="H242" t="str">
        <x:v>ORD-2025-00057</x:v>
      </x:c>
      <x:c r="I242" t="str">
        <x:v>Normal</x:v>
      </x:c>
      <x:c r="J242" t="str">
        <x:v>PROC_EVO12</x:v>
      </x:c>
      <x:c r="K242" t="str">
        <x:v>Inspection</x:v>
      </x:c>
      <x:c r="L242" s="54" t="n">
        <x:v>0.005416312659303314</x:v>
      </x:c>
      <x:c r="M242" t="n">
        <x:v>141240</x:v>
      </x:c>
      <x:c r="N242" t="n">
        <x:f>L242*M242</x:f>
        <x:v>765</x:v>
      </x:c>
      <x:c r="O242"/>
      <x:c r="P242"/>
      <x:c r="Q242"/>
      <x:c r="R242"/>
      <x:c r="S242" s="52"/>
      <x:c r="T242" t="str">
        <x:v>OK</x:v>
      </x:c>
      <x:c r="U242" t="str">
        <x:f>IF(AND(ISNUMBER(L242),L242&gt;=0,L242&lt;=1),"OK","CHECK")</x:f>
        <x:v>OK</x:v>
      </x:c>
      <x:c r="V242" t="str">
        <x:f>IF(AND(ISNUMBER(N242),N242&gt;=0),"OK","CHECK")</x:f>
        <x:v>OK</x:v>
      </x:c>
      <x:c r="W242" t="str">
        <x:f>IF(AND(T242="OK",U242="OK",V242="OK"),"OK","CHECK")</x:f>
        <x:v>OK</x:v>
      </x:c>
      <x:c r="X242" t="str">
        <x:f>IF(W242="OK","LOAD","QUARANTINE")</x:f>
        <x:v>LOAD</x:v>
      </x:c>
      <x:c r="Y242" t="str">
        <x:v>03_Process_Losses(6).xlsx</x:v>
      </x:c>
      <x:c r="Z242" t="str">
        <x:v>ENH-20260830-01</x:v>
      </x:c>
      <x:c r="AA242" t="str">
        <x:f>IF(X242="LOAD","Active","Quarantine")</x:f>
        <x:v>Active</x:v>
      </x:c>
      <x:c r="AB242"/>
      <x:c r="AC242"/>
      <x:c r="AD242"/>
      <x:c r="AE242"/>
    </x:row>
    <x:row r="243">
      <x:c r="A243" t="str">
        <x:v>PLD-000239</x:v>
      </x:c>
      <x:c r="B243" t="str">
        <x:v>LOSS-KG01-L22-20251023-PM-ORD-2025-00057</x:v>
      </x:c>
      <x:c r="C243" t="str">
        <x:v>PE-KG01-L22-20251023-PM-ORD-2025-00057</x:v>
      </x:c>
      <x:c r="D243" t="str">
        <x:v>KG01</x:v>
      </x:c>
      <x:c r="E243" t="n">
        <x:v>22</x:v>
      </x:c>
      <x:c r="F243" s="52" t="n">
        <x:v>45953</x:v>
      </x:c>
      <x:c r="G243" t="str">
        <x:v>PM</x:v>
      </x:c>
      <x:c r="H243" t="str">
        <x:v>ORD-2025-00057</x:v>
      </x:c>
      <x:c r="I243" t="str">
        <x:v>Normal</x:v>
      </x:c>
      <x:c r="J243" t="str">
        <x:v>PROC_EVO5</x:v>
      </x:c>
      <x:c r="K243" t="str">
        <x:v>Inspection</x:v>
      </x:c>
      <x:c r="L243" s="54" t="n">
        <x:v>0.004311809685641461</x:v>
      </x:c>
      <x:c r="M243" t="n">
        <x:v>141240</x:v>
      </x:c>
      <x:c r="N243" t="n">
        <x:f>L243*M243</x:f>
        <x:v>608.9999999999999</x:v>
      </x:c>
      <x:c r="O243"/>
      <x:c r="P243"/>
      <x:c r="Q243"/>
      <x:c r="R243"/>
      <x:c r="S243" s="52"/>
      <x:c r="T243" t="str">
        <x:v>OK</x:v>
      </x:c>
      <x:c r="U243" t="str">
        <x:f>IF(AND(ISNUMBER(L243),L243&gt;=0,L243&lt;=1),"OK","CHECK")</x:f>
        <x:v>OK</x:v>
      </x:c>
      <x:c r="V243" t="str">
        <x:f>IF(AND(ISNUMBER(N243),N243&gt;=0),"OK","CHECK")</x:f>
        <x:v>OK</x:v>
      </x:c>
      <x:c r="W243" t="str">
        <x:f>IF(AND(T243="OK",U243="OK",V243="OK"),"OK","CHECK")</x:f>
        <x:v>OK</x:v>
      </x:c>
      <x:c r="X243" t="str">
        <x:f>IF(W243="OK","LOAD","QUARANTINE")</x:f>
        <x:v>LOAD</x:v>
      </x:c>
      <x:c r="Y243" t="str">
        <x:v>03_Process_Losses(6).xlsx</x:v>
      </x:c>
      <x:c r="Z243" t="str">
        <x:v>ENH-20260830-01</x:v>
      </x:c>
      <x:c r="AA243" t="str">
        <x:f>IF(X243="LOAD","Active","Quarantine")</x:f>
        <x:v>Active</x:v>
      </x:c>
      <x:c r="AB243"/>
      <x:c r="AC243"/>
      <x:c r="AD243"/>
      <x:c r="AE243"/>
    </x:row>
    <x:row r="244">
      <x:c r="A244" t="str">
        <x:v>PLD-000240</x:v>
      </x:c>
      <x:c r="B244" t="str">
        <x:v>LOSS-KG01-L22-20251023-PM-ORD-2025-00057</x:v>
      </x:c>
      <x:c r="C244" t="str">
        <x:v>PE-KG01-L22-20251023-PM-ORD-2025-00057</x:v>
      </x:c>
      <x:c r="D244" t="str">
        <x:v>KG01</x:v>
      </x:c>
      <x:c r="E244" t="n">
        <x:v>22</x:v>
      </x:c>
      <x:c r="F244" s="52" t="n">
        <x:v>45953</x:v>
      </x:c>
      <x:c r="G244" t="str">
        <x:v>PM</x:v>
      </x:c>
      <x:c r="H244" t="str">
        <x:v>ORD-2025-00057</x:v>
      </x:c>
      <x:c r="I244" t="str">
        <x:v>Normal</x:v>
      </x:c>
      <x:c r="J244" t="str">
        <x:v>PROC_SANLI</x:v>
      </x:c>
      <x:c r="K244" t="str">
        <x:v>Inspection</x:v>
      </x:c>
      <x:c r="L244" s="54" t="n">
        <x:v>0.0028532993486264516</x:v>
      </x:c>
      <x:c r="M244" t="n">
        <x:v>141240</x:v>
      </x:c>
      <x:c r="N244" t="n">
        <x:f>L244*M244</x:f>
        <x:v>403</x:v>
      </x:c>
      <x:c r="O244"/>
      <x:c r="P244"/>
      <x:c r="Q244"/>
      <x:c r="R244"/>
      <x:c r="S244" s="52"/>
      <x:c r="T244" t="str">
        <x:v>OK</x:v>
      </x:c>
      <x:c r="U244" t="str">
        <x:f>IF(AND(ISNUMBER(L244),L244&gt;=0,L244&lt;=1),"OK","CHECK")</x:f>
        <x:v>OK</x:v>
      </x:c>
      <x:c r="V244" t="str">
        <x:f>IF(AND(ISNUMBER(N244),N244&gt;=0),"OK","CHECK")</x:f>
        <x:v>OK</x:v>
      </x:c>
      <x:c r="W244" t="str">
        <x:f>IF(AND(T244="OK",U244="OK",V244="OK"),"OK","CHECK")</x:f>
        <x:v>OK</x:v>
      </x:c>
      <x:c r="X244" t="str">
        <x:f>IF(W244="OK","LOAD","QUARANTINE")</x:f>
        <x:v>LOAD</x:v>
      </x:c>
      <x:c r="Y244" t="str">
        <x:v>03_Process_Losses(6).xlsx</x:v>
      </x:c>
      <x:c r="Z244" t="str">
        <x:v>ENH-20260830-01</x:v>
      </x:c>
      <x:c r="AA244" t="str">
        <x:f>IF(X244="LOAD","Active","Quarantine")</x:f>
        <x:v>Active</x:v>
      </x:c>
      <x:c r="AB244"/>
      <x:c r="AC244"/>
      <x:c r="AD244"/>
      <x:c r="AE244"/>
    </x:row>
    <x:row r="245">
      <x:c r="A245" t="str">
        <x:v>PLD-000241</x:v>
      </x:c>
      <x:c r="B245" t="str">
        <x:v>LOSS-KG01-L22-20251023-PM-ORD-2025-00057</x:v>
      </x:c>
      <x:c r="C245" t="str">
        <x:v>PE-KG01-L22-20251023-PM-ORD-2025-00057</x:v>
      </x:c>
      <x:c r="D245" t="str">
        <x:v>KG01</x:v>
      </x:c>
      <x:c r="E245" t="n">
        <x:v>22</x:v>
      </x:c>
      <x:c r="F245" s="52" t="n">
        <x:v>45953</x:v>
      </x:c>
      <x:c r="G245" t="str">
        <x:v>PM</x:v>
      </x:c>
      <x:c r="H245" t="str">
        <x:v>ORD-2025-00057</x:v>
      </x:c>
      <x:c r="I245" t="str">
        <x:v>Normal</x:v>
      </x:c>
      <x:c r="J245" t="str">
        <x:v>PROC_VISUAL</x:v>
      </x:c>
      <x:c r="K245" t="str">
        <x:v>Inspection</x:v>
      </x:c>
      <x:c r="L245" s="54" t="n">
        <x:v>0.00830501274426508</x:v>
      </x:c>
      <x:c r="M245" t="n">
        <x:v>141240</x:v>
      </x:c>
      <x:c r="N245" t="n">
        <x:f>L245*M245</x:f>
        <x:v>1173</x:v>
      </x:c>
      <x:c r="O245"/>
      <x:c r="P245"/>
      <x:c r="Q245"/>
      <x:c r="R245"/>
      <x:c r="S245" s="52"/>
      <x:c r="T245" t="str">
        <x:v>OK</x:v>
      </x:c>
      <x:c r="U245" t="str">
        <x:f>IF(AND(ISNUMBER(L245),L245&gt;=0,L245&lt;=1),"OK","CHECK")</x:f>
        <x:v>OK</x:v>
      </x:c>
      <x:c r="V245" t="str">
        <x:f>IF(AND(ISNUMBER(N245),N245&gt;=0),"OK","CHECK")</x:f>
        <x:v>OK</x:v>
      </x:c>
      <x:c r="W245" t="str">
        <x:f>IF(AND(T245="OK",U245="OK",V245="OK"),"OK","CHECK")</x:f>
        <x:v>OK</x:v>
      </x:c>
      <x:c r="X245" t="str">
        <x:f>IF(W245="OK","LOAD","QUARANTINE")</x:f>
        <x:v>LOAD</x:v>
      </x:c>
      <x:c r="Y245" t="str">
        <x:v>03_Process_Losses(6).xlsx</x:v>
      </x:c>
      <x:c r="Z245" t="str">
        <x:v>ENH-20260830-01</x:v>
      </x:c>
      <x:c r="AA245" t="str">
        <x:f>IF(X245="LOAD","Active","Quarantine")</x:f>
        <x:v>Active</x:v>
      </x:c>
      <x:c r="AB245"/>
      <x:c r="AC245"/>
      <x:c r="AD245"/>
      <x:c r="AE245"/>
    </x:row>
    <x:row r="246">
      <x:c r="A246" t="str">
        <x:v>PLD-000242</x:v>
      </x:c>
      <x:c r="B246" t="str">
        <x:v>LOSS-KG01-L22-20251023-PM-ORD-2025-00057</x:v>
      </x:c>
      <x:c r="C246" t="str">
        <x:v>PE-KG01-L22-20251023-PM-ORD-2025-00057</x:v>
      </x:c>
      <x:c r="D246" t="str">
        <x:v>KG01</x:v>
      </x:c>
      <x:c r="E246" t="n">
        <x:v>22</x:v>
      </x:c>
      <x:c r="F246" s="52" t="n">
        <x:v>45953</x:v>
      </x:c>
      <x:c r="G246" t="str">
        <x:v>PM</x:v>
      </x:c>
      <x:c r="H246" t="str">
        <x:v>ORD-2025-00057</x:v>
      </x:c>
      <x:c r="I246" t="str">
        <x:v>Normal</x:v>
      </x:c>
      <x:c r="J246" t="str">
        <x:v>PROC_PALLETIZER</x:v>
      </x:c>
      <x:c r="K246" t="str">
        <x:v>Palletizer</x:v>
      </x:c>
      <x:c r="L246" s="54" t="n">
        <x:v>0.0023930897762673466</x:v>
      </x:c>
      <x:c r="M246" t="n">
        <x:v>141240</x:v>
      </x:c>
      <x:c r="N246" t="n">
        <x:f>L246*M246</x:f>
        <x:v>338.00000000000006</x:v>
      </x:c>
      <x:c r="O246"/>
      <x:c r="P246"/>
      <x:c r="Q246"/>
      <x:c r="R246"/>
      <x:c r="S246" s="52"/>
      <x:c r="T246" t="str">
        <x:v>OK</x:v>
      </x:c>
      <x:c r="U246" t="str">
        <x:f>IF(AND(ISNUMBER(L246),L246&gt;=0,L246&lt;=1),"OK","CHECK")</x:f>
        <x:v>OK</x:v>
      </x:c>
      <x:c r="V246" t="str">
        <x:f>IF(AND(ISNUMBER(N246),N246&gt;=0),"OK","CHECK")</x:f>
        <x:v>OK</x:v>
      </x:c>
      <x:c r="W246" t="str">
        <x:f>IF(AND(T246="OK",U246="OK",V246="OK"),"OK","CHECK")</x:f>
        <x:v>OK</x:v>
      </x:c>
      <x:c r="X246" t="str">
        <x:f>IF(W246="OK","LOAD","QUARANTINE")</x:f>
        <x:v>LOAD</x:v>
      </x:c>
      <x:c r="Y246" t="str">
        <x:v>03_Process_Losses(6).xlsx</x:v>
      </x:c>
      <x:c r="Z246" t="str">
        <x:v>ENH-20260830-01</x:v>
      </x:c>
      <x:c r="AA246" t="str">
        <x:f>IF(X246="LOAD","Active","Quarantine")</x:f>
        <x:v>Active</x:v>
      </x:c>
      <x:c r="AB246"/>
      <x:c r="AC246"/>
      <x:c r="AD246"/>
      <x:c r="AE246"/>
    </x:row>
    <x:row r="247">
      <x:c r="A247" t="str">
        <x:v>PLD-000243</x:v>
      </x:c>
      <x:c r="B247" t="str">
        <x:v>LOSS-KG01-L22-20251024-AM-ORD-2025-00057</x:v>
      </x:c>
      <x:c r="C247" t="str">
        <x:v>PE-KG01-L22-20251024-AM-ORD-2025-00057</x:v>
      </x:c>
      <x:c r="D247" t="str">
        <x:v>KG01</x:v>
      </x:c>
      <x:c r="E247" t="n">
        <x:v>22</x:v>
      </x:c>
      <x:c r="F247" s="52" t="n">
        <x:v>45954</x:v>
      </x:c>
      <x:c r="G247" t="str">
        <x:v>AM</x:v>
      </x:c>
      <x:c r="H247" t="str">
        <x:v>ORD-2025-00057</x:v>
      </x:c>
      <x:c r="I247" t="str">
        <x:v>Normal</x:v>
      </x:c>
      <x:c r="J247" t="str">
        <x:v>PROC_FIXED</x:v>
      </x:c>
      <x:c r="K247" t="str">
        <x:v>Fixed Losses</x:v>
      </x:c>
      <x:c r="L247" s="54" t="n">
        <x:v>0.004304964539007092</x:v>
      </x:c>
      <x:c r="M247" t="n">
        <x:v>141000</x:v>
      </x:c>
      <x:c r="N247" t="n">
        <x:f>L247*M247</x:f>
        <x:v>607</x:v>
      </x:c>
      <x:c r="O247"/>
      <x:c r="P247"/>
      <x:c r="Q247"/>
      <x:c r="R247"/>
      <x:c r="S247" s="52"/>
      <x:c r="T247" t="str">
        <x:v>OK</x:v>
      </x:c>
      <x:c r="U247" t="str">
        <x:f>IF(AND(ISNUMBER(L247),L247&gt;=0,L247&lt;=1),"OK","CHECK")</x:f>
        <x:v>OK</x:v>
      </x:c>
      <x:c r="V247" t="str">
        <x:f>IF(AND(ISNUMBER(N247),N247&gt;=0),"OK","CHECK")</x:f>
        <x:v>OK</x:v>
      </x:c>
      <x:c r="W247" t="str">
        <x:f>IF(AND(T247="OK",U247="OK",V247="OK"),"OK","CHECK")</x:f>
        <x:v>OK</x:v>
      </x:c>
      <x:c r="X247" t="str">
        <x:f>IF(W247="OK","LOAD","QUARANTINE")</x:f>
        <x:v>LOAD</x:v>
      </x:c>
      <x:c r="Y247" t="str">
        <x:v>03_Process_Losses(6).xlsx</x:v>
      </x:c>
      <x:c r="Z247" t="str">
        <x:v>ENH-20260830-01</x:v>
      </x:c>
      <x:c r="AA247" t="str">
        <x:f>IF(X247="LOAD","Active","Quarantine")</x:f>
        <x:v>Active</x:v>
      </x:c>
      <x:c r="AB247"/>
      <x:c r="AC247"/>
      <x:c r="AD247"/>
      <x:c r="AE247"/>
    </x:row>
    <x:row r="248">
      <x:c r="A248" t="str">
        <x:v>PLD-000244</x:v>
      </x:c>
      <x:c r="B248" t="str">
        <x:v>LOSS-KG01-L22-20251024-AM-ORD-2025-00057</x:v>
      </x:c>
      <x:c r="C248" t="str">
        <x:v>PE-KG01-L22-20251024-AM-ORD-2025-00057</x:v>
      </x:c>
      <x:c r="D248" t="str">
        <x:v>KG01</x:v>
      </x:c>
      <x:c r="E248" t="n">
        <x:v>22</x:v>
      </x:c>
      <x:c r="F248" s="52" t="n">
        <x:v>45954</x:v>
      </x:c>
      <x:c r="G248" t="str">
        <x:v>AM</x:v>
      </x:c>
      <x:c r="H248" t="str">
        <x:v>ORD-2025-00057</x:v>
      </x:c>
      <x:c r="I248" t="str">
        <x:v>Normal</x:v>
      </x:c>
      <x:c r="J248" t="str">
        <x:v>PROC_IS</x:v>
      </x:c>
      <x:c r="K248" t="str">
        <x:v>IS Machine</x:v>
      </x:c>
      <x:c r="L248" s="54" t="n">
        <x:v>0.010085106382978723</x:v>
      </x:c>
      <x:c r="M248" t="n">
        <x:v>141000</x:v>
      </x:c>
      <x:c r="N248" t="n">
        <x:f>L248*M248</x:f>
        <x:v>1422</x:v>
      </x:c>
      <x:c r="O248"/>
      <x:c r="P248"/>
      <x:c r="Q248"/>
      <x:c r="R248"/>
      <x:c r="S248" s="52"/>
      <x:c r="T248" t="str">
        <x:v>OK</x:v>
      </x:c>
      <x:c r="U248" t="str">
        <x:f>IF(AND(ISNUMBER(L248),L248&gt;=0,L248&lt;=1),"OK","CHECK")</x:f>
        <x:v>OK</x:v>
      </x:c>
      <x:c r="V248" t="str">
        <x:f>IF(AND(ISNUMBER(N248),N248&gt;=0),"OK","CHECK")</x:f>
        <x:v>OK</x:v>
      </x:c>
      <x:c r="W248" t="str">
        <x:f>IF(AND(T248="OK",U248="OK",V248="OK"),"OK","CHECK")</x:f>
        <x:v>OK</x:v>
      </x:c>
      <x:c r="X248" t="str">
        <x:f>IF(W248="OK","LOAD","QUARANTINE")</x:f>
        <x:v>LOAD</x:v>
      </x:c>
      <x:c r="Y248" t="str">
        <x:v>03_Process_Losses(6).xlsx</x:v>
      </x:c>
      <x:c r="Z248" t="str">
        <x:v>ENH-20260830-01</x:v>
      </x:c>
      <x:c r="AA248" t="str">
        <x:f>IF(X248="LOAD","Active","Quarantine")</x:f>
        <x:v>Active</x:v>
      </x:c>
      <x:c r="AB248"/>
      <x:c r="AC248"/>
      <x:c r="AD248"/>
      <x:c r="AE248"/>
    </x:row>
    <x:row r="249">
      <x:c r="A249" t="str">
        <x:v>PLD-000245</x:v>
      </x:c>
      <x:c r="B249" t="str">
        <x:v>LOSS-KG01-L22-20251024-AM-ORD-2025-00057</x:v>
      </x:c>
      <x:c r="C249" t="str">
        <x:v>PE-KG01-L22-20251024-AM-ORD-2025-00057</x:v>
      </x:c>
      <x:c r="D249" t="str">
        <x:v>KG01</x:v>
      </x:c>
      <x:c r="E249" t="n">
        <x:v>22</x:v>
      </x:c>
      <x:c r="F249" s="52" t="n">
        <x:v>45954</x:v>
      </x:c>
      <x:c r="G249" t="str">
        <x:v>AM</x:v>
      </x:c>
      <x:c r="H249" t="str">
        <x:v>ORD-2025-00057</x:v>
      </x:c>
      <x:c r="I249" t="str">
        <x:v>Normal</x:v>
      </x:c>
      <x:c r="J249" t="str">
        <x:v>PROC_HE_CONVEYER</x:v>
      </x:c>
      <x:c r="K249" t="str">
        <x:v>Hot End</x:v>
      </x:c>
      <x:c r="L249" s="54" t="n">
        <x:v>0.0005673758865248227</x:v>
      </x:c>
      <x:c r="M249" t="n">
        <x:v>141000</x:v>
      </x:c>
      <x:c r="N249" t="n">
        <x:f>L249*M249</x:f>
        <x:v>80</x:v>
      </x:c>
      <x:c r="O249"/>
      <x:c r="P249"/>
      <x:c r="Q249"/>
      <x:c r="R249"/>
      <x:c r="S249" s="52"/>
      <x:c r="T249" t="str">
        <x:v>OK</x:v>
      </x:c>
      <x:c r="U249" t="str">
        <x:f>IF(AND(ISNUMBER(L249),L249&gt;=0,L249&lt;=1),"OK","CHECK")</x:f>
        <x:v>OK</x:v>
      </x:c>
      <x:c r="V249" t="str">
        <x:f>IF(AND(ISNUMBER(N249),N249&gt;=0),"OK","CHECK")</x:f>
        <x:v>OK</x:v>
      </x:c>
      <x:c r="W249" t="str">
        <x:f>IF(AND(T249="OK",U249="OK",V249="OK"),"OK","CHECK")</x:f>
        <x:v>OK</x:v>
      </x:c>
      <x:c r="X249" t="str">
        <x:f>IF(W249="OK","LOAD","QUARANTINE")</x:f>
        <x:v>LOAD</x:v>
      </x:c>
      <x:c r="Y249" t="str">
        <x:v>03_Process_Losses(6).xlsx</x:v>
      </x:c>
      <x:c r="Z249" t="str">
        <x:v>ENH-20260830-01</x:v>
      </x:c>
      <x:c r="AA249" t="str">
        <x:f>IF(X249="LOAD","Active","Quarantine")</x:f>
        <x:v>Active</x:v>
      </x:c>
      <x:c r="AB249"/>
      <x:c r="AC249"/>
      <x:c r="AD249"/>
      <x:c r="AE249"/>
    </x:row>
    <x:row r="250">
      <x:c r="A250" t="str">
        <x:v>PLD-000246</x:v>
      </x:c>
      <x:c r="B250" t="str">
        <x:v>LOSS-KG01-L22-20251024-AM-ORD-2025-00057</x:v>
      </x:c>
      <x:c r="C250" t="str">
        <x:v>PE-KG01-L22-20251024-AM-ORD-2025-00057</x:v>
      </x:c>
      <x:c r="D250" t="str">
        <x:v>KG01</x:v>
      </x:c>
      <x:c r="E250" t="n">
        <x:v>22</x:v>
      </x:c>
      <x:c r="F250" s="52" t="n">
        <x:v>45954</x:v>
      </x:c>
      <x:c r="G250" t="str">
        <x:v>AM</x:v>
      </x:c>
      <x:c r="H250" t="str">
        <x:v>ORD-2025-00057</x:v>
      </x:c>
      <x:c r="I250" t="str">
        <x:v>Normal</x:v>
      </x:c>
      <x:c r="J250" t="str">
        <x:v>PROC_STUCKDOWN</x:v>
      </x:c>
      <x:c r="K250" t="str">
        <x:v>Forming</x:v>
      </x:c>
      <x:c r="L250" s="54" t="n">
        <x:v>0.001950354609929078</x:v>
      </x:c>
      <x:c r="M250" t="n">
        <x:v>141000</x:v>
      </x:c>
      <x:c r="N250" t="n">
        <x:f>L250*M250</x:f>
        <x:v>275</x:v>
      </x:c>
      <x:c r="O250"/>
      <x:c r="P250"/>
      <x:c r="Q250"/>
      <x:c r="R250"/>
      <x:c r="S250" s="52"/>
      <x:c r="T250" t="str">
        <x:v>OK</x:v>
      </x:c>
      <x:c r="U250" t="str">
        <x:f>IF(AND(ISNUMBER(L250),L250&gt;=0,L250&lt;=1),"OK","CHECK")</x:f>
        <x:v>OK</x:v>
      </x:c>
      <x:c r="V250" t="str">
        <x:f>IF(AND(ISNUMBER(N250),N250&gt;=0),"OK","CHECK")</x:f>
        <x:v>OK</x:v>
      </x:c>
      <x:c r="W250" t="str">
        <x:f>IF(AND(T250="OK",U250="OK",V250="OK"),"OK","CHECK")</x:f>
        <x:v>OK</x:v>
      </x:c>
      <x:c r="X250" t="str">
        <x:f>IF(W250="OK","LOAD","QUARANTINE")</x:f>
        <x:v>LOAD</x:v>
      </x:c>
      <x:c r="Y250" t="str">
        <x:v>03_Process_Losses(6).xlsx</x:v>
      </x:c>
      <x:c r="Z250" t="str">
        <x:v>ENH-20260830-01</x:v>
      </x:c>
      <x:c r="AA250" t="str">
        <x:f>IF(X250="LOAD","Active","Quarantine")</x:f>
        <x:v>Active</x:v>
      </x:c>
      <x:c r="AB250"/>
      <x:c r="AC250"/>
      <x:c r="AD250"/>
      <x:c r="AE250"/>
    </x:row>
    <x:row r="251">
      <x:c r="A251" t="str">
        <x:v>PLD-000247</x:v>
      </x:c>
      <x:c r="B251" t="str">
        <x:v>LOSS-KG01-L22-20251024-AM-ORD-2025-00057</x:v>
      </x:c>
      <x:c r="C251" t="str">
        <x:v>PE-KG01-L22-20251024-AM-ORD-2025-00057</x:v>
      </x:c>
      <x:c r="D251" t="str">
        <x:v>KG01</x:v>
      </x:c>
      <x:c r="E251" t="n">
        <x:v>22</x:v>
      </x:c>
      <x:c r="F251" s="52" t="n">
        <x:v>45954</x:v>
      </x:c>
      <x:c r="G251" t="str">
        <x:v>AM</x:v>
      </x:c>
      <x:c r="H251" t="str">
        <x:v>ORD-2025-00057</x:v>
      </x:c>
      <x:c r="I251" t="str">
        <x:v>Normal</x:v>
      </x:c>
      <x:c r="J251" t="str">
        <x:v>PROC_LEHR</x:v>
      </x:c>
      <x:c r="K251" t="str">
        <x:v>Lehr</x:v>
      </x:c>
      <x:c r="L251" s="54" t="n">
        <x:v>0.0031843971631205672</x:v>
      </x:c>
      <x:c r="M251" t="n">
        <x:v>141000</x:v>
      </x:c>
      <x:c r="N251" t="n">
        <x:f>L251*M251</x:f>
        <x:v>449</x:v>
      </x:c>
      <x:c r="O251"/>
      <x:c r="P251"/>
      <x:c r="Q251"/>
      <x:c r="R251"/>
      <x:c r="S251" s="52"/>
      <x:c r="T251" t="str">
        <x:v>OK</x:v>
      </x:c>
      <x:c r="U251" t="str">
        <x:f>IF(AND(ISNUMBER(L251),L251&gt;=0,L251&lt;=1),"OK","CHECK")</x:f>
        <x:v>OK</x:v>
      </x:c>
      <x:c r="V251" t="str">
        <x:f>IF(AND(ISNUMBER(N251),N251&gt;=0),"OK","CHECK")</x:f>
        <x:v>OK</x:v>
      </x:c>
      <x:c r="W251" t="str">
        <x:f>IF(AND(T251="OK",U251="OK",V251="OK"),"OK","CHECK")</x:f>
        <x:v>OK</x:v>
      </x:c>
      <x:c r="X251" t="str">
        <x:f>IF(W251="OK","LOAD","QUARANTINE")</x:f>
        <x:v>LOAD</x:v>
      </x:c>
      <x:c r="Y251" t="str">
        <x:v>03_Process_Losses(6).xlsx</x:v>
      </x:c>
      <x:c r="Z251" t="str">
        <x:v>ENH-20260830-01</x:v>
      </x:c>
      <x:c r="AA251" t="str">
        <x:f>IF(X251="LOAD","Active","Quarantine")</x:f>
        <x:v>Active</x:v>
      </x:c>
      <x:c r="AB251"/>
      <x:c r="AC251"/>
      <x:c r="AD251"/>
      <x:c r="AE251"/>
    </x:row>
    <x:row r="252">
      <x:c r="A252" t="str">
        <x:v>PLD-000248</x:v>
      </x:c>
      <x:c r="B252" t="str">
        <x:v>LOSS-KG01-L22-20251024-AM-ORD-2025-00057</x:v>
      </x:c>
      <x:c r="C252" t="str">
        <x:v>PE-KG01-L22-20251024-AM-ORD-2025-00057</x:v>
      </x:c>
      <x:c r="D252" t="str">
        <x:v>KG01</x:v>
      </x:c>
      <x:c r="E252" t="n">
        <x:v>22</x:v>
      </x:c>
      <x:c r="F252" s="52" t="n">
        <x:v>45954</x:v>
      </x:c>
      <x:c r="G252" t="str">
        <x:v>AM</x:v>
      </x:c>
      <x:c r="H252" t="str">
        <x:v>ORD-2025-00057</x:v>
      </x:c>
      <x:c r="I252" t="str">
        <x:v>Normal</x:v>
      </x:c>
      <x:c r="J252" t="str">
        <x:v>PROC_EVO16</x:v>
      </x:c>
      <x:c r="K252" t="str">
        <x:v>Inspection</x:v>
      </x:c>
      <x:c r="L252" s="54" t="n">
        <x:v>0.004021276595744681</x:v>
      </x:c>
      <x:c r="M252" t="n">
        <x:v>141000</x:v>
      </x:c>
      <x:c r="N252" t="n">
        <x:f>L252*M252</x:f>
        <x:v>567</x:v>
      </x:c>
      <x:c r="O252"/>
      <x:c r="P252"/>
      <x:c r="Q252"/>
      <x:c r="R252"/>
      <x:c r="S252" s="52"/>
      <x:c r="T252" t="str">
        <x:v>OK</x:v>
      </x:c>
      <x:c r="U252" t="str">
        <x:f>IF(AND(ISNUMBER(L252),L252&gt;=0,L252&lt;=1),"OK","CHECK")</x:f>
        <x:v>OK</x:v>
      </x:c>
      <x:c r="V252" t="str">
        <x:f>IF(AND(ISNUMBER(N252),N252&gt;=0),"OK","CHECK")</x:f>
        <x:v>OK</x:v>
      </x:c>
      <x:c r="W252" t="str">
        <x:f>IF(AND(T252="OK",U252="OK",V252="OK"),"OK","CHECK")</x:f>
        <x:v>OK</x:v>
      </x:c>
      <x:c r="X252" t="str">
        <x:f>IF(W252="OK","LOAD","QUARANTINE")</x:f>
        <x:v>LOAD</x:v>
      </x:c>
      <x:c r="Y252" t="str">
        <x:v>03_Process_Losses(6).xlsx</x:v>
      </x:c>
      <x:c r="Z252" t="str">
        <x:v>ENH-20260830-01</x:v>
      </x:c>
      <x:c r="AA252" t="str">
        <x:f>IF(X252="LOAD","Active","Quarantine")</x:f>
        <x:v>Active</x:v>
      </x:c>
      <x:c r="AB252"/>
      <x:c r="AC252"/>
      <x:c r="AD252"/>
      <x:c r="AE252"/>
    </x:row>
    <x:row r="253">
      <x:c r="A253" t="str">
        <x:v>PLD-000249</x:v>
      </x:c>
      <x:c r="B253" t="str">
        <x:v>LOSS-KG01-L22-20251024-AM-ORD-2025-00057</x:v>
      </x:c>
      <x:c r="C253" t="str">
        <x:v>PE-KG01-L22-20251024-AM-ORD-2025-00057</x:v>
      </x:c>
      <x:c r="D253" t="str">
        <x:v>KG01</x:v>
      </x:c>
      <x:c r="E253" t="n">
        <x:v>22</x:v>
      </x:c>
      <x:c r="F253" s="52" t="n">
        <x:v>45954</x:v>
      </x:c>
      <x:c r="G253" t="str">
        <x:v>AM</x:v>
      </x:c>
      <x:c r="H253" t="str">
        <x:v>ORD-2025-00057</x:v>
      </x:c>
      <x:c r="I253" t="str">
        <x:v>Normal</x:v>
      </x:c>
      <x:c r="J253" t="str">
        <x:v>PROC_EVO12</x:v>
      </x:c>
      <x:c r="K253" t="str">
        <x:v>Inspection</x:v>
      </x:c>
      <x:c r="L253" s="54" t="n">
        <x:v>0.00023404255319148937</x:v>
      </x:c>
      <x:c r="M253" t="n">
        <x:v>141000</x:v>
      </x:c>
      <x:c r="N253" t="n">
        <x:f>L253*M253</x:f>
        <x:v>33</x:v>
      </x:c>
      <x:c r="O253"/>
      <x:c r="P253"/>
      <x:c r="Q253"/>
      <x:c r="R253"/>
      <x:c r="S253" s="52"/>
      <x:c r="T253" t="str">
        <x:v>OK</x:v>
      </x:c>
      <x:c r="U253" t="str">
        <x:f>IF(AND(ISNUMBER(L253),L253&gt;=0,L253&lt;=1),"OK","CHECK")</x:f>
        <x:v>OK</x:v>
      </x:c>
      <x:c r="V253" t="str">
        <x:f>IF(AND(ISNUMBER(N253),N253&gt;=0),"OK","CHECK")</x:f>
        <x:v>OK</x:v>
      </x:c>
      <x:c r="W253" t="str">
        <x:f>IF(AND(T253="OK",U253="OK",V253="OK"),"OK","CHECK")</x:f>
        <x:v>OK</x:v>
      </x:c>
      <x:c r="X253" t="str">
        <x:f>IF(W253="OK","LOAD","QUARANTINE")</x:f>
        <x:v>LOAD</x:v>
      </x:c>
      <x:c r="Y253" t="str">
        <x:v>03_Process_Losses(6).xlsx</x:v>
      </x:c>
      <x:c r="Z253" t="str">
        <x:v>ENH-20260830-01</x:v>
      </x:c>
      <x:c r="AA253" t="str">
        <x:f>IF(X253="LOAD","Active","Quarantine")</x:f>
        <x:v>Active</x:v>
      </x:c>
      <x:c r="AB253"/>
      <x:c r="AC253"/>
      <x:c r="AD253"/>
      <x:c r="AE253"/>
    </x:row>
    <x:row r="254">
      <x:c r="A254" t="str">
        <x:v>PLD-000250</x:v>
      </x:c>
      <x:c r="B254" t="str">
        <x:v>LOSS-KG01-L22-20251024-AM-ORD-2025-00057</x:v>
      </x:c>
      <x:c r="C254" t="str">
        <x:v>PE-KG01-L22-20251024-AM-ORD-2025-00057</x:v>
      </x:c>
      <x:c r="D254" t="str">
        <x:v>KG01</x:v>
      </x:c>
      <x:c r="E254" t="n">
        <x:v>22</x:v>
      </x:c>
      <x:c r="F254" s="52" t="n">
        <x:v>45954</x:v>
      </x:c>
      <x:c r="G254" t="str">
        <x:v>AM</x:v>
      </x:c>
      <x:c r="H254" t="str">
        <x:v>ORD-2025-00057</x:v>
      </x:c>
      <x:c r="I254" t="str">
        <x:v>Normal</x:v>
      </x:c>
      <x:c r="J254" t="str">
        <x:v>PROC_EVO5</x:v>
      </x:c>
      <x:c r="K254" t="str">
        <x:v>Inspection</x:v>
      </x:c>
      <x:c r="L254" s="54" t="n">
        <x:v>0.001078014184397163</x:v>
      </x:c>
      <x:c r="M254" t="n">
        <x:v>141000</x:v>
      </x:c>
      <x:c r="N254" t="n">
        <x:f>L254*M254</x:f>
        <x:v>152</x:v>
      </x:c>
      <x:c r="O254"/>
      <x:c r="P254"/>
      <x:c r="Q254"/>
      <x:c r="R254"/>
      <x:c r="S254" s="52"/>
      <x:c r="T254" t="str">
        <x:v>OK</x:v>
      </x:c>
      <x:c r="U254" t="str">
        <x:f>IF(AND(ISNUMBER(L254),L254&gt;=0,L254&lt;=1),"OK","CHECK")</x:f>
        <x:v>OK</x:v>
      </x:c>
      <x:c r="V254" t="str">
        <x:f>IF(AND(ISNUMBER(N254),N254&gt;=0),"OK","CHECK")</x:f>
        <x:v>OK</x:v>
      </x:c>
      <x:c r="W254" t="str">
        <x:f>IF(AND(T254="OK",U254="OK",V254="OK"),"OK","CHECK")</x:f>
        <x:v>OK</x:v>
      </x:c>
      <x:c r="X254" t="str">
        <x:f>IF(W254="OK","LOAD","QUARANTINE")</x:f>
        <x:v>LOAD</x:v>
      </x:c>
      <x:c r="Y254" t="str">
        <x:v>03_Process_Losses(6).xlsx</x:v>
      </x:c>
      <x:c r="Z254" t="str">
        <x:v>ENH-20260830-01</x:v>
      </x:c>
      <x:c r="AA254" t="str">
        <x:f>IF(X254="LOAD","Active","Quarantine")</x:f>
        <x:v>Active</x:v>
      </x:c>
      <x:c r="AB254"/>
      <x:c r="AC254"/>
      <x:c r="AD254"/>
      <x:c r="AE254"/>
    </x:row>
    <x:row r="255">
      <x:c r="A255" t="str">
        <x:v>PLD-000251</x:v>
      </x:c>
      <x:c r="B255" t="str">
        <x:v>LOSS-KG01-L22-20251024-AM-ORD-2025-00057</x:v>
      </x:c>
      <x:c r="C255" t="str">
        <x:v>PE-KG01-L22-20251024-AM-ORD-2025-00057</x:v>
      </x:c>
      <x:c r="D255" t="str">
        <x:v>KG01</x:v>
      </x:c>
      <x:c r="E255" t="n">
        <x:v>22</x:v>
      </x:c>
      <x:c r="F255" s="52" t="n">
        <x:v>45954</x:v>
      </x:c>
      <x:c r="G255" t="str">
        <x:v>AM</x:v>
      </x:c>
      <x:c r="H255" t="str">
        <x:v>ORD-2025-00057</x:v>
      </x:c>
      <x:c r="I255" t="str">
        <x:v>Normal</x:v>
      </x:c>
      <x:c r="J255" t="str">
        <x:v>PROC_SANLI</x:v>
      </x:c>
      <x:c r="K255" t="str">
        <x:v>Inspection</x:v>
      </x:c>
      <x:c r="L255" s="54" t="n">
        <x:v>0.002021276595744681</x:v>
      </x:c>
      <x:c r="M255" t="n">
        <x:v>141000</x:v>
      </x:c>
      <x:c r="N255" t="n">
        <x:f>L255*M255</x:f>
        <x:v>285</x:v>
      </x:c>
      <x:c r="O255"/>
      <x:c r="P255"/>
      <x:c r="Q255"/>
      <x:c r="R255"/>
      <x:c r="S255" s="52"/>
      <x:c r="T255" t="str">
        <x:v>OK</x:v>
      </x:c>
      <x:c r="U255" t="str">
        <x:f>IF(AND(ISNUMBER(L255),L255&gt;=0,L255&lt;=1),"OK","CHECK")</x:f>
        <x:v>OK</x:v>
      </x:c>
      <x:c r="V255" t="str">
        <x:f>IF(AND(ISNUMBER(N255),N255&gt;=0),"OK","CHECK")</x:f>
        <x:v>OK</x:v>
      </x:c>
      <x:c r="W255" t="str">
        <x:f>IF(AND(T255="OK",U255="OK",V255="OK"),"OK","CHECK")</x:f>
        <x:v>OK</x:v>
      </x:c>
      <x:c r="X255" t="str">
        <x:f>IF(W255="OK","LOAD","QUARANTINE")</x:f>
        <x:v>LOAD</x:v>
      </x:c>
      <x:c r="Y255" t="str">
        <x:v>03_Process_Losses(6).xlsx</x:v>
      </x:c>
      <x:c r="Z255" t="str">
        <x:v>ENH-20260830-01</x:v>
      </x:c>
      <x:c r="AA255" t="str">
        <x:f>IF(X255="LOAD","Active","Quarantine")</x:f>
        <x:v>Active</x:v>
      </x:c>
      <x:c r="AB255"/>
      <x:c r="AC255"/>
      <x:c r="AD255"/>
      <x:c r="AE255"/>
    </x:row>
    <x:row r="256">
      <x:c r="A256" t="str">
        <x:v>PLD-000252</x:v>
      </x:c>
      <x:c r="B256" t="str">
        <x:v>LOSS-KG01-L22-20251024-AM-ORD-2025-00057</x:v>
      </x:c>
      <x:c r="C256" t="str">
        <x:v>PE-KG01-L22-20251024-AM-ORD-2025-00057</x:v>
      </x:c>
      <x:c r="D256" t="str">
        <x:v>KG01</x:v>
      </x:c>
      <x:c r="E256" t="n">
        <x:v>22</x:v>
      </x:c>
      <x:c r="F256" s="52" t="n">
        <x:v>45954</x:v>
      </x:c>
      <x:c r="G256" t="str">
        <x:v>AM</x:v>
      </x:c>
      <x:c r="H256" t="str">
        <x:v>ORD-2025-00057</x:v>
      </x:c>
      <x:c r="I256" t="str">
        <x:v>Normal</x:v>
      </x:c>
      <x:c r="J256" t="str">
        <x:v>PROC_VISUAL</x:v>
      </x:c>
      <x:c r="K256" t="str">
        <x:v>Inspection</x:v>
      </x:c>
      <x:c r="L256" s="54" t="n">
        <x:v>0.006695035460992908</x:v>
      </x:c>
      <x:c r="M256" t="n">
        <x:v>141000</x:v>
      </x:c>
      <x:c r="N256" t="n">
        <x:f>L256*M256</x:f>
        <x:v>944</x:v>
      </x:c>
      <x:c r="O256"/>
      <x:c r="P256"/>
      <x:c r="Q256"/>
      <x:c r="R256"/>
      <x:c r="S256" s="52"/>
      <x:c r="T256" t="str">
        <x:v>OK</x:v>
      </x:c>
      <x:c r="U256" t="str">
        <x:f>IF(AND(ISNUMBER(L256),L256&gt;=0,L256&lt;=1),"OK","CHECK")</x:f>
        <x:v>OK</x:v>
      </x:c>
      <x:c r="V256" t="str">
        <x:f>IF(AND(ISNUMBER(N256),N256&gt;=0),"OK","CHECK")</x:f>
        <x:v>OK</x:v>
      </x:c>
      <x:c r="W256" t="str">
        <x:f>IF(AND(T256="OK",U256="OK",V256="OK"),"OK","CHECK")</x:f>
        <x:v>OK</x:v>
      </x:c>
      <x:c r="X256" t="str">
        <x:f>IF(W256="OK","LOAD","QUARANTINE")</x:f>
        <x:v>LOAD</x:v>
      </x:c>
      <x:c r="Y256" t="str">
        <x:v>03_Process_Losses(6).xlsx</x:v>
      </x:c>
      <x:c r="Z256" t="str">
        <x:v>ENH-20260830-01</x:v>
      </x:c>
      <x:c r="AA256" t="str">
        <x:f>IF(X256="LOAD","Active","Quarantine")</x:f>
        <x:v>Active</x:v>
      </x:c>
      <x:c r="AB256"/>
      <x:c r="AC256"/>
      <x:c r="AD256"/>
      <x:c r="AE256"/>
    </x:row>
    <x:row r="257">
      <x:c r="A257" t="str">
        <x:v>PLD-000253</x:v>
      </x:c>
      <x:c r="B257" t="str">
        <x:v>LOSS-KG01-L22-20251024-AM-ORD-2025-00057</x:v>
      </x:c>
      <x:c r="C257" t="str">
        <x:v>PE-KG01-L22-20251024-AM-ORD-2025-00057</x:v>
      </x:c>
      <x:c r="D257" t="str">
        <x:v>KG01</x:v>
      </x:c>
      <x:c r="E257" t="n">
        <x:v>22</x:v>
      </x:c>
      <x:c r="F257" s="52" t="n">
        <x:v>45954</x:v>
      </x:c>
      <x:c r="G257" t="str">
        <x:v>AM</x:v>
      </x:c>
      <x:c r="H257" t="str">
        <x:v>ORD-2025-00057</x:v>
      </x:c>
      <x:c r="I257" t="str">
        <x:v>Normal</x:v>
      </x:c>
      <x:c r="J257" t="str">
        <x:v>PROC_PALLETIZER</x:v>
      </x:c>
      <x:c r="K257" t="str">
        <x:v>Palletizer</x:v>
      </x:c>
      <x:c r="L257" s="54" t="n">
        <x:v>0.001971631205673759</x:v>
      </x:c>
      <x:c r="M257" t="n">
        <x:v>141000</x:v>
      </x:c>
      <x:c r="N257" t="n">
        <x:f>L257*M257</x:f>
        <x:v>278</x:v>
      </x:c>
      <x:c r="O257"/>
      <x:c r="P257"/>
      <x:c r="Q257"/>
      <x:c r="R257"/>
      <x:c r="S257" s="52"/>
      <x:c r="T257" t="str">
        <x:v>OK</x:v>
      </x:c>
      <x:c r="U257" t="str">
        <x:f>IF(AND(ISNUMBER(L257),L257&gt;=0,L257&lt;=1),"OK","CHECK")</x:f>
        <x:v>OK</x:v>
      </x:c>
      <x:c r="V257" t="str">
        <x:f>IF(AND(ISNUMBER(N257),N257&gt;=0),"OK","CHECK")</x:f>
        <x:v>OK</x:v>
      </x:c>
      <x:c r="W257" t="str">
        <x:f>IF(AND(T257="OK",U257="OK",V257="OK"),"OK","CHECK")</x:f>
        <x:v>OK</x:v>
      </x:c>
      <x:c r="X257" t="str">
        <x:f>IF(W257="OK","LOAD","QUARANTINE")</x:f>
        <x:v>LOAD</x:v>
      </x:c>
      <x:c r="Y257" t="str">
        <x:v>03_Process_Losses(6).xlsx</x:v>
      </x:c>
      <x:c r="Z257" t="str">
        <x:v>ENH-20260830-01</x:v>
      </x:c>
      <x:c r="AA257" t="str">
        <x:f>IF(X257="LOAD","Active","Quarantine")</x:f>
        <x:v>Active</x:v>
      </x:c>
      <x:c r="AB257"/>
      <x:c r="AC257"/>
      <x:c r="AD257"/>
      <x:c r="AE257"/>
    </x:row>
    <x:row r="258">
      <x:c r="A258" t="str">
        <x:v>PLD-000254</x:v>
      </x:c>
      <x:c r="B258" t="str">
        <x:v>LOSS-KG01-L22-20251024-PM-ORD-2025-00057</x:v>
      </x:c>
      <x:c r="C258" t="str">
        <x:v>PE-KG01-L22-20251024-PM-ORD-2025-00057</x:v>
      </x:c>
      <x:c r="D258" t="str">
        <x:v>KG01</x:v>
      </x:c>
      <x:c r="E258" t="n">
        <x:v>22</x:v>
      </x:c>
      <x:c r="F258" s="52" t="n">
        <x:v>45954</x:v>
      </x:c>
      <x:c r="G258" t="str">
        <x:v>PM</x:v>
      </x:c>
      <x:c r="H258" t="str">
        <x:v>ORD-2025-00057</x:v>
      </x:c>
      <x:c r="I258" t="str">
        <x:v>Normal</x:v>
      </x:c>
      <x:c r="J258" t="str">
        <x:v>PROC_FIXED</x:v>
      </x:c>
      <x:c r="K258" t="str">
        <x:v>Fixed Losses</x:v>
      </x:c>
      <x:c r="L258" s="54" t="n">
        <x:v>0.006434669459519502</x:v>
      </x:c>
      <x:c r="M258" t="n">
        <x:v>126036</x:v>
      </x:c>
      <x:c r="N258" t="n">
        <x:f>L258*M258</x:f>
        <x:v>811</x:v>
      </x:c>
      <x:c r="O258"/>
      <x:c r="P258"/>
      <x:c r="Q258"/>
      <x:c r="R258"/>
      <x:c r="S258" s="52"/>
      <x:c r="T258" t="str">
        <x:v>OK</x:v>
      </x:c>
      <x:c r="U258" t="str">
        <x:f>IF(AND(ISNUMBER(L258),L258&gt;=0,L258&lt;=1),"OK","CHECK")</x:f>
        <x:v>OK</x:v>
      </x:c>
      <x:c r="V258" t="str">
        <x:f>IF(AND(ISNUMBER(N258),N258&gt;=0),"OK","CHECK")</x:f>
        <x:v>OK</x:v>
      </x:c>
      <x:c r="W258" t="str">
        <x:f>IF(AND(T258="OK",U258="OK",V258="OK"),"OK","CHECK")</x:f>
        <x:v>OK</x:v>
      </x:c>
      <x:c r="X258" t="str">
        <x:f>IF(W258="OK","LOAD","QUARANTINE")</x:f>
        <x:v>LOAD</x:v>
      </x:c>
      <x:c r="Y258" t="str">
        <x:v>03_Process_Losses(6).xlsx</x:v>
      </x:c>
      <x:c r="Z258" t="str">
        <x:v>ENH-20260830-01</x:v>
      </x:c>
      <x:c r="AA258" t="str">
        <x:f>IF(X258="LOAD","Active","Quarantine")</x:f>
        <x:v>Active</x:v>
      </x:c>
      <x:c r="AB258"/>
      <x:c r="AC258"/>
      <x:c r="AD258"/>
      <x:c r="AE258"/>
    </x:row>
    <x:row r="259">
      <x:c r="A259" t="str">
        <x:v>PLD-000255</x:v>
      </x:c>
      <x:c r="B259" t="str">
        <x:v>LOSS-KG01-L22-20251024-PM-ORD-2025-00057</x:v>
      </x:c>
      <x:c r="C259" t="str">
        <x:v>PE-KG01-L22-20251024-PM-ORD-2025-00057</x:v>
      </x:c>
      <x:c r="D259" t="str">
        <x:v>KG01</x:v>
      </x:c>
      <x:c r="E259" t="n">
        <x:v>22</x:v>
      </x:c>
      <x:c r="F259" s="52" t="n">
        <x:v>45954</x:v>
      </x:c>
      <x:c r="G259" t="str">
        <x:v>PM</x:v>
      </x:c>
      <x:c r="H259" t="str">
        <x:v>ORD-2025-00057</x:v>
      </x:c>
      <x:c r="I259" t="str">
        <x:v>Normal</x:v>
      </x:c>
      <x:c r="J259" t="str">
        <x:v>PROC_IS</x:v>
      </x:c>
      <x:c r="K259" t="str">
        <x:v>IS Machine</x:v>
      </x:c>
      <x:c r="L259" s="54" t="n">
        <x:v>0.01030657907264591</x:v>
      </x:c>
      <x:c r="M259" t="n">
        <x:v>126036</x:v>
      </x:c>
      <x:c r="N259" t="n">
        <x:f>L259*M259</x:f>
        <x:v>1299</x:v>
      </x:c>
      <x:c r="O259"/>
      <x:c r="P259"/>
      <x:c r="Q259"/>
      <x:c r="R259"/>
      <x:c r="S259" s="52"/>
      <x:c r="T259" t="str">
        <x:v>OK</x:v>
      </x:c>
      <x:c r="U259" t="str">
        <x:f>IF(AND(ISNUMBER(L259),L259&gt;=0,L259&lt;=1),"OK","CHECK")</x:f>
        <x:v>OK</x:v>
      </x:c>
      <x:c r="V259" t="str">
        <x:f>IF(AND(ISNUMBER(N259),N259&gt;=0),"OK","CHECK")</x:f>
        <x:v>OK</x:v>
      </x:c>
      <x:c r="W259" t="str">
        <x:f>IF(AND(T259="OK",U259="OK",V259="OK"),"OK","CHECK")</x:f>
        <x:v>OK</x:v>
      </x:c>
      <x:c r="X259" t="str">
        <x:f>IF(W259="OK","LOAD","QUARANTINE")</x:f>
        <x:v>LOAD</x:v>
      </x:c>
      <x:c r="Y259" t="str">
        <x:v>03_Process_Losses(6).xlsx</x:v>
      </x:c>
      <x:c r="Z259" t="str">
        <x:v>ENH-20260830-01</x:v>
      </x:c>
      <x:c r="AA259" t="str">
        <x:f>IF(X259="LOAD","Active","Quarantine")</x:f>
        <x:v>Active</x:v>
      </x:c>
      <x:c r="AB259"/>
      <x:c r="AC259"/>
      <x:c r="AD259"/>
      <x:c r="AE259"/>
    </x:row>
    <x:row r="260">
      <x:c r="A260" t="str">
        <x:v>PLD-000256</x:v>
      </x:c>
      <x:c r="B260" t="str">
        <x:v>LOSS-KG01-L22-20251024-PM-ORD-2025-00057</x:v>
      </x:c>
      <x:c r="C260" t="str">
        <x:v>PE-KG01-L22-20251024-PM-ORD-2025-00057</x:v>
      </x:c>
      <x:c r="D260" t="str">
        <x:v>KG01</x:v>
      </x:c>
      <x:c r="E260" t="n">
        <x:v>22</x:v>
      </x:c>
      <x:c r="F260" s="52" t="n">
        <x:v>45954</x:v>
      </x:c>
      <x:c r="G260" t="str">
        <x:v>PM</x:v>
      </x:c>
      <x:c r="H260" t="str">
        <x:v>ORD-2025-00057</x:v>
      </x:c>
      <x:c r="I260" t="str">
        <x:v>Normal</x:v>
      </x:c>
      <x:c r="J260" t="str">
        <x:v>PROC_HE_CONVEYER</x:v>
      </x:c>
      <x:c r="K260" t="str">
        <x:v>Hot End</x:v>
      </x:c>
      <x:c r="L260" s="54" t="n">
        <x:v>0.0037290932749373196</x:v>
      </x:c>
      <x:c r="M260" t="n">
        <x:v>126036</x:v>
      </x:c>
      <x:c r="N260" t="n">
        <x:f>L260*M260</x:f>
        <x:v>470</x:v>
      </x:c>
      <x:c r="O260"/>
      <x:c r="P260"/>
      <x:c r="Q260"/>
      <x:c r="R260"/>
      <x:c r="S260" s="52"/>
      <x:c r="T260" t="str">
        <x:v>OK</x:v>
      </x:c>
      <x:c r="U260" t="str">
        <x:f>IF(AND(ISNUMBER(L260),L260&gt;=0,L260&lt;=1),"OK","CHECK")</x:f>
        <x:v>OK</x:v>
      </x:c>
      <x:c r="V260" t="str">
        <x:f>IF(AND(ISNUMBER(N260),N260&gt;=0),"OK","CHECK")</x:f>
        <x:v>OK</x:v>
      </x:c>
      <x:c r="W260" t="str">
        <x:f>IF(AND(T260="OK",U260="OK",V260="OK"),"OK","CHECK")</x:f>
        <x:v>OK</x:v>
      </x:c>
      <x:c r="X260" t="str">
        <x:f>IF(W260="OK","LOAD","QUARANTINE")</x:f>
        <x:v>LOAD</x:v>
      </x:c>
      <x:c r="Y260" t="str">
        <x:v>03_Process_Losses(6).xlsx</x:v>
      </x:c>
      <x:c r="Z260" t="str">
        <x:v>ENH-20260830-01</x:v>
      </x:c>
      <x:c r="AA260" t="str">
        <x:f>IF(X260="LOAD","Active","Quarantine")</x:f>
        <x:v>Active</x:v>
      </x:c>
      <x:c r="AB260"/>
      <x:c r="AC260"/>
      <x:c r="AD260"/>
      <x:c r="AE260"/>
    </x:row>
    <x:row r="261">
      <x:c r="A261" t="str">
        <x:v>PLD-000257</x:v>
      </x:c>
      <x:c r="B261" t="str">
        <x:v>LOSS-KG01-L22-20251024-PM-ORD-2025-00057</x:v>
      </x:c>
      <x:c r="C261" t="str">
        <x:v>PE-KG01-L22-20251024-PM-ORD-2025-00057</x:v>
      </x:c>
      <x:c r="D261" t="str">
        <x:v>KG01</x:v>
      </x:c>
      <x:c r="E261" t="n">
        <x:v>22</x:v>
      </x:c>
      <x:c r="F261" s="52" t="n">
        <x:v>45954</x:v>
      </x:c>
      <x:c r="G261" t="str">
        <x:v>PM</x:v>
      </x:c>
      <x:c r="H261" t="str">
        <x:v>ORD-2025-00057</x:v>
      </x:c>
      <x:c r="I261" t="str">
        <x:v>Normal</x:v>
      </x:c>
      <x:c r="J261" t="str">
        <x:v>PROC_STUCKDOWN</x:v>
      </x:c>
      <x:c r="K261" t="str">
        <x:v>Forming</x:v>
      </x:c>
      <x:c r="L261" s="54" t="n">
        <x:v>0.0015471769970484624</x:v>
      </x:c>
      <x:c r="M261" t="n">
        <x:v>126036</x:v>
      </x:c>
      <x:c r="N261" t="n">
        <x:f>L261*M261</x:f>
        <x:v>195</x:v>
      </x:c>
      <x:c r="O261"/>
      <x:c r="P261"/>
      <x:c r="Q261"/>
      <x:c r="R261"/>
      <x:c r="S261" s="52"/>
      <x:c r="T261" t="str">
        <x:v>OK</x:v>
      </x:c>
      <x:c r="U261" t="str">
        <x:f>IF(AND(ISNUMBER(L261),L261&gt;=0,L261&lt;=1),"OK","CHECK")</x:f>
        <x:v>OK</x:v>
      </x:c>
      <x:c r="V261" t="str">
        <x:f>IF(AND(ISNUMBER(N261),N261&gt;=0),"OK","CHECK")</x:f>
        <x:v>OK</x:v>
      </x:c>
      <x:c r="W261" t="str">
        <x:f>IF(AND(T261="OK",U261="OK",V261="OK"),"OK","CHECK")</x:f>
        <x:v>OK</x:v>
      </x:c>
      <x:c r="X261" t="str">
        <x:f>IF(W261="OK","LOAD","QUARANTINE")</x:f>
        <x:v>LOAD</x:v>
      </x:c>
      <x:c r="Y261" t="str">
        <x:v>03_Process_Losses(6).xlsx</x:v>
      </x:c>
      <x:c r="Z261" t="str">
        <x:v>ENH-20260830-01</x:v>
      </x:c>
      <x:c r="AA261" t="str">
        <x:f>IF(X261="LOAD","Active","Quarantine")</x:f>
        <x:v>Active</x:v>
      </x:c>
      <x:c r="AB261"/>
      <x:c r="AC261"/>
      <x:c r="AD261"/>
      <x:c r="AE261"/>
    </x:row>
    <x:row r="262">
      <x:c r="A262" t="str">
        <x:v>PLD-000258</x:v>
      </x:c>
      <x:c r="B262" t="str">
        <x:v>LOSS-KG01-L22-20251024-PM-ORD-2025-00057</x:v>
      </x:c>
      <x:c r="C262" t="str">
        <x:v>PE-KG01-L22-20251024-PM-ORD-2025-00057</x:v>
      </x:c>
      <x:c r="D262" t="str">
        <x:v>KG01</x:v>
      </x:c>
      <x:c r="E262" t="n">
        <x:v>22</x:v>
      </x:c>
      <x:c r="F262" s="52" t="n">
        <x:v>45954</x:v>
      </x:c>
      <x:c r="G262" t="str">
        <x:v>PM</x:v>
      </x:c>
      <x:c r="H262" t="str">
        <x:v>ORD-2025-00057</x:v>
      </x:c>
      <x:c r="I262" t="str">
        <x:v>Normal</x:v>
      </x:c>
      <x:c r="J262" t="str">
        <x:v>PROC_LEHR</x:v>
      </x:c>
      <x:c r="K262" t="str">
        <x:v>Lehr</x:v>
      </x:c>
      <x:c r="L262" s="54" t="n">
        <x:v>0.003403789393506617</x:v>
      </x:c>
      <x:c r="M262" t="n">
        <x:v>126036</x:v>
      </x:c>
      <x:c r="N262" t="n">
        <x:f>L262*M262</x:f>
        <x:v>429</x:v>
      </x:c>
      <x:c r="O262"/>
      <x:c r="P262"/>
      <x:c r="Q262"/>
      <x:c r="R262"/>
      <x:c r="S262" s="52"/>
      <x:c r="T262" t="str">
        <x:v>OK</x:v>
      </x:c>
      <x:c r="U262" t="str">
        <x:f>IF(AND(ISNUMBER(L262),L262&gt;=0,L262&lt;=1),"OK","CHECK")</x:f>
        <x:v>OK</x:v>
      </x:c>
      <x:c r="V262" t="str">
        <x:f>IF(AND(ISNUMBER(N262),N262&gt;=0),"OK","CHECK")</x:f>
        <x:v>OK</x:v>
      </x:c>
      <x:c r="W262" t="str">
        <x:f>IF(AND(T262="OK",U262="OK",V262="OK"),"OK","CHECK")</x:f>
        <x:v>OK</x:v>
      </x:c>
      <x:c r="X262" t="str">
        <x:f>IF(W262="OK","LOAD","QUARANTINE")</x:f>
        <x:v>LOAD</x:v>
      </x:c>
      <x:c r="Y262" t="str">
        <x:v>03_Process_Losses(6).xlsx</x:v>
      </x:c>
      <x:c r="Z262" t="str">
        <x:v>ENH-20260830-01</x:v>
      </x:c>
      <x:c r="AA262" t="str">
        <x:f>IF(X262="LOAD","Active","Quarantine")</x:f>
        <x:v>Active</x:v>
      </x:c>
      <x:c r="AB262"/>
      <x:c r="AC262"/>
      <x:c r="AD262"/>
      <x:c r="AE262"/>
    </x:row>
    <x:row r="263">
      <x:c r="A263" t="str">
        <x:v>PLD-000259</x:v>
      </x:c>
      <x:c r="B263" t="str">
        <x:v>LOSS-KG01-L22-20251024-PM-ORD-2025-00057</x:v>
      </x:c>
      <x:c r="C263" t="str">
        <x:v>PE-KG01-L22-20251024-PM-ORD-2025-00057</x:v>
      </x:c>
      <x:c r="D263" t="str">
        <x:v>KG01</x:v>
      </x:c>
      <x:c r="E263" t="n">
        <x:v>22</x:v>
      </x:c>
      <x:c r="F263" s="52" t="n">
        <x:v>45954</x:v>
      </x:c>
      <x:c r="G263" t="str">
        <x:v>PM</x:v>
      </x:c>
      <x:c r="H263" t="str">
        <x:v>ORD-2025-00057</x:v>
      </x:c>
      <x:c r="I263" t="str">
        <x:v>Normal</x:v>
      </x:c>
      <x:c r="J263" t="str">
        <x:v>PROC_EVO16</x:v>
      </x:c>
      <x:c r="K263" t="str">
        <x:v>Inspection</x:v>
      </x:c>
      <x:c r="L263" s="54" t="n">
        <x:v>0.0013964264178488687</x:v>
      </x:c>
      <x:c r="M263" t="n">
        <x:v>126036</x:v>
      </x:c>
      <x:c r="N263" t="n">
        <x:f>L263*M263</x:f>
        <x:v>176</x:v>
      </x:c>
      <x:c r="O263"/>
      <x:c r="P263"/>
      <x:c r="Q263"/>
      <x:c r="R263"/>
      <x:c r="S263" s="52"/>
      <x:c r="T263" t="str">
        <x:v>OK</x:v>
      </x:c>
      <x:c r="U263" t="str">
        <x:f>IF(AND(ISNUMBER(L263),L263&gt;=0,L263&lt;=1),"OK","CHECK")</x:f>
        <x:v>OK</x:v>
      </x:c>
      <x:c r="V263" t="str">
        <x:f>IF(AND(ISNUMBER(N263),N263&gt;=0),"OK","CHECK")</x:f>
        <x:v>OK</x:v>
      </x:c>
      <x:c r="W263" t="str">
        <x:f>IF(AND(T263="OK",U263="OK",V263="OK"),"OK","CHECK")</x:f>
        <x:v>OK</x:v>
      </x:c>
      <x:c r="X263" t="str">
        <x:f>IF(W263="OK","LOAD","QUARANTINE")</x:f>
        <x:v>LOAD</x:v>
      </x:c>
      <x:c r="Y263" t="str">
        <x:v>03_Process_Losses(6).xlsx</x:v>
      </x:c>
      <x:c r="Z263" t="str">
        <x:v>ENH-20260830-01</x:v>
      </x:c>
      <x:c r="AA263" t="str">
        <x:f>IF(X263="LOAD","Active","Quarantine")</x:f>
        <x:v>Active</x:v>
      </x:c>
      <x:c r="AB263"/>
      <x:c r="AC263"/>
      <x:c r="AD263"/>
      <x:c r="AE263"/>
    </x:row>
    <x:row r="264">
      <x:c r="A264" t="str">
        <x:v>PLD-000260</x:v>
      </x:c>
      <x:c r="B264" t="str">
        <x:v>LOSS-KG01-L22-20251024-PM-ORD-2025-00057</x:v>
      </x:c>
      <x:c r="C264" t="str">
        <x:v>PE-KG01-L22-20251024-PM-ORD-2025-00057</x:v>
      </x:c>
      <x:c r="D264" t="str">
        <x:v>KG01</x:v>
      </x:c>
      <x:c r="E264" t="n">
        <x:v>22</x:v>
      </x:c>
      <x:c r="F264" s="52" t="n">
        <x:v>45954</x:v>
      </x:c>
      <x:c r="G264" t="str">
        <x:v>PM</x:v>
      </x:c>
      <x:c r="H264" t="str">
        <x:v>ORD-2025-00057</x:v>
      </x:c>
      <x:c r="I264" t="str">
        <x:v>Normal</x:v>
      </x:c>
      <x:c r="J264" t="str">
        <x:v>PROC_EVO12</x:v>
      </x:c>
      <x:c r="K264" t="str">
        <x:v>Inspection</x:v>
      </x:c>
      <x:c r="L264" s="54" t="n">
        <x:v>0.0007616871370084737</x:v>
      </x:c>
      <x:c r="M264" t="n">
        <x:v>126036</x:v>
      </x:c>
      <x:c r="N264" t="n">
        <x:f>L264*M264</x:f>
        <x:v>96</x:v>
      </x:c>
      <x:c r="O264"/>
      <x:c r="P264"/>
      <x:c r="Q264"/>
      <x:c r="R264"/>
      <x:c r="S264" s="52"/>
      <x:c r="T264" t="str">
        <x:v>OK</x:v>
      </x:c>
      <x:c r="U264" t="str">
        <x:f>IF(AND(ISNUMBER(L264),L264&gt;=0,L264&lt;=1),"OK","CHECK")</x:f>
        <x:v>OK</x:v>
      </x:c>
      <x:c r="V264" t="str">
        <x:f>IF(AND(ISNUMBER(N264),N264&gt;=0),"OK","CHECK")</x:f>
        <x:v>OK</x:v>
      </x:c>
      <x:c r="W264" t="str">
        <x:f>IF(AND(T264="OK",U264="OK",V264="OK"),"OK","CHECK")</x:f>
        <x:v>OK</x:v>
      </x:c>
      <x:c r="X264" t="str">
        <x:f>IF(W264="OK","LOAD","QUARANTINE")</x:f>
        <x:v>LOAD</x:v>
      </x:c>
      <x:c r="Y264" t="str">
        <x:v>03_Process_Losses(6).xlsx</x:v>
      </x:c>
      <x:c r="Z264" t="str">
        <x:v>ENH-20260830-01</x:v>
      </x:c>
      <x:c r="AA264" t="str">
        <x:f>IF(X264="LOAD","Active","Quarantine")</x:f>
        <x:v>Active</x:v>
      </x:c>
      <x:c r="AB264"/>
      <x:c r="AC264"/>
      <x:c r="AD264"/>
      <x:c r="AE264"/>
    </x:row>
    <x:row r="265">
      <x:c r="A265" t="str">
        <x:v>PLD-000261</x:v>
      </x:c>
      <x:c r="B265" t="str">
        <x:v>LOSS-KG01-L22-20251024-PM-ORD-2025-00057</x:v>
      </x:c>
      <x:c r="C265" t="str">
        <x:v>PE-KG01-L22-20251024-PM-ORD-2025-00057</x:v>
      </x:c>
      <x:c r="D265" t="str">
        <x:v>KG01</x:v>
      </x:c>
      <x:c r="E265" t="n">
        <x:v>22</x:v>
      </x:c>
      <x:c r="F265" s="52" t="n">
        <x:v>45954</x:v>
      </x:c>
      <x:c r="G265" t="str">
        <x:v>PM</x:v>
      </x:c>
      <x:c r="H265" t="str">
        <x:v>ORD-2025-00057</x:v>
      </x:c>
      <x:c r="I265" t="str">
        <x:v>Normal</x:v>
      </x:c>
      <x:c r="J265" t="str">
        <x:v>PROC_EVO5</x:v>
      </x:c>
      <x:c r="K265" t="str">
        <x:v>Inspection</x:v>
      </x:c>
      <x:c r="L265" s="54" t="n">
        <x:v>0.00122187311561776</x:v>
      </x:c>
      <x:c r="M265" t="n">
        <x:v>126036</x:v>
      </x:c>
      <x:c r="N265" t="n">
        <x:f>L265*M265</x:f>
        <x:v>154</x:v>
      </x:c>
      <x:c r="O265"/>
      <x:c r="P265"/>
      <x:c r="Q265"/>
      <x:c r="R265"/>
      <x:c r="S265" s="52"/>
      <x:c r="T265" t="str">
        <x:v>OK</x:v>
      </x:c>
      <x:c r="U265" t="str">
        <x:f>IF(AND(ISNUMBER(L265),L265&gt;=0,L265&lt;=1),"OK","CHECK")</x:f>
        <x:v>OK</x:v>
      </x:c>
      <x:c r="V265" t="str">
        <x:f>IF(AND(ISNUMBER(N265),N265&gt;=0),"OK","CHECK")</x:f>
        <x:v>OK</x:v>
      </x:c>
      <x:c r="W265" t="str">
        <x:f>IF(AND(T265="OK",U265="OK",V265="OK"),"OK","CHECK")</x:f>
        <x:v>OK</x:v>
      </x:c>
      <x:c r="X265" t="str">
        <x:f>IF(W265="OK","LOAD","QUARANTINE")</x:f>
        <x:v>LOAD</x:v>
      </x:c>
      <x:c r="Y265" t="str">
        <x:v>03_Process_Losses(6).xlsx</x:v>
      </x:c>
      <x:c r="Z265" t="str">
        <x:v>ENH-20260830-01</x:v>
      </x:c>
      <x:c r="AA265" t="str">
        <x:f>IF(X265="LOAD","Active","Quarantine")</x:f>
        <x:v>Active</x:v>
      </x:c>
      <x:c r="AB265"/>
      <x:c r="AC265"/>
      <x:c r="AD265"/>
      <x:c r="AE265"/>
    </x:row>
    <x:row r="266">
      <x:c r="A266" t="str">
        <x:v>PLD-000262</x:v>
      </x:c>
      <x:c r="B266" t="str">
        <x:v>LOSS-KG01-L22-20251024-PM-ORD-2025-00057</x:v>
      </x:c>
      <x:c r="C266" t="str">
        <x:v>PE-KG01-L22-20251024-PM-ORD-2025-00057</x:v>
      </x:c>
      <x:c r="D266" t="str">
        <x:v>KG01</x:v>
      </x:c>
      <x:c r="E266" t="n">
        <x:v>22</x:v>
      </x:c>
      <x:c r="F266" s="52" t="n">
        <x:v>45954</x:v>
      </x:c>
      <x:c r="G266" t="str">
        <x:v>PM</x:v>
      </x:c>
      <x:c r="H266" t="str">
        <x:v>ORD-2025-00057</x:v>
      </x:c>
      <x:c r="I266" t="str">
        <x:v>Normal</x:v>
      </x:c>
      <x:c r="J266" t="str">
        <x:v>PROC_SANLI</x:v>
      </x:c>
      <x:c r="K266" t="str">
        <x:v>Inspection</x:v>
      </x:c>
      <x:c r="L266" s="54" t="n">
        <x:v>0.0030150115839918754</x:v>
      </x:c>
      <x:c r="M266" t="n">
        <x:v>126036</x:v>
      </x:c>
      <x:c r="N266" t="n">
        <x:f>L266*M266</x:f>
        <x:v>380</x:v>
      </x:c>
      <x:c r="O266"/>
      <x:c r="P266"/>
      <x:c r="Q266"/>
      <x:c r="R266"/>
      <x:c r="S266" s="52"/>
      <x:c r="T266" t="str">
        <x:v>OK</x:v>
      </x:c>
      <x:c r="U266" t="str">
        <x:f>IF(AND(ISNUMBER(L266),L266&gt;=0,L266&lt;=1),"OK","CHECK")</x:f>
        <x:v>OK</x:v>
      </x:c>
      <x:c r="V266" t="str">
        <x:f>IF(AND(ISNUMBER(N266),N266&gt;=0),"OK","CHECK")</x:f>
        <x:v>OK</x:v>
      </x:c>
      <x:c r="W266" t="str">
        <x:f>IF(AND(T266="OK",U266="OK",V266="OK"),"OK","CHECK")</x:f>
        <x:v>OK</x:v>
      </x:c>
      <x:c r="X266" t="str">
        <x:f>IF(W266="OK","LOAD","QUARANTINE")</x:f>
        <x:v>LOAD</x:v>
      </x:c>
      <x:c r="Y266" t="str">
        <x:v>03_Process_Losses(6).xlsx</x:v>
      </x:c>
      <x:c r="Z266" t="str">
        <x:v>ENH-20260830-01</x:v>
      </x:c>
      <x:c r="AA266" t="str">
        <x:f>IF(X266="LOAD","Active","Quarantine")</x:f>
        <x:v>Active</x:v>
      </x:c>
      <x:c r="AB266"/>
      <x:c r="AC266"/>
      <x:c r="AD266"/>
      <x:c r="AE266"/>
    </x:row>
    <x:row r="267">
      <x:c r="A267" t="str">
        <x:v>PLD-000263</x:v>
      </x:c>
      <x:c r="B267" t="str">
        <x:v>LOSS-KG01-L22-20251024-PM-ORD-2025-00057</x:v>
      </x:c>
      <x:c r="C267" t="str">
        <x:v>PE-KG01-L22-20251024-PM-ORD-2025-00057</x:v>
      </x:c>
      <x:c r="D267" t="str">
        <x:v>KG01</x:v>
      </x:c>
      <x:c r="E267" t="n">
        <x:v>22</x:v>
      </x:c>
      <x:c r="F267" s="52" t="n">
        <x:v>45954</x:v>
      </x:c>
      <x:c r="G267" t="str">
        <x:v>PM</x:v>
      </x:c>
      <x:c r="H267" t="str">
        <x:v>ORD-2025-00057</x:v>
      </x:c>
      <x:c r="I267" t="str">
        <x:v>Normal</x:v>
      </x:c>
      <x:c r="J267" t="str">
        <x:v>PROC_VISUAL</x:v>
      </x:c>
      <x:c r="K267" t="str">
        <x:v>Inspection</x:v>
      </x:c>
      <x:c r="L267" s="54" t="n">
        <x:v>0.006363261290424958</x:v>
      </x:c>
      <x:c r="M267" t="n">
        <x:v>126036</x:v>
      </x:c>
      <x:c r="N267" t="n">
        <x:f>L267*M267</x:f>
        <x:v>802</x:v>
      </x:c>
      <x:c r="O267"/>
      <x:c r="P267"/>
      <x:c r="Q267"/>
      <x:c r="R267"/>
      <x:c r="S267" s="52"/>
      <x:c r="T267" t="str">
        <x:v>OK</x:v>
      </x:c>
      <x:c r="U267" t="str">
        <x:f>IF(AND(ISNUMBER(L267),L267&gt;=0,L267&lt;=1),"OK","CHECK")</x:f>
        <x:v>OK</x:v>
      </x:c>
      <x:c r="V267" t="str">
        <x:f>IF(AND(ISNUMBER(N267),N267&gt;=0),"OK","CHECK")</x:f>
        <x:v>OK</x:v>
      </x:c>
      <x:c r="W267" t="str">
        <x:f>IF(AND(T267="OK",U267="OK",V267="OK"),"OK","CHECK")</x:f>
        <x:v>OK</x:v>
      </x:c>
      <x:c r="X267" t="str">
        <x:f>IF(W267="OK","LOAD","QUARANTINE")</x:f>
        <x:v>LOAD</x:v>
      </x:c>
      <x:c r="Y267" t="str">
        <x:v>03_Process_Losses(6).xlsx</x:v>
      </x:c>
      <x:c r="Z267" t="str">
        <x:v>ENH-20260830-01</x:v>
      </x:c>
      <x:c r="AA267" t="str">
        <x:f>IF(X267="LOAD","Active","Quarantine")</x:f>
        <x:v>Active</x:v>
      </x:c>
      <x:c r="AB267"/>
      <x:c r="AC267"/>
      <x:c r="AD267"/>
      <x:c r="AE267"/>
    </x:row>
    <x:row r="268">
      <x:c r="A268" t="str">
        <x:v>PLD-000264</x:v>
      </x:c>
      <x:c r="B268" t="str">
        <x:v>LOSS-KG01-L22-20251024-PM-ORD-2025-00057</x:v>
      </x:c>
      <x:c r="C268" t="str">
        <x:v>PE-KG01-L22-20251024-PM-ORD-2025-00057</x:v>
      </x:c>
      <x:c r="D268" t="str">
        <x:v>KG01</x:v>
      </x:c>
      <x:c r="E268" t="n">
        <x:v>22</x:v>
      </x:c>
      <x:c r="F268" s="52" t="n">
        <x:v>45954</x:v>
      </x:c>
      <x:c r="G268" t="str">
        <x:v>PM</x:v>
      </x:c>
      <x:c r="H268" t="str">
        <x:v>ORD-2025-00057</x:v>
      </x:c>
      <x:c r="I268" t="str">
        <x:v>Normal</x:v>
      </x:c>
      <x:c r="J268" t="str">
        <x:v>PROC_PALLETIZER</x:v>
      </x:c>
      <x:c r="K268" t="str">
        <x:v>Palletizer</x:v>
      </x:c>
      <x:c r="L268" s="54" t="n">
        <x:v>0.003943317782220953</x:v>
      </x:c>
      <x:c r="M268" t="n">
        <x:v>126036</x:v>
      </x:c>
      <x:c r="N268" t="n">
        <x:f>L268*M268</x:f>
        <x:v>497</x:v>
      </x:c>
      <x:c r="O268"/>
      <x:c r="P268"/>
      <x:c r="Q268"/>
      <x:c r="R268"/>
      <x:c r="S268" s="52"/>
      <x:c r="T268" t="str">
        <x:v>OK</x:v>
      </x:c>
      <x:c r="U268" t="str">
        <x:f>IF(AND(ISNUMBER(L268),L268&gt;=0,L268&lt;=1),"OK","CHECK")</x:f>
        <x:v>OK</x:v>
      </x:c>
      <x:c r="V268" t="str">
        <x:f>IF(AND(ISNUMBER(N268),N268&gt;=0),"OK","CHECK")</x:f>
        <x:v>OK</x:v>
      </x:c>
      <x:c r="W268" t="str">
        <x:f>IF(AND(T268="OK",U268="OK",V268="OK"),"OK","CHECK")</x:f>
        <x:v>OK</x:v>
      </x:c>
      <x:c r="X268" t="str">
        <x:f>IF(W268="OK","LOAD","QUARANTINE")</x:f>
        <x:v>LOAD</x:v>
      </x:c>
      <x:c r="Y268" t="str">
        <x:v>03_Process_Losses(6).xlsx</x:v>
      </x:c>
      <x:c r="Z268" t="str">
        <x:v>ENH-20260830-01</x:v>
      </x:c>
      <x:c r="AA268" t="str">
        <x:f>IF(X268="LOAD","Active","Quarantine")</x:f>
        <x:v>Active</x:v>
      </x:c>
      <x:c r="AB268"/>
      <x:c r="AC268"/>
      <x:c r="AD268"/>
      <x:c r="AE268"/>
    </x:row>
    <x:row r="269">
      <x:c r="A269" t="str">
        <x:v>PLD-000265</x:v>
      </x:c>
      <x:c r="B269" t="str">
        <x:v>LOSS-KG01-L22-20251025-AM-ORD-2025-00057</x:v>
      </x:c>
      <x:c r="C269" t="str">
        <x:v>PE-KG01-L22-20251025-AM-ORD-2025-00057</x:v>
      </x:c>
      <x:c r="D269" t="str">
        <x:v>KG01</x:v>
      </x:c>
      <x:c r="E269" t="n">
        <x:v>22</x:v>
      </x:c>
      <x:c r="F269" s="52" t="n">
        <x:v>45955</x:v>
      </x:c>
      <x:c r="G269" t="str">
        <x:v>AM</x:v>
      </x:c>
      <x:c r="H269" t="str">
        <x:v>ORD-2025-00057</x:v>
      </x:c>
      <x:c r="I269" t="str">
        <x:v>Normal</x:v>
      </x:c>
      <x:c r="J269" t="str">
        <x:v>PROC_FIXED</x:v>
      </x:c>
      <x:c r="K269" t="str">
        <x:v>Fixed Losses</x:v>
      </x:c>
      <x:c r="L269" s="54" t="n">
        <x:v>0.005260196905766526</x:v>
      </x:c>
      <x:c r="M269" t="n">
        <x:v>142200</x:v>
      </x:c>
      <x:c r="N269" t="n">
        <x:f>L269*M269</x:f>
        <x:v>748</x:v>
      </x:c>
      <x:c r="O269"/>
      <x:c r="P269"/>
      <x:c r="Q269"/>
      <x:c r="R269"/>
      <x:c r="S269" s="52"/>
      <x:c r="T269" t="str">
        <x:v>OK</x:v>
      </x:c>
      <x:c r="U269" t="str">
        <x:f>IF(AND(ISNUMBER(L269),L269&gt;=0,L269&lt;=1),"OK","CHECK")</x:f>
        <x:v>OK</x:v>
      </x:c>
      <x:c r="V269" t="str">
        <x:f>IF(AND(ISNUMBER(N269),N269&gt;=0),"OK","CHECK")</x:f>
        <x:v>OK</x:v>
      </x:c>
      <x:c r="W269" t="str">
        <x:f>IF(AND(T269="OK",U269="OK",V269="OK"),"OK","CHECK")</x:f>
        <x:v>OK</x:v>
      </x:c>
      <x:c r="X269" t="str">
        <x:f>IF(W269="OK","LOAD","QUARANTINE")</x:f>
        <x:v>LOAD</x:v>
      </x:c>
      <x:c r="Y269" t="str">
        <x:v>03_Process_Losses(6).xlsx</x:v>
      </x:c>
      <x:c r="Z269" t="str">
        <x:v>ENH-20260830-01</x:v>
      </x:c>
      <x:c r="AA269" t="str">
        <x:f>IF(X269="LOAD","Active","Quarantine")</x:f>
        <x:v>Active</x:v>
      </x:c>
      <x:c r="AB269"/>
      <x:c r="AC269"/>
      <x:c r="AD269"/>
      <x:c r="AE269"/>
    </x:row>
    <x:row r="270">
      <x:c r="A270" t="str">
        <x:v>PLD-000266</x:v>
      </x:c>
      <x:c r="B270" t="str">
        <x:v>LOSS-KG01-L22-20251025-AM-ORD-2025-00057</x:v>
      </x:c>
      <x:c r="C270" t="str">
        <x:v>PE-KG01-L22-20251025-AM-ORD-2025-00057</x:v>
      </x:c>
      <x:c r="D270" t="str">
        <x:v>KG01</x:v>
      </x:c>
      <x:c r="E270" t="n">
        <x:v>22</x:v>
      </x:c>
      <x:c r="F270" s="52" t="n">
        <x:v>45955</x:v>
      </x:c>
      <x:c r="G270" t="str">
        <x:v>AM</x:v>
      </x:c>
      <x:c r="H270" t="str">
        <x:v>ORD-2025-00057</x:v>
      </x:c>
      <x:c r="I270" t="str">
        <x:v>Normal</x:v>
      </x:c>
      <x:c r="J270" t="str">
        <x:v>PROC_IS</x:v>
      </x:c>
      <x:c r="K270" t="str">
        <x:v>IS Machine</x:v>
      </x:c>
      <x:c r="L270" s="54" t="n">
        <x:v>0.008987341772151899</x:v>
      </x:c>
      <x:c r="M270" t="n">
        <x:v>142200</x:v>
      </x:c>
      <x:c r="N270" t="n">
        <x:f>L270*M270</x:f>
        <x:v>1278</x:v>
      </x:c>
      <x:c r="O270"/>
      <x:c r="P270"/>
      <x:c r="Q270"/>
      <x:c r="R270"/>
      <x:c r="S270" s="52"/>
      <x:c r="T270" t="str">
        <x:v>OK</x:v>
      </x:c>
      <x:c r="U270" t="str">
        <x:f>IF(AND(ISNUMBER(L270),L270&gt;=0,L270&lt;=1),"OK","CHECK")</x:f>
        <x:v>OK</x:v>
      </x:c>
      <x:c r="V270" t="str">
        <x:f>IF(AND(ISNUMBER(N270),N270&gt;=0),"OK","CHECK")</x:f>
        <x:v>OK</x:v>
      </x:c>
      <x:c r="W270" t="str">
        <x:f>IF(AND(T270="OK",U270="OK",V270="OK"),"OK","CHECK")</x:f>
        <x:v>OK</x:v>
      </x:c>
      <x:c r="X270" t="str">
        <x:f>IF(W270="OK","LOAD","QUARANTINE")</x:f>
        <x:v>LOAD</x:v>
      </x:c>
      <x:c r="Y270" t="str">
        <x:v>03_Process_Losses(6).xlsx</x:v>
      </x:c>
      <x:c r="Z270" t="str">
        <x:v>ENH-20260830-01</x:v>
      </x:c>
      <x:c r="AA270" t="str">
        <x:f>IF(X270="LOAD","Active","Quarantine")</x:f>
        <x:v>Active</x:v>
      </x:c>
      <x:c r="AB270"/>
      <x:c r="AC270"/>
      <x:c r="AD270"/>
      <x:c r="AE270"/>
    </x:row>
    <x:row r="271">
      <x:c r="A271" t="str">
        <x:v>PLD-000267</x:v>
      </x:c>
      <x:c r="B271" t="str">
        <x:v>LOSS-KG01-L22-20251025-AM-ORD-2025-00057</x:v>
      </x:c>
      <x:c r="C271" t="str">
        <x:v>PE-KG01-L22-20251025-AM-ORD-2025-00057</x:v>
      </x:c>
      <x:c r="D271" t="str">
        <x:v>KG01</x:v>
      </x:c>
      <x:c r="E271" t="n">
        <x:v>22</x:v>
      </x:c>
      <x:c r="F271" s="52" t="n">
        <x:v>45955</x:v>
      </x:c>
      <x:c r="G271" t="str">
        <x:v>AM</x:v>
      </x:c>
      <x:c r="H271" t="str">
        <x:v>ORD-2025-00057</x:v>
      </x:c>
      <x:c r="I271" t="str">
        <x:v>Normal</x:v>
      </x:c>
      <x:c r="J271" t="str">
        <x:v>PROC_HE_CONVEYER</x:v>
      </x:c>
      <x:c r="K271" t="str">
        <x:v>Hot End</x:v>
      </x:c>
      <x:c r="L271" s="54" t="n">
        <x:v>0.005126582278481013</x:v>
      </x:c>
      <x:c r="M271" t="n">
        <x:v>142200</x:v>
      </x:c>
      <x:c r="N271" t="n">
        <x:f>L271*M271</x:f>
        <x:v>729</x:v>
      </x:c>
      <x:c r="O271"/>
      <x:c r="P271"/>
      <x:c r="Q271"/>
      <x:c r="R271"/>
      <x:c r="S271" s="52"/>
      <x:c r="T271" t="str">
        <x:v>OK</x:v>
      </x:c>
      <x:c r="U271" t="str">
        <x:f>IF(AND(ISNUMBER(L271),L271&gt;=0,L271&lt;=1),"OK","CHECK")</x:f>
        <x:v>OK</x:v>
      </x:c>
      <x:c r="V271" t="str">
        <x:f>IF(AND(ISNUMBER(N271),N271&gt;=0),"OK","CHECK")</x:f>
        <x:v>OK</x:v>
      </x:c>
      <x:c r="W271" t="str">
        <x:f>IF(AND(T271="OK",U271="OK",V271="OK"),"OK","CHECK")</x:f>
        <x:v>OK</x:v>
      </x:c>
      <x:c r="X271" t="str">
        <x:f>IF(W271="OK","LOAD","QUARANTINE")</x:f>
        <x:v>LOAD</x:v>
      </x:c>
      <x:c r="Y271" t="str">
        <x:v>03_Process_Losses(6).xlsx</x:v>
      </x:c>
      <x:c r="Z271" t="str">
        <x:v>ENH-20260830-01</x:v>
      </x:c>
      <x:c r="AA271" t="str">
        <x:f>IF(X271="LOAD","Active","Quarantine")</x:f>
        <x:v>Active</x:v>
      </x:c>
      <x:c r="AB271"/>
      <x:c r="AC271"/>
      <x:c r="AD271"/>
      <x:c r="AE271"/>
    </x:row>
    <x:row r="272">
      <x:c r="A272" t="str">
        <x:v>PLD-000268</x:v>
      </x:c>
      <x:c r="B272" t="str">
        <x:v>LOSS-KG01-L22-20251025-AM-ORD-2025-00057</x:v>
      </x:c>
      <x:c r="C272" t="str">
        <x:v>PE-KG01-L22-20251025-AM-ORD-2025-00057</x:v>
      </x:c>
      <x:c r="D272" t="str">
        <x:v>KG01</x:v>
      </x:c>
      <x:c r="E272" t="n">
        <x:v>22</x:v>
      </x:c>
      <x:c r="F272" s="52" t="n">
        <x:v>45955</x:v>
      </x:c>
      <x:c r="G272" t="str">
        <x:v>AM</x:v>
      </x:c>
      <x:c r="H272" t="str">
        <x:v>ORD-2025-00057</x:v>
      </x:c>
      <x:c r="I272" t="str">
        <x:v>Normal</x:v>
      </x:c>
      <x:c r="J272" t="str">
        <x:v>PROC_STUCKDOWN</x:v>
      </x:c>
      <x:c r="K272" t="str">
        <x:v>Forming</x:v>
      </x:c>
      <x:c r="L272" s="54" t="n">
        <x:v>0.0031082981715893107</x:v>
      </x:c>
      <x:c r="M272" t="n">
        <x:v>142200</x:v>
      </x:c>
      <x:c r="N272" t="n">
        <x:f>L272*M272</x:f>
        <x:v>442</x:v>
      </x:c>
      <x:c r="O272"/>
      <x:c r="P272"/>
      <x:c r="Q272"/>
      <x:c r="R272"/>
      <x:c r="S272" s="52"/>
      <x:c r="T272" t="str">
        <x:v>OK</x:v>
      </x:c>
      <x:c r="U272" t="str">
        <x:f>IF(AND(ISNUMBER(L272),L272&gt;=0,L272&lt;=1),"OK","CHECK")</x:f>
        <x:v>OK</x:v>
      </x:c>
      <x:c r="V272" t="str">
        <x:f>IF(AND(ISNUMBER(N272),N272&gt;=0),"OK","CHECK")</x:f>
        <x:v>OK</x:v>
      </x:c>
      <x:c r="W272" t="str">
        <x:f>IF(AND(T272="OK",U272="OK",V272="OK"),"OK","CHECK")</x:f>
        <x:v>OK</x:v>
      </x:c>
      <x:c r="X272" t="str">
        <x:f>IF(W272="OK","LOAD","QUARANTINE")</x:f>
        <x:v>LOAD</x:v>
      </x:c>
      <x:c r="Y272" t="str">
        <x:v>03_Process_Losses(6).xlsx</x:v>
      </x:c>
      <x:c r="Z272" t="str">
        <x:v>ENH-20260830-01</x:v>
      </x:c>
      <x:c r="AA272" t="str">
        <x:f>IF(X272="LOAD","Active","Quarantine")</x:f>
        <x:v>Active</x:v>
      </x:c>
      <x:c r="AB272"/>
      <x:c r="AC272"/>
      <x:c r="AD272"/>
      <x:c r="AE272"/>
    </x:row>
    <x:row r="273">
      <x:c r="A273" t="str">
        <x:v>PLD-000269</x:v>
      </x:c>
      <x:c r="B273" t="str">
        <x:v>LOSS-KG01-L22-20251025-AM-ORD-2025-00057</x:v>
      </x:c>
      <x:c r="C273" t="str">
        <x:v>PE-KG01-L22-20251025-AM-ORD-2025-00057</x:v>
      </x:c>
      <x:c r="D273" t="str">
        <x:v>KG01</x:v>
      </x:c>
      <x:c r="E273" t="n">
        <x:v>22</x:v>
      </x:c>
      <x:c r="F273" s="52" t="n">
        <x:v>45955</x:v>
      </x:c>
      <x:c r="G273" t="str">
        <x:v>AM</x:v>
      </x:c>
      <x:c r="H273" t="str">
        <x:v>ORD-2025-00057</x:v>
      </x:c>
      <x:c r="I273" t="str">
        <x:v>Normal</x:v>
      </x:c>
      <x:c r="J273" t="str">
        <x:v>PROC_LEHR</x:v>
      </x:c>
      <x:c r="K273" t="str">
        <x:v>Lehr</x:v>
      </x:c>
      <x:c r="L273" s="54" t="n">
        <x:v>0.004838255977496484</x:v>
      </x:c>
      <x:c r="M273" t="n">
        <x:v>142200</x:v>
      </x:c>
      <x:c r="N273" t="n">
        <x:f>L273*M273</x:f>
        <x:v>688</x:v>
      </x:c>
      <x:c r="O273"/>
      <x:c r="P273"/>
      <x:c r="Q273"/>
      <x:c r="R273"/>
      <x:c r="S273" s="52"/>
      <x:c r="T273" t="str">
        <x:v>OK</x:v>
      </x:c>
      <x:c r="U273" t="str">
        <x:f>IF(AND(ISNUMBER(L273),L273&gt;=0,L273&lt;=1),"OK","CHECK")</x:f>
        <x:v>OK</x:v>
      </x:c>
      <x:c r="V273" t="str">
        <x:f>IF(AND(ISNUMBER(N273),N273&gt;=0),"OK","CHECK")</x:f>
        <x:v>OK</x:v>
      </x:c>
      <x:c r="W273" t="str">
        <x:f>IF(AND(T273="OK",U273="OK",V273="OK"),"OK","CHECK")</x:f>
        <x:v>OK</x:v>
      </x:c>
      <x:c r="X273" t="str">
        <x:f>IF(W273="OK","LOAD","QUARANTINE")</x:f>
        <x:v>LOAD</x:v>
      </x:c>
      <x:c r="Y273" t="str">
        <x:v>03_Process_Losses(6).xlsx</x:v>
      </x:c>
      <x:c r="Z273" t="str">
        <x:v>ENH-20260830-01</x:v>
      </x:c>
      <x:c r="AA273" t="str">
        <x:f>IF(X273="LOAD","Active","Quarantine")</x:f>
        <x:v>Active</x:v>
      </x:c>
      <x:c r="AB273"/>
      <x:c r="AC273"/>
      <x:c r="AD273"/>
      <x:c r="AE273"/>
    </x:row>
    <x:row r="274">
      <x:c r="A274" t="str">
        <x:v>PLD-000270</x:v>
      </x:c>
      <x:c r="B274" t="str">
        <x:v>LOSS-KG01-L22-20251025-AM-ORD-2025-00057</x:v>
      </x:c>
      <x:c r="C274" t="str">
        <x:v>PE-KG01-L22-20251025-AM-ORD-2025-00057</x:v>
      </x:c>
      <x:c r="D274" t="str">
        <x:v>KG01</x:v>
      </x:c>
      <x:c r="E274" t="n">
        <x:v>22</x:v>
      </x:c>
      <x:c r="F274" s="52" t="n">
        <x:v>45955</x:v>
      </x:c>
      <x:c r="G274" t="str">
        <x:v>AM</x:v>
      </x:c>
      <x:c r="H274" t="str">
        <x:v>ORD-2025-00057</x:v>
      </x:c>
      <x:c r="I274" t="str">
        <x:v>Normal</x:v>
      </x:c>
      <x:c r="J274" t="str">
        <x:v>PROC_EVO16</x:v>
      </x:c>
      <x:c r="K274" t="str">
        <x:v>Inspection</x:v>
      </x:c>
      <x:c r="L274" s="54" t="n">
        <x:v>0.00220112517580872</x:v>
      </x:c>
      <x:c r="M274" t="n">
        <x:v>142200</x:v>
      </x:c>
      <x:c r="N274" t="n">
        <x:f>L274*M274</x:f>
        <x:v>313</x:v>
      </x:c>
      <x:c r="O274"/>
      <x:c r="P274"/>
      <x:c r="Q274"/>
      <x:c r="R274"/>
      <x:c r="S274" s="52"/>
      <x:c r="T274" t="str">
        <x:v>OK</x:v>
      </x:c>
      <x:c r="U274" t="str">
        <x:f>IF(AND(ISNUMBER(L274),L274&gt;=0,L274&lt;=1),"OK","CHECK")</x:f>
        <x:v>OK</x:v>
      </x:c>
      <x:c r="V274" t="str">
        <x:f>IF(AND(ISNUMBER(N274),N274&gt;=0),"OK","CHECK")</x:f>
        <x:v>OK</x:v>
      </x:c>
      <x:c r="W274" t="str">
        <x:f>IF(AND(T274="OK",U274="OK",V274="OK"),"OK","CHECK")</x:f>
        <x:v>OK</x:v>
      </x:c>
      <x:c r="X274" t="str">
        <x:f>IF(W274="OK","LOAD","QUARANTINE")</x:f>
        <x:v>LOAD</x:v>
      </x:c>
      <x:c r="Y274" t="str">
        <x:v>03_Process_Losses(6).xlsx</x:v>
      </x:c>
      <x:c r="Z274" t="str">
        <x:v>ENH-20260830-01</x:v>
      </x:c>
      <x:c r="AA274" t="str">
        <x:f>IF(X274="LOAD","Active","Quarantine")</x:f>
        <x:v>Active</x:v>
      </x:c>
      <x:c r="AB274"/>
      <x:c r="AC274"/>
      <x:c r="AD274"/>
      <x:c r="AE274"/>
    </x:row>
    <x:row r="275">
      <x:c r="A275" t="str">
        <x:v>PLD-000271</x:v>
      </x:c>
      <x:c r="B275" t="str">
        <x:v>LOSS-KG01-L22-20251025-AM-ORD-2025-00057</x:v>
      </x:c>
      <x:c r="C275" t="str">
        <x:v>PE-KG01-L22-20251025-AM-ORD-2025-00057</x:v>
      </x:c>
      <x:c r="D275" t="str">
        <x:v>KG01</x:v>
      </x:c>
      <x:c r="E275" t="n">
        <x:v>22</x:v>
      </x:c>
      <x:c r="F275" s="52" t="n">
        <x:v>45955</x:v>
      </x:c>
      <x:c r="G275" t="str">
        <x:v>AM</x:v>
      </x:c>
      <x:c r="H275" t="str">
        <x:v>ORD-2025-00057</x:v>
      </x:c>
      <x:c r="I275" t="str">
        <x:v>Normal</x:v>
      </x:c>
      <x:c r="J275" t="str">
        <x:v>PROC_EVO12</x:v>
      </x:c>
      <x:c r="K275" t="str">
        <x:v>Inspection</x:v>
      </x:c>
      <x:c r="L275" s="54" t="n">
        <x:v>0.0026652601969057665</x:v>
      </x:c>
      <x:c r="M275" t="n">
        <x:v>142200</x:v>
      </x:c>
      <x:c r="N275" t="n">
        <x:f>L275*M275</x:f>
        <x:v>379</x:v>
      </x:c>
      <x:c r="O275"/>
      <x:c r="P275"/>
      <x:c r="Q275"/>
      <x:c r="R275"/>
      <x:c r="S275" s="52"/>
      <x:c r="T275" t="str">
        <x:v>OK</x:v>
      </x:c>
      <x:c r="U275" t="str">
        <x:f>IF(AND(ISNUMBER(L275),L275&gt;=0,L275&lt;=1),"OK","CHECK")</x:f>
        <x:v>OK</x:v>
      </x:c>
      <x:c r="V275" t="str">
        <x:f>IF(AND(ISNUMBER(N275),N275&gt;=0),"OK","CHECK")</x:f>
        <x:v>OK</x:v>
      </x:c>
      <x:c r="W275" t="str">
        <x:f>IF(AND(T275="OK",U275="OK",V275="OK"),"OK","CHECK")</x:f>
        <x:v>OK</x:v>
      </x:c>
      <x:c r="X275" t="str">
        <x:f>IF(W275="OK","LOAD","QUARANTINE")</x:f>
        <x:v>LOAD</x:v>
      </x:c>
      <x:c r="Y275" t="str">
        <x:v>03_Process_Losses(6).xlsx</x:v>
      </x:c>
      <x:c r="Z275" t="str">
        <x:v>ENH-20260830-01</x:v>
      </x:c>
      <x:c r="AA275" t="str">
        <x:f>IF(X275="LOAD","Active","Quarantine")</x:f>
        <x:v>Active</x:v>
      </x:c>
      <x:c r="AB275"/>
      <x:c r="AC275"/>
      <x:c r="AD275"/>
      <x:c r="AE275"/>
    </x:row>
    <x:row r="276">
      <x:c r="A276" t="str">
        <x:v>PLD-000272</x:v>
      </x:c>
      <x:c r="B276" t="str">
        <x:v>LOSS-KG01-L22-20251025-AM-ORD-2025-00057</x:v>
      </x:c>
      <x:c r="C276" t="str">
        <x:v>PE-KG01-L22-20251025-AM-ORD-2025-00057</x:v>
      </x:c>
      <x:c r="D276" t="str">
        <x:v>KG01</x:v>
      </x:c>
      <x:c r="E276" t="n">
        <x:v>22</x:v>
      </x:c>
      <x:c r="F276" s="52" t="n">
        <x:v>45955</x:v>
      </x:c>
      <x:c r="G276" t="str">
        <x:v>AM</x:v>
      </x:c>
      <x:c r="H276" t="str">
        <x:v>ORD-2025-00057</x:v>
      </x:c>
      <x:c r="I276" t="str">
        <x:v>Normal</x:v>
      </x:c>
      <x:c r="J276" t="str">
        <x:v>PROC_EVO5</x:v>
      </x:c>
      <x:c r="K276" t="str">
        <x:v>Inspection</x:v>
      </x:c>
      <x:c r="L276" s="54" t="n">
        <x:v>0.0014627285513361462</x:v>
      </x:c>
      <x:c r="M276" t="n">
        <x:v>142200</x:v>
      </x:c>
      <x:c r="N276" t="n">
        <x:f>L276*M276</x:f>
        <x:v>207.99999999999997</x:v>
      </x:c>
      <x:c r="O276"/>
      <x:c r="P276"/>
      <x:c r="Q276"/>
      <x:c r="R276"/>
      <x:c r="S276" s="52"/>
      <x:c r="T276" t="str">
        <x:v>OK</x:v>
      </x:c>
      <x:c r="U276" t="str">
        <x:f>IF(AND(ISNUMBER(L276),L276&gt;=0,L276&lt;=1),"OK","CHECK")</x:f>
        <x:v>OK</x:v>
      </x:c>
      <x:c r="V276" t="str">
        <x:f>IF(AND(ISNUMBER(N276),N276&gt;=0),"OK","CHECK")</x:f>
        <x:v>OK</x:v>
      </x:c>
      <x:c r="W276" t="str">
        <x:f>IF(AND(T276="OK",U276="OK",V276="OK"),"OK","CHECK")</x:f>
        <x:v>OK</x:v>
      </x:c>
      <x:c r="X276" t="str">
        <x:f>IF(W276="OK","LOAD","QUARANTINE")</x:f>
        <x:v>LOAD</x:v>
      </x:c>
      <x:c r="Y276" t="str">
        <x:v>03_Process_Losses(6).xlsx</x:v>
      </x:c>
      <x:c r="Z276" t="str">
        <x:v>ENH-20260830-01</x:v>
      </x:c>
      <x:c r="AA276" t="str">
        <x:f>IF(X276="LOAD","Active","Quarantine")</x:f>
        <x:v>Active</x:v>
      </x:c>
      <x:c r="AB276"/>
      <x:c r="AC276"/>
      <x:c r="AD276"/>
      <x:c r="AE276"/>
    </x:row>
    <x:row r="277">
      <x:c r="A277" t="str">
        <x:v>PLD-000273</x:v>
      </x:c>
      <x:c r="B277" t="str">
        <x:v>LOSS-KG01-L22-20251025-AM-ORD-2025-00057</x:v>
      </x:c>
      <x:c r="C277" t="str">
        <x:v>PE-KG01-L22-20251025-AM-ORD-2025-00057</x:v>
      </x:c>
      <x:c r="D277" t="str">
        <x:v>KG01</x:v>
      </x:c>
      <x:c r="E277" t="n">
        <x:v>22</x:v>
      </x:c>
      <x:c r="F277" s="52" t="n">
        <x:v>45955</x:v>
      </x:c>
      <x:c r="G277" t="str">
        <x:v>AM</x:v>
      </x:c>
      <x:c r="H277" t="str">
        <x:v>ORD-2025-00057</x:v>
      </x:c>
      <x:c r="I277" t="str">
        <x:v>Normal</x:v>
      </x:c>
      <x:c r="J277" t="str">
        <x:v>PROC_SANLI</x:v>
      </x:c>
      <x:c r="K277" t="str">
        <x:v>Inspection</x:v>
      </x:c>
      <x:c r="L277" s="54" t="n">
        <x:v>0.003628691983122363</x:v>
      </x:c>
      <x:c r="M277" t="n">
        <x:v>142200</x:v>
      </x:c>
      <x:c r="N277" t="n">
        <x:f>L277*M277</x:f>
        <x:v>516</x:v>
      </x:c>
      <x:c r="O277"/>
      <x:c r="P277"/>
      <x:c r="Q277"/>
      <x:c r="R277"/>
      <x:c r="S277" s="52"/>
      <x:c r="T277" t="str">
        <x:v>OK</x:v>
      </x:c>
      <x:c r="U277" t="str">
        <x:f>IF(AND(ISNUMBER(L277),L277&gt;=0,L277&lt;=1),"OK","CHECK")</x:f>
        <x:v>OK</x:v>
      </x:c>
      <x:c r="V277" t="str">
        <x:f>IF(AND(ISNUMBER(N277),N277&gt;=0),"OK","CHECK")</x:f>
        <x:v>OK</x:v>
      </x:c>
      <x:c r="W277" t="str">
        <x:f>IF(AND(T277="OK",U277="OK",V277="OK"),"OK","CHECK")</x:f>
        <x:v>OK</x:v>
      </x:c>
      <x:c r="X277" t="str">
        <x:f>IF(W277="OK","LOAD","QUARANTINE")</x:f>
        <x:v>LOAD</x:v>
      </x:c>
      <x:c r="Y277" t="str">
        <x:v>03_Process_Losses(6).xlsx</x:v>
      </x:c>
      <x:c r="Z277" t="str">
        <x:v>ENH-20260830-01</x:v>
      </x:c>
      <x:c r="AA277" t="str">
        <x:f>IF(X277="LOAD","Active","Quarantine")</x:f>
        <x:v>Active</x:v>
      </x:c>
      <x:c r="AB277"/>
      <x:c r="AC277"/>
      <x:c r="AD277"/>
      <x:c r="AE277"/>
    </x:row>
    <x:row r="278">
      <x:c r="A278" t="str">
        <x:v>PLD-000274</x:v>
      </x:c>
      <x:c r="B278" t="str">
        <x:v>LOSS-KG01-L22-20251025-AM-ORD-2025-00057</x:v>
      </x:c>
      <x:c r="C278" t="str">
        <x:v>PE-KG01-L22-20251025-AM-ORD-2025-00057</x:v>
      </x:c>
      <x:c r="D278" t="str">
        <x:v>KG01</x:v>
      </x:c>
      <x:c r="E278" t="n">
        <x:v>22</x:v>
      </x:c>
      <x:c r="F278" s="52" t="n">
        <x:v>45955</x:v>
      </x:c>
      <x:c r="G278" t="str">
        <x:v>AM</x:v>
      </x:c>
      <x:c r="H278" t="str">
        <x:v>ORD-2025-00057</x:v>
      </x:c>
      <x:c r="I278" t="str">
        <x:v>Normal</x:v>
      </x:c>
      <x:c r="J278" t="str">
        <x:v>PROC_VISUAL</x:v>
      </x:c>
      <x:c r="K278" t="str">
        <x:v>Inspection</x:v>
      </x:c>
      <x:c r="L278" s="54" t="n">
        <x:v>0.005239099859353024</x:v>
      </x:c>
      <x:c r="M278" t="n">
        <x:v>142200</x:v>
      </x:c>
      <x:c r="N278" t="n">
        <x:f>L278*M278</x:f>
        <x:v>745</x:v>
      </x:c>
      <x:c r="O278"/>
      <x:c r="P278"/>
      <x:c r="Q278"/>
      <x:c r="R278"/>
      <x:c r="S278" s="52"/>
      <x:c r="T278" t="str">
        <x:v>OK</x:v>
      </x:c>
      <x:c r="U278" t="str">
        <x:f>IF(AND(ISNUMBER(L278),L278&gt;=0,L278&lt;=1),"OK","CHECK")</x:f>
        <x:v>OK</x:v>
      </x:c>
      <x:c r="V278" t="str">
        <x:f>IF(AND(ISNUMBER(N278),N278&gt;=0),"OK","CHECK")</x:f>
        <x:v>OK</x:v>
      </x:c>
      <x:c r="W278" t="str">
        <x:f>IF(AND(T278="OK",U278="OK",V278="OK"),"OK","CHECK")</x:f>
        <x:v>OK</x:v>
      </x:c>
      <x:c r="X278" t="str">
        <x:f>IF(W278="OK","LOAD","QUARANTINE")</x:f>
        <x:v>LOAD</x:v>
      </x:c>
      <x:c r="Y278" t="str">
        <x:v>03_Process_Losses(6).xlsx</x:v>
      </x:c>
      <x:c r="Z278" t="str">
        <x:v>ENH-20260830-01</x:v>
      </x:c>
      <x:c r="AA278" t="str">
        <x:f>IF(X278="LOAD","Active","Quarantine")</x:f>
        <x:v>Active</x:v>
      </x:c>
      <x:c r="AB278"/>
      <x:c r="AC278"/>
      <x:c r="AD278"/>
      <x:c r="AE278"/>
    </x:row>
    <x:row r="279">
      <x:c r="A279" t="str">
        <x:v>PLD-000275</x:v>
      </x:c>
      <x:c r="B279" t="str">
        <x:v>LOSS-KG01-L22-20251025-AM-ORD-2025-00057</x:v>
      </x:c>
      <x:c r="C279" t="str">
        <x:v>PE-KG01-L22-20251025-AM-ORD-2025-00057</x:v>
      </x:c>
      <x:c r="D279" t="str">
        <x:v>KG01</x:v>
      </x:c>
      <x:c r="E279" t="n">
        <x:v>22</x:v>
      </x:c>
      <x:c r="F279" s="52" t="n">
        <x:v>45955</x:v>
      </x:c>
      <x:c r="G279" t="str">
        <x:v>AM</x:v>
      </x:c>
      <x:c r="H279" t="str">
        <x:v>ORD-2025-00057</x:v>
      </x:c>
      <x:c r="I279" t="str">
        <x:v>Normal</x:v>
      </x:c>
      <x:c r="J279" t="str">
        <x:v>PROC_PALLETIZER</x:v>
      </x:c>
      <x:c r="K279" t="str">
        <x:v>Palletizer</x:v>
      </x:c>
      <x:c r="L279" s="54" t="n">
        <x:v>0.0009985935302391</x:v>
      </x:c>
      <x:c r="M279" t="n">
        <x:v>142200</x:v>
      </x:c>
      <x:c r="N279" t="n">
        <x:f>L279*M279</x:f>
        <x:v>142</x:v>
      </x:c>
      <x:c r="O279"/>
      <x:c r="P279"/>
      <x:c r="Q279"/>
      <x:c r="R279"/>
      <x:c r="S279" s="52"/>
      <x:c r="T279" t="str">
        <x:v>OK</x:v>
      </x:c>
      <x:c r="U279" t="str">
        <x:f>IF(AND(ISNUMBER(L279),L279&gt;=0,L279&lt;=1),"OK","CHECK")</x:f>
        <x:v>OK</x:v>
      </x:c>
      <x:c r="V279" t="str">
        <x:f>IF(AND(ISNUMBER(N279),N279&gt;=0),"OK","CHECK")</x:f>
        <x:v>OK</x:v>
      </x:c>
      <x:c r="W279" t="str">
        <x:f>IF(AND(T279="OK",U279="OK",V279="OK"),"OK","CHECK")</x:f>
        <x:v>OK</x:v>
      </x:c>
      <x:c r="X279" t="str">
        <x:f>IF(W279="OK","LOAD","QUARANTINE")</x:f>
        <x:v>LOAD</x:v>
      </x:c>
      <x:c r="Y279" t="str">
        <x:v>03_Process_Losses(6).xlsx</x:v>
      </x:c>
      <x:c r="Z279" t="str">
        <x:v>ENH-20260830-01</x:v>
      </x:c>
      <x:c r="AA279" t="str">
        <x:f>IF(X279="LOAD","Active","Quarantine")</x:f>
        <x:v>Active</x:v>
      </x:c>
      <x:c r="AB279"/>
      <x:c r="AC279"/>
      <x:c r="AD279"/>
      <x:c r="AE279"/>
    </x:row>
    <x:row r="280">
      <x:c r="A280" t="str">
        <x:v>PLD-000276</x:v>
      </x:c>
      <x:c r="B280" t="str">
        <x:v>LOSS-KG01-L22-20251025-PM-ORD-2025-00057</x:v>
      </x:c>
      <x:c r="C280" t="str">
        <x:v>PE-KG01-L22-20251025-PM-ORD-2025-00057</x:v>
      </x:c>
      <x:c r="D280" t="str">
        <x:v>KG01</x:v>
      </x:c>
      <x:c r="E280" t="n">
        <x:v>22</x:v>
      </x:c>
      <x:c r="F280" s="52" t="n">
        <x:v>45955</x:v>
      </x:c>
      <x:c r="G280" t="str">
        <x:v>PM</x:v>
      </x:c>
      <x:c r="H280" t="str">
        <x:v>ORD-2025-00057</x:v>
      </x:c>
      <x:c r="I280" t="str">
        <x:v>Normal</x:v>
      </x:c>
      <x:c r="J280" t="str">
        <x:v>PROC_FIXED</x:v>
      </x:c>
      <x:c r="K280" t="str">
        <x:v>Fixed Losses</x:v>
      </x:c>
      <x:c r="L280" s="54" t="n">
        <x:v>0.004889865576888477</x:v>
      </x:c>
      <x:c r="M280" t="n">
        <x:v>155628</x:v>
      </x:c>
      <x:c r="N280" t="n">
        <x:f>L280*M280</x:f>
        <x:v>760.9999999999999</x:v>
      </x:c>
      <x:c r="O280"/>
      <x:c r="P280"/>
      <x:c r="Q280"/>
      <x:c r="R280"/>
      <x:c r="S280" s="52"/>
      <x:c r="T280" t="str">
        <x:v>OK</x:v>
      </x:c>
      <x:c r="U280" t="str">
        <x:f>IF(AND(ISNUMBER(L280),L280&gt;=0,L280&lt;=1),"OK","CHECK")</x:f>
        <x:v>OK</x:v>
      </x:c>
      <x:c r="V280" t="str">
        <x:f>IF(AND(ISNUMBER(N280),N280&gt;=0),"OK","CHECK")</x:f>
        <x:v>OK</x:v>
      </x:c>
      <x:c r="W280" t="str">
        <x:f>IF(AND(T280="OK",U280="OK",V280="OK"),"OK","CHECK")</x:f>
        <x:v>OK</x:v>
      </x:c>
      <x:c r="X280" t="str">
        <x:f>IF(W280="OK","LOAD","QUARANTINE")</x:f>
        <x:v>LOAD</x:v>
      </x:c>
      <x:c r="Y280" t="str">
        <x:v>03_Process_Losses(6).xlsx</x:v>
      </x:c>
      <x:c r="Z280" t="str">
        <x:v>ENH-20260830-01</x:v>
      </x:c>
      <x:c r="AA280" t="str">
        <x:f>IF(X280="LOAD","Active","Quarantine")</x:f>
        <x:v>Active</x:v>
      </x:c>
      <x:c r="AB280"/>
      <x:c r="AC280"/>
      <x:c r="AD280"/>
      <x:c r="AE280"/>
    </x:row>
    <x:row r="281">
      <x:c r="A281" t="str">
        <x:v>PLD-000277</x:v>
      </x:c>
      <x:c r="B281" t="str">
        <x:v>LOSS-KG01-L22-20251025-PM-ORD-2025-00057</x:v>
      </x:c>
      <x:c r="C281" t="str">
        <x:v>PE-KG01-L22-20251025-PM-ORD-2025-00057</x:v>
      </x:c>
      <x:c r="D281" t="str">
        <x:v>KG01</x:v>
      </x:c>
      <x:c r="E281" t="n">
        <x:v>22</x:v>
      </x:c>
      <x:c r="F281" s="52" t="n">
        <x:v>45955</x:v>
      </x:c>
      <x:c r="G281" t="str">
        <x:v>PM</x:v>
      </x:c>
      <x:c r="H281" t="str">
        <x:v>ORD-2025-00057</x:v>
      </x:c>
      <x:c r="I281" t="str">
        <x:v>Normal</x:v>
      </x:c>
      <x:c r="J281" t="str">
        <x:v>PROC_IS</x:v>
      </x:c>
      <x:c r="K281" t="str">
        <x:v>IS Machine</x:v>
      </x:c>
      <x:c r="L281" s="54" t="n">
        <x:v>0.0056288071555247125</x:v>
      </x:c>
      <x:c r="M281" t="n">
        <x:v>155628</x:v>
      </x:c>
      <x:c r="N281" t="n">
        <x:f>L281*M281</x:f>
        <x:v>876</x:v>
      </x:c>
      <x:c r="O281"/>
      <x:c r="P281"/>
      <x:c r="Q281"/>
      <x:c r="R281"/>
      <x:c r="S281" s="52"/>
      <x:c r="T281" t="str">
        <x:v>OK</x:v>
      </x:c>
      <x:c r="U281" t="str">
        <x:f>IF(AND(ISNUMBER(L281),L281&gt;=0,L281&lt;=1),"OK","CHECK")</x:f>
        <x:v>OK</x:v>
      </x:c>
      <x:c r="V281" t="str">
        <x:f>IF(AND(ISNUMBER(N281),N281&gt;=0),"OK","CHECK")</x:f>
        <x:v>OK</x:v>
      </x:c>
      <x:c r="W281" t="str">
        <x:f>IF(AND(T281="OK",U281="OK",V281="OK"),"OK","CHECK")</x:f>
        <x:v>OK</x:v>
      </x:c>
      <x:c r="X281" t="str">
        <x:f>IF(W281="OK","LOAD","QUARANTINE")</x:f>
        <x:v>LOAD</x:v>
      </x:c>
      <x:c r="Y281" t="str">
        <x:v>03_Process_Losses(6).xlsx</x:v>
      </x:c>
      <x:c r="Z281" t="str">
        <x:v>ENH-20260830-01</x:v>
      </x:c>
      <x:c r="AA281" t="str">
        <x:f>IF(X281="LOAD","Active","Quarantine")</x:f>
        <x:v>Active</x:v>
      </x:c>
      <x:c r="AB281"/>
      <x:c r="AC281"/>
      <x:c r="AD281"/>
      <x:c r="AE281"/>
    </x:row>
    <x:row r="282">
      <x:c r="A282" t="str">
        <x:v>PLD-000278</x:v>
      </x:c>
      <x:c r="B282" t="str">
        <x:v>LOSS-KG01-L22-20251025-PM-ORD-2025-00057</x:v>
      </x:c>
      <x:c r="C282" t="str">
        <x:v>PE-KG01-L22-20251025-PM-ORD-2025-00057</x:v>
      </x:c>
      <x:c r="D282" t="str">
        <x:v>KG01</x:v>
      </x:c>
      <x:c r="E282" t="n">
        <x:v>22</x:v>
      </x:c>
      <x:c r="F282" s="52" t="n">
        <x:v>45955</x:v>
      </x:c>
      <x:c r="G282" t="str">
        <x:v>PM</x:v>
      </x:c>
      <x:c r="H282" t="str">
        <x:v>ORD-2025-00057</x:v>
      </x:c>
      <x:c r="I282" t="str">
        <x:v>Normal</x:v>
      </x:c>
      <x:c r="J282" t="str">
        <x:v>PROC_HE_CONVEYER</x:v>
      </x:c>
      <x:c r="K282" t="str">
        <x:v>Hot End</x:v>
      </x:c>
      <x:c r="L282" s="54" t="n">
        <x:v>0.0026409129462564578</x:v>
      </x:c>
      <x:c r="M282" t="n">
        <x:v>155628</x:v>
      </x:c>
      <x:c r="N282" t="n">
        <x:f>L282*M282</x:f>
        <x:v>411</x:v>
      </x:c>
      <x:c r="O282"/>
      <x:c r="P282"/>
      <x:c r="Q282"/>
      <x:c r="R282"/>
      <x:c r="S282" s="52"/>
      <x:c r="T282" t="str">
        <x:v>OK</x:v>
      </x:c>
      <x:c r="U282" t="str">
        <x:f>IF(AND(ISNUMBER(L282),L282&gt;=0,L282&lt;=1),"OK","CHECK")</x:f>
        <x:v>OK</x:v>
      </x:c>
      <x:c r="V282" t="str">
        <x:f>IF(AND(ISNUMBER(N282),N282&gt;=0),"OK","CHECK")</x:f>
        <x:v>OK</x:v>
      </x:c>
      <x:c r="W282" t="str">
        <x:f>IF(AND(T282="OK",U282="OK",V282="OK"),"OK","CHECK")</x:f>
        <x:v>OK</x:v>
      </x:c>
      <x:c r="X282" t="str">
        <x:f>IF(W282="OK","LOAD","QUARANTINE")</x:f>
        <x:v>LOAD</x:v>
      </x:c>
      <x:c r="Y282" t="str">
        <x:v>03_Process_Losses(6).xlsx</x:v>
      </x:c>
      <x:c r="Z282" t="str">
        <x:v>ENH-20260830-01</x:v>
      </x:c>
      <x:c r="AA282" t="str">
        <x:f>IF(X282="LOAD","Active","Quarantine")</x:f>
        <x:v>Active</x:v>
      </x:c>
      <x:c r="AB282"/>
      <x:c r="AC282"/>
      <x:c r="AD282"/>
      <x:c r="AE282"/>
    </x:row>
    <x:row r="283">
      <x:c r="A283" t="str">
        <x:v>PLD-000279</x:v>
      </x:c>
      <x:c r="B283" t="str">
        <x:v>LOSS-KG01-L22-20251025-PM-ORD-2025-00057</x:v>
      </x:c>
      <x:c r="C283" t="str">
        <x:v>PE-KG01-L22-20251025-PM-ORD-2025-00057</x:v>
      </x:c>
      <x:c r="D283" t="str">
        <x:v>KG01</x:v>
      </x:c>
      <x:c r="E283" t="n">
        <x:v>22</x:v>
      </x:c>
      <x:c r="F283" s="52" t="n">
        <x:v>45955</x:v>
      </x:c>
      <x:c r="G283" t="str">
        <x:v>PM</x:v>
      </x:c>
      <x:c r="H283" t="str">
        <x:v>ORD-2025-00057</x:v>
      </x:c>
      <x:c r="I283" t="str">
        <x:v>Normal</x:v>
      </x:c>
      <x:c r="J283" t="str">
        <x:v>PROC_STUCKDOWN</x:v>
      </x:c>
      <x:c r="K283" t="str">
        <x:v>Forming</x:v>
      </x:c>
      <x:c r="L283" s="54" t="n">
        <x:v>0.004073817050916287</x:v>
      </x:c>
      <x:c r="M283" t="n">
        <x:v>155628</x:v>
      </x:c>
      <x:c r="N283" t="n">
        <x:f>L283*M283</x:f>
        <x:v>634</x:v>
      </x:c>
      <x:c r="O283"/>
      <x:c r="P283"/>
      <x:c r="Q283"/>
      <x:c r="R283"/>
      <x:c r="S283" s="52"/>
      <x:c r="T283" t="str">
        <x:v>OK</x:v>
      </x:c>
      <x:c r="U283" t="str">
        <x:f>IF(AND(ISNUMBER(L283),L283&gt;=0,L283&lt;=1),"OK","CHECK")</x:f>
        <x:v>OK</x:v>
      </x:c>
      <x:c r="V283" t="str">
        <x:f>IF(AND(ISNUMBER(N283),N283&gt;=0),"OK","CHECK")</x:f>
        <x:v>OK</x:v>
      </x:c>
      <x:c r="W283" t="str">
        <x:f>IF(AND(T283="OK",U283="OK",V283="OK"),"OK","CHECK")</x:f>
        <x:v>OK</x:v>
      </x:c>
      <x:c r="X283" t="str">
        <x:f>IF(W283="OK","LOAD","QUARANTINE")</x:f>
        <x:v>LOAD</x:v>
      </x:c>
      <x:c r="Y283" t="str">
        <x:v>03_Process_Losses(6).xlsx</x:v>
      </x:c>
      <x:c r="Z283" t="str">
        <x:v>ENH-20260830-01</x:v>
      </x:c>
      <x:c r="AA283" t="str">
        <x:f>IF(X283="LOAD","Active","Quarantine")</x:f>
        <x:v>Active</x:v>
      </x:c>
      <x:c r="AB283"/>
      <x:c r="AC283"/>
      <x:c r="AD283"/>
      <x:c r="AE283"/>
    </x:row>
    <x:row r="284">
      <x:c r="A284" t="str">
        <x:v>PLD-000280</x:v>
      </x:c>
      <x:c r="B284" t="str">
        <x:v>LOSS-KG01-L22-20251025-PM-ORD-2025-00057</x:v>
      </x:c>
      <x:c r="C284" t="str">
        <x:v>PE-KG01-L22-20251025-PM-ORD-2025-00057</x:v>
      </x:c>
      <x:c r="D284" t="str">
        <x:v>KG01</x:v>
      </x:c>
      <x:c r="E284" t="n">
        <x:v>22</x:v>
      </x:c>
      <x:c r="F284" s="52" t="n">
        <x:v>45955</x:v>
      </x:c>
      <x:c r="G284" t="str">
        <x:v>PM</x:v>
      </x:c>
      <x:c r="H284" t="str">
        <x:v>ORD-2025-00057</x:v>
      </x:c>
      <x:c r="I284" t="str">
        <x:v>Normal</x:v>
      </x:c>
      <x:c r="J284" t="str">
        <x:v>PROC_LEHR</x:v>
      </x:c>
      <x:c r="K284" t="str">
        <x:v>Lehr</x:v>
      </x:c>
      <x:c r="L284" s="54" t="n">
        <x:v>0.006110725576374432</x:v>
      </x:c>
      <x:c r="M284" t="n">
        <x:v>155628</x:v>
      </x:c>
      <x:c r="N284" t="n">
        <x:f>L284*M284</x:f>
        <x:v>951</x:v>
      </x:c>
      <x:c r="O284"/>
      <x:c r="P284"/>
      <x:c r="Q284"/>
      <x:c r="R284"/>
      <x:c r="S284" s="52"/>
      <x:c r="T284" t="str">
        <x:v>OK</x:v>
      </x:c>
      <x:c r="U284" t="str">
        <x:f>IF(AND(ISNUMBER(L284),L284&gt;=0,L284&lt;=1),"OK","CHECK")</x:f>
        <x:v>OK</x:v>
      </x:c>
      <x:c r="V284" t="str">
        <x:f>IF(AND(ISNUMBER(N284),N284&gt;=0),"OK","CHECK")</x:f>
        <x:v>OK</x:v>
      </x:c>
      <x:c r="W284" t="str">
        <x:f>IF(AND(T284="OK",U284="OK",V284="OK"),"OK","CHECK")</x:f>
        <x:v>OK</x:v>
      </x:c>
      <x:c r="X284" t="str">
        <x:f>IF(W284="OK","LOAD","QUARANTINE")</x:f>
        <x:v>LOAD</x:v>
      </x:c>
      <x:c r="Y284" t="str">
        <x:v>03_Process_Losses(6).xlsx</x:v>
      </x:c>
      <x:c r="Z284" t="str">
        <x:v>ENH-20260830-01</x:v>
      </x:c>
      <x:c r="AA284" t="str">
        <x:f>IF(X284="LOAD","Active","Quarantine")</x:f>
        <x:v>Active</x:v>
      </x:c>
      <x:c r="AB284"/>
      <x:c r="AC284"/>
      <x:c r="AD284"/>
      <x:c r="AE284"/>
    </x:row>
    <x:row r="285">
      <x:c r="A285" t="str">
        <x:v>PLD-000281</x:v>
      </x:c>
      <x:c r="B285" t="str">
        <x:v>LOSS-KG01-L22-20251025-PM-ORD-2025-00057</x:v>
      </x:c>
      <x:c r="C285" t="str">
        <x:v>PE-KG01-L22-20251025-PM-ORD-2025-00057</x:v>
      </x:c>
      <x:c r="D285" t="str">
        <x:v>KG01</x:v>
      </x:c>
      <x:c r="E285" t="n">
        <x:v>22</x:v>
      </x:c>
      <x:c r="F285" s="52" t="n">
        <x:v>45955</x:v>
      </x:c>
      <x:c r="G285" t="str">
        <x:v>PM</x:v>
      </x:c>
      <x:c r="H285" t="str">
        <x:v>ORD-2025-00057</x:v>
      </x:c>
      <x:c r="I285" t="str">
        <x:v>Normal</x:v>
      </x:c>
      <x:c r="J285" t="str">
        <x:v>PROC_EVO16</x:v>
      </x:c>
      <x:c r="K285" t="str">
        <x:v>Inspection</x:v>
      </x:c>
      <x:c r="L285" s="54" t="n">
        <x:v>0.0019855038939008405</x:v>
      </x:c>
      <x:c r="M285" t="n">
        <x:v>155628</x:v>
      </x:c>
      <x:c r="N285" t="n">
        <x:f>L285*M285</x:f>
        <x:v>309</x:v>
      </x:c>
      <x:c r="O285"/>
      <x:c r="P285"/>
      <x:c r="Q285"/>
      <x:c r="R285"/>
      <x:c r="S285" s="52"/>
      <x:c r="T285" t="str">
        <x:v>OK</x:v>
      </x:c>
      <x:c r="U285" t="str">
        <x:f>IF(AND(ISNUMBER(L285),L285&gt;=0,L285&lt;=1),"OK","CHECK")</x:f>
        <x:v>OK</x:v>
      </x:c>
      <x:c r="V285" t="str">
        <x:f>IF(AND(ISNUMBER(N285),N285&gt;=0),"OK","CHECK")</x:f>
        <x:v>OK</x:v>
      </x:c>
      <x:c r="W285" t="str">
        <x:f>IF(AND(T285="OK",U285="OK",V285="OK"),"OK","CHECK")</x:f>
        <x:v>OK</x:v>
      </x:c>
      <x:c r="X285" t="str">
        <x:f>IF(W285="OK","LOAD","QUARANTINE")</x:f>
        <x:v>LOAD</x:v>
      </x:c>
      <x:c r="Y285" t="str">
        <x:v>03_Process_Losses(6).xlsx</x:v>
      </x:c>
      <x:c r="Z285" t="str">
        <x:v>ENH-20260830-01</x:v>
      </x:c>
      <x:c r="AA285" t="str">
        <x:f>IF(X285="LOAD","Active","Quarantine")</x:f>
        <x:v>Active</x:v>
      </x:c>
      <x:c r="AB285"/>
      <x:c r="AC285"/>
      <x:c r="AD285"/>
      <x:c r="AE285"/>
    </x:row>
    <x:row r="286">
      <x:c r="A286" t="str">
        <x:v>PLD-000282</x:v>
      </x:c>
      <x:c r="B286" t="str">
        <x:v>LOSS-KG01-L22-20251025-PM-ORD-2025-00057</x:v>
      </x:c>
      <x:c r="C286" t="str">
        <x:v>PE-KG01-L22-20251025-PM-ORD-2025-00057</x:v>
      </x:c>
      <x:c r="D286" t="str">
        <x:v>KG01</x:v>
      </x:c>
      <x:c r="E286" t="n">
        <x:v>22</x:v>
      </x:c>
      <x:c r="F286" s="52" t="n">
        <x:v>45955</x:v>
      </x:c>
      <x:c r="G286" t="str">
        <x:v>PM</x:v>
      </x:c>
      <x:c r="H286" t="str">
        <x:v>ORD-2025-00057</x:v>
      </x:c>
      <x:c r="I286" t="str">
        <x:v>Normal</x:v>
      </x:c>
      <x:c r="J286" t="str">
        <x:v>PROC_EVO12</x:v>
      </x:c>
      <x:c r="K286" t="str">
        <x:v>Inspection</x:v>
      </x:c>
      <x:c r="L286" s="54" t="n">
        <x:v>0.0006811113681342689</x:v>
      </x:c>
      <x:c r="M286" t="n">
        <x:v>155628</x:v>
      </x:c>
      <x:c r="N286" t="n">
        <x:f>L286*M286</x:f>
        <x:v>106</x:v>
      </x:c>
      <x:c r="O286"/>
      <x:c r="P286"/>
      <x:c r="Q286"/>
      <x:c r="R286"/>
      <x:c r="S286" s="52"/>
      <x:c r="T286" t="str">
        <x:v>OK</x:v>
      </x:c>
      <x:c r="U286" t="str">
        <x:f>IF(AND(ISNUMBER(L286),L286&gt;=0,L286&lt;=1),"OK","CHECK")</x:f>
        <x:v>OK</x:v>
      </x:c>
      <x:c r="V286" t="str">
        <x:f>IF(AND(ISNUMBER(N286),N286&gt;=0),"OK","CHECK")</x:f>
        <x:v>OK</x:v>
      </x:c>
      <x:c r="W286" t="str">
        <x:f>IF(AND(T286="OK",U286="OK",V286="OK"),"OK","CHECK")</x:f>
        <x:v>OK</x:v>
      </x:c>
      <x:c r="X286" t="str">
        <x:f>IF(W286="OK","LOAD","QUARANTINE")</x:f>
        <x:v>LOAD</x:v>
      </x:c>
      <x:c r="Y286" t="str">
        <x:v>03_Process_Losses(6).xlsx</x:v>
      </x:c>
      <x:c r="Z286" t="str">
        <x:v>ENH-20260830-01</x:v>
      </x:c>
      <x:c r="AA286" t="str">
        <x:f>IF(X286="LOAD","Active","Quarantine")</x:f>
        <x:v>Active</x:v>
      </x:c>
      <x:c r="AB286"/>
      <x:c r="AC286"/>
      <x:c r="AD286"/>
      <x:c r="AE286"/>
    </x:row>
    <x:row r="287">
      <x:c r="A287" t="str">
        <x:v>PLD-000283</x:v>
      </x:c>
      <x:c r="B287" t="str">
        <x:v>LOSS-KG01-L22-20251025-PM-ORD-2025-00057</x:v>
      </x:c>
      <x:c r="C287" t="str">
        <x:v>PE-KG01-L22-20251025-PM-ORD-2025-00057</x:v>
      </x:c>
      <x:c r="D287" t="str">
        <x:v>KG01</x:v>
      </x:c>
      <x:c r="E287" t="n">
        <x:v>22</x:v>
      </x:c>
      <x:c r="F287" s="52" t="n">
        <x:v>45955</x:v>
      </x:c>
      <x:c r="G287" t="str">
        <x:v>PM</x:v>
      </x:c>
      <x:c r="H287" t="str">
        <x:v>ORD-2025-00057</x:v>
      </x:c>
      <x:c r="I287" t="str">
        <x:v>Normal</x:v>
      </x:c>
      <x:c r="J287" t="str">
        <x:v>PROC_EVO5</x:v>
      </x:c>
      <x:c r="K287" t="str">
        <x:v>Inspection</x:v>
      </x:c>
      <x:c r="L287" s="54" t="n">
        <x:v>0.0008738787364741563</x:v>
      </x:c>
      <x:c r="M287" t="n">
        <x:v>155628</x:v>
      </x:c>
      <x:c r="N287" t="n">
        <x:f>L287*M287</x:f>
        <x:v>136</x:v>
      </x:c>
      <x:c r="O287"/>
      <x:c r="P287"/>
      <x:c r="Q287"/>
      <x:c r="R287"/>
      <x:c r="S287" s="52"/>
      <x:c r="T287" t="str">
        <x:v>OK</x:v>
      </x:c>
      <x:c r="U287" t="str">
        <x:f>IF(AND(ISNUMBER(L287),L287&gt;=0,L287&lt;=1),"OK","CHECK")</x:f>
        <x:v>OK</x:v>
      </x:c>
      <x:c r="V287" t="str">
        <x:f>IF(AND(ISNUMBER(N287),N287&gt;=0),"OK","CHECK")</x:f>
        <x:v>OK</x:v>
      </x:c>
      <x:c r="W287" t="str">
        <x:f>IF(AND(T287="OK",U287="OK",V287="OK"),"OK","CHECK")</x:f>
        <x:v>OK</x:v>
      </x:c>
      <x:c r="X287" t="str">
        <x:f>IF(W287="OK","LOAD","QUARANTINE")</x:f>
        <x:v>LOAD</x:v>
      </x:c>
      <x:c r="Y287" t="str">
        <x:v>03_Process_Losses(6).xlsx</x:v>
      </x:c>
      <x:c r="Z287" t="str">
        <x:v>ENH-20260830-01</x:v>
      </x:c>
      <x:c r="AA287" t="str">
        <x:f>IF(X287="LOAD","Active","Quarantine")</x:f>
        <x:v>Active</x:v>
      </x:c>
      <x:c r="AB287"/>
      <x:c r="AC287"/>
      <x:c r="AD287"/>
      <x:c r="AE287"/>
    </x:row>
    <x:row r="288">
      <x:c r="A288" t="str">
        <x:v>PLD-000284</x:v>
      </x:c>
      <x:c r="B288" t="str">
        <x:v>LOSS-KG01-L22-20251025-PM-ORD-2025-00057</x:v>
      </x:c>
      <x:c r="C288" t="str">
        <x:v>PE-KG01-L22-20251025-PM-ORD-2025-00057</x:v>
      </x:c>
      <x:c r="D288" t="str">
        <x:v>KG01</x:v>
      </x:c>
      <x:c r="E288" t="n">
        <x:v>22</x:v>
      </x:c>
      <x:c r="F288" s="52" t="n">
        <x:v>45955</x:v>
      </x:c>
      <x:c r="G288" t="str">
        <x:v>PM</x:v>
      </x:c>
      <x:c r="H288" t="str">
        <x:v>ORD-2025-00057</x:v>
      </x:c>
      <x:c r="I288" t="str">
        <x:v>Normal</x:v>
      </x:c>
      <x:c r="J288" t="str">
        <x:v>PROC_SANLI</x:v>
      </x:c>
      <x:c r="K288" t="str">
        <x:v>Inspection</x:v>
      </x:c>
      <x:c r="L288" s="54" t="n">
        <x:v>0.0023003572621893235</x:v>
      </x:c>
      <x:c r="M288" t="n">
        <x:v>155628</x:v>
      </x:c>
      <x:c r="N288" t="n">
        <x:f>L288*M288</x:f>
        <x:v>358.00000000000006</x:v>
      </x:c>
      <x:c r="O288"/>
      <x:c r="P288"/>
      <x:c r="Q288"/>
      <x:c r="R288"/>
      <x:c r="S288" s="52"/>
      <x:c r="T288" t="str">
        <x:v>OK</x:v>
      </x:c>
      <x:c r="U288" t="str">
        <x:f>IF(AND(ISNUMBER(L288),L288&gt;=0,L288&lt;=1),"OK","CHECK")</x:f>
        <x:v>OK</x:v>
      </x:c>
      <x:c r="V288" t="str">
        <x:f>IF(AND(ISNUMBER(N288),N288&gt;=0),"OK","CHECK")</x:f>
        <x:v>OK</x:v>
      </x:c>
      <x:c r="W288" t="str">
        <x:f>IF(AND(T288="OK",U288="OK",V288="OK"),"OK","CHECK")</x:f>
        <x:v>OK</x:v>
      </x:c>
      <x:c r="X288" t="str">
        <x:f>IF(W288="OK","LOAD","QUARANTINE")</x:f>
        <x:v>LOAD</x:v>
      </x:c>
      <x:c r="Y288" t="str">
        <x:v>03_Process_Losses(6).xlsx</x:v>
      </x:c>
      <x:c r="Z288" t="str">
        <x:v>ENH-20260830-01</x:v>
      </x:c>
      <x:c r="AA288" t="str">
        <x:f>IF(X288="LOAD","Active","Quarantine")</x:f>
        <x:v>Active</x:v>
      </x:c>
      <x:c r="AB288"/>
      <x:c r="AC288"/>
      <x:c r="AD288"/>
      <x:c r="AE288"/>
    </x:row>
    <x:row r="289">
      <x:c r="A289" t="str">
        <x:v>PLD-000285</x:v>
      </x:c>
      <x:c r="B289" t="str">
        <x:v>LOSS-KG01-L22-20251025-PM-ORD-2025-00057</x:v>
      </x:c>
      <x:c r="C289" t="str">
        <x:v>PE-KG01-L22-20251025-PM-ORD-2025-00057</x:v>
      </x:c>
      <x:c r="D289" t="str">
        <x:v>KG01</x:v>
      </x:c>
      <x:c r="E289" t="n">
        <x:v>22</x:v>
      </x:c>
      <x:c r="F289" s="52" t="n">
        <x:v>45955</x:v>
      </x:c>
      <x:c r="G289" t="str">
        <x:v>PM</x:v>
      </x:c>
      <x:c r="H289" t="str">
        <x:v>ORD-2025-00057</x:v>
      </x:c>
      <x:c r="I289" t="str">
        <x:v>Normal</x:v>
      </x:c>
      <x:c r="J289" t="str">
        <x:v>PROC_VISUAL</x:v>
      </x:c>
      <x:c r="K289" t="str">
        <x:v>Inspection</x:v>
      </x:c>
      <x:c r="L289" s="54" t="n">
        <x:v>0.001869843472896908</x:v>
      </x:c>
      <x:c r="M289" t="n">
        <x:v>155628</x:v>
      </x:c>
      <x:c r="N289" t="n">
        <x:f>L289*M289</x:f>
        <x:v>291</x:v>
      </x:c>
      <x:c r="O289"/>
      <x:c r="P289"/>
      <x:c r="Q289"/>
      <x:c r="R289"/>
      <x:c r="S289" s="52"/>
      <x:c r="T289" t="str">
        <x:v>OK</x:v>
      </x:c>
      <x:c r="U289" t="str">
        <x:f>IF(AND(ISNUMBER(L289),L289&gt;=0,L289&lt;=1),"OK","CHECK")</x:f>
        <x:v>OK</x:v>
      </x:c>
      <x:c r="V289" t="str">
        <x:f>IF(AND(ISNUMBER(N289),N289&gt;=0),"OK","CHECK")</x:f>
        <x:v>OK</x:v>
      </x:c>
      <x:c r="W289" t="str">
        <x:f>IF(AND(T289="OK",U289="OK",V289="OK"),"OK","CHECK")</x:f>
        <x:v>OK</x:v>
      </x:c>
      <x:c r="X289" t="str">
        <x:f>IF(W289="OK","LOAD","QUARANTINE")</x:f>
        <x:v>LOAD</x:v>
      </x:c>
      <x:c r="Y289" t="str">
        <x:v>03_Process_Losses(6).xlsx</x:v>
      </x:c>
      <x:c r="Z289" t="str">
        <x:v>ENH-20260830-01</x:v>
      </x:c>
      <x:c r="AA289" t="str">
        <x:f>IF(X289="LOAD","Active","Quarantine")</x:f>
        <x:v>Active</x:v>
      </x:c>
      <x:c r="AB289"/>
      <x:c r="AC289"/>
      <x:c r="AD289"/>
      <x:c r="AE289"/>
    </x:row>
    <x:row r="290">
      <x:c r="A290" t="str">
        <x:v>PLD-000286</x:v>
      </x:c>
      <x:c r="B290" t="str">
        <x:v>LOSS-KG01-L22-20251025-PM-ORD-2025-00057</x:v>
      </x:c>
      <x:c r="C290" t="str">
        <x:v>PE-KG01-L22-20251025-PM-ORD-2025-00057</x:v>
      </x:c>
      <x:c r="D290" t="str">
        <x:v>KG01</x:v>
      </x:c>
      <x:c r="E290" t="n">
        <x:v>22</x:v>
      </x:c>
      <x:c r="F290" s="52" t="n">
        <x:v>45955</x:v>
      </x:c>
      <x:c r="G290" t="str">
        <x:v>PM</x:v>
      </x:c>
      <x:c r="H290" t="str">
        <x:v>ORD-2025-00057</x:v>
      </x:c>
      <x:c r="I290" t="str">
        <x:v>Normal</x:v>
      </x:c>
      <x:c r="J290" t="str">
        <x:v>PROC_PALLETIZER</x:v>
      </x:c>
      <x:c r="K290" t="str">
        <x:v>Palletizer</x:v>
      </x:c>
      <x:c r="L290" s="54" t="n">
        <x:v>0.005860127997532578</x:v>
      </x:c>
      <x:c r="M290" t="n">
        <x:v>155628</x:v>
      </x:c>
      <x:c r="N290" t="n">
        <x:f>L290*M290</x:f>
        <x:v>912</x:v>
      </x:c>
      <x:c r="O290"/>
      <x:c r="P290"/>
      <x:c r="Q290"/>
      <x:c r="R290"/>
      <x:c r="S290" s="52"/>
      <x:c r="T290" t="str">
        <x:v>OK</x:v>
      </x:c>
      <x:c r="U290" t="str">
        <x:f>IF(AND(ISNUMBER(L290),L290&gt;=0,L290&lt;=1),"OK","CHECK")</x:f>
        <x:v>OK</x:v>
      </x:c>
      <x:c r="V290" t="str">
        <x:f>IF(AND(ISNUMBER(N290),N290&gt;=0),"OK","CHECK")</x:f>
        <x:v>OK</x:v>
      </x:c>
      <x:c r="W290" t="str">
        <x:f>IF(AND(T290="OK",U290="OK",V290="OK"),"OK","CHECK")</x:f>
        <x:v>OK</x:v>
      </x:c>
      <x:c r="X290" t="str">
        <x:f>IF(W290="OK","LOAD","QUARANTINE")</x:f>
        <x:v>LOAD</x:v>
      </x:c>
      <x:c r="Y290" t="str">
        <x:v>03_Process_Losses(6).xlsx</x:v>
      </x:c>
      <x:c r="Z290" t="str">
        <x:v>ENH-20260830-01</x:v>
      </x:c>
      <x:c r="AA290" t="str">
        <x:f>IF(X290="LOAD","Active","Quarantine")</x:f>
        <x:v>Active</x:v>
      </x:c>
      <x:c r="AB290"/>
      <x:c r="AC290"/>
      <x:c r="AD290"/>
      <x:c r="AE290"/>
    </x:row>
    <x:row r="291">
      <x:c r="A291" t="str">
        <x:v>PLD-000287</x:v>
      </x:c>
      <x:c r="B291" t="str">
        <x:v>LOSS-KG01-L22-20251026-AM-ORD-2025-00058</x:v>
      </x:c>
      <x:c r="C291" t="str">
        <x:v>PE-KG01-L22-20251026-AM-ORD-2025-00058</x:v>
      </x:c>
      <x:c r="D291" t="str">
        <x:v>KG01</x:v>
      </x:c>
      <x:c r="E291" t="n">
        <x:v>22</x:v>
      </x:c>
      <x:c r="F291" s="52" t="n">
        <x:v>45956</x:v>
      </x:c>
      <x:c r="G291" t="str">
        <x:v>AM</x:v>
      </x:c>
      <x:c r="H291" t="str">
        <x:v>ORD-2025-00058</x:v>
      </x:c>
      <x:c r="I291" t="str">
        <x:v>Trial</x:v>
      </x:c>
      <x:c r="J291" t="str">
        <x:v>PROC_FIXED</x:v>
      </x:c>
      <x:c r="K291" t="str">
        <x:v>Fixed Losses</x:v>
      </x:c>
      <x:c r="L291" s="54" t="n">
        <x:v>0.006593553820241923</x:v>
      </x:c>
      <x:c r="M291" t="n">
        <x:v>104496</x:v>
      </x:c>
      <x:c r="N291" t="n">
        <x:f>L291*M291</x:f>
        <x:v>689</x:v>
      </x:c>
      <x:c r="O291"/>
      <x:c r="P291"/>
      <x:c r="Q291"/>
      <x:c r="R291"/>
      <x:c r="S291" s="52"/>
      <x:c r="T291" t="str">
        <x:v>OK</x:v>
      </x:c>
      <x:c r="U291" t="str">
        <x:f>IF(AND(ISNUMBER(L291),L291&gt;=0,L291&lt;=1),"OK","CHECK")</x:f>
        <x:v>OK</x:v>
      </x:c>
      <x:c r="V291" t="str">
        <x:f>IF(AND(ISNUMBER(N291),N291&gt;=0),"OK","CHECK")</x:f>
        <x:v>OK</x:v>
      </x:c>
      <x:c r="W291" t="str">
        <x:f>IF(AND(T291="OK",U291="OK",V291="OK"),"OK","CHECK")</x:f>
        <x:v>OK</x:v>
      </x:c>
      <x:c r="X291" t="str">
        <x:f>IF(W291="OK","LOAD","QUARANTINE")</x:f>
        <x:v>LOAD</x:v>
      </x:c>
      <x:c r="Y291" t="str">
        <x:v>03_Process_Losses(6).xlsx</x:v>
      </x:c>
      <x:c r="Z291" t="str">
        <x:v>ENH-20260830-01</x:v>
      </x:c>
      <x:c r="AA291" t="str">
        <x:f>IF(X291="LOAD","Active","Quarantine")</x:f>
        <x:v>Active</x:v>
      </x:c>
      <x:c r="AB291"/>
      <x:c r="AC291"/>
      <x:c r="AD291"/>
      <x:c r="AE291"/>
    </x:row>
    <x:row r="292">
      <x:c r="A292" t="str">
        <x:v>PLD-000288</x:v>
      </x:c>
      <x:c r="B292" t="str">
        <x:v>LOSS-KG01-L22-20251026-AM-ORD-2025-00058</x:v>
      </x:c>
      <x:c r="C292" t="str">
        <x:v>PE-KG01-L22-20251026-AM-ORD-2025-00058</x:v>
      </x:c>
      <x:c r="D292" t="str">
        <x:v>KG01</x:v>
      </x:c>
      <x:c r="E292" t="n">
        <x:v>22</x:v>
      </x:c>
      <x:c r="F292" s="52" t="n">
        <x:v>45956</x:v>
      </x:c>
      <x:c r="G292" t="str">
        <x:v>AM</x:v>
      </x:c>
      <x:c r="H292" t="str">
        <x:v>ORD-2025-00058</x:v>
      </x:c>
      <x:c r="I292" t="str">
        <x:v>Trial</x:v>
      </x:c>
      <x:c r="J292" t="str">
        <x:v>PROC_IS</x:v>
      </x:c>
      <x:c r="K292" t="str">
        <x:v>IS Machine</x:v>
      </x:c>
      <x:c r="L292" s="54" t="n">
        <x:v>0.02600099525340683</x:v>
      </x:c>
      <x:c r="M292" t="n">
        <x:v>104496</x:v>
      </x:c>
      <x:c r="N292" t="n">
        <x:f>L292*M292</x:f>
        <x:v>2717</x:v>
      </x:c>
      <x:c r="O292"/>
      <x:c r="P292"/>
      <x:c r="Q292"/>
      <x:c r="R292"/>
      <x:c r="S292" s="52"/>
      <x:c r="T292" t="str">
        <x:v>OK</x:v>
      </x:c>
      <x:c r="U292" t="str">
        <x:f>IF(AND(ISNUMBER(L292),L292&gt;=0,L292&lt;=1),"OK","CHECK")</x:f>
        <x:v>OK</x:v>
      </x:c>
      <x:c r="V292" t="str">
        <x:f>IF(AND(ISNUMBER(N292),N292&gt;=0),"OK","CHECK")</x:f>
        <x:v>OK</x:v>
      </x:c>
      <x:c r="W292" t="str">
        <x:f>IF(AND(T292="OK",U292="OK",V292="OK"),"OK","CHECK")</x:f>
        <x:v>OK</x:v>
      </x:c>
      <x:c r="X292" t="str">
        <x:f>IF(W292="OK","LOAD","QUARANTINE")</x:f>
        <x:v>LOAD</x:v>
      </x:c>
      <x:c r="Y292" t="str">
        <x:v>03_Process_Losses(6).xlsx</x:v>
      </x:c>
      <x:c r="Z292" t="str">
        <x:v>ENH-20260830-01</x:v>
      </x:c>
      <x:c r="AA292" t="str">
        <x:f>IF(X292="LOAD","Active","Quarantine")</x:f>
        <x:v>Active</x:v>
      </x:c>
      <x:c r="AB292"/>
      <x:c r="AC292"/>
      <x:c r="AD292"/>
      <x:c r="AE292"/>
    </x:row>
    <x:row r="293">
      <x:c r="A293" t="str">
        <x:v>PLD-000289</x:v>
      </x:c>
      <x:c r="B293" t="str">
        <x:v>LOSS-KG01-L22-20251026-AM-ORD-2025-00058</x:v>
      </x:c>
      <x:c r="C293" t="str">
        <x:v>PE-KG01-L22-20251026-AM-ORD-2025-00058</x:v>
      </x:c>
      <x:c r="D293" t="str">
        <x:v>KG01</x:v>
      </x:c>
      <x:c r="E293" t="n">
        <x:v>22</x:v>
      </x:c>
      <x:c r="F293" s="52" t="n">
        <x:v>45956</x:v>
      </x:c>
      <x:c r="G293" t="str">
        <x:v>AM</x:v>
      </x:c>
      <x:c r="H293" t="str">
        <x:v>ORD-2025-00058</x:v>
      </x:c>
      <x:c r="I293" t="str">
        <x:v>Trial</x:v>
      </x:c>
      <x:c r="J293" t="str">
        <x:v>PROC_HE_CONVEYER</x:v>
      </x:c>
      <x:c r="K293" t="str">
        <x:v>Hot End</x:v>
      </x:c>
      <x:c r="L293" s="54" t="n">
        <x:v>0.01387612922982698</x:v>
      </x:c>
      <x:c r="M293" t="n">
        <x:v>104496</x:v>
      </x:c>
      <x:c r="N293" t="n">
        <x:f>L293*M293</x:f>
        <x:v>1450</x:v>
      </x:c>
      <x:c r="O293"/>
      <x:c r="P293"/>
      <x:c r="Q293"/>
      <x:c r="R293"/>
      <x:c r="S293" s="52"/>
      <x:c r="T293" t="str">
        <x:v>OK</x:v>
      </x:c>
      <x:c r="U293" t="str">
        <x:f>IF(AND(ISNUMBER(L293),L293&gt;=0,L293&lt;=1),"OK","CHECK")</x:f>
        <x:v>OK</x:v>
      </x:c>
      <x:c r="V293" t="str">
        <x:f>IF(AND(ISNUMBER(N293),N293&gt;=0),"OK","CHECK")</x:f>
        <x:v>OK</x:v>
      </x:c>
      <x:c r="W293" t="str">
        <x:f>IF(AND(T293="OK",U293="OK",V293="OK"),"OK","CHECK")</x:f>
        <x:v>OK</x:v>
      </x:c>
      <x:c r="X293" t="str">
        <x:f>IF(W293="OK","LOAD","QUARANTINE")</x:f>
        <x:v>LOAD</x:v>
      </x:c>
      <x:c r="Y293" t="str">
        <x:v>03_Process_Losses(6).xlsx</x:v>
      </x:c>
      <x:c r="Z293" t="str">
        <x:v>ENH-20260830-01</x:v>
      </x:c>
      <x:c r="AA293" t="str">
        <x:f>IF(X293="LOAD","Active","Quarantine")</x:f>
        <x:v>Active</x:v>
      </x:c>
      <x:c r="AB293"/>
      <x:c r="AC293"/>
      <x:c r="AD293"/>
      <x:c r="AE293"/>
    </x:row>
    <x:row r="294">
      <x:c r="A294" t="str">
        <x:v>PLD-000290</x:v>
      </x:c>
      <x:c r="B294" t="str">
        <x:v>LOSS-KG01-L22-20251026-AM-ORD-2025-00058</x:v>
      </x:c>
      <x:c r="C294" t="str">
        <x:v>PE-KG01-L22-20251026-AM-ORD-2025-00058</x:v>
      </x:c>
      <x:c r="D294" t="str">
        <x:v>KG01</x:v>
      </x:c>
      <x:c r="E294" t="n">
        <x:v>22</x:v>
      </x:c>
      <x:c r="F294" s="52" t="n">
        <x:v>45956</x:v>
      </x:c>
      <x:c r="G294" t="str">
        <x:v>AM</x:v>
      </x:c>
      <x:c r="H294" t="str">
        <x:v>ORD-2025-00058</x:v>
      </x:c>
      <x:c r="I294" t="str">
        <x:v>Trial</x:v>
      </x:c>
      <x:c r="J294" t="str">
        <x:v>PROC_STUCKDOWN</x:v>
      </x:c>
      <x:c r="K294" t="str">
        <x:v>Forming</x:v>
      </x:c>
      <x:c r="L294" s="54" t="n">
        <x:v>0.014526871841984382</x:v>
      </x:c>
      <x:c r="M294" t="n">
        <x:v>104496</x:v>
      </x:c>
      <x:c r="N294" t="n">
        <x:f>L294*M294</x:f>
        <x:v>1518</x:v>
      </x:c>
      <x:c r="O294"/>
      <x:c r="P294"/>
      <x:c r="Q294"/>
      <x:c r="R294"/>
      <x:c r="S294" s="52"/>
      <x:c r="T294" t="str">
        <x:v>OK</x:v>
      </x:c>
      <x:c r="U294" t="str">
        <x:f>IF(AND(ISNUMBER(L294),L294&gt;=0,L294&lt;=1),"OK","CHECK")</x:f>
        <x:v>OK</x:v>
      </x:c>
      <x:c r="V294" t="str">
        <x:f>IF(AND(ISNUMBER(N294),N294&gt;=0),"OK","CHECK")</x:f>
        <x:v>OK</x:v>
      </x:c>
      <x:c r="W294" t="str">
        <x:f>IF(AND(T294="OK",U294="OK",V294="OK"),"OK","CHECK")</x:f>
        <x:v>OK</x:v>
      </x:c>
      <x:c r="X294" t="str">
        <x:f>IF(W294="OK","LOAD","QUARANTINE")</x:f>
        <x:v>LOAD</x:v>
      </x:c>
      <x:c r="Y294" t="str">
        <x:v>03_Process_Losses(6).xlsx</x:v>
      </x:c>
      <x:c r="Z294" t="str">
        <x:v>ENH-20260830-01</x:v>
      </x:c>
      <x:c r="AA294" t="str">
        <x:f>IF(X294="LOAD","Active","Quarantine")</x:f>
        <x:v>Active</x:v>
      </x:c>
      <x:c r="AB294"/>
      <x:c r="AC294"/>
      <x:c r="AD294"/>
      <x:c r="AE294"/>
    </x:row>
    <x:row r="295">
      <x:c r="A295" t="str">
        <x:v>PLD-000291</x:v>
      </x:c>
      <x:c r="B295" t="str">
        <x:v>LOSS-KG01-L22-20251026-AM-ORD-2025-00058</x:v>
      </x:c>
      <x:c r="C295" t="str">
        <x:v>PE-KG01-L22-20251026-AM-ORD-2025-00058</x:v>
      </x:c>
      <x:c r="D295" t="str">
        <x:v>KG01</x:v>
      </x:c>
      <x:c r="E295" t="n">
        <x:v>22</x:v>
      </x:c>
      <x:c r="F295" s="52" t="n">
        <x:v>45956</x:v>
      </x:c>
      <x:c r="G295" t="str">
        <x:v>AM</x:v>
      </x:c>
      <x:c r="H295" t="str">
        <x:v>ORD-2025-00058</x:v>
      </x:c>
      <x:c r="I295" t="str">
        <x:v>Trial</x:v>
      </x:c>
      <x:c r="J295" t="str">
        <x:v>PROC_LEHR</x:v>
      </x:c>
      <x:c r="K295" t="str">
        <x:v>Lehr</x:v>
      </x:c>
      <x:c r="L295" s="54" t="n">
        <x:v>0.01934045322308988</x:v>
      </x:c>
      <x:c r="M295" t="n">
        <x:v>104496</x:v>
      </x:c>
      <x:c r="N295" t="n">
        <x:f>L295*M295</x:f>
        <x:v>2021.0000000000002</x:v>
      </x:c>
      <x:c r="O295"/>
      <x:c r="P295"/>
      <x:c r="Q295"/>
      <x:c r="R295"/>
      <x:c r="S295" s="52"/>
      <x:c r="T295" t="str">
        <x:v>OK</x:v>
      </x:c>
      <x:c r="U295" t="str">
        <x:f>IF(AND(ISNUMBER(L295),L295&gt;=0,L295&lt;=1),"OK","CHECK")</x:f>
        <x:v>OK</x:v>
      </x:c>
      <x:c r="V295" t="str">
        <x:f>IF(AND(ISNUMBER(N295),N295&gt;=0),"OK","CHECK")</x:f>
        <x:v>OK</x:v>
      </x:c>
      <x:c r="W295" t="str">
        <x:f>IF(AND(T295="OK",U295="OK",V295="OK"),"OK","CHECK")</x:f>
        <x:v>OK</x:v>
      </x:c>
      <x:c r="X295" t="str">
        <x:f>IF(W295="OK","LOAD","QUARANTINE")</x:f>
        <x:v>LOAD</x:v>
      </x:c>
      <x:c r="Y295" t="str">
        <x:v>03_Process_Losses(6).xlsx</x:v>
      </x:c>
      <x:c r="Z295" t="str">
        <x:v>ENH-20260830-01</x:v>
      </x:c>
      <x:c r="AA295" t="str">
        <x:f>IF(X295="LOAD","Active","Quarantine")</x:f>
        <x:v>Active</x:v>
      </x:c>
      <x:c r="AB295"/>
      <x:c r="AC295"/>
      <x:c r="AD295"/>
      <x:c r="AE295"/>
    </x:row>
    <x:row r="296">
      <x:c r="A296" t="str">
        <x:v>PLD-000292</x:v>
      </x:c>
      <x:c r="B296" t="str">
        <x:v>LOSS-KG01-L22-20251026-AM-ORD-2025-00058</x:v>
      </x:c>
      <x:c r="C296" t="str">
        <x:v>PE-KG01-L22-20251026-AM-ORD-2025-00058</x:v>
      </x:c>
      <x:c r="D296" t="str">
        <x:v>KG01</x:v>
      </x:c>
      <x:c r="E296" t="n">
        <x:v>22</x:v>
      </x:c>
      <x:c r="F296" s="52" t="n">
        <x:v>45956</x:v>
      </x:c>
      <x:c r="G296" t="str">
        <x:v>AM</x:v>
      </x:c>
      <x:c r="H296" t="str">
        <x:v>ORD-2025-00058</x:v>
      </x:c>
      <x:c r="I296" t="str">
        <x:v>Trial</x:v>
      </x:c>
      <x:c r="J296" t="str">
        <x:v>PROC_EVO16</x:v>
      </x:c>
      <x:c r="K296" t="str">
        <x:v>Inspection</x:v>
      </x:c>
      <x:c r="L296" s="54" t="n">
        <x:v>0.011588960342979635</x:v>
      </x:c>
      <x:c r="M296" t="n">
        <x:v>104496</x:v>
      </x:c>
      <x:c r="N296" t="n">
        <x:f>L296*M296</x:f>
        <x:v>1211</x:v>
      </x:c>
      <x:c r="O296"/>
      <x:c r="P296"/>
      <x:c r="Q296"/>
      <x:c r="R296"/>
      <x:c r="S296" s="52"/>
      <x:c r="T296" t="str">
        <x:v>OK</x:v>
      </x:c>
      <x:c r="U296" t="str">
        <x:f>IF(AND(ISNUMBER(L296),L296&gt;=0,L296&lt;=1),"OK","CHECK")</x:f>
        <x:v>OK</x:v>
      </x:c>
      <x:c r="V296" t="str">
        <x:f>IF(AND(ISNUMBER(N296),N296&gt;=0),"OK","CHECK")</x:f>
        <x:v>OK</x:v>
      </x:c>
      <x:c r="W296" t="str">
        <x:f>IF(AND(T296="OK",U296="OK",V296="OK"),"OK","CHECK")</x:f>
        <x:v>OK</x:v>
      </x:c>
      <x:c r="X296" t="str">
        <x:f>IF(W296="OK","LOAD","QUARANTINE")</x:f>
        <x:v>LOAD</x:v>
      </x:c>
      <x:c r="Y296" t="str">
        <x:v>03_Process_Losses(6).xlsx</x:v>
      </x:c>
      <x:c r="Z296" t="str">
        <x:v>ENH-20260830-01</x:v>
      </x:c>
      <x:c r="AA296" t="str">
        <x:f>IF(X296="LOAD","Active","Quarantine")</x:f>
        <x:v>Active</x:v>
      </x:c>
      <x:c r="AB296"/>
      <x:c r="AC296"/>
      <x:c r="AD296"/>
      <x:c r="AE296"/>
    </x:row>
    <x:row r="297">
      <x:c r="A297" t="str">
        <x:v>PLD-000293</x:v>
      </x:c>
      <x:c r="B297" t="str">
        <x:v>LOSS-KG01-L22-20251026-AM-ORD-2025-00058</x:v>
      </x:c>
      <x:c r="C297" t="str">
        <x:v>PE-KG01-L22-20251026-AM-ORD-2025-00058</x:v>
      </x:c>
      <x:c r="D297" t="str">
        <x:v>KG01</x:v>
      </x:c>
      <x:c r="E297" t="n">
        <x:v>22</x:v>
      </x:c>
      <x:c r="F297" s="52" t="n">
        <x:v>45956</x:v>
      </x:c>
      <x:c r="G297" t="str">
        <x:v>AM</x:v>
      </x:c>
      <x:c r="H297" t="str">
        <x:v>ORD-2025-00058</x:v>
      </x:c>
      <x:c r="I297" t="str">
        <x:v>Trial</x:v>
      </x:c>
      <x:c r="J297" t="str">
        <x:v>PROC_EVO12</x:v>
      </x:c>
      <x:c r="K297" t="str">
        <x:v>Inspection</x:v>
      </x:c>
      <x:c r="L297" s="54" t="n">
        <x:v>0.0019043791149900475</x:v>
      </x:c>
      <x:c r="M297" t="n">
        <x:v>104496</x:v>
      </x:c>
      <x:c r="N297" t="n">
        <x:f>L297*M297</x:f>
        <x:v>199</x:v>
      </x:c>
      <x:c r="O297"/>
      <x:c r="P297"/>
      <x:c r="Q297"/>
      <x:c r="R297"/>
      <x:c r="S297" s="52"/>
      <x:c r="T297" t="str">
        <x:v>OK</x:v>
      </x:c>
      <x:c r="U297" t="str">
        <x:f>IF(AND(ISNUMBER(L297),L297&gt;=0,L297&lt;=1),"OK","CHECK")</x:f>
        <x:v>OK</x:v>
      </x:c>
      <x:c r="V297" t="str">
        <x:f>IF(AND(ISNUMBER(N297),N297&gt;=0),"OK","CHECK")</x:f>
        <x:v>OK</x:v>
      </x:c>
      <x:c r="W297" t="str">
        <x:f>IF(AND(T297="OK",U297="OK",V297="OK"),"OK","CHECK")</x:f>
        <x:v>OK</x:v>
      </x:c>
      <x:c r="X297" t="str">
        <x:f>IF(W297="OK","LOAD","QUARANTINE")</x:f>
        <x:v>LOAD</x:v>
      </x:c>
      <x:c r="Y297" t="str">
        <x:v>03_Process_Losses(6).xlsx</x:v>
      </x:c>
      <x:c r="Z297" t="str">
        <x:v>ENH-20260830-01</x:v>
      </x:c>
      <x:c r="AA297" t="str">
        <x:f>IF(X297="LOAD","Active","Quarantine")</x:f>
        <x:v>Active</x:v>
      </x:c>
      <x:c r="AB297"/>
      <x:c r="AC297"/>
      <x:c r="AD297"/>
      <x:c r="AE297"/>
    </x:row>
    <x:row r="298">
      <x:c r="A298" t="str">
        <x:v>PLD-000294</x:v>
      </x:c>
      <x:c r="B298" t="str">
        <x:v>LOSS-KG01-L22-20251026-AM-ORD-2025-00058</x:v>
      </x:c>
      <x:c r="C298" t="str">
        <x:v>PE-KG01-L22-20251026-AM-ORD-2025-00058</x:v>
      </x:c>
      <x:c r="D298" t="str">
        <x:v>KG01</x:v>
      </x:c>
      <x:c r="E298" t="n">
        <x:v>22</x:v>
      </x:c>
      <x:c r="F298" s="52" t="n">
        <x:v>45956</x:v>
      </x:c>
      <x:c r="G298" t="str">
        <x:v>AM</x:v>
      </x:c>
      <x:c r="H298" t="str">
        <x:v>ORD-2025-00058</x:v>
      </x:c>
      <x:c r="I298" t="str">
        <x:v>Trial</x:v>
      </x:c>
      <x:c r="J298" t="str">
        <x:v>PROC_EVO5</x:v>
      </x:c>
      <x:c r="K298" t="str">
        <x:v>Inspection</x:v>
      </x:c>
      <x:c r="L298" s="54" t="n">
        <x:v>0.009942964323993263</x:v>
      </x:c>
      <x:c r="M298" t="n">
        <x:v>104496</x:v>
      </x:c>
      <x:c r="N298" t="n">
        <x:f>L298*M298</x:f>
        <x:v>1039</x:v>
      </x:c>
      <x:c r="O298"/>
      <x:c r="P298"/>
      <x:c r="Q298"/>
      <x:c r="R298"/>
      <x:c r="S298" s="52"/>
      <x:c r="T298" t="str">
        <x:v>OK</x:v>
      </x:c>
      <x:c r="U298" t="str">
        <x:f>IF(AND(ISNUMBER(L298),L298&gt;=0,L298&lt;=1),"OK","CHECK")</x:f>
        <x:v>OK</x:v>
      </x:c>
      <x:c r="V298" t="str">
        <x:f>IF(AND(ISNUMBER(N298),N298&gt;=0),"OK","CHECK")</x:f>
        <x:v>OK</x:v>
      </x:c>
      <x:c r="W298" t="str">
        <x:f>IF(AND(T298="OK",U298="OK",V298="OK"),"OK","CHECK")</x:f>
        <x:v>OK</x:v>
      </x:c>
      <x:c r="X298" t="str">
        <x:f>IF(W298="OK","LOAD","QUARANTINE")</x:f>
        <x:v>LOAD</x:v>
      </x:c>
      <x:c r="Y298" t="str">
        <x:v>03_Process_Losses(6).xlsx</x:v>
      </x:c>
      <x:c r="Z298" t="str">
        <x:v>ENH-20260830-01</x:v>
      </x:c>
      <x:c r="AA298" t="str">
        <x:f>IF(X298="LOAD","Active","Quarantine")</x:f>
        <x:v>Active</x:v>
      </x:c>
      <x:c r="AB298"/>
      <x:c r="AC298"/>
      <x:c r="AD298"/>
      <x:c r="AE298"/>
    </x:row>
    <x:row r="299">
      <x:c r="A299" t="str">
        <x:v>PLD-000295</x:v>
      </x:c>
      <x:c r="B299" t="str">
        <x:v>LOSS-KG01-L22-20251026-AM-ORD-2025-00058</x:v>
      </x:c>
      <x:c r="C299" t="str">
        <x:v>PE-KG01-L22-20251026-AM-ORD-2025-00058</x:v>
      </x:c>
      <x:c r="D299" t="str">
        <x:v>KG01</x:v>
      </x:c>
      <x:c r="E299" t="n">
        <x:v>22</x:v>
      </x:c>
      <x:c r="F299" s="52" t="n">
        <x:v>45956</x:v>
      </x:c>
      <x:c r="G299" t="str">
        <x:v>AM</x:v>
      </x:c>
      <x:c r="H299" t="str">
        <x:v>ORD-2025-00058</x:v>
      </x:c>
      <x:c r="I299" t="str">
        <x:v>Trial</x:v>
      </x:c>
      <x:c r="J299" t="str">
        <x:v>PROC_SANLI</x:v>
      </x:c>
      <x:c r="K299" t="str">
        <x:v>Inspection</x:v>
      </x:c>
      <x:c r="L299" s="54" t="n">
        <x:v>0.011751645996018986</x:v>
      </x:c>
      <x:c r="M299" t="n">
        <x:v>104496</x:v>
      </x:c>
      <x:c r="N299" t="n">
        <x:f>L299*M299</x:f>
        <x:v>1228</x:v>
      </x:c>
      <x:c r="O299"/>
      <x:c r="P299"/>
      <x:c r="Q299"/>
      <x:c r="R299"/>
      <x:c r="S299" s="52"/>
      <x:c r="T299" t="str">
        <x:v>OK</x:v>
      </x:c>
      <x:c r="U299" t="str">
        <x:f>IF(AND(ISNUMBER(L299),L299&gt;=0,L299&lt;=1),"OK","CHECK")</x:f>
        <x:v>OK</x:v>
      </x:c>
      <x:c r="V299" t="str">
        <x:f>IF(AND(ISNUMBER(N299),N299&gt;=0),"OK","CHECK")</x:f>
        <x:v>OK</x:v>
      </x:c>
      <x:c r="W299" t="str">
        <x:f>IF(AND(T299="OK",U299="OK",V299="OK"),"OK","CHECK")</x:f>
        <x:v>OK</x:v>
      </x:c>
      <x:c r="X299" t="str">
        <x:f>IF(W299="OK","LOAD","QUARANTINE")</x:f>
        <x:v>LOAD</x:v>
      </x:c>
      <x:c r="Y299" t="str">
        <x:v>03_Process_Losses(6).xlsx</x:v>
      </x:c>
      <x:c r="Z299" t="str">
        <x:v>ENH-20260830-01</x:v>
      </x:c>
      <x:c r="AA299" t="str">
        <x:f>IF(X299="LOAD","Active","Quarantine")</x:f>
        <x:v>Active</x:v>
      </x:c>
      <x:c r="AB299"/>
      <x:c r="AC299"/>
      <x:c r="AD299"/>
      <x:c r="AE299"/>
    </x:row>
    <x:row r="300">
      <x:c r="A300" t="str">
        <x:v>PLD-000296</x:v>
      </x:c>
      <x:c r="B300" t="str">
        <x:v>LOSS-KG01-L22-20251026-AM-ORD-2025-00058</x:v>
      </x:c>
      <x:c r="C300" t="str">
        <x:v>PE-KG01-L22-20251026-AM-ORD-2025-00058</x:v>
      </x:c>
      <x:c r="D300" t="str">
        <x:v>KG01</x:v>
      </x:c>
      <x:c r="E300" t="n">
        <x:v>22</x:v>
      </x:c>
      <x:c r="F300" s="52" t="n">
        <x:v>45956</x:v>
      </x:c>
      <x:c r="G300" t="str">
        <x:v>AM</x:v>
      </x:c>
      <x:c r="H300" t="str">
        <x:v>ORD-2025-00058</x:v>
      </x:c>
      <x:c r="I300" t="str">
        <x:v>Trial</x:v>
      </x:c>
      <x:c r="J300" t="str">
        <x:v>PROC_VISUAL</x:v>
      </x:c>
      <x:c r="K300" t="str">
        <x:v>Inspection</x:v>
      </x:c>
      <x:c r="L300" s="54" t="n">
        <x:v>0.017340376665135507</x:v>
      </x:c>
      <x:c r="M300" t="n">
        <x:v>104496</x:v>
      </x:c>
      <x:c r="N300" t="n">
        <x:f>L300*M300</x:f>
        <x:v>1812</x:v>
      </x:c>
      <x:c r="O300"/>
      <x:c r="P300"/>
      <x:c r="Q300"/>
      <x:c r="R300"/>
      <x:c r="S300" s="52"/>
      <x:c r="T300" t="str">
        <x:v>OK</x:v>
      </x:c>
      <x:c r="U300" t="str">
        <x:f>IF(AND(ISNUMBER(L300),L300&gt;=0,L300&lt;=1),"OK","CHECK")</x:f>
        <x:v>OK</x:v>
      </x:c>
      <x:c r="V300" t="str">
        <x:f>IF(AND(ISNUMBER(N300),N300&gt;=0),"OK","CHECK")</x:f>
        <x:v>OK</x:v>
      </x:c>
      <x:c r="W300" t="str">
        <x:f>IF(AND(T300="OK",U300="OK",V300="OK"),"OK","CHECK")</x:f>
        <x:v>OK</x:v>
      </x:c>
      <x:c r="X300" t="str">
        <x:f>IF(W300="OK","LOAD","QUARANTINE")</x:f>
        <x:v>LOAD</x:v>
      </x:c>
      <x:c r="Y300" t="str">
        <x:v>03_Process_Losses(6).xlsx</x:v>
      </x:c>
      <x:c r="Z300" t="str">
        <x:v>ENH-20260830-01</x:v>
      </x:c>
      <x:c r="AA300" t="str">
        <x:f>IF(X300="LOAD","Active","Quarantine")</x:f>
        <x:v>Active</x:v>
      </x:c>
      <x:c r="AB300"/>
      <x:c r="AC300"/>
      <x:c r="AD300"/>
      <x:c r="AE300"/>
    </x:row>
    <x:row r="301">
      <x:c r="A301" t="str">
        <x:v>PLD-000297</x:v>
      </x:c>
      <x:c r="B301" t="str">
        <x:v>LOSS-KG01-L22-20251026-AM-ORD-2025-00058</x:v>
      </x:c>
      <x:c r="C301" t="str">
        <x:v>PE-KG01-L22-20251026-AM-ORD-2025-00058</x:v>
      </x:c>
      <x:c r="D301" t="str">
        <x:v>KG01</x:v>
      </x:c>
      <x:c r="E301" t="n">
        <x:v>22</x:v>
      </x:c>
      <x:c r="F301" s="52" t="n">
        <x:v>45956</x:v>
      </x:c>
      <x:c r="G301" t="str">
        <x:v>AM</x:v>
      </x:c>
      <x:c r="H301" t="str">
        <x:v>ORD-2025-00058</x:v>
      </x:c>
      <x:c r="I301" t="str">
        <x:v>Trial</x:v>
      </x:c>
      <x:c r="J301" t="str">
        <x:v>PROC_PALLETIZER</x:v>
      </x:c>
      <x:c r="K301" t="str">
        <x:v>Palletizer</x:v>
      </x:c>
      <x:c r="L301" s="54" t="n">
        <x:v>0.016220716582452915</x:v>
      </x:c>
      <x:c r="M301" t="n">
        <x:v>104496</x:v>
      </x:c>
      <x:c r="N301" t="n">
        <x:f>L301*M301</x:f>
        <x:v>1694.9999999999998</x:v>
      </x:c>
      <x:c r="O301"/>
      <x:c r="P301"/>
      <x:c r="Q301"/>
      <x:c r="R301"/>
      <x:c r="S301" s="52"/>
      <x:c r="T301" t="str">
        <x:v>OK</x:v>
      </x:c>
      <x:c r="U301" t="str">
        <x:f>IF(AND(ISNUMBER(L301),L301&gt;=0,L301&lt;=1),"OK","CHECK")</x:f>
        <x:v>OK</x:v>
      </x:c>
      <x:c r="V301" t="str">
        <x:f>IF(AND(ISNUMBER(N301),N301&gt;=0),"OK","CHECK")</x:f>
        <x:v>OK</x:v>
      </x:c>
      <x:c r="W301" t="str">
        <x:f>IF(AND(T301="OK",U301="OK",V301="OK"),"OK","CHECK")</x:f>
        <x:v>OK</x:v>
      </x:c>
      <x:c r="X301" t="str">
        <x:f>IF(W301="OK","LOAD","QUARANTINE")</x:f>
        <x:v>LOAD</x:v>
      </x:c>
      <x:c r="Y301" t="str">
        <x:v>03_Process_Losses(6).xlsx</x:v>
      </x:c>
      <x:c r="Z301" t="str">
        <x:v>ENH-20260830-01</x:v>
      </x:c>
      <x:c r="AA301" t="str">
        <x:f>IF(X301="LOAD","Active","Quarantine")</x:f>
        <x:v>Active</x:v>
      </x:c>
      <x:c r="AB301"/>
      <x:c r="AC301"/>
      <x:c r="AD301"/>
      <x:c r="AE301"/>
    </x:row>
    <x:row r="302">
      <x:c r="A302" t="str">
        <x:v>PLD-000298</x:v>
      </x:c>
      <x:c r="B302" t="str">
        <x:v>LOSS-KG01-L22-20251026-PM-ORD-2025-00058</x:v>
      </x:c>
      <x:c r="C302" t="str">
        <x:v>PE-KG01-L22-20251026-PM-ORD-2025-00058</x:v>
      </x:c>
      <x:c r="D302" t="str">
        <x:v>KG01</x:v>
      </x:c>
      <x:c r="E302" t="n">
        <x:v>22</x:v>
      </x:c>
      <x:c r="F302" s="52" t="n">
        <x:v>45956</x:v>
      </x:c>
      <x:c r="G302" t="str">
        <x:v>PM</x:v>
      </x:c>
      <x:c r="H302" t="str">
        <x:v>ORD-2025-00058</x:v>
      </x:c>
      <x:c r="I302" t="str">
        <x:v>Normal</x:v>
      </x:c>
      <x:c r="J302" t="str">
        <x:v>PROC_FIXED</x:v>
      </x:c>
      <x:c r="K302" t="str">
        <x:v>Fixed Losses</x:v>
      </x:c>
      <x:c r="L302" s="54" t="n">
        <x:v>0.0032096667610686303</x:v>
      </x:c>
      <x:c r="M302" t="n">
        <x:v>338976</x:v>
      </x:c>
      <x:c r="N302" t="n">
        <x:f>L302*M302</x:f>
        <x:v>1088</x:v>
      </x:c>
      <x:c r="O302"/>
      <x:c r="P302"/>
      <x:c r="Q302"/>
      <x:c r="R302"/>
      <x:c r="S302" s="52"/>
      <x:c r="T302" t="str">
        <x:v>OK</x:v>
      </x:c>
      <x:c r="U302" t="str">
        <x:f>IF(AND(ISNUMBER(L302),L302&gt;=0,L302&lt;=1),"OK","CHECK")</x:f>
        <x:v>OK</x:v>
      </x:c>
      <x:c r="V302" t="str">
        <x:f>IF(AND(ISNUMBER(N302),N302&gt;=0),"OK","CHECK")</x:f>
        <x:v>OK</x:v>
      </x:c>
      <x:c r="W302" t="str">
        <x:f>IF(AND(T302="OK",U302="OK",V302="OK"),"OK","CHECK")</x:f>
        <x:v>OK</x:v>
      </x:c>
      <x:c r="X302" t="str">
        <x:f>IF(W302="OK","LOAD","QUARANTINE")</x:f>
        <x:v>LOAD</x:v>
      </x:c>
      <x:c r="Y302" t="str">
        <x:v>03_Process_Losses(6).xlsx</x:v>
      </x:c>
      <x:c r="Z302" t="str">
        <x:v>ENH-20260830-01</x:v>
      </x:c>
      <x:c r="AA302" t="str">
        <x:f>IF(X302="LOAD","Active","Quarantine")</x:f>
        <x:v>Active</x:v>
      </x:c>
      <x:c r="AB302"/>
      <x:c r="AC302"/>
      <x:c r="AD302"/>
      <x:c r="AE302"/>
    </x:row>
    <x:row r="303">
      <x:c r="A303" t="str">
        <x:v>PLD-000299</x:v>
      </x:c>
      <x:c r="B303" t="str">
        <x:v>LOSS-KG01-L22-20251026-PM-ORD-2025-00058</x:v>
      </x:c>
      <x:c r="C303" t="str">
        <x:v>PE-KG01-L22-20251026-PM-ORD-2025-00058</x:v>
      </x:c>
      <x:c r="D303" t="str">
        <x:v>KG01</x:v>
      </x:c>
      <x:c r="E303" t="n">
        <x:v>22</x:v>
      </x:c>
      <x:c r="F303" s="52" t="n">
        <x:v>45956</x:v>
      </x:c>
      <x:c r="G303" t="str">
        <x:v>PM</x:v>
      </x:c>
      <x:c r="H303" t="str">
        <x:v>ORD-2025-00058</x:v>
      </x:c>
      <x:c r="I303" t="str">
        <x:v>Normal</x:v>
      </x:c>
      <x:c r="J303" t="str">
        <x:v>PROC_IS</x:v>
      </x:c>
      <x:c r="K303" t="str">
        <x:v>IS Machine</x:v>
      </x:c>
      <x:c r="L303" s="54" t="n">
        <x:v>0.004894151798357406</x:v>
      </x:c>
      <x:c r="M303" t="n">
        <x:v>338976</x:v>
      </x:c>
      <x:c r="N303" t="n">
        <x:f>L303*M303</x:f>
        <x:v>1659</x:v>
      </x:c>
      <x:c r="O303"/>
      <x:c r="P303"/>
      <x:c r="Q303"/>
      <x:c r="R303"/>
      <x:c r="S303" s="52"/>
      <x:c r="T303" t="str">
        <x:v>OK</x:v>
      </x:c>
      <x:c r="U303" t="str">
        <x:f>IF(AND(ISNUMBER(L303),L303&gt;=0,L303&lt;=1),"OK","CHECK")</x:f>
        <x:v>OK</x:v>
      </x:c>
      <x:c r="V303" t="str">
        <x:f>IF(AND(ISNUMBER(N303),N303&gt;=0),"OK","CHECK")</x:f>
        <x:v>OK</x:v>
      </x:c>
      <x:c r="W303" t="str">
        <x:f>IF(AND(T303="OK",U303="OK",V303="OK"),"OK","CHECK")</x:f>
        <x:v>OK</x:v>
      </x:c>
      <x:c r="X303" t="str">
        <x:f>IF(W303="OK","LOAD","QUARANTINE")</x:f>
        <x:v>LOAD</x:v>
      </x:c>
      <x:c r="Y303" t="str">
        <x:v>03_Process_Losses(6).xlsx</x:v>
      </x:c>
      <x:c r="Z303" t="str">
        <x:v>ENH-20260830-01</x:v>
      </x:c>
      <x:c r="AA303" t="str">
        <x:f>IF(X303="LOAD","Active","Quarantine")</x:f>
        <x:v>Active</x:v>
      </x:c>
      <x:c r="AB303"/>
      <x:c r="AC303"/>
      <x:c r="AD303"/>
      <x:c r="AE303"/>
    </x:row>
    <x:row r="304">
      <x:c r="A304" t="str">
        <x:v>PLD-000300</x:v>
      </x:c>
      <x:c r="B304" t="str">
        <x:v>LOSS-KG01-L22-20251026-PM-ORD-2025-00058</x:v>
      </x:c>
      <x:c r="C304" t="str">
        <x:v>PE-KG01-L22-20251026-PM-ORD-2025-00058</x:v>
      </x:c>
      <x:c r="D304" t="str">
        <x:v>KG01</x:v>
      </x:c>
      <x:c r="E304" t="n">
        <x:v>22</x:v>
      </x:c>
      <x:c r="F304" s="52" t="n">
        <x:v>45956</x:v>
      </x:c>
      <x:c r="G304" t="str">
        <x:v>PM</x:v>
      </x:c>
      <x:c r="H304" t="str">
        <x:v>ORD-2025-00058</x:v>
      </x:c>
      <x:c r="I304" t="str">
        <x:v>Normal</x:v>
      </x:c>
      <x:c r="J304" t="str">
        <x:v>PROC_HE_CONVEYER</x:v>
      </x:c>
      <x:c r="K304" t="str">
        <x:v>Hot End</x:v>
      </x:c>
      <x:c r="L304" s="54" t="n">
        <x:v>0.0026373548569810254</x:v>
      </x:c>
      <x:c r="M304" t="n">
        <x:v>338976</x:v>
      </x:c>
      <x:c r="N304" t="n">
        <x:f>L304*M304</x:f>
        <x:v>894.0000000000001</x:v>
      </x:c>
      <x:c r="O304"/>
      <x:c r="P304"/>
      <x:c r="Q304"/>
      <x:c r="R304"/>
      <x:c r="S304" s="52"/>
      <x:c r="T304" t="str">
        <x:v>OK</x:v>
      </x:c>
      <x:c r="U304" t="str">
        <x:f>IF(AND(ISNUMBER(L304),L304&gt;=0,L304&lt;=1),"OK","CHECK")</x:f>
        <x:v>OK</x:v>
      </x:c>
      <x:c r="V304" t="str">
        <x:f>IF(AND(ISNUMBER(N304),N304&gt;=0),"OK","CHECK")</x:f>
        <x:v>OK</x:v>
      </x:c>
      <x:c r="W304" t="str">
        <x:f>IF(AND(T304="OK",U304="OK",V304="OK"),"OK","CHECK")</x:f>
        <x:v>OK</x:v>
      </x:c>
      <x:c r="X304" t="str">
        <x:f>IF(W304="OK","LOAD","QUARANTINE")</x:f>
        <x:v>LOAD</x:v>
      </x:c>
      <x:c r="Y304" t="str">
        <x:v>03_Process_Losses(6).xlsx</x:v>
      </x:c>
      <x:c r="Z304" t="str">
        <x:v>ENH-20260830-01</x:v>
      </x:c>
      <x:c r="AA304" t="str">
        <x:f>IF(X304="LOAD","Active","Quarantine")</x:f>
        <x:v>Active</x:v>
      </x:c>
      <x:c r="AB304"/>
      <x:c r="AC304"/>
      <x:c r="AD304"/>
      <x:c r="AE304"/>
    </x:row>
    <x:row r="305">
      <x:c r="A305" t="str">
        <x:v>PLD-000301</x:v>
      </x:c>
      <x:c r="B305" t="str">
        <x:v>LOSS-KG01-L22-20251026-PM-ORD-2025-00058</x:v>
      </x:c>
      <x:c r="C305" t="str">
        <x:v>PE-KG01-L22-20251026-PM-ORD-2025-00058</x:v>
      </x:c>
      <x:c r="D305" t="str">
        <x:v>KG01</x:v>
      </x:c>
      <x:c r="E305" t="n">
        <x:v>22</x:v>
      </x:c>
      <x:c r="F305" s="52" t="n">
        <x:v>45956</x:v>
      </x:c>
      <x:c r="G305" t="str">
        <x:v>PM</x:v>
      </x:c>
      <x:c r="H305" t="str">
        <x:v>ORD-2025-00058</x:v>
      </x:c>
      <x:c r="I305" t="str">
        <x:v>Normal</x:v>
      </x:c>
      <x:c r="J305" t="str">
        <x:v>PROC_STUCKDOWN</x:v>
      </x:c>
      <x:c r="K305" t="str">
        <x:v>Forming</x:v>
      </x:c>
      <x:c r="L305" s="54" t="n">
        <x:v>0.0007493155857641839</x:v>
      </x:c>
      <x:c r="M305" t="n">
        <x:v>338976</x:v>
      </x:c>
      <x:c r="N305" t="n">
        <x:f>L305*M305</x:f>
        <x:v>254</x:v>
      </x:c>
      <x:c r="O305"/>
      <x:c r="P305"/>
      <x:c r="Q305"/>
      <x:c r="R305"/>
      <x:c r="S305" s="52"/>
      <x:c r="T305" t="str">
        <x:v>OK</x:v>
      </x:c>
      <x:c r="U305" t="str">
        <x:f>IF(AND(ISNUMBER(L305),L305&gt;=0,L305&lt;=1),"OK","CHECK")</x:f>
        <x:v>OK</x:v>
      </x:c>
      <x:c r="V305" t="str">
        <x:f>IF(AND(ISNUMBER(N305),N305&gt;=0),"OK","CHECK")</x:f>
        <x:v>OK</x:v>
      </x:c>
      <x:c r="W305" t="str">
        <x:f>IF(AND(T305="OK",U305="OK",V305="OK"),"OK","CHECK")</x:f>
        <x:v>OK</x:v>
      </x:c>
      <x:c r="X305" t="str">
        <x:f>IF(W305="OK","LOAD","QUARANTINE")</x:f>
        <x:v>LOAD</x:v>
      </x:c>
      <x:c r="Y305" t="str">
        <x:v>03_Process_Losses(6).xlsx</x:v>
      </x:c>
      <x:c r="Z305" t="str">
        <x:v>ENH-20260830-01</x:v>
      </x:c>
      <x:c r="AA305" t="str">
        <x:f>IF(X305="LOAD","Active","Quarantine")</x:f>
        <x:v>Active</x:v>
      </x:c>
      <x:c r="AB305"/>
      <x:c r="AC305"/>
      <x:c r="AD305"/>
      <x:c r="AE305"/>
    </x:row>
    <x:row r="306">
      <x:c r="A306" t="str">
        <x:v>PLD-000302</x:v>
      </x:c>
      <x:c r="B306" t="str">
        <x:v>LOSS-KG01-L22-20251026-PM-ORD-2025-00058</x:v>
      </x:c>
      <x:c r="C306" t="str">
        <x:v>PE-KG01-L22-20251026-PM-ORD-2025-00058</x:v>
      </x:c>
      <x:c r="D306" t="str">
        <x:v>KG01</x:v>
      </x:c>
      <x:c r="E306" t="n">
        <x:v>22</x:v>
      </x:c>
      <x:c r="F306" s="52" t="n">
        <x:v>45956</x:v>
      </x:c>
      <x:c r="G306" t="str">
        <x:v>PM</x:v>
      </x:c>
      <x:c r="H306" t="str">
        <x:v>ORD-2025-00058</x:v>
      </x:c>
      <x:c r="I306" t="str">
        <x:v>Normal</x:v>
      </x:c>
      <x:c r="J306" t="str">
        <x:v>PROC_LEHR</x:v>
      </x:c>
      <x:c r="K306" t="str">
        <x:v>Lehr</x:v>
      </x:c>
      <x:c r="L306" s="54" t="n">
        <x:v>0.0015812328896441046</x:v>
      </x:c>
      <x:c r="M306" t="n">
        <x:v>338976</x:v>
      </x:c>
      <x:c r="N306" t="n">
        <x:f>L306*M306</x:f>
        <x:v>536</x:v>
      </x:c>
      <x:c r="O306"/>
      <x:c r="P306"/>
      <x:c r="Q306"/>
      <x:c r="R306"/>
      <x:c r="S306" s="52"/>
      <x:c r="T306" t="str">
        <x:v>OK</x:v>
      </x:c>
      <x:c r="U306" t="str">
        <x:f>IF(AND(ISNUMBER(L306),L306&gt;=0,L306&lt;=1),"OK","CHECK")</x:f>
        <x:v>OK</x:v>
      </x:c>
      <x:c r="V306" t="str">
        <x:f>IF(AND(ISNUMBER(N306),N306&gt;=0),"OK","CHECK")</x:f>
        <x:v>OK</x:v>
      </x:c>
      <x:c r="W306" t="str">
        <x:f>IF(AND(T306="OK",U306="OK",V306="OK"),"OK","CHECK")</x:f>
        <x:v>OK</x:v>
      </x:c>
      <x:c r="X306" t="str">
        <x:f>IF(W306="OK","LOAD","QUARANTINE")</x:f>
        <x:v>LOAD</x:v>
      </x:c>
      <x:c r="Y306" t="str">
        <x:v>03_Process_Losses(6).xlsx</x:v>
      </x:c>
      <x:c r="Z306" t="str">
        <x:v>ENH-20260830-01</x:v>
      </x:c>
      <x:c r="AA306" t="str">
        <x:f>IF(X306="LOAD","Active","Quarantine")</x:f>
        <x:v>Active</x:v>
      </x:c>
      <x:c r="AB306"/>
      <x:c r="AC306"/>
      <x:c r="AD306"/>
      <x:c r="AE306"/>
    </x:row>
    <x:row r="307">
      <x:c r="A307" t="str">
        <x:v>PLD-000303</x:v>
      </x:c>
      <x:c r="B307" t="str">
        <x:v>LOSS-KG01-L22-20251026-PM-ORD-2025-00058</x:v>
      </x:c>
      <x:c r="C307" t="str">
        <x:v>PE-KG01-L22-20251026-PM-ORD-2025-00058</x:v>
      </x:c>
      <x:c r="D307" t="str">
        <x:v>KG01</x:v>
      </x:c>
      <x:c r="E307" t="n">
        <x:v>22</x:v>
      </x:c>
      <x:c r="F307" s="52" t="n">
        <x:v>45956</x:v>
      </x:c>
      <x:c r="G307" t="str">
        <x:v>PM</x:v>
      </x:c>
      <x:c r="H307" t="str">
        <x:v>ORD-2025-00058</x:v>
      </x:c>
      <x:c r="I307" t="str">
        <x:v>Normal</x:v>
      </x:c>
      <x:c r="J307" t="str">
        <x:v>PROC_EVO16</x:v>
      </x:c>
      <x:c r="K307" t="str">
        <x:v>Inspection</x:v>
      </x:c>
      <x:c r="L307" s="54" t="n">
        <x:v>0.0015310818465024073</x:v>
      </x:c>
      <x:c r="M307" t="n">
        <x:v>338976</x:v>
      </x:c>
      <x:c r="N307" t="n">
        <x:f>L307*M307</x:f>
        <x:v>519</x:v>
      </x:c>
      <x:c r="O307"/>
      <x:c r="P307"/>
      <x:c r="Q307"/>
      <x:c r="R307"/>
      <x:c r="S307" s="52"/>
      <x:c r="T307" t="str">
        <x:v>OK</x:v>
      </x:c>
      <x:c r="U307" t="str">
        <x:f>IF(AND(ISNUMBER(L307),L307&gt;=0,L307&lt;=1),"OK","CHECK")</x:f>
        <x:v>OK</x:v>
      </x:c>
      <x:c r="V307" t="str">
        <x:f>IF(AND(ISNUMBER(N307),N307&gt;=0),"OK","CHECK")</x:f>
        <x:v>OK</x:v>
      </x:c>
      <x:c r="W307" t="str">
        <x:f>IF(AND(T307="OK",U307="OK",V307="OK"),"OK","CHECK")</x:f>
        <x:v>OK</x:v>
      </x:c>
      <x:c r="X307" t="str">
        <x:f>IF(W307="OK","LOAD","QUARANTINE")</x:f>
        <x:v>LOAD</x:v>
      </x:c>
      <x:c r="Y307" t="str">
        <x:v>03_Process_Losses(6).xlsx</x:v>
      </x:c>
      <x:c r="Z307" t="str">
        <x:v>ENH-20260830-01</x:v>
      </x:c>
      <x:c r="AA307" t="str">
        <x:f>IF(X307="LOAD","Active","Quarantine")</x:f>
        <x:v>Active</x:v>
      </x:c>
      <x:c r="AB307"/>
      <x:c r="AC307"/>
      <x:c r="AD307"/>
      <x:c r="AE307"/>
    </x:row>
    <x:row r="308">
      <x:c r="A308" t="str">
        <x:v>PLD-000304</x:v>
      </x:c>
      <x:c r="B308" t="str">
        <x:v>LOSS-KG01-L22-20251026-PM-ORD-2025-00058</x:v>
      </x:c>
      <x:c r="C308" t="str">
        <x:v>PE-KG01-L22-20251026-PM-ORD-2025-00058</x:v>
      </x:c>
      <x:c r="D308" t="str">
        <x:v>KG01</x:v>
      </x:c>
      <x:c r="E308" t="n">
        <x:v>22</x:v>
      </x:c>
      <x:c r="F308" s="52" t="n">
        <x:v>45956</x:v>
      </x:c>
      <x:c r="G308" t="str">
        <x:v>PM</x:v>
      </x:c>
      <x:c r="H308" t="str">
        <x:v>ORD-2025-00058</x:v>
      </x:c>
      <x:c r="I308" t="str">
        <x:v>Normal</x:v>
      </x:c>
      <x:c r="J308" t="str">
        <x:v>PROC_EVO12</x:v>
      </x:c>
      <x:c r="K308" t="str">
        <x:v>Inspection</x:v>
      </x:c>
      <x:c r="L308" s="54" t="n">
        <x:v>0.001359978287548381</x:v>
      </x:c>
      <x:c r="M308" t="n">
        <x:v>338976</x:v>
      </x:c>
      <x:c r="N308" t="n">
        <x:f>L308*M308</x:f>
        <x:v>460.99999999999994</x:v>
      </x:c>
      <x:c r="O308"/>
      <x:c r="P308"/>
      <x:c r="Q308"/>
      <x:c r="R308"/>
      <x:c r="S308" s="52"/>
      <x:c r="T308" t="str">
        <x:v>OK</x:v>
      </x:c>
      <x:c r="U308" t="str">
        <x:f>IF(AND(ISNUMBER(L308),L308&gt;=0,L308&lt;=1),"OK","CHECK")</x:f>
        <x:v>OK</x:v>
      </x:c>
      <x:c r="V308" t="str">
        <x:f>IF(AND(ISNUMBER(N308),N308&gt;=0),"OK","CHECK")</x:f>
        <x:v>OK</x:v>
      </x:c>
      <x:c r="W308" t="str">
        <x:f>IF(AND(T308="OK",U308="OK",V308="OK"),"OK","CHECK")</x:f>
        <x:v>OK</x:v>
      </x:c>
      <x:c r="X308" t="str">
        <x:f>IF(W308="OK","LOAD","QUARANTINE")</x:f>
        <x:v>LOAD</x:v>
      </x:c>
      <x:c r="Y308" t="str">
        <x:v>03_Process_Losses(6).xlsx</x:v>
      </x:c>
      <x:c r="Z308" t="str">
        <x:v>ENH-20260830-01</x:v>
      </x:c>
      <x:c r="AA308" t="str">
        <x:f>IF(X308="LOAD","Active","Quarantine")</x:f>
        <x:v>Active</x:v>
      </x:c>
      <x:c r="AB308"/>
      <x:c r="AC308"/>
      <x:c r="AD308"/>
      <x:c r="AE308"/>
    </x:row>
    <x:row r="309">
      <x:c r="A309" t="str">
        <x:v>PLD-000305</x:v>
      </x:c>
      <x:c r="B309" t="str">
        <x:v>LOSS-KG01-L22-20251026-PM-ORD-2025-00058</x:v>
      </x:c>
      <x:c r="C309" t="str">
        <x:v>PE-KG01-L22-20251026-PM-ORD-2025-00058</x:v>
      </x:c>
      <x:c r="D309" t="str">
        <x:v>KG01</x:v>
      </x:c>
      <x:c r="E309" t="n">
        <x:v>22</x:v>
      </x:c>
      <x:c r="F309" s="52" t="n">
        <x:v>45956</x:v>
      </x:c>
      <x:c r="G309" t="str">
        <x:v>PM</x:v>
      </x:c>
      <x:c r="H309" t="str">
        <x:v>ORD-2025-00058</x:v>
      </x:c>
      <x:c r="I309" t="str">
        <x:v>Normal</x:v>
      </x:c>
      <x:c r="J309" t="str">
        <x:v>PROC_EVO5</x:v>
      </x:c>
      <x:c r="K309" t="str">
        <x:v>Inspection</x:v>
      </x:c>
      <x:c r="L309" s="54" t="n">
        <x:v>0.0007257150948739734</x:v>
      </x:c>
      <x:c r="M309" t="n">
        <x:v>338976</x:v>
      </x:c>
      <x:c r="N309" t="n">
        <x:f>L309*M309</x:f>
        <x:v>246</x:v>
      </x:c>
      <x:c r="O309"/>
      <x:c r="P309"/>
      <x:c r="Q309"/>
      <x:c r="R309"/>
      <x:c r="S309" s="52"/>
      <x:c r="T309" t="str">
        <x:v>OK</x:v>
      </x:c>
      <x:c r="U309" t="str">
        <x:f>IF(AND(ISNUMBER(L309),L309&gt;=0,L309&lt;=1),"OK","CHECK")</x:f>
        <x:v>OK</x:v>
      </x:c>
      <x:c r="V309" t="str">
        <x:f>IF(AND(ISNUMBER(N309),N309&gt;=0),"OK","CHECK")</x:f>
        <x:v>OK</x:v>
      </x:c>
      <x:c r="W309" t="str">
        <x:f>IF(AND(T309="OK",U309="OK",V309="OK"),"OK","CHECK")</x:f>
        <x:v>OK</x:v>
      </x:c>
      <x:c r="X309" t="str">
        <x:f>IF(W309="OK","LOAD","QUARANTINE")</x:f>
        <x:v>LOAD</x:v>
      </x:c>
      <x:c r="Y309" t="str">
        <x:v>03_Process_Losses(6).xlsx</x:v>
      </x:c>
      <x:c r="Z309" t="str">
        <x:v>ENH-20260830-01</x:v>
      </x:c>
      <x:c r="AA309" t="str">
        <x:f>IF(X309="LOAD","Active","Quarantine")</x:f>
        <x:v>Active</x:v>
      </x:c>
      <x:c r="AB309"/>
      <x:c r="AC309"/>
      <x:c r="AD309"/>
      <x:c r="AE309"/>
    </x:row>
    <x:row r="310">
      <x:c r="A310" t="str">
        <x:v>PLD-000306</x:v>
      </x:c>
      <x:c r="B310" t="str">
        <x:v>LOSS-KG01-L22-20251026-PM-ORD-2025-00058</x:v>
      </x:c>
      <x:c r="C310" t="str">
        <x:v>PE-KG01-L22-20251026-PM-ORD-2025-00058</x:v>
      </x:c>
      <x:c r="D310" t="str">
        <x:v>KG01</x:v>
      </x:c>
      <x:c r="E310" t="n">
        <x:v>22</x:v>
      </x:c>
      <x:c r="F310" s="52" t="n">
        <x:v>45956</x:v>
      </x:c>
      <x:c r="G310" t="str">
        <x:v>PM</x:v>
      </x:c>
      <x:c r="H310" t="str">
        <x:v>ORD-2025-00058</x:v>
      </x:c>
      <x:c r="I310" t="str">
        <x:v>Normal</x:v>
      </x:c>
      <x:c r="J310" t="str">
        <x:v>PROC_SANLI</x:v>
      </x:c>
      <x:c r="K310" t="str">
        <x:v>Inspection</x:v>
      </x:c>
      <x:c r="L310" s="54" t="n">
        <x:v>0.003094614367978854</x:v>
      </x:c>
      <x:c r="M310" t="n">
        <x:v>338976</x:v>
      </x:c>
      <x:c r="N310" t="n">
        <x:f>L310*M310</x:f>
        <x:v>1049</x:v>
      </x:c>
      <x:c r="O310"/>
      <x:c r="P310"/>
      <x:c r="Q310"/>
      <x:c r="R310"/>
      <x:c r="S310" s="52"/>
      <x:c r="T310" t="str">
        <x:v>OK</x:v>
      </x:c>
      <x:c r="U310" t="str">
        <x:f>IF(AND(ISNUMBER(L310),L310&gt;=0,L310&lt;=1),"OK","CHECK")</x:f>
        <x:v>OK</x:v>
      </x:c>
      <x:c r="V310" t="str">
        <x:f>IF(AND(ISNUMBER(N310),N310&gt;=0),"OK","CHECK")</x:f>
        <x:v>OK</x:v>
      </x:c>
      <x:c r="W310" t="str">
        <x:f>IF(AND(T310="OK",U310="OK",V310="OK"),"OK","CHECK")</x:f>
        <x:v>OK</x:v>
      </x:c>
      <x:c r="X310" t="str">
        <x:f>IF(W310="OK","LOAD","QUARANTINE")</x:f>
        <x:v>LOAD</x:v>
      </x:c>
      <x:c r="Y310" t="str">
        <x:v>03_Process_Losses(6).xlsx</x:v>
      </x:c>
      <x:c r="Z310" t="str">
        <x:v>ENH-20260830-01</x:v>
      </x:c>
      <x:c r="AA310" t="str">
        <x:f>IF(X310="LOAD","Active","Quarantine")</x:f>
        <x:v>Active</x:v>
      </x:c>
      <x:c r="AB310"/>
      <x:c r="AC310"/>
      <x:c r="AD310"/>
      <x:c r="AE310"/>
    </x:row>
    <x:row r="311">
      <x:c r="A311" t="str">
        <x:v>PLD-000307</x:v>
      </x:c>
      <x:c r="B311" t="str">
        <x:v>LOSS-KG01-L22-20251026-PM-ORD-2025-00058</x:v>
      </x:c>
      <x:c r="C311" t="str">
        <x:v>PE-KG01-L22-20251026-PM-ORD-2025-00058</x:v>
      </x:c>
      <x:c r="D311" t="str">
        <x:v>KG01</x:v>
      </x:c>
      <x:c r="E311" t="n">
        <x:v>22</x:v>
      </x:c>
      <x:c r="F311" s="52" t="n">
        <x:v>45956</x:v>
      </x:c>
      <x:c r="G311" t="str">
        <x:v>PM</x:v>
      </x:c>
      <x:c r="H311" t="str">
        <x:v>ORD-2025-00058</x:v>
      </x:c>
      <x:c r="I311" t="str">
        <x:v>Normal</x:v>
      </x:c>
      <x:c r="J311" t="str">
        <x:v>PROC_VISUAL</x:v>
      </x:c>
      <x:c r="K311" t="str">
        <x:v>Inspection</x:v>
      </x:c>
      <x:c r="L311" s="54" t="n">
        <x:v>0.002194845652789578</x:v>
      </x:c>
      <x:c r="M311" t="n">
        <x:v>338976</x:v>
      </x:c>
      <x:c r="N311" t="n">
        <x:f>L311*M311</x:f>
        <x:v>744</x:v>
      </x:c>
      <x:c r="O311"/>
      <x:c r="P311"/>
      <x:c r="Q311"/>
      <x:c r="R311"/>
      <x:c r="S311" s="52"/>
      <x:c r="T311" t="str">
        <x:v>OK</x:v>
      </x:c>
      <x:c r="U311" t="str">
        <x:f>IF(AND(ISNUMBER(L311),L311&gt;=0,L311&lt;=1),"OK","CHECK")</x:f>
        <x:v>OK</x:v>
      </x:c>
      <x:c r="V311" t="str">
        <x:f>IF(AND(ISNUMBER(N311),N311&gt;=0),"OK","CHECK")</x:f>
        <x:v>OK</x:v>
      </x:c>
      <x:c r="W311" t="str">
        <x:f>IF(AND(T311="OK",U311="OK",V311="OK"),"OK","CHECK")</x:f>
        <x:v>OK</x:v>
      </x:c>
      <x:c r="X311" t="str">
        <x:f>IF(W311="OK","LOAD","QUARANTINE")</x:f>
        <x:v>LOAD</x:v>
      </x:c>
      <x:c r="Y311" t="str">
        <x:v>03_Process_Losses(6).xlsx</x:v>
      </x:c>
      <x:c r="Z311" t="str">
        <x:v>ENH-20260830-01</x:v>
      </x:c>
      <x:c r="AA311" t="str">
        <x:f>IF(X311="LOAD","Active","Quarantine")</x:f>
        <x:v>Active</x:v>
      </x:c>
      <x:c r="AB311"/>
      <x:c r="AC311"/>
      <x:c r="AD311"/>
      <x:c r="AE311"/>
    </x:row>
    <x:row r="312">
      <x:c r="A312" t="str">
        <x:v>PLD-000308</x:v>
      </x:c>
      <x:c r="B312" t="str">
        <x:v>LOSS-KG01-L22-20251026-PM-ORD-2025-00058</x:v>
      </x:c>
      <x:c r="C312" t="str">
        <x:v>PE-KG01-L22-20251026-PM-ORD-2025-00058</x:v>
      </x:c>
      <x:c r="D312" t="str">
        <x:v>KG01</x:v>
      </x:c>
      <x:c r="E312" t="n">
        <x:v>22</x:v>
      </x:c>
      <x:c r="F312" s="52" t="n">
        <x:v>45956</x:v>
      </x:c>
      <x:c r="G312" t="str">
        <x:v>PM</x:v>
      </x:c>
      <x:c r="H312" t="str">
        <x:v>ORD-2025-00058</x:v>
      </x:c>
      <x:c r="I312" t="str">
        <x:v>Normal</x:v>
      </x:c>
      <x:c r="J312" t="str">
        <x:v>PROC_PALLETIZER</x:v>
      </x:c>
      <x:c r="K312" t="str">
        <x:v>Palletizer</x:v>
      </x:c>
      <x:c r="L312" s="54" t="n">
        <x:v>0.00281730860001888</x:v>
      </x:c>
      <x:c r="M312" t="n">
        <x:v>338976</x:v>
      </x:c>
      <x:c r="N312" t="n">
        <x:f>L312*M312</x:f>
        <x:v>954.9999999999999</x:v>
      </x:c>
      <x:c r="O312"/>
      <x:c r="P312"/>
      <x:c r="Q312"/>
      <x:c r="R312"/>
      <x:c r="S312" s="52"/>
      <x:c r="T312" t="str">
        <x:v>OK</x:v>
      </x:c>
      <x:c r="U312" t="str">
        <x:f>IF(AND(ISNUMBER(L312),L312&gt;=0,L312&lt;=1),"OK","CHECK")</x:f>
        <x:v>OK</x:v>
      </x:c>
      <x:c r="V312" t="str">
        <x:f>IF(AND(ISNUMBER(N312),N312&gt;=0),"OK","CHECK")</x:f>
        <x:v>OK</x:v>
      </x:c>
      <x:c r="W312" t="str">
        <x:f>IF(AND(T312="OK",U312="OK",V312="OK"),"OK","CHECK")</x:f>
        <x:v>OK</x:v>
      </x:c>
      <x:c r="X312" t="str">
        <x:f>IF(W312="OK","LOAD","QUARANTINE")</x:f>
        <x:v>LOAD</x:v>
      </x:c>
      <x:c r="Y312" t="str">
        <x:v>03_Process_Losses(6).xlsx</x:v>
      </x:c>
      <x:c r="Z312" t="str">
        <x:v>ENH-20260830-01</x:v>
      </x:c>
      <x:c r="AA312" t="str">
        <x:f>IF(X312="LOAD","Active","Quarantine")</x:f>
        <x:v>Active</x:v>
      </x:c>
      <x:c r="AB312"/>
      <x:c r="AC312"/>
      <x:c r="AD312"/>
      <x:c r="AE312"/>
    </x:row>
    <x:row r="313">
      <x:c r="A313" t="str">
        <x:v>PLD-000309</x:v>
      </x:c>
      <x:c r="B313" t="str">
        <x:v>LOSS-KG01-L23-20251020-AM-ORD-2025-00092</x:v>
      </x:c>
      <x:c r="C313" t="str">
        <x:v>PE-KG01-L23-20251020-AM-ORD-2025-00092</x:v>
      </x:c>
      <x:c r="D313" t="str">
        <x:v>KG01</x:v>
      </x:c>
      <x:c r="E313" t="n">
        <x:v>23</x:v>
      </x:c>
      <x:c r="F313" s="52" t="n">
        <x:v>45950</x:v>
      </x:c>
      <x:c r="G313" t="str">
        <x:v>AM</x:v>
      </x:c>
      <x:c r="H313" t="str">
        <x:v>ORD-2025-00092</x:v>
      </x:c>
      <x:c r="I313" t="str">
        <x:v>Normal</x:v>
      </x:c>
      <x:c r="J313" t="str">
        <x:v>PROC_FIXED</x:v>
      </x:c>
      <x:c r="K313" t="str">
        <x:v>Fixed Losses</x:v>
      </x:c>
      <x:c r="L313" s="54" t="n">
        <x:v>0.005192715833473984</x:v>
      </x:c>
      <x:c r="M313" t="n">
        <x:v>278467</x:v>
      </x:c>
      <x:c r="N313" t="n">
        <x:f>L313*M313</x:f>
        <x:v>1445.9999999999998</x:v>
      </x:c>
      <x:c r="O313"/>
      <x:c r="P313"/>
      <x:c r="Q313"/>
      <x:c r="R313"/>
      <x:c r="S313" s="52"/>
      <x:c r="T313" t="str">
        <x:v>OK</x:v>
      </x:c>
      <x:c r="U313" t="str">
        <x:f>IF(AND(ISNUMBER(L313),L313&gt;=0,L313&lt;=1),"OK","CHECK")</x:f>
        <x:v>OK</x:v>
      </x:c>
      <x:c r="V313" t="str">
        <x:f>IF(AND(ISNUMBER(N313),N313&gt;=0),"OK","CHECK")</x:f>
        <x:v>OK</x:v>
      </x:c>
      <x:c r="W313" t="str">
        <x:f>IF(AND(T313="OK",U313="OK",V313="OK"),"OK","CHECK")</x:f>
        <x:v>OK</x:v>
      </x:c>
      <x:c r="X313" t="str">
        <x:f>IF(W313="OK","LOAD","QUARANTINE")</x:f>
        <x:v>LOAD</x:v>
      </x:c>
      <x:c r="Y313" t="str">
        <x:v>03_Process_Losses(6).xlsx</x:v>
      </x:c>
      <x:c r="Z313" t="str">
        <x:v>ENH-20260830-01</x:v>
      </x:c>
      <x:c r="AA313" t="str">
        <x:f>IF(X313="LOAD","Active","Quarantine")</x:f>
        <x:v>Active</x:v>
      </x:c>
      <x:c r="AB313"/>
      <x:c r="AC313"/>
      <x:c r="AD313"/>
      <x:c r="AE313"/>
    </x:row>
    <x:row r="314">
      <x:c r="A314" t="str">
        <x:v>PLD-000310</x:v>
      </x:c>
      <x:c r="B314" t="str">
        <x:v>LOSS-KG01-L23-20251020-AM-ORD-2025-00092</x:v>
      </x:c>
      <x:c r="C314" t="str">
        <x:v>PE-KG01-L23-20251020-AM-ORD-2025-00092</x:v>
      </x:c>
      <x:c r="D314" t="str">
        <x:v>KG01</x:v>
      </x:c>
      <x:c r="E314" t="n">
        <x:v>23</x:v>
      </x:c>
      <x:c r="F314" s="52" t="n">
        <x:v>45950</x:v>
      </x:c>
      <x:c r="G314" t="str">
        <x:v>AM</x:v>
      </x:c>
      <x:c r="H314" t="str">
        <x:v>ORD-2025-00092</x:v>
      </x:c>
      <x:c r="I314" t="str">
        <x:v>Normal</x:v>
      </x:c>
      <x:c r="J314" t="str">
        <x:v>PROC_IS</x:v>
      </x:c>
      <x:c r="K314" t="str">
        <x:v>IS Machine</x:v>
      </x:c>
      <x:c r="L314" s="54" t="n">
        <x:v>0.009369153256938883</x:v>
      </x:c>
      <x:c r="M314" t="n">
        <x:v>278467</x:v>
      </x:c>
      <x:c r="N314" t="n">
        <x:f>L314*M314</x:f>
        <x:v>2609</x:v>
      </x:c>
      <x:c r="O314"/>
      <x:c r="P314"/>
      <x:c r="Q314"/>
      <x:c r="R314"/>
      <x:c r="S314" s="52"/>
      <x:c r="T314" t="str">
        <x:v>OK</x:v>
      </x:c>
      <x:c r="U314" t="str">
        <x:f>IF(AND(ISNUMBER(L314),L314&gt;=0,L314&lt;=1),"OK","CHECK")</x:f>
        <x:v>OK</x:v>
      </x:c>
      <x:c r="V314" t="str">
        <x:f>IF(AND(ISNUMBER(N314),N314&gt;=0),"OK","CHECK")</x:f>
        <x:v>OK</x:v>
      </x:c>
      <x:c r="W314" t="str">
        <x:f>IF(AND(T314="OK",U314="OK",V314="OK"),"OK","CHECK")</x:f>
        <x:v>OK</x:v>
      </x:c>
      <x:c r="X314" t="str">
        <x:f>IF(W314="OK","LOAD","QUARANTINE")</x:f>
        <x:v>LOAD</x:v>
      </x:c>
      <x:c r="Y314" t="str">
        <x:v>03_Process_Losses(6).xlsx</x:v>
      </x:c>
      <x:c r="Z314" t="str">
        <x:v>ENH-20260830-01</x:v>
      </x:c>
      <x:c r="AA314" t="str">
        <x:f>IF(X314="LOAD","Active","Quarantine")</x:f>
        <x:v>Active</x:v>
      </x:c>
      <x:c r="AB314"/>
      <x:c r="AC314"/>
      <x:c r="AD314"/>
      <x:c r="AE314"/>
    </x:row>
    <x:row r="315">
      <x:c r="A315" t="str">
        <x:v>PLD-000311</x:v>
      </x:c>
      <x:c r="B315" t="str">
        <x:v>LOSS-KG01-L23-20251020-AM-ORD-2025-00092</x:v>
      </x:c>
      <x:c r="C315" t="str">
        <x:v>PE-KG01-L23-20251020-AM-ORD-2025-00092</x:v>
      </x:c>
      <x:c r="D315" t="str">
        <x:v>KG01</x:v>
      </x:c>
      <x:c r="E315" t="n">
        <x:v>23</x:v>
      </x:c>
      <x:c r="F315" s="52" t="n">
        <x:v>45950</x:v>
      </x:c>
      <x:c r="G315" t="str">
        <x:v>AM</x:v>
      </x:c>
      <x:c r="H315" t="str">
        <x:v>ORD-2025-00092</x:v>
      </x:c>
      <x:c r="I315" t="str">
        <x:v>Normal</x:v>
      </x:c>
      <x:c r="J315" t="str">
        <x:v>PROC_HE_CONVEYER</x:v>
      </x:c>
      <x:c r="K315" t="str">
        <x:v>Hot End</x:v>
      </x:c>
      <x:c r="L315" s="54" t="n">
        <x:v>0.002757956957197801</x:v>
      </x:c>
      <x:c r="M315" t="n">
        <x:v>278467</x:v>
      </x:c>
      <x:c r="N315" t="n">
        <x:f>L315*M315</x:f>
        <x:v>768</x:v>
      </x:c>
      <x:c r="O315"/>
      <x:c r="P315"/>
      <x:c r="Q315"/>
      <x:c r="R315"/>
      <x:c r="S315" s="52"/>
      <x:c r="T315" t="str">
        <x:v>OK</x:v>
      </x:c>
      <x:c r="U315" t="str">
        <x:f>IF(AND(ISNUMBER(L315),L315&gt;=0,L315&lt;=1),"OK","CHECK")</x:f>
        <x:v>OK</x:v>
      </x:c>
      <x:c r="V315" t="str">
        <x:f>IF(AND(ISNUMBER(N315),N315&gt;=0),"OK","CHECK")</x:f>
        <x:v>OK</x:v>
      </x:c>
      <x:c r="W315" t="str">
        <x:f>IF(AND(T315="OK",U315="OK",V315="OK"),"OK","CHECK")</x:f>
        <x:v>OK</x:v>
      </x:c>
      <x:c r="X315" t="str">
        <x:f>IF(W315="OK","LOAD","QUARANTINE")</x:f>
        <x:v>LOAD</x:v>
      </x:c>
      <x:c r="Y315" t="str">
        <x:v>03_Process_Losses(6).xlsx</x:v>
      </x:c>
      <x:c r="Z315" t="str">
        <x:v>ENH-20260830-01</x:v>
      </x:c>
      <x:c r="AA315" t="str">
        <x:f>IF(X315="LOAD","Active","Quarantine")</x:f>
        <x:v>Active</x:v>
      </x:c>
      <x:c r="AB315"/>
      <x:c r="AC315"/>
      <x:c r="AD315"/>
      <x:c r="AE315"/>
    </x:row>
    <x:row r="316">
      <x:c r="A316" t="str">
        <x:v>PLD-000312</x:v>
      </x:c>
      <x:c r="B316" t="str">
        <x:v>LOSS-KG01-L23-20251020-AM-ORD-2025-00092</x:v>
      </x:c>
      <x:c r="C316" t="str">
        <x:v>PE-KG01-L23-20251020-AM-ORD-2025-00092</x:v>
      </x:c>
      <x:c r="D316" t="str">
        <x:v>KG01</x:v>
      </x:c>
      <x:c r="E316" t="n">
        <x:v>23</x:v>
      </x:c>
      <x:c r="F316" s="52" t="n">
        <x:v>45950</x:v>
      </x:c>
      <x:c r="G316" t="str">
        <x:v>AM</x:v>
      </x:c>
      <x:c r="H316" t="str">
        <x:v>ORD-2025-00092</x:v>
      </x:c>
      <x:c r="I316" t="str">
        <x:v>Normal</x:v>
      </x:c>
      <x:c r="J316" t="str">
        <x:v>PROC_STUCKDOWN</x:v>
      </x:c>
      <x:c r="K316" t="str">
        <x:v>Forming</x:v>
      </x:c>
      <x:c r="L316" s="54" t="n">
        <x:v>0.005562598081639835</x:v>
      </x:c>
      <x:c r="M316" t="n">
        <x:v>278467</x:v>
      </x:c>
      <x:c r="N316" t="n">
        <x:f>L316*M316</x:f>
        <x:v>1549</x:v>
      </x:c>
      <x:c r="O316"/>
      <x:c r="P316"/>
      <x:c r="Q316"/>
      <x:c r="R316"/>
      <x:c r="S316" s="52"/>
      <x:c r="T316" t="str">
        <x:v>OK</x:v>
      </x:c>
      <x:c r="U316" t="str">
        <x:f>IF(AND(ISNUMBER(L316),L316&gt;=0,L316&lt;=1),"OK","CHECK")</x:f>
        <x:v>OK</x:v>
      </x:c>
      <x:c r="V316" t="str">
        <x:f>IF(AND(ISNUMBER(N316),N316&gt;=0),"OK","CHECK")</x:f>
        <x:v>OK</x:v>
      </x:c>
      <x:c r="W316" t="str">
        <x:f>IF(AND(T316="OK",U316="OK",V316="OK"),"OK","CHECK")</x:f>
        <x:v>OK</x:v>
      </x:c>
      <x:c r="X316" t="str">
        <x:f>IF(W316="OK","LOAD","QUARANTINE")</x:f>
        <x:v>LOAD</x:v>
      </x:c>
      <x:c r="Y316" t="str">
        <x:v>03_Process_Losses(6).xlsx</x:v>
      </x:c>
      <x:c r="Z316" t="str">
        <x:v>ENH-20260830-01</x:v>
      </x:c>
      <x:c r="AA316" t="str">
        <x:f>IF(X316="LOAD","Active","Quarantine")</x:f>
        <x:v>Active</x:v>
      </x:c>
      <x:c r="AB316"/>
      <x:c r="AC316"/>
      <x:c r="AD316"/>
      <x:c r="AE316"/>
    </x:row>
    <x:row r="317">
      <x:c r="A317" t="str">
        <x:v>PLD-000313</x:v>
      </x:c>
      <x:c r="B317" t="str">
        <x:v>LOSS-KG01-L23-20251020-AM-ORD-2025-00092</x:v>
      </x:c>
      <x:c r="C317" t="str">
        <x:v>PE-KG01-L23-20251020-AM-ORD-2025-00092</x:v>
      </x:c>
      <x:c r="D317" t="str">
        <x:v>KG01</x:v>
      </x:c>
      <x:c r="E317" t="n">
        <x:v>23</x:v>
      </x:c>
      <x:c r="F317" s="52" t="n">
        <x:v>45950</x:v>
      </x:c>
      <x:c r="G317" t="str">
        <x:v>AM</x:v>
      </x:c>
      <x:c r="H317" t="str">
        <x:v>ORD-2025-00092</x:v>
      </x:c>
      <x:c r="I317" t="str">
        <x:v>Normal</x:v>
      </x:c>
      <x:c r="J317" t="str">
        <x:v>PROC_LEHR</x:v>
      </x:c>
      <x:c r="K317" t="str">
        <x:v>Lehr</x:v>
      </x:c>
      <x:c r="L317" s="54" t="n">
        <x:v>0.0031924788215479754</x:v>
      </x:c>
      <x:c r="M317" t="n">
        <x:v>278467</x:v>
      </x:c>
      <x:c r="N317" t="n">
        <x:f>L317*M317</x:f>
        <x:v>889.0000000000001</x:v>
      </x:c>
      <x:c r="O317"/>
      <x:c r="P317"/>
      <x:c r="Q317"/>
      <x:c r="R317"/>
      <x:c r="S317" s="52"/>
      <x:c r="T317" t="str">
        <x:v>OK</x:v>
      </x:c>
      <x:c r="U317" t="str">
        <x:f>IF(AND(ISNUMBER(L317),L317&gt;=0,L317&lt;=1),"OK","CHECK")</x:f>
        <x:v>OK</x:v>
      </x:c>
      <x:c r="V317" t="str">
        <x:f>IF(AND(ISNUMBER(N317),N317&gt;=0),"OK","CHECK")</x:f>
        <x:v>OK</x:v>
      </x:c>
      <x:c r="W317" t="str">
        <x:f>IF(AND(T317="OK",U317="OK",V317="OK"),"OK","CHECK")</x:f>
        <x:v>OK</x:v>
      </x:c>
      <x:c r="X317" t="str">
        <x:f>IF(W317="OK","LOAD","QUARANTINE")</x:f>
        <x:v>LOAD</x:v>
      </x:c>
      <x:c r="Y317" t="str">
        <x:v>03_Process_Losses(6).xlsx</x:v>
      </x:c>
      <x:c r="Z317" t="str">
        <x:v>ENH-20260830-01</x:v>
      </x:c>
      <x:c r="AA317" t="str">
        <x:f>IF(X317="LOAD","Active","Quarantine")</x:f>
        <x:v>Active</x:v>
      </x:c>
      <x:c r="AB317"/>
      <x:c r="AC317"/>
      <x:c r="AD317"/>
      <x:c r="AE317"/>
    </x:row>
    <x:row r="318">
      <x:c r="A318" t="str">
        <x:v>PLD-000314</x:v>
      </x:c>
      <x:c r="B318" t="str">
        <x:v>LOSS-KG01-L23-20251020-AM-ORD-2025-00092</x:v>
      </x:c>
      <x:c r="C318" t="str">
        <x:v>PE-KG01-L23-20251020-AM-ORD-2025-00092</x:v>
      </x:c>
      <x:c r="D318" t="str">
        <x:v>KG01</x:v>
      </x:c>
      <x:c r="E318" t="n">
        <x:v>23</x:v>
      </x:c>
      <x:c r="F318" s="52" t="n">
        <x:v>45950</x:v>
      </x:c>
      <x:c r="G318" t="str">
        <x:v>AM</x:v>
      </x:c>
      <x:c r="H318" t="str">
        <x:v>ORD-2025-00092</x:v>
      </x:c>
      <x:c r="I318" t="str">
        <x:v>Normal</x:v>
      </x:c>
      <x:c r="J318" t="str">
        <x:v>PROC_EVO16</x:v>
      </x:c>
      <x:c r="K318" t="str">
        <x:v>Inspection</x:v>
      </x:c>
      <x:c r="L318" s="54" t="n">
        <x:v>0.008536020426118715</x:v>
      </x:c>
      <x:c r="M318" t="n">
        <x:v>278467</x:v>
      </x:c>
      <x:c r="N318" t="n">
        <x:f>L318*M318</x:f>
        <x:v>2377</x:v>
      </x:c>
      <x:c r="O318"/>
      <x:c r="P318"/>
      <x:c r="Q318"/>
      <x:c r="R318"/>
      <x:c r="S318" s="52"/>
      <x:c r="T318" t="str">
        <x:v>OK</x:v>
      </x:c>
      <x:c r="U318" t="str">
        <x:f>IF(AND(ISNUMBER(L318),L318&gt;=0,L318&lt;=1),"OK","CHECK")</x:f>
        <x:v>OK</x:v>
      </x:c>
      <x:c r="V318" t="str">
        <x:f>IF(AND(ISNUMBER(N318),N318&gt;=0),"OK","CHECK")</x:f>
        <x:v>OK</x:v>
      </x:c>
      <x:c r="W318" t="str">
        <x:f>IF(AND(T318="OK",U318="OK",V318="OK"),"OK","CHECK")</x:f>
        <x:v>OK</x:v>
      </x:c>
      <x:c r="X318" t="str">
        <x:f>IF(W318="OK","LOAD","QUARANTINE")</x:f>
        <x:v>LOAD</x:v>
      </x:c>
      <x:c r="Y318" t="str">
        <x:v>03_Process_Losses(6).xlsx</x:v>
      </x:c>
      <x:c r="Z318" t="str">
        <x:v>ENH-20260830-01</x:v>
      </x:c>
      <x:c r="AA318" t="str">
        <x:f>IF(X318="LOAD","Active","Quarantine")</x:f>
        <x:v>Active</x:v>
      </x:c>
      <x:c r="AB318"/>
      <x:c r="AC318"/>
      <x:c r="AD318"/>
      <x:c r="AE318"/>
    </x:row>
    <x:row r="319">
      <x:c r="A319" t="str">
        <x:v>PLD-000315</x:v>
      </x:c>
      <x:c r="B319" t="str">
        <x:v>LOSS-KG01-L23-20251020-AM-ORD-2025-00092</x:v>
      </x:c>
      <x:c r="C319" t="str">
        <x:v>PE-KG01-L23-20251020-AM-ORD-2025-00092</x:v>
      </x:c>
      <x:c r="D319" t="str">
        <x:v>KG01</x:v>
      </x:c>
      <x:c r="E319" t="n">
        <x:v>23</x:v>
      </x:c>
      <x:c r="F319" s="52" t="n">
        <x:v>45950</x:v>
      </x:c>
      <x:c r="G319" t="str">
        <x:v>AM</x:v>
      </x:c>
      <x:c r="H319" t="str">
        <x:v>ORD-2025-00092</x:v>
      </x:c>
      <x:c r="I319" t="str">
        <x:v>Normal</x:v>
      </x:c>
      <x:c r="J319" t="str">
        <x:v>PROC_EVO12</x:v>
      </x:c>
      <x:c r="K319" t="str">
        <x:v>Inspection</x:v>
      </x:c>
      <x:c r="L319" s="54" t="n">
        <x:v>0.0004524773132902642</x:v>
      </x:c>
      <x:c r="M319" t="n">
        <x:v>278467</x:v>
      </x:c>
      <x:c r="N319" t="n">
        <x:f>L319*M319</x:f>
        <x:v>126</x:v>
      </x:c>
      <x:c r="O319"/>
      <x:c r="P319"/>
      <x:c r="Q319"/>
      <x:c r="R319"/>
      <x:c r="S319" s="52"/>
      <x:c r="T319" t="str">
        <x:v>OK</x:v>
      </x:c>
      <x:c r="U319" t="str">
        <x:f>IF(AND(ISNUMBER(L319),L319&gt;=0,L319&lt;=1),"OK","CHECK")</x:f>
        <x:v>OK</x:v>
      </x:c>
      <x:c r="V319" t="str">
        <x:f>IF(AND(ISNUMBER(N319),N319&gt;=0),"OK","CHECK")</x:f>
        <x:v>OK</x:v>
      </x:c>
      <x:c r="W319" t="str">
        <x:f>IF(AND(T319="OK",U319="OK",V319="OK"),"OK","CHECK")</x:f>
        <x:v>OK</x:v>
      </x:c>
      <x:c r="X319" t="str">
        <x:f>IF(W319="OK","LOAD","QUARANTINE")</x:f>
        <x:v>LOAD</x:v>
      </x:c>
      <x:c r="Y319" t="str">
        <x:v>03_Process_Losses(6).xlsx</x:v>
      </x:c>
      <x:c r="Z319" t="str">
        <x:v>ENH-20260830-01</x:v>
      </x:c>
      <x:c r="AA319" t="str">
        <x:f>IF(X319="LOAD","Active","Quarantine")</x:f>
        <x:v>Active</x:v>
      </x:c>
      <x:c r="AB319"/>
      <x:c r="AC319"/>
      <x:c r="AD319"/>
      <x:c r="AE319"/>
    </x:row>
    <x:row r="320">
      <x:c r="A320" t="str">
        <x:v>PLD-000316</x:v>
      </x:c>
      <x:c r="B320" t="str">
        <x:v>LOSS-KG01-L23-20251020-AM-ORD-2025-00092</x:v>
      </x:c>
      <x:c r="C320" t="str">
        <x:v>PE-KG01-L23-20251020-AM-ORD-2025-00092</x:v>
      </x:c>
      <x:c r="D320" t="str">
        <x:v>KG01</x:v>
      </x:c>
      <x:c r="E320" t="n">
        <x:v>23</x:v>
      </x:c>
      <x:c r="F320" s="52" t="n">
        <x:v>45950</x:v>
      </x:c>
      <x:c r="G320" t="str">
        <x:v>AM</x:v>
      </x:c>
      <x:c r="H320" t="str">
        <x:v>ORD-2025-00092</x:v>
      </x:c>
      <x:c r="I320" t="str">
        <x:v>Normal</x:v>
      </x:c>
      <x:c r="J320" t="str">
        <x:v>PROC_EVO5</x:v>
      </x:c>
      <x:c r="K320" t="str">
        <x:v>Inspection</x:v>
      </x:c>
      <x:c r="L320" s="54" t="n">
        <x:v>0.0029411025363867173</x:v>
      </x:c>
      <x:c r="M320" t="n">
        <x:v>278467</x:v>
      </x:c>
      <x:c r="N320" t="n">
        <x:f>L320*M320</x:f>
        <x:v>819</x:v>
      </x:c>
      <x:c r="O320"/>
      <x:c r="P320"/>
      <x:c r="Q320"/>
      <x:c r="R320"/>
      <x:c r="S320" s="52"/>
      <x:c r="T320" t="str">
        <x:v>OK</x:v>
      </x:c>
      <x:c r="U320" t="str">
        <x:f>IF(AND(ISNUMBER(L320),L320&gt;=0,L320&lt;=1),"OK","CHECK")</x:f>
        <x:v>OK</x:v>
      </x:c>
      <x:c r="V320" t="str">
        <x:f>IF(AND(ISNUMBER(N320),N320&gt;=0),"OK","CHECK")</x:f>
        <x:v>OK</x:v>
      </x:c>
      <x:c r="W320" t="str">
        <x:f>IF(AND(T320="OK",U320="OK",V320="OK"),"OK","CHECK")</x:f>
        <x:v>OK</x:v>
      </x:c>
      <x:c r="X320" t="str">
        <x:f>IF(W320="OK","LOAD","QUARANTINE")</x:f>
        <x:v>LOAD</x:v>
      </x:c>
      <x:c r="Y320" t="str">
        <x:v>03_Process_Losses(6).xlsx</x:v>
      </x:c>
      <x:c r="Z320" t="str">
        <x:v>ENH-20260830-01</x:v>
      </x:c>
      <x:c r="AA320" t="str">
        <x:f>IF(X320="LOAD","Active","Quarantine")</x:f>
        <x:v>Active</x:v>
      </x:c>
      <x:c r="AB320"/>
      <x:c r="AC320"/>
      <x:c r="AD320"/>
      <x:c r="AE320"/>
    </x:row>
    <x:row r="321">
      <x:c r="A321" t="str">
        <x:v>PLD-000317</x:v>
      </x:c>
      <x:c r="B321" t="str">
        <x:v>LOSS-KG01-L23-20251020-AM-ORD-2025-00092</x:v>
      </x:c>
      <x:c r="C321" t="str">
        <x:v>PE-KG01-L23-20251020-AM-ORD-2025-00092</x:v>
      </x:c>
      <x:c r="D321" t="str">
        <x:v>KG01</x:v>
      </x:c>
      <x:c r="E321" t="n">
        <x:v>23</x:v>
      </x:c>
      <x:c r="F321" s="52" t="n">
        <x:v>45950</x:v>
      </x:c>
      <x:c r="G321" t="str">
        <x:v>AM</x:v>
      </x:c>
      <x:c r="H321" t="str">
        <x:v>ORD-2025-00092</x:v>
      </x:c>
      <x:c r="I321" t="str">
        <x:v>Normal</x:v>
      </x:c>
      <x:c r="J321" t="str">
        <x:v>PROC_SANLI</x:v>
      </x:c>
      <x:c r="K321" t="str">
        <x:v>Inspection</x:v>
      </x:c>
      <x:c r="L321" s="54" t="n">
        <x:v>0.004664825634635343</x:v>
      </x:c>
      <x:c r="M321" t="n">
        <x:v>278467</x:v>
      </x:c>
      <x:c r="N321" t="n">
        <x:f>L321*M321</x:f>
        <x:v>1299</x:v>
      </x:c>
      <x:c r="O321"/>
      <x:c r="P321"/>
      <x:c r="Q321"/>
      <x:c r="R321"/>
      <x:c r="S321" s="52"/>
      <x:c r="T321" t="str">
        <x:v>OK</x:v>
      </x:c>
      <x:c r="U321" t="str">
        <x:f>IF(AND(ISNUMBER(L321),L321&gt;=0,L321&lt;=1),"OK","CHECK")</x:f>
        <x:v>OK</x:v>
      </x:c>
      <x:c r="V321" t="str">
        <x:f>IF(AND(ISNUMBER(N321),N321&gt;=0),"OK","CHECK")</x:f>
        <x:v>OK</x:v>
      </x:c>
      <x:c r="W321" t="str">
        <x:f>IF(AND(T321="OK",U321="OK",V321="OK"),"OK","CHECK")</x:f>
        <x:v>OK</x:v>
      </x:c>
      <x:c r="X321" t="str">
        <x:f>IF(W321="OK","LOAD","QUARANTINE")</x:f>
        <x:v>LOAD</x:v>
      </x:c>
      <x:c r="Y321" t="str">
        <x:v>03_Process_Losses(6).xlsx</x:v>
      </x:c>
      <x:c r="Z321" t="str">
        <x:v>ENH-20260830-01</x:v>
      </x:c>
      <x:c r="AA321" t="str">
        <x:f>IF(X321="LOAD","Active","Quarantine")</x:f>
        <x:v>Active</x:v>
      </x:c>
      <x:c r="AB321"/>
      <x:c r="AC321"/>
      <x:c r="AD321"/>
      <x:c r="AE321"/>
    </x:row>
    <x:row r="322">
      <x:c r="A322" t="str">
        <x:v>PLD-000318</x:v>
      </x:c>
      <x:c r="B322" t="str">
        <x:v>LOSS-KG01-L23-20251020-AM-ORD-2025-00092</x:v>
      </x:c>
      <x:c r="C322" t="str">
        <x:v>PE-KG01-L23-20251020-AM-ORD-2025-00092</x:v>
      </x:c>
      <x:c r="D322" t="str">
        <x:v>KG01</x:v>
      </x:c>
      <x:c r="E322" t="n">
        <x:v>23</x:v>
      </x:c>
      <x:c r="F322" s="52" t="n">
        <x:v>45950</x:v>
      </x:c>
      <x:c r="G322" t="str">
        <x:v>AM</x:v>
      </x:c>
      <x:c r="H322" t="str">
        <x:v>ORD-2025-00092</x:v>
      </x:c>
      <x:c r="I322" t="str">
        <x:v>Normal</x:v>
      </x:c>
      <x:c r="J322" t="str">
        <x:v>PROC_VISUAL</x:v>
      </x:c>
      <x:c r="K322" t="str">
        <x:v>Inspection</x:v>
      </x:c>
      <x:c r="L322" s="54" t="n">
        <x:v>0.014784516657269983</x:v>
      </x:c>
      <x:c r="M322" t="n">
        <x:v>278467</x:v>
      </x:c>
      <x:c r="N322" t="n">
        <x:f>L322*M322</x:f>
        <x:v>4117</x:v>
      </x:c>
      <x:c r="O322"/>
      <x:c r="P322"/>
      <x:c r="Q322"/>
      <x:c r="R322"/>
      <x:c r="S322" s="52"/>
      <x:c r="T322" t="str">
        <x:v>OK</x:v>
      </x:c>
      <x:c r="U322" t="str">
        <x:f>IF(AND(ISNUMBER(L322),L322&gt;=0,L322&lt;=1),"OK","CHECK")</x:f>
        <x:v>OK</x:v>
      </x:c>
      <x:c r="V322" t="str">
        <x:f>IF(AND(ISNUMBER(N322),N322&gt;=0),"OK","CHECK")</x:f>
        <x:v>OK</x:v>
      </x:c>
      <x:c r="W322" t="str">
        <x:f>IF(AND(T322="OK",U322="OK",V322="OK"),"OK","CHECK")</x:f>
        <x:v>OK</x:v>
      </x:c>
      <x:c r="X322" t="str">
        <x:f>IF(W322="OK","LOAD","QUARANTINE")</x:f>
        <x:v>LOAD</x:v>
      </x:c>
      <x:c r="Y322" t="str">
        <x:v>03_Process_Losses(6).xlsx</x:v>
      </x:c>
      <x:c r="Z322" t="str">
        <x:v>ENH-20260830-01</x:v>
      </x:c>
      <x:c r="AA322" t="str">
        <x:f>IF(X322="LOAD","Active","Quarantine")</x:f>
        <x:v>Active</x:v>
      </x:c>
      <x:c r="AB322"/>
      <x:c r="AC322"/>
      <x:c r="AD322"/>
      <x:c r="AE322"/>
    </x:row>
    <x:row r="323">
      <x:c r="A323" t="str">
        <x:v>PLD-000319</x:v>
      </x:c>
      <x:c r="B323" t="str">
        <x:v>LOSS-KG01-L23-20251020-AM-ORD-2025-00092</x:v>
      </x:c>
      <x:c r="C323" t="str">
        <x:v>PE-KG01-L23-20251020-AM-ORD-2025-00092</x:v>
      </x:c>
      <x:c r="D323" t="str">
        <x:v>KG01</x:v>
      </x:c>
      <x:c r="E323" t="n">
        <x:v>23</x:v>
      </x:c>
      <x:c r="F323" s="52" t="n">
        <x:v>45950</x:v>
      </x:c>
      <x:c r="G323" t="str">
        <x:v>AM</x:v>
      </x:c>
      <x:c r="H323" t="str">
        <x:v>ORD-2025-00092</x:v>
      </x:c>
      <x:c r="I323" t="str">
        <x:v>Normal</x:v>
      </x:c>
      <x:c r="J323" t="str">
        <x:v>PROC_PALLETIZER</x:v>
      </x:c>
      <x:c r="K323" t="str">
        <x:v>Palletizer</x:v>
      </x:c>
      <x:c r="L323" s="54" t="n">
        <x:v>0.008184093626892952</x:v>
      </x:c>
      <x:c r="M323" t="n">
        <x:v>278467</x:v>
      </x:c>
      <x:c r="N323" t="n">
        <x:f>L323*M323</x:f>
        <x:v>2279</x:v>
      </x:c>
      <x:c r="O323"/>
      <x:c r="P323"/>
      <x:c r="Q323"/>
      <x:c r="R323"/>
      <x:c r="S323" s="52"/>
      <x:c r="T323" t="str">
        <x:v>OK</x:v>
      </x:c>
      <x:c r="U323" t="str">
        <x:f>IF(AND(ISNUMBER(L323),L323&gt;=0,L323&lt;=1),"OK","CHECK")</x:f>
        <x:v>OK</x:v>
      </x:c>
      <x:c r="V323" t="str">
        <x:f>IF(AND(ISNUMBER(N323),N323&gt;=0),"OK","CHECK")</x:f>
        <x:v>OK</x:v>
      </x:c>
      <x:c r="W323" t="str">
        <x:f>IF(AND(T323="OK",U323="OK",V323="OK"),"OK","CHECK")</x:f>
        <x:v>OK</x:v>
      </x:c>
      <x:c r="X323" t="str">
        <x:f>IF(W323="OK","LOAD","QUARANTINE")</x:f>
        <x:v>LOAD</x:v>
      </x:c>
      <x:c r="Y323" t="str">
        <x:v>03_Process_Losses(6).xlsx</x:v>
      </x:c>
      <x:c r="Z323" t="str">
        <x:v>ENH-20260830-01</x:v>
      </x:c>
      <x:c r="AA323" t="str">
        <x:f>IF(X323="LOAD","Active","Quarantine")</x:f>
        <x:v>Active</x:v>
      </x:c>
      <x:c r="AB323"/>
      <x:c r="AC323"/>
      <x:c r="AD323"/>
      <x:c r="AE323"/>
    </x:row>
    <x:row r="324">
      <x:c r="A324" t="str">
        <x:v>PLD-000320</x:v>
      </x:c>
      <x:c r="B324" t="str">
        <x:v>LOSS-KG01-L23-20251020-PM-ORD-2025-00092</x:v>
      </x:c>
      <x:c r="C324" t="str">
        <x:v>PE-KG01-L23-20251020-PM-ORD-2025-00092</x:v>
      </x:c>
      <x:c r="D324" t="str">
        <x:v>KG01</x:v>
      </x:c>
      <x:c r="E324" t="n">
        <x:v>23</x:v>
      </x:c>
      <x:c r="F324" s="52" t="n">
        <x:v>45950</x:v>
      </x:c>
      <x:c r="G324" t="str">
        <x:v>PM</x:v>
      </x:c>
      <x:c r="H324" t="str">
        <x:v>ORD-2025-00092</x:v>
      </x:c>
      <x:c r="I324" t="str">
        <x:v>Normal</x:v>
      </x:c>
      <x:c r="J324" t="str">
        <x:v>PROC_FIXED</x:v>
      </x:c>
      <x:c r="K324" t="str">
        <x:v>Fixed Losses</x:v>
      </x:c>
      <x:c r="L324" s="54" t="n">
        <x:v>0.006044707212849566</x:v>
      </x:c>
      <x:c r="M324" t="n">
        <x:v>279418</x:v>
      </x:c>
      <x:c r="N324" t="n">
        <x:f>L324*M324</x:f>
        <x:v>1689</x:v>
      </x:c>
      <x:c r="O324"/>
      <x:c r="P324"/>
      <x:c r="Q324"/>
      <x:c r="R324"/>
      <x:c r="S324" s="52"/>
      <x:c r="T324" t="str">
        <x:v>OK</x:v>
      </x:c>
      <x:c r="U324" t="str">
        <x:f>IF(AND(ISNUMBER(L324),L324&gt;=0,L324&lt;=1),"OK","CHECK")</x:f>
        <x:v>OK</x:v>
      </x:c>
      <x:c r="V324" t="str">
        <x:f>IF(AND(ISNUMBER(N324),N324&gt;=0),"OK","CHECK")</x:f>
        <x:v>OK</x:v>
      </x:c>
      <x:c r="W324" t="str">
        <x:f>IF(AND(T324="OK",U324="OK",V324="OK"),"OK","CHECK")</x:f>
        <x:v>OK</x:v>
      </x:c>
      <x:c r="X324" t="str">
        <x:f>IF(W324="OK","LOAD","QUARANTINE")</x:f>
        <x:v>LOAD</x:v>
      </x:c>
      <x:c r="Y324" t="str">
        <x:v>03_Process_Losses(6).xlsx</x:v>
      </x:c>
      <x:c r="Z324" t="str">
        <x:v>ENH-20260830-01</x:v>
      </x:c>
      <x:c r="AA324" t="str">
        <x:f>IF(X324="LOAD","Active","Quarantine")</x:f>
        <x:v>Active</x:v>
      </x:c>
      <x:c r="AB324"/>
      <x:c r="AC324"/>
      <x:c r="AD324"/>
      <x:c r="AE324"/>
    </x:row>
    <x:row r="325">
      <x:c r="A325" t="str">
        <x:v>PLD-000321</x:v>
      </x:c>
      <x:c r="B325" t="str">
        <x:v>LOSS-KG01-L23-20251020-PM-ORD-2025-00092</x:v>
      </x:c>
      <x:c r="C325" t="str">
        <x:v>PE-KG01-L23-20251020-PM-ORD-2025-00092</x:v>
      </x:c>
      <x:c r="D325" t="str">
        <x:v>KG01</x:v>
      </x:c>
      <x:c r="E325" t="n">
        <x:v>23</x:v>
      </x:c>
      <x:c r="F325" s="52" t="n">
        <x:v>45950</x:v>
      </x:c>
      <x:c r="G325" t="str">
        <x:v>PM</x:v>
      </x:c>
      <x:c r="H325" t="str">
        <x:v>ORD-2025-00092</x:v>
      </x:c>
      <x:c r="I325" t="str">
        <x:v>Normal</x:v>
      </x:c>
      <x:c r="J325" t="str">
        <x:v>PROC_IS</x:v>
      </x:c>
      <x:c r="K325" t="str">
        <x:v>IS Machine</x:v>
      </x:c>
      <x:c r="L325" s="54" t="n">
        <x:v>0.012826661131351596</x:v>
      </x:c>
      <x:c r="M325" t="n">
        <x:v>279418</x:v>
      </x:c>
      <x:c r="N325" t="n">
        <x:f>L325*M325</x:f>
        <x:v>3584</x:v>
      </x:c>
      <x:c r="O325"/>
      <x:c r="P325"/>
      <x:c r="Q325"/>
      <x:c r="R325"/>
      <x:c r="S325" s="52"/>
      <x:c r="T325" t="str">
        <x:v>OK</x:v>
      </x:c>
      <x:c r="U325" t="str">
        <x:f>IF(AND(ISNUMBER(L325),L325&gt;=0,L325&lt;=1),"OK","CHECK")</x:f>
        <x:v>OK</x:v>
      </x:c>
      <x:c r="V325" t="str">
        <x:f>IF(AND(ISNUMBER(N325),N325&gt;=0),"OK","CHECK")</x:f>
        <x:v>OK</x:v>
      </x:c>
      <x:c r="W325" t="str">
        <x:f>IF(AND(T325="OK",U325="OK",V325="OK"),"OK","CHECK")</x:f>
        <x:v>OK</x:v>
      </x:c>
      <x:c r="X325" t="str">
        <x:f>IF(W325="OK","LOAD","QUARANTINE")</x:f>
        <x:v>LOAD</x:v>
      </x:c>
      <x:c r="Y325" t="str">
        <x:v>03_Process_Losses(6).xlsx</x:v>
      </x:c>
      <x:c r="Z325" t="str">
        <x:v>ENH-20260830-01</x:v>
      </x:c>
      <x:c r="AA325" t="str">
        <x:f>IF(X325="LOAD","Active","Quarantine")</x:f>
        <x:v>Active</x:v>
      </x:c>
      <x:c r="AB325"/>
      <x:c r="AC325"/>
      <x:c r="AD325"/>
      <x:c r="AE325"/>
    </x:row>
    <x:row r="326">
      <x:c r="A326" t="str">
        <x:v>PLD-000322</x:v>
      </x:c>
      <x:c r="B326" t="str">
        <x:v>LOSS-KG01-L23-20251020-PM-ORD-2025-00092</x:v>
      </x:c>
      <x:c r="C326" t="str">
        <x:v>PE-KG01-L23-20251020-PM-ORD-2025-00092</x:v>
      </x:c>
      <x:c r="D326" t="str">
        <x:v>KG01</x:v>
      </x:c>
      <x:c r="E326" t="n">
        <x:v>23</x:v>
      </x:c>
      <x:c r="F326" s="52" t="n">
        <x:v>45950</x:v>
      </x:c>
      <x:c r="G326" t="str">
        <x:v>PM</x:v>
      </x:c>
      <x:c r="H326" t="str">
        <x:v>ORD-2025-00092</x:v>
      </x:c>
      <x:c r="I326" t="str">
        <x:v>Normal</x:v>
      </x:c>
      <x:c r="J326" t="str">
        <x:v>PROC_HE_CONVEYER</x:v>
      </x:c>
      <x:c r="K326" t="str">
        <x:v>Hot End</x:v>
      </x:c>
      <x:c r="L326" s="54" t="n">
        <x:v>0.006173546442963589</x:v>
      </x:c>
      <x:c r="M326" t="n">
        <x:v>279418</x:v>
      </x:c>
      <x:c r="N326" t="n">
        <x:f>L326*M326</x:f>
        <x:v>1725</x:v>
      </x:c>
      <x:c r="O326"/>
      <x:c r="P326"/>
      <x:c r="Q326"/>
      <x:c r="R326"/>
      <x:c r="S326" s="52"/>
      <x:c r="T326" t="str">
        <x:v>OK</x:v>
      </x:c>
      <x:c r="U326" t="str">
        <x:f>IF(AND(ISNUMBER(L326),L326&gt;=0,L326&lt;=1),"OK","CHECK")</x:f>
        <x:v>OK</x:v>
      </x:c>
      <x:c r="V326" t="str">
        <x:f>IF(AND(ISNUMBER(N326),N326&gt;=0),"OK","CHECK")</x:f>
        <x:v>OK</x:v>
      </x:c>
      <x:c r="W326" t="str">
        <x:f>IF(AND(T326="OK",U326="OK",V326="OK"),"OK","CHECK")</x:f>
        <x:v>OK</x:v>
      </x:c>
      <x:c r="X326" t="str">
        <x:f>IF(W326="OK","LOAD","QUARANTINE")</x:f>
        <x:v>LOAD</x:v>
      </x:c>
      <x:c r="Y326" t="str">
        <x:v>03_Process_Losses(6).xlsx</x:v>
      </x:c>
      <x:c r="Z326" t="str">
        <x:v>ENH-20260830-01</x:v>
      </x:c>
      <x:c r="AA326" t="str">
        <x:f>IF(X326="LOAD","Active","Quarantine")</x:f>
        <x:v>Active</x:v>
      </x:c>
      <x:c r="AB326"/>
      <x:c r="AC326"/>
      <x:c r="AD326"/>
      <x:c r="AE326"/>
    </x:row>
    <x:row r="327">
      <x:c r="A327" t="str">
        <x:v>PLD-000323</x:v>
      </x:c>
      <x:c r="B327" t="str">
        <x:v>LOSS-KG01-L23-20251020-PM-ORD-2025-00092</x:v>
      </x:c>
      <x:c r="C327" t="str">
        <x:v>PE-KG01-L23-20251020-PM-ORD-2025-00092</x:v>
      </x:c>
      <x:c r="D327" t="str">
        <x:v>KG01</x:v>
      </x:c>
      <x:c r="E327" t="n">
        <x:v>23</x:v>
      </x:c>
      <x:c r="F327" s="52" t="n">
        <x:v>45950</x:v>
      </x:c>
      <x:c r="G327" t="str">
        <x:v>PM</x:v>
      </x:c>
      <x:c r="H327" t="str">
        <x:v>ORD-2025-00092</x:v>
      </x:c>
      <x:c r="I327" t="str">
        <x:v>Normal</x:v>
      </x:c>
      <x:c r="J327" t="str">
        <x:v>PROC_STUCKDOWN</x:v>
      </x:c>
      <x:c r="K327" t="str">
        <x:v>Forming</x:v>
      </x:c>
      <x:c r="L327" s="54" t="n">
        <x:v>0.0036146561781989707</x:v>
      </x:c>
      <x:c r="M327" t="n">
        <x:v>279418</x:v>
      </x:c>
      <x:c r="N327" t="n">
        <x:f>L327*M327</x:f>
        <x:v>1010</x:v>
      </x:c>
      <x:c r="O327"/>
      <x:c r="P327"/>
      <x:c r="Q327"/>
      <x:c r="R327"/>
      <x:c r="S327" s="52"/>
      <x:c r="T327" t="str">
        <x:v>OK</x:v>
      </x:c>
      <x:c r="U327" t="str">
        <x:f>IF(AND(ISNUMBER(L327),L327&gt;=0,L327&lt;=1),"OK","CHECK")</x:f>
        <x:v>OK</x:v>
      </x:c>
      <x:c r="V327" t="str">
        <x:f>IF(AND(ISNUMBER(N327),N327&gt;=0),"OK","CHECK")</x:f>
        <x:v>OK</x:v>
      </x:c>
      <x:c r="W327" t="str">
        <x:f>IF(AND(T327="OK",U327="OK",V327="OK"),"OK","CHECK")</x:f>
        <x:v>OK</x:v>
      </x:c>
      <x:c r="X327" t="str">
        <x:f>IF(W327="OK","LOAD","QUARANTINE")</x:f>
        <x:v>LOAD</x:v>
      </x:c>
      <x:c r="Y327" t="str">
        <x:v>03_Process_Losses(6).xlsx</x:v>
      </x:c>
      <x:c r="Z327" t="str">
        <x:v>ENH-20260830-01</x:v>
      </x:c>
      <x:c r="AA327" t="str">
        <x:f>IF(X327="LOAD","Active","Quarantine")</x:f>
        <x:v>Active</x:v>
      </x:c>
      <x:c r="AB327"/>
      <x:c r="AC327"/>
      <x:c r="AD327"/>
      <x:c r="AE327"/>
    </x:row>
    <x:row r="328">
      <x:c r="A328" t="str">
        <x:v>PLD-000324</x:v>
      </x:c>
      <x:c r="B328" t="str">
        <x:v>LOSS-KG01-L23-20251020-PM-ORD-2025-00092</x:v>
      </x:c>
      <x:c r="C328" t="str">
        <x:v>PE-KG01-L23-20251020-PM-ORD-2025-00092</x:v>
      </x:c>
      <x:c r="D328" t="str">
        <x:v>KG01</x:v>
      </x:c>
      <x:c r="E328" t="n">
        <x:v>23</x:v>
      </x:c>
      <x:c r="F328" s="52" t="n">
        <x:v>45950</x:v>
      </x:c>
      <x:c r="G328" t="str">
        <x:v>PM</x:v>
      </x:c>
      <x:c r="H328" t="str">
        <x:v>ORD-2025-00092</x:v>
      </x:c>
      <x:c r="I328" t="str">
        <x:v>Normal</x:v>
      </x:c>
      <x:c r="J328" t="str">
        <x:v>PROC_LEHR</x:v>
      </x:c>
      <x:c r="K328" t="str">
        <x:v>Lehr</x:v>
      </x:c>
      <x:c r="L328" s="54" t="n">
        <x:v>0.007111209728793421</x:v>
      </x:c>
      <x:c r="M328" t="n">
        <x:v>279418</x:v>
      </x:c>
      <x:c r="N328" t="n">
        <x:f>L328*M328</x:f>
        <x:v>1987</x:v>
      </x:c>
      <x:c r="O328"/>
      <x:c r="P328"/>
      <x:c r="Q328"/>
      <x:c r="R328"/>
      <x:c r="S328" s="52"/>
      <x:c r="T328" t="str">
        <x:v>OK</x:v>
      </x:c>
      <x:c r="U328" t="str">
        <x:f>IF(AND(ISNUMBER(L328),L328&gt;=0,L328&lt;=1),"OK","CHECK")</x:f>
        <x:v>OK</x:v>
      </x:c>
      <x:c r="V328" t="str">
        <x:f>IF(AND(ISNUMBER(N328),N328&gt;=0),"OK","CHECK")</x:f>
        <x:v>OK</x:v>
      </x:c>
      <x:c r="W328" t="str">
        <x:f>IF(AND(T328="OK",U328="OK",V328="OK"),"OK","CHECK")</x:f>
        <x:v>OK</x:v>
      </x:c>
      <x:c r="X328" t="str">
        <x:f>IF(W328="OK","LOAD","QUARANTINE")</x:f>
        <x:v>LOAD</x:v>
      </x:c>
      <x:c r="Y328" t="str">
        <x:v>03_Process_Losses(6).xlsx</x:v>
      </x:c>
      <x:c r="Z328" t="str">
        <x:v>ENH-20260830-01</x:v>
      </x:c>
      <x:c r="AA328" t="str">
        <x:f>IF(X328="LOAD","Active","Quarantine")</x:f>
        <x:v>Active</x:v>
      </x:c>
      <x:c r="AB328"/>
      <x:c r="AC328"/>
      <x:c r="AD328"/>
      <x:c r="AE328"/>
    </x:row>
    <x:row r="329">
      <x:c r="A329" t="str">
        <x:v>PLD-000325</x:v>
      </x:c>
      <x:c r="B329" t="str">
        <x:v>LOSS-KG01-L23-20251020-PM-ORD-2025-00092</x:v>
      </x:c>
      <x:c r="C329" t="str">
        <x:v>PE-KG01-L23-20251020-PM-ORD-2025-00092</x:v>
      </x:c>
      <x:c r="D329" t="str">
        <x:v>KG01</x:v>
      </x:c>
      <x:c r="E329" t="n">
        <x:v>23</x:v>
      </x:c>
      <x:c r="F329" s="52" t="n">
        <x:v>45950</x:v>
      </x:c>
      <x:c r="G329" t="str">
        <x:v>PM</x:v>
      </x:c>
      <x:c r="H329" t="str">
        <x:v>ORD-2025-00092</x:v>
      </x:c>
      <x:c r="I329" t="str">
        <x:v>Normal</x:v>
      </x:c>
      <x:c r="J329" t="str">
        <x:v>PROC_EVO16</x:v>
      </x:c>
      <x:c r="K329" t="str">
        <x:v>Inspection</x:v>
      </x:c>
      <x:c r="L329" s="54" t="n">
        <x:v>0.005583033304940984</x:v>
      </x:c>
      <x:c r="M329" t="n">
        <x:v>279418</x:v>
      </x:c>
      <x:c r="N329" t="n">
        <x:f>L329*M329</x:f>
        <x:v>1560</x:v>
      </x:c>
      <x:c r="O329"/>
      <x:c r="P329"/>
      <x:c r="Q329"/>
      <x:c r="R329"/>
      <x:c r="S329" s="52"/>
      <x:c r="T329" t="str">
        <x:v>OK</x:v>
      </x:c>
      <x:c r="U329" t="str">
        <x:f>IF(AND(ISNUMBER(L329),L329&gt;=0,L329&lt;=1),"OK","CHECK")</x:f>
        <x:v>OK</x:v>
      </x:c>
      <x:c r="V329" t="str">
        <x:f>IF(AND(ISNUMBER(N329),N329&gt;=0),"OK","CHECK")</x:f>
        <x:v>OK</x:v>
      </x:c>
      <x:c r="W329" t="str">
        <x:f>IF(AND(T329="OK",U329="OK",V329="OK"),"OK","CHECK")</x:f>
        <x:v>OK</x:v>
      </x:c>
      <x:c r="X329" t="str">
        <x:f>IF(W329="OK","LOAD","QUARANTINE")</x:f>
        <x:v>LOAD</x:v>
      </x:c>
      <x:c r="Y329" t="str">
        <x:v>03_Process_Losses(6).xlsx</x:v>
      </x:c>
      <x:c r="Z329" t="str">
        <x:v>ENH-20260830-01</x:v>
      </x:c>
      <x:c r="AA329" t="str">
        <x:f>IF(X329="LOAD","Active","Quarantine")</x:f>
        <x:v>Active</x:v>
      </x:c>
      <x:c r="AB329"/>
      <x:c r="AC329"/>
      <x:c r="AD329"/>
      <x:c r="AE329"/>
    </x:row>
    <x:row r="330">
      <x:c r="A330" t="str">
        <x:v>PLD-000326</x:v>
      </x:c>
      <x:c r="B330" t="str">
        <x:v>LOSS-KG01-L23-20251020-PM-ORD-2025-00092</x:v>
      </x:c>
      <x:c r="C330" t="str">
        <x:v>PE-KG01-L23-20251020-PM-ORD-2025-00092</x:v>
      </x:c>
      <x:c r="D330" t="str">
        <x:v>KG01</x:v>
      </x:c>
      <x:c r="E330" t="n">
        <x:v>23</x:v>
      </x:c>
      <x:c r="F330" s="52" t="n">
        <x:v>45950</x:v>
      </x:c>
      <x:c r="G330" t="str">
        <x:v>PM</x:v>
      </x:c>
      <x:c r="H330" t="str">
        <x:v>ORD-2025-00092</x:v>
      </x:c>
      <x:c r="I330" t="str">
        <x:v>Normal</x:v>
      </x:c>
      <x:c r="J330" t="str">
        <x:v>PROC_EVO12</x:v>
      </x:c>
      <x:c r="K330" t="str">
        <x:v>Inspection</x:v>
      </x:c>
      <x:c r="L330" s="54" t="n">
        <x:v>0.0038365459633953433</x:v>
      </x:c>
      <x:c r="M330" t="n">
        <x:v>279418</x:v>
      </x:c>
      <x:c r="N330" t="n">
        <x:f>L330*M330</x:f>
        <x:v>1072</x:v>
      </x:c>
      <x:c r="O330"/>
      <x:c r="P330"/>
      <x:c r="Q330"/>
      <x:c r="R330"/>
      <x:c r="S330" s="52"/>
      <x:c r="T330" t="str">
        <x:v>OK</x:v>
      </x:c>
      <x:c r="U330" t="str">
        <x:f>IF(AND(ISNUMBER(L330),L330&gt;=0,L330&lt;=1),"OK","CHECK")</x:f>
        <x:v>OK</x:v>
      </x:c>
      <x:c r="V330" t="str">
        <x:f>IF(AND(ISNUMBER(N330),N330&gt;=0),"OK","CHECK")</x:f>
        <x:v>OK</x:v>
      </x:c>
      <x:c r="W330" t="str">
        <x:f>IF(AND(T330="OK",U330="OK",V330="OK"),"OK","CHECK")</x:f>
        <x:v>OK</x:v>
      </x:c>
      <x:c r="X330" t="str">
        <x:f>IF(W330="OK","LOAD","QUARANTINE")</x:f>
        <x:v>LOAD</x:v>
      </x:c>
      <x:c r="Y330" t="str">
        <x:v>03_Process_Losses(6).xlsx</x:v>
      </x:c>
      <x:c r="Z330" t="str">
        <x:v>ENH-20260830-01</x:v>
      </x:c>
      <x:c r="AA330" t="str">
        <x:f>IF(X330="LOAD","Active","Quarantine")</x:f>
        <x:v>Active</x:v>
      </x:c>
      <x:c r="AB330"/>
      <x:c r="AC330"/>
      <x:c r="AD330"/>
      <x:c r="AE330"/>
    </x:row>
    <x:row r="331">
      <x:c r="A331" t="str">
        <x:v>PLD-000327</x:v>
      </x:c>
      <x:c r="B331" t="str">
        <x:v>LOSS-KG01-L23-20251020-PM-ORD-2025-00092</x:v>
      </x:c>
      <x:c r="C331" t="str">
        <x:v>PE-KG01-L23-20251020-PM-ORD-2025-00092</x:v>
      </x:c>
      <x:c r="D331" t="str">
        <x:v>KG01</x:v>
      </x:c>
      <x:c r="E331" t="n">
        <x:v>23</x:v>
      </x:c>
      <x:c r="F331" s="52" t="n">
        <x:v>45950</x:v>
      </x:c>
      <x:c r="G331" t="str">
        <x:v>PM</x:v>
      </x:c>
      <x:c r="H331" t="str">
        <x:v>ORD-2025-00092</x:v>
      </x:c>
      <x:c r="I331" t="str">
        <x:v>Normal</x:v>
      </x:c>
      <x:c r="J331" t="str">
        <x:v>PROC_EVO5</x:v>
      </x:c>
      <x:c r="K331" t="str">
        <x:v>Inspection</x:v>
      </x:c>
      <x:c r="L331" s="54" t="n">
        <x:v>0.0006084074755384406</x:v>
      </x:c>
      <x:c r="M331" t="n">
        <x:v>279418</x:v>
      </x:c>
      <x:c r="N331" t="n">
        <x:f>L331*M331</x:f>
        <x:v>170</x:v>
      </x:c>
      <x:c r="O331"/>
      <x:c r="P331"/>
      <x:c r="Q331"/>
      <x:c r="R331"/>
      <x:c r="S331" s="52"/>
      <x:c r="T331" t="str">
        <x:v>OK</x:v>
      </x:c>
      <x:c r="U331" t="str">
        <x:f>IF(AND(ISNUMBER(L331),L331&gt;=0,L331&lt;=1),"OK","CHECK")</x:f>
        <x:v>OK</x:v>
      </x:c>
      <x:c r="V331" t="str">
        <x:f>IF(AND(ISNUMBER(N331),N331&gt;=0),"OK","CHECK")</x:f>
        <x:v>OK</x:v>
      </x:c>
      <x:c r="W331" t="str">
        <x:f>IF(AND(T331="OK",U331="OK",V331="OK"),"OK","CHECK")</x:f>
        <x:v>OK</x:v>
      </x:c>
      <x:c r="X331" t="str">
        <x:f>IF(W331="OK","LOAD","QUARANTINE")</x:f>
        <x:v>LOAD</x:v>
      </x:c>
      <x:c r="Y331" t="str">
        <x:v>03_Process_Losses(6).xlsx</x:v>
      </x:c>
      <x:c r="Z331" t="str">
        <x:v>ENH-20260830-01</x:v>
      </x:c>
      <x:c r="AA331" t="str">
        <x:f>IF(X331="LOAD","Active","Quarantine")</x:f>
        <x:v>Active</x:v>
      </x:c>
      <x:c r="AB331"/>
      <x:c r="AC331"/>
      <x:c r="AD331"/>
      <x:c r="AE331"/>
    </x:row>
    <x:row r="332">
      <x:c r="A332" t="str">
        <x:v>PLD-000328</x:v>
      </x:c>
      <x:c r="B332" t="str">
        <x:v>LOSS-KG01-L23-20251020-PM-ORD-2025-00092</x:v>
      </x:c>
      <x:c r="C332" t="str">
        <x:v>PE-KG01-L23-20251020-PM-ORD-2025-00092</x:v>
      </x:c>
      <x:c r="D332" t="str">
        <x:v>KG01</x:v>
      </x:c>
      <x:c r="E332" t="n">
        <x:v>23</x:v>
      </x:c>
      <x:c r="F332" s="52" t="n">
        <x:v>45950</x:v>
      </x:c>
      <x:c r="G332" t="str">
        <x:v>PM</x:v>
      </x:c>
      <x:c r="H332" t="str">
        <x:v>ORD-2025-00092</x:v>
      </x:c>
      <x:c r="I332" t="str">
        <x:v>Normal</x:v>
      </x:c>
      <x:c r="J332" t="str">
        <x:v>PROC_SANLI</x:v>
      </x:c>
      <x:c r="K332" t="str">
        <x:v>Inspection</x:v>
      </x:c>
      <x:c r="L332" s="54" t="n">
        <x:v>0.001288392301140227</x:v>
      </x:c>
      <x:c r="M332" t="n">
        <x:v>279418</x:v>
      </x:c>
      <x:c r="N332" t="n">
        <x:f>L332*M332</x:f>
        <x:v>360</x:v>
      </x:c>
      <x:c r="O332"/>
      <x:c r="P332"/>
      <x:c r="Q332"/>
      <x:c r="R332"/>
      <x:c r="S332" s="52"/>
      <x:c r="T332" t="str">
        <x:v>OK</x:v>
      </x:c>
      <x:c r="U332" t="str">
        <x:f>IF(AND(ISNUMBER(L332),L332&gt;=0,L332&lt;=1),"OK","CHECK")</x:f>
        <x:v>OK</x:v>
      </x:c>
      <x:c r="V332" t="str">
        <x:f>IF(AND(ISNUMBER(N332),N332&gt;=0),"OK","CHECK")</x:f>
        <x:v>OK</x:v>
      </x:c>
      <x:c r="W332" t="str">
        <x:f>IF(AND(T332="OK",U332="OK",V332="OK"),"OK","CHECK")</x:f>
        <x:v>OK</x:v>
      </x:c>
      <x:c r="X332" t="str">
        <x:f>IF(W332="OK","LOAD","QUARANTINE")</x:f>
        <x:v>LOAD</x:v>
      </x:c>
      <x:c r="Y332" t="str">
        <x:v>03_Process_Losses(6).xlsx</x:v>
      </x:c>
      <x:c r="Z332" t="str">
        <x:v>ENH-20260830-01</x:v>
      </x:c>
      <x:c r="AA332" t="str">
        <x:f>IF(X332="LOAD","Active","Quarantine")</x:f>
        <x:v>Active</x:v>
      </x:c>
      <x:c r="AB332"/>
      <x:c r="AC332"/>
      <x:c r="AD332"/>
      <x:c r="AE332"/>
    </x:row>
    <x:row r="333">
      <x:c r="A333" t="str">
        <x:v>PLD-000329</x:v>
      </x:c>
      <x:c r="B333" t="str">
        <x:v>LOSS-KG01-L23-20251020-PM-ORD-2025-00092</x:v>
      </x:c>
      <x:c r="C333" t="str">
        <x:v>PE-KG01-L23-20251020-PM-ORD-2025-00092</x:v>
      </x:c>
      <x:c r="D333" t="str">
        <x:v>KG01</x:v>
      </x:c>
      <x:c r="E333" t="n">
        <x:v>23</x:v>
      </x:c>
      <x:c r="F333" s="52" t="n">
        <x:v>45950</x:v>
      </x:c>
      <x:c r="G333" t="str">
        <x:v>PM</x:v>
      </x:c>
      <x:c r="H333" t="str">
        <x:v>ORD-2025-00092</x:v>
      </x:c>
      <x:c r="I333" t="str">
        <x:v>Normal</x:v>
      </x:c>
      <x:c r="J333" t="str">
        <x:v>PROC_VISUAL</x:v>
      </x:c>
      <x:c r="K333" t="str">
        <x:v>Inspection</x:v>
      </x:c>
      <x:c r="L333" s="54" t="n">
        <x:v>0.0054613518098332965</x:v>
      </x:c>
      <x:c r="M333" t="n">
        <x:v>279418</x:v>
      </x:c>
      <x:c r="N333" t="n">
        <x:f>L333*M333</x:f>
        <x:v>1526</x:v>
      </x:c>
      <x:c r="O333"/>
      <x:c r="P333"/>
      <x:c r="Q333"/>
      <x:c r="R333"/>
      <x:c r="S333" s="52"/>
      <x:c r="T333" t="str">
        <x:v>OK</x:v>
      </x:c>
      <x:c r="U333" t="str">
        <x:f>IF(AND(ISNUMBER(L333),L333&gt;=0,L333&lt;=1),"OK","CHECK")</x:f>
        <x:v>OK</x:v>
      </x:c>
      <x:c r="V333" t="str">
        <x:f>IF(AND(ISNUMBER(N333),N333&gt;=0),"OK","CHECK")</x:f>
        <x:v>OK</x:v>
      </x:c>
      <x:c r="W333" t="str">
        <x:f>IF(AND(T333="OK",U333="OK",V333="OK"),"OK","CHECK")</x:f>
        <x:v>OK</x:v>
      </x:c>
      <x:c r="X333" t="str">
        <x:f>IF(W333="OK","LOAD","QUARANTINE")</x:f>
        <x:v>LOAD</x:v>
      </x:c>
      <x:c r="Y333" t="str">
        <x:v>03_Process_Losses(6).xlsx</x:v>
      </x:c>
      <x:c r="Z333" t="str">
        <x:v>ENH-20260830-01</x:v>
      </x:c>
      <x:c r="AA333" t="str">
        <x:f>IF(X333="LOAD","Active","Quarantine")</x:f>
        <x:v>Active</x:v>
      </x:c>
      <x:c r="AB333"/>
      <x:c r="AC333"/>
      <x:c r="AD333"/>
      <x:c r="AE333"/>
    </x:row>
    <x:row r="334">
      <x:c r="A334" t="str">
        <x:v>PLD-000330</x:v>
      </x:c>
      <x:c r="B334" t="str">
        <x:v>LOSS-KG01-L23-20251020-PM-ORD-2025-00092</x:v>
      </x:c>
      <x:c r="C334" t="str">
        <x:v>PE-KG01-L23-20251020-PM-ORD-2025-00092</x:v>
      </x:c>
      <x:c r="D334" t="str">
        <x:v>KG01</x:v>
      </x:c>
      <x:c r="E334" t="n">
        <x:v>23</x:v>
      </x:c>
      <x:c r="F334" s="52" t="n">
        <x:v>45950</x:v>
      </x:c>
      <x:c r="G334" t="str">
        <x:v>PM</x:v>
      </x:c>
      <x:c r="H334" t="str">
        <x:v>ORD-2025-00092</x:v>
      </x:c>
      <x:c r="I334" t="str">
        <x:v>Normal</x:v>
      </x:c>
      <x:c r="J334" t="str">
        <x:v>PROC_PALLETIZER</x:v>
      </x:c>
      <x:c r="K334" t="str">
        <x:v>Palletizer</x:v>
      </x:c>
      <x:c r="L334" s="54" t="n">
        <x:v>0.0025517325297582834</x:v>
      </x:c>
      <x:c r="M334" t="n">
        <x:v>279418</x:v>
      </x:c>
      <x:c r="N334" t="n">
        <x:f>L334*M334</x:f>
        <x:v>713</x:v>
      </x:c>
      <x:c r="O334"/>
      <x:c r="P334"/>
      <x:c r="Q334"/>
      <x:c r="R334"/>
      <x:c r="S334" s="52"/>
      <x:c r="T334" t="str">
        <x:v>OK</x:v>
      </x:c>
      <x:c r="U334" t="str">
        <x:f>IF(AND(ISNUMBER(L334),L334&gt;=0,L334&lt;=1),"OK","CHECK")</x:f>
        <x:v>OK</x:v>
      </x:c>
      <x:c r="V334" t="str">
        <x:f>IF(AND(ISNUMBER(N334),N334&gt;=0),"OK","CHECK")</x:f>
        <x:v>OK</x:v>
      </x:c>
      <x:c r="W334" t="str">
        <x:f>IF(AND(T334="OK",U334="OK",V334="OK"),"OK","CHECK")</x:f>
        <x:v>OK</x:v>
      </x:c>
      <x:c r="X334" t="str">
        <x:f>IF(W334="OK","LOAD","QUARANTINE")</x:f>
        <x:v>LOAD</x:v>
      </x:c>
      <x:c r="Y334" t="str">
        <x:v>03_Process_Losses(6).xlsx</x:v>
      </x:c>
      <x:c r="Z334" t="str">
        <x:v>ENH-20260830-01</x:v>
      </x:c>
      <x:c r="AA334" t="str">
        <x:f>IF(X334="LOAD","Active","Quarantine")</x:f>
        <x:v>Active</x:v>
      </x:c>
      <x:c r="AB334"/>
      <x:c r="AC334"/>
      <x:c r="AD334"/>
      <x:c r="AE334"/>
    </x:row>
    <x:row r="335">
      <x:c r="A335" t="str">
        <x:v>PLD-000331</x:v>
      </x:c>
      <x:c r="B335" t="str">
        <x:v>LOSS-KG01-L23-20251021-AM-ORD-2025-00092</x:v>
      </x:c>
      <x:c r="C335" t="str">
        <x:v>PE-KG01-L23-20251021-AM-ORD-2025-00092</x:v>
      </x:c>
      <x:c r="D335" t="str">
        <x:v>KG01</x:v>
      </x:c>
      <x:c r="E335" t="n">
        <x:v>23</x:v>
      </x:c>
      <x:c r="F335" s="52" t="n">
        <x:v>45951</x:v>
      </x:c>
      <x:c r="G335" t="str">
        <x:v>AM</x:v>
      </x:c>
      <x:c r="H335" t="str">
        <x:v>ORD-2025-00092</x:v>
      </x:c>
      <x:c r="I335" t="str">
        <x:v>Normal</x:v>
      </x:c>
      <x:c r="J335" t="str">
        <x:v>PROC_FIXED</x:v>
      </x:c>
      <x:c r="K335" t="str">
        <x:v>Fixed Losses</x:v>
      </x:c>
      <x:c r="L335" s="54" t="n">
        <x:v>0.0047925738250787706</x:v>
      </x:c>
      <x:c r="M335" t="n">
        <x:v>324043</x:v>
      </x:c>
      <x:c r="N335" t="n">
        <x:f>L335*M335</x:f>
        <x:v>1553</x:v>
      </x:c>
      <x:c r="O335"/>
      <x:c r="P335"/>
      <x:c r="Q335"/>
      <x:c r="R335"/>
      <x:c r="S335" s="52"/>
      <x:c r="T335" t="str">
        <x:v>OK</x:v>
      </x:c>
      <x:c r="U335" t="str">
        <x:f>IF(AND(ISNUMBER(L335),L335&gt;=0,L335&lt;=1),"OK","CHECK")</x:f>
        <x:v>OK</x:v>
      </x:c>
      <x:c r="V335" t="str">
        <x:f>IF(AND(ISNUMBER(N335),N335&gt;=0),"OK","CHECK")</x:f>
        <x:v>OK</x:v>
      </x:c>
      <x:c r="W335" t="str">
        <x:f>IF(AND(T335="OK",U335="OK",V335="OK"),"OK","CHECK")</x:f>
        <x:v>OK</x:v>
      </x:c>
      <x:c r="X335" t="str">
        <x:f>IF(W335="OK","LOAD","QUARANTINE")</x:f>
        <x:v>LOAD</x:v>
      </x:c>
      <x:c r="Y335" t="str">
        <x:v>03_Process_Losses(6).xlsx</x:v>
      </x:c>
      <x:c r="Z335" t="str">
        <x:v>ENH-20260830-01</x:v>
      </x:c>
      <x:c r="AA335" t="str">
        <x:f>IF(X335="LOAD","Active","Quarantine")</x:f>
        <x:v>Active</x:v>
      </x:c>
      <x:c r="AB335"/>
      <x:c r="AC335"/>
      <x:c r="AD335"/>
      <x:c r="AE335"/>
    </x:row>
    <x:row r="336">
      <x:c r="A336" t="str">
        <x:v>PLD-000332</x:v>
      </x:c>
      <x:c r="B336" t="str">
        <x:v>LOSS-KG01-L23-20251021-AM-ORD-2025-00092</x:v>
      </x:c>
      <x:c r="C336" t="str">
        <x:v>PE-KG01-L23-20251021-AM-ORD-2025-00092</x:v>
      </x:c>
      <x:c r="D336" t="str">
        <x:v>KG01</x:v>
      </x:c>
      <x:c r="E336" t="n">
        <x:v>23</x:v>
      </x:c>
      <x:c r="F336" s="52" t="n">
        <x:v>45951</x:v>
      </x:c>
      <x:c r="G336" t="str">
        <x:v>AM</x:v>
      </x:c>
      <x:c r="H336" t="str">
        <x:v>ORD-2025-00092</x:v>
      </x:c>
      <x:c r="I336" t="str">
        <x:v>Normal</x:v>
      </x:c>
      <x:c r="J336" t="str">
        <x:v>PROC_IS</x:v>
      </x:c>
      <x:c r="K336" t="str">
        <x:v>IS Machine</x:v>
      </x:c>
      <x:c r="L336" s="54" t="n">
        <x:v>0.007872411994704407</x:v>
      </x:c>
      <x:c r="M336" t="n">
        <x:v>324043</x:v>
      </x:c>
      <x:c r="N336" t="n">
        <x:f>L336*M336</x:f>
        <x:v>2551</x:v>
      </x:c>
      <x:c r="O336"/>
      <x:c r="P336"/>
      <x:c r="Q336"/>
      <x:c r="R336"/>
      <x:c r="S336" s="52"/>
      <x:c r="T336" t="str">
        <x:v>OK</x:v>
      </x:c>
      <x:c r="U336" t="str">
        <x:f>IF(AND(ISNUMBER(L336),L336&gt;=0,L336&lt;=1),"OK","CHECK")</x:f>
        <x:v>OK</x:v>
      </x:c>
      <x:c r="V336" t="str">
        <x:f>IF(AND(ISNUMBER(N336),N336&gt;=0),"OK","CHECK")</x:f>
        <x:v>OK</x:v>
      </x:c>
      <x:c r="W336" t="str">
        <x:f>IF(AND(T336="OK",U336="OK",V336="OK"),"OK","CHECK")</x:f>
        <x:v>OK</x:v>
      </x:c>
      <x:c r="X336" t="str">
        <x:f>IF(W336="OK","LOAD","QUARANTINE")</x:f>
        <x:v>LOAD</x:v>
      </x:c>
      <x:c r="Y336" t="str">
        <x:v>03_Process_Losses(6).xlsx</x:v>
      </x:c>
      <x:c r="Z336" t="str">
        <x:v>ENH-20260830-01</x:v>
      </x:c>
      <x:c r="AA336" t="str">
        <x:f>IF(X336="LOAD","Active","Quarantine")</x:f>
        <x:v>Active</x:v>
      </x:c>
      <x:c r="AB336"/>
      <x:c r="AC336"/>
      <x:c r="AD336"/>
      <x:c r="AE336"/>
    </x:row>
    <x:row r="337">
      <x:c r="A337" t="str">
        <x:v>PLD-000333</x:v>
      </x:c>
      <x:c r="B337" t="str">
        <x:v>LOSS-KG01-L23-20251021-AM-ORD-2025-00092</x:v>
      </x:c>
      <x:c r="C337" t="str">
        <x:v>PE-KG01-L23-20251021-AM-ORD-2025-00092</x:v>
      </x:c>
      <x:c r="D337" t="str">
        <x:v>KG01</x:v>
      </x:c>
      <x:c r="E337" t="n">
        <x:v>23</x:v>
      </x:c>
      <x:c r="F337" s="52" t="n">
        <x:v>45951</x:v>
      </x:c>
      <x:c r="G337" t="str">
        <x:v>AM</x:v>
      </x:c>
      <x:c r="H337" t="str">
        <x:v>ORD-2025-00092</x:v>
      </x:c>
      <x:c r="I337" t="str">
        <x:v>Normal</x:v>
      </x:c>
      <x:c r="J337" t="str">
        <x:v>PROC_HE_CONVEYER</x:v>
      </x:c>
      <x:c r="K337" t="str">
        <x:v>Hot End</x:v>
      </x:c>
      <x:c r="L337" s="54" t="n">
        <x:v>0.003752588391046867</x:v>
      </x:c>
      <x:c r="M337" t="n">
        <x:v>324043</x:v>
      </x:c>
      <x:c r="N337" t="n">
        <x:f>L337*M337</x:f>
        <x:v>1216</x:v>
      </x:c>
      <x:c r="O337"/>
      <x:c r="P337"/>
      <x:c r="Q337"/>
      <x:c r="R337"/>
      <x:c r="S337" s="52"/>
      <x:c r="T337" t="str">
        <x:v>OK</x:v>
      </x:c>
      <x:c r="U337" t="str">
        <x:f>IF(AND(ISNUMBER(L337),L337&gt;=0,L337&lt;=1),"OK","CHECK")</x:f>
        <x:v>OK</x:v>
      </x:c>
      <x:c r="V337" t="str">
        <x:f>IF(AND(ISNUMBER(N337),N337&gt;=0),"OK","CHECK")</x:f>
        <x:v>OK</x:v>
      </x:c>
      <x:c r="W337" t="str">
        <x:f>IF(AND(T337="OK",U337="OK",V337="OK"),"OK","CHECK")</x:f>
        <x:v>OK</x:v>
      </x:c>
      <x:c r="X337" t="str">
        <x:f>IF(W337="OK","LOAD","QUARANTINE")</x:f>
        <x:v>LOAD</x:v>
      </x:c>
      <x:c r="Y337" t="str">
        <x:v>03_Process_Losses(6).xlsx</x:v>
      </x:c>
      <x:c r="Z337" t="str">
        <x:v>ENH-20260830-01</x:v>
      </x:c>
      <x:c r="AA337" t="str">
        <x:f>IF(X337="LOAD","Active","Quarantine")</x:f>
        <x:v>Active</x:v>
      </x:c>
      <x:c r="AB337"/>
      <x:c r="AC337"/>
      <x:c r="AD337"/>
      <x:c r="AE337"/>
    </x:row>
    <x:row r="338">
      <x:c r="A338" t="str">
        <x:v>PLD-000334</x:v>
      </x:c>
      <x:c r="B338" t="str">
        <x:v>LOSS-KG01-L23-20251021-AM-ORD-2025-00092</x:v>
      </x:c>
      <x:c r="C338" t="str">
        <x:v>PE-KG01-L23-20251021-AM-ORD-2025-00092</x:v>
      </x:c>
      <x:c r="D338" t="str">
        <x:v>KG01</x:v>
      </x:c>
      <x:c r="E338" t="n">
        <x:v>23</x:v>
      </x:c>
      <x:c r="F338" s="52" t="n">
        <x:v>45951</x:v>
      </x:c>
      <x:c r="G338" t="str">
        <x:v>AM</x:v>
      </x:c>
      <x:c r="H338" t="str">
        <x:v>ORD-2025-00092</x:v>
      </x:c>
      <x:c r="I338" t="str">
        <x:v>Normal</x:v>
      </x:c>
      <x:c r="J338" t="str">
        <x:v>PROC_STUCKDOWN</x:v>
      </x:c>
      <x:c r="K338" t="str">
        <x:v>Forming</x:v>
      </x:c>
      <x:c r="L338" s="54" t="n">
        <x:v>0.0035643417694565228</x:v>
      </x:c>
      <x:c r="M338" t="n">
        <x:v>324043</x:v>
      </x:c>
      <x:c r="N338" t="n">
        <x:f>L338*M338</x:f>
        <x:v>1155</x:v>
      </x:c>
      <x:c r="O338"/>
      <x:c r="P338"/>
      <x:c r="Q338"/>
      <x:c r="R338"/>
      <x:c r="S338" s="52"/>
      <x:c r="T338" t="str">
        <x:v>OK</x:v>
      </x:c>
      <x:c r="U338" t="str">
        <x:f>IF(AND(ISNUMBER(L338),L338&gt;=0,L338&lt;=1),"OK","CHECK")</x:f>
        <x:v>OK</x:v>
      </x:c>
      <x:c r="V338" t="str">
        <x:f>IF(AND(ISNUMBER(N338),N338&gt;=0),"OK","CHECK")</x:f>
        <x:v>OK</x:v>
      </x:c>
      <x:c r="W338" t="str">
        <x:f>IF(AND(T338="OK",U338="OK",V338="OK"),"OK","CHECK")</x:f>
        <x:v>OK</x:v>
      </x:c>
      <x:c r="X338" t="str">
        <x:f>IF(W338="OK","LOAD","QUARANTINE")</x:f>
        <x:v>LOAD</x:v>
      </x:c>
      <x:c r="Y338" t="str">
        <x:v>03_Process_Losses(6).xlsx</x:v>
      </x:c>
      <x:c r="Z338" t="str">
        <x:v>ENH-20260830-01</x:v>
      </x:c>
      <x:c r="AA338" t="str">
        <x:f>IF(X338="LOAD","Active","Quarantine")</x:f>
        <x:v>Active</x:v>
      </x:c>
      <x:c r="AB338"/>
      <x:c r="AC338"/>
      <x:c r="AD338"/>
      <x:c r="AE338"/>
    </x:row>
    <x:row r="339">
      <x:c r="A339" t="str">
        <x:v>PLD-000335</x:v>
      </x:c>
      <x:c r="B339" t="str">
        <x:v>LOSS-KG01-L23-20251021-AM-ORD-2025-00092</x:v>
      </x:c>
      <x:c r="C339" t="str">
        <x:v>PE-KG01-L23-20251021-AM-ORD-2025-00092</x:v>
      </x:c>
      <x:c r="D339" t="str">
        <x:v>KG01</x:v>
      </x:c>
      <x:c r="E339" t="n">
        <x:v>23</x:v>
      </x:c>
      <x:c r="F339" s="52" t="n">
        <x:v>45951</x:v>
      </x:c>
      <x:c r="G339" t="str">
        <x:v>AM</x:v>
      </x:c>
      <x:c r="H339" t="str">
        <x:v>ORD-2025-00092</x:v>
      </x:c>
      <x:c r="I339" t="str">
        <x:v>Normal</x:v>
      </x:c>
      <x:c r="J339" t="str">
        <x:v>PROC_LEHR</x:v>
      </x:c>
      <x:c r="K339" t="str">
        <x:v>Lehr</x:v>
      </x:c>
      <x:c r="L339" s="54" t="n">
        <x:v>0.008298281400925187</x:v>
      </x:c>
      <x:c r="M339" t="n">
        <x:v>324043</x:v>
      </x:c>
      <x:c r="N339" t="n">
        <x:f>L339*M339</x:f>
        <x:v>2689</x:v>
      </x:c>
      <x:c r="O339"/>
      <x:c r="P339"/>
      <x:c r="Q339"/>
      <x:c r="R339"/>
      <x:c r="S339" s="52"/>
      <x:c r="T339" t="str">
        <x:v>OK</x:v>
      </x:c>
      <x:c r="U339" t="str">
        <x:f>IF(AND(ISNUMBER(L339),L339&gt;=0,L339&lt;=1),"OK","CHECK")</x:f>
        <x:v>OK</x:v>
      </x:c>
      <x:c r="V339" t="str">
        <x:f>IF(AND(ISNUMBER(N339),N339&gt;=0),"OK","CHECK")</x:f>
        <x:v>OK</x:v>
      </x:c>
      <x:c r="W339" t="str">
        <x:f>IF(AND(T339="OK",U339="OK",V339="OK"),"OK","CHECK")</x:f>
        <x:v>OK</x:v>
      </x:c>
      <x:c r="X339" t="str">
        <x:f>IF(W339="OK","LOAD","QUARANTINE")</x:f>
        <x:v>LOAD</x:v>
      </x:c>
      <x:c r="Y339" t="str">
        <x:v>03_Process_Losses(6).xlsx</x:v>
      </x:c>
      <x:c r="Z339" t="str">
        <x:v>ENH-20260830-01</x:v>
      </x:c>
      <x:c r="AA339" t="str">
        <x:f>IF(X339="LOAD","Active","Quarantine")</x:f>
        <x:v>Active</x:v>
      </x:c>
      <x:c r="AB339"/>
      <x:c r="AC339"/>
      <x:c r="AD339"/>
      <x:c r="AE339"/>
    </x:row>
    <x:row r="340">
      <x:c r="A340" t="str">
        <x:v>PLD-000336</x:v>
      </x:c>
      <x:c r="B340" t="str">
        <x:v>LOSS-KG01-L23-20251021-AM-ORD-2025-00092</x:v>
      </x:c>
      <x:c r="C340" t="str">
        <x:v>PE-KG01-L23-20251021-AM-ORD-2025-00092</x:v>
      </x:c>
      <x:c r="D340" t="str">
        <x:v>KG01</x:v>
      </x:c>
      <x:c r="E340" t="n">
        <x:v>23</x:v>
      </x:c>
      <x:c r="F340" s="52" t="n">
        <x:v>45951</x:v>
      </x:c>
      <x:c r="G340" t="str">
        <x:v>AM</x:v>
      </x:c>
      <x:c r="H340" t="str">
        <x:v>ORD-2025-00092</x:v>
      </x:c>
      <x:c r="I340" t="str">
        <x:v>Normal</x:v>
      </x:c>
      <x:c r="J340" t="str">
        <x:v>PROC_EVO16</x:v>
      </x:c>
      <x:c r="K340" t="str">
        <x:v>Inspection</x:v>
      </x:c>
      <x:c r="L340" s="54" t="n">
        <x:v>0.0029687418027854327</x:v>
      </x:c>
      <x:c r="M340" t="n">
        <x:v>324043</x:v>
      </x:c>
      <x:c r="N340" t="n">
        <x:f>L340*M340</x:f>
        <x:v>962</x:v>
      </x:c>
      <x:c r="O340"/>
      <x:c r="P340"/>
      <x:c r="Q340"/>
      <x:c r="R340"/>
      <x:c r="S340" s="52"/>
      <x:c r="T340" t="str">
        <x:v>OK</x:v>
      </x:c>
      <x:c r="U340" t="str">
        <x:f>IF(AND(ISNUMBER(L340),L340&gt;=0,L340&lt;=1),"OK","CHECK")</x:f>
        <x:v>OK</x:v>
      </x:c>
      <x:c r="V340" t="str">
        <x:f>IF(AND(ISNUMBER(N340),N340&gt;=0),"OK","CHECK")</x:f>
        <x:v>OK</x:v>
      </x:c>
      <x:c r="W340" t="str">
        <x:f>IF(AND(T340="OK",U340="OK",V340="OK"),"OK","CHECK")</x:f>
        <x:v>OK</x:v>
      </x:c>
      <x:c r="X340" t="str">
        <x:f>IF(W340="OK","LOAD","QUARANTINE")</x:f>
        <x:v>LOAD</x:v>
      </x:c>
      <x:c r="Y340" t="str">
        <x:v>03_Process_Losses(6).xlsx</x:v>
      </x:c>
      <x:c r="Z340" t="str">
        <x:v>ENH-20260830-01</x:v>
      </x:c>
      <x:c r="AA340" t="str">
        <x:f>IF(X340="LOAD","Active","Quarantine")</x:f>
        <x:v>Active</x:v>
      </x:c>
      <x:c r="AB340"/>
      <x:c r="AC340"/>
      <x:c r="AD340"/>
      <x:c r="AE340"/>
    </x:row>
    <x:row r="341">
      <x:c r="A341" t="str">
        <x:v>PLD-000337</x:v>
      </x:c>
      <x:c r="B341" t="str">
        <x:v>LOSS-KG01-L23-20251021-AM-ORD-2025-00092</x:v>
      </x:c>
      <x:c r="C341" t="str">
        <x:v>PE-KG01-L23-20251021-AM-ORD-2025-00092</x:v>
      </x:c>
      <x:c r="D341" t="str">
        <x:v>KG01</x:v>
      </x:c>
      <x:c r="E341" t="n">
        <x:v>23</x:v>
      </x:c>
      <x:c r="F341" s="52" t="n">
        <x:v>45951</x:v>
      </x:c>
      <x:c r="G341" t="str">
        <x:v>AM</x:v>
      </x:c>
      <x:c r="H341" t="str">
        <x:v>ORD-2025-00092</x:v>
      </x:c>
      <x:c r="I341" t="str">
        <x:v>Normal</x:v>
      </x:c>
      <x:c r="J341" t="str">
        <x:v>PROC_EVO12</x:v>
      </x:c>
      <x:c r="K341" t="str">
        <x:v>Inspection</x:v>
      </x:c>
      <x:c r="L341" s="54" t="n">
        <x:v>0.0027588931098650486</x:v>
      </x:c>
      <x:c r="M341" t="n">
        <x:v>324043</x:v>
      </x:c>
      <x:c r="N341" t="n">
        <x:f>L341*M341</x:f>
        <x:v>893.9999999999999</x:v>
      </x:c>
      <x:c r="O341"/>
      <x:c r="P341"/>
      <x:c r="Q341"/>
      <x:c r="R341"/>
      <x:c r="S341" s="52"/>
      <x:c r="T341" t="str">
        <x:v>OK</x:v>
      </x:c>
      <x:c r="U341" t="str">
        <x:f>IF(AND(ISNUMBER(L341),L341&gt;=0,L341&lt;=1),"OK","CHECK")</x:f>
        <x:v>OK</x:v>
      </x:c>
      <x:c r="V341" t="str">
        <x:f>IF(AND(ISNUMBER(N341),N341&gt;=0),"OK","CHECK")</x:f>
        <x:v>OK</x:v>
      </x:c>
      <x:c r="W341" t="str">
        <x:f>IF(AND(T341="OK",U341="OK",V341="OK"),"OK","CHECK")</x:f>
        <x:v>OK</x:v>
      </x:c>
      <x:c r="X341" t="str">
        <x:f>IF(W341="OK","LOAD","QUARANTINE")</x:f>
        <x:v>LOAD</x:v>
      </x:c>
      <x:c r="Y341" t="str">
        <x:v>03_Process_Losses(6).xlsx</x:v>
      </x:c>
      <x:c r="Z341" t="str">
        <x:v>ENH-20260830-01</x:v>
      </x:c>
      <x:c r="AA341" t="str">
        <x:f>IF(X341="LOAD","Active","Quarantine")</x:f>
        <x:v>Active</x:v>
      </x:c>
      <x:c r="AB341"/>
      <x:c r="AC341"/>
      <x:c r="AD341"/>
      <x:c r="AE341"/>
    </x:row>
    <x:row r="342">
      <x:c r="A342" t="str">
        <x:v>PLD-000338</x:v>
      </x:c>
      <x:c r="B342" t="str">
        <x:v>LOSS-KG01-L23-20251021-AM-ORD-2025-00092</x:v>
      </x:c>
      <x:c r="C342" t="str">
        <x:v>PE-KG01-L23-20251021-AM-ORD-2025-00092</x:v>
      </x:c>
      <x:c r="D342" t="str">
        <x:v>KG01</x:v>
      </x:c>
      <x:c r="E342" t="n">
        <x:v>23</x:v>
      </x:c>
      <x:c r="F342" s="52" t="n">
        <x:v>45951</x:v>
      </x:c>
      <x:c r="G342" t="str">
        <x:v>AM</x:v>
      </x:c>
      <x:c r="H342" t="str">
        <x:v>ORD-2025-00092</x:v>
      </x:c>
      <x:c r="I342" t="str">
        <x:v>Normal</x:v>
      </x:c>
      <x:c r="J342" t="str">
        <x:v>PROC_EVO5</x:v>
      </x:c>
      <x:c r="K342" t="str">
        <x:v>Inspection</x:v>
      </x:c>
      <x:c r="L342" s="54" t="n">
        <x:v>0.0012683501880923211</x:v>
      </x:c>
      <x:c r="M342" t="n">
        <x:v>324043</x:v>
      </x:c>
      <x:c r="N342" t="n">
        <x:f>L342*M342</x:f>
        <x:v>411</x:v>
      </x:c>
      <x:c r="O342"/>
      <x:c r="P342"/>
      <x:c r="Q342"/>
      <x:c r="R342"/>
      <x:c r="S342" s="52"/>
      <x:c r="T342" t="str">
        <x:v>OK</x:v>
      </x:c>
      <x:c r="U342" t="str">
        <x:f>IF(AND(ISNUMBER(L342),L342&gt;=0,L342&lt;=1),"OK","CHECK")</x:f>
        <x:v>OK</x:v>
      </x:c>
      <x:c r="V342" t="str">
        <x:f>IF(AND(ISNUMBER(N342),N342&gt;=0),"OK","CHECK")</x:f>
        <x:v>OK</x:v>
      </x:c>
      <x:c r="W342" t="str">
        <x:f>IF(AND(T342="OK",U342="OK",V342="OK"),"OK","CHECK")</x:f>
        <x:v>OK</x:v>
      </x:c>
      <x:c r="X342" t="str">
        <x:f>IF(W342="OK","LOAD","QUARANTINE")</x:f>
        <x:v>LOAD</x:v>
      </x:c>
      <x:c r="Y342" t="str">
        <x:v>03_Process_Losses(6).xlsx</x:v>
      </x:c>
      <x:c r="Z342" t="str">
        <x:v>ENH-20260830-01</x:v>
      </x:c>
      <x:c r="AA342" t="str">
        <x:f>IF(X342="LOAD","Active","Quarantine")</x:f>
        <x:v>Active</x:v>
      </x:c>
      <x:c r="AB342"/>
      <x:c r="AC342"/>
      <x:c r="AD342"/>
      <x:c r="AE342"/>
    </x:row>
    <x:row r="343">
      <x:c r="A343" t="str">
        <x:v>PLD-000339</x:v>
      </x:c>
      <x:c r="B343" t="str">
        <x:v>LOSS-KG01-L23-20251021-AM-ORD-2025-00092</x:v>
      </x:c>
      <x:c r="C343" t="str">
        <x:v>PE-KG01-L23-20251021-AM-ORD-2025-00092</x:v>
      </x:c>
      <x:c r="D343" t="str">
        <x:v>KG01</x:v>
      </x:c>
      <x:c r="E343" t="n">
        <x:v>23</x:v>
      </x:c>
      <x:c r="F343" s="52" t="n">
        <x:v>45951</x:v>
      </x:c>
      <x:c r="G343" t="str">
        <x:v>AM</x:v>
      </x:c>
      <x:c r="H343" t="str">
        <x:v>ORD-2025-00092</x:v>
      </x:c>
      <x:c r="I343" t="str">
        <x:v>Normal</x:v>
      </x:c>
      <x:c r="J343" t="str">
        <x:v>PROC_SANLI</x:v>
      </x:c>
      <x:c r="K343" t="str">
        <x:v>Inspection</x:v>
      </x:c>
      <x:c r="L343" s="54" t="n">
        <x:v>0.003474847473946359</x:v>
      </x:c>
      <x:c r="M343" t="n">
        <x:v>324043</x:v>
      </x:c>
      <x:c r="N343" t="n">
        <x:f>L343*M343</x:f>
        <x:v>1126</x:v>
      </x:c>
      <x:c r="O343"/>
      <x:c r="P343"/>
      <x:c r="Q343"/>
      <x:c r="R343"/>
      <x:c r="S343" s="52"/>
      <x:c r="T343" t="str">
        <x:v>OK</x:v>
      </x:c>
      <x:c r="U343" t="str">
        <x:f>IF(AND(ISNUMBER(L343),L343&gt;=0,L343&lt;=1),"OK","CHECK")</x:f>
        <x:v>OK</x:v>
      </x:c>
      <x:c r="V343" t="str">
        <x:f>IF(AND(ISNUMBER(N343),N343&gt;=0),"OK","CHECK")</x:f>
        <x:v>OK</x:v>
      </x:c>
      <x:c r="W343" t="str">
        <x:f>IF(AND(T343="OK",U343="OK",V343="OK"),"OK","CHECK")</x:f>
        <x:v>OK</x:v>
      </x:c>
      <x:c r="X343" t="str">
        <x:f>IF(W343="OK","LOAD","QUARANTINE")</x:f>
        <x:v>LOAD</x:v>
      </x:c>
      <x:c r="Y343" t="str">
        <x:v>03_Process_Losses(6).xlsx</x:v>
      </x:c>
      <x:c r="Z343" t="str">
        <x:v>ENH-20260830-01</x:v>
      </x:c>
      <x:c r="AA343" t="str">
        <x:f>IF(X343="LOAD","Active","Quarantine")</x:f>
        <x:v>Active</x:v>
      </x:c>
      <x:c r="AB343"/>
      <x:c r="AC343"/>
      <x:c r="AD343"/>
      <x:c r="AE343"/>
    </x:row>
    <x:row r="344">
      <x:c r="A344" t="str">
        <x:v>PLD-000340</x:v>
      </x:c>
      <x:c r="B344" t="str">
        <x:v>LOSS-KG01-L23-20251021-AM-ORD-2025-00092</x:v>
      </x:c>
      <x:c r="C344" t="str">
        <x:v>PE-KG01-L23-20251021-AM-ORD-2025-00092</x:v>
      </x:c>
      <x:c r="D344" t="str">
        <x:v>KG01</x:v>
      </x:c>
      <x:c r="E344" t="n">
        <x:v>23</x:v>
      </x:c>
      <x:c r="F344" s="52" t="n">
        <x:v>45951</x:v>
      </x:c>
      <x:c r="G344" t="str">
        <x:v>AM</x:v>
      </x:c>
      <x:c r="H344" t="str">
        <x:v>ORD-2025-00092</x:v>
      </x:c>
      <x:c r="I344" t="str">
        <x:v>Normal</x:v>
      </x:c>
      <x:c r="J344" t="str">
        <x:v>PROC_VISUAL</x:v>
      </x:c>
      <x:c r="K344" t="str">
        <x:v>Inspection</x:v>
      </x:c>
      <x:c r="L344" s="54" t="n">
        <x:v>0.010338134136518918</x:v>
      </x:c>
      <x:c r="M344" t="n">
        <x:v>324043</x:v>
      </x:c>
      <x:c r="N344" t="n">
        <x:f>L344*M344</x:f>
        <x:v>3350</x:v>
      </x:c>
      <x:c r="O344"/>
      <x:c r="P344"/>
      <x:c r="Q344"/>
      <x:c r="R344"/>
      <x:c r="S344" s="52"/>
      <x:c r="T344" t="str">
        <x:v>OK</x:v>
      </x:c>
      <x:c r="U344" t="str">
        <x:f>IF(AND(ISNUMBER(L344),L344&gt;=0,L344&lt;=1),"OK","CHECK")</x:f>
        <x:v>OK</x:v>
      </x:c>
      <x:c r="V344" t="str">
        <x:f>IF(AND(ISNUMBER(N344),N344&gt;=0),"OK","CHECK")</x:f>
        <x:v>OK</x:v>
      </x:c>
      <x:c r="W344" t="str">
        <x:f>IF(AND(T344="OK",U344="OK",V344="OK"),"OK","CHECK")</x:f>
        <x:v>OK</x:v>
      </x:c>
      <x:c r="X344" t="str">
        <x:f>IF(W344="OK","LOAD","QUARANTINE")</x:f>
        <x:v>LOAD</x:v>
      </x:c>
      <x:c r="Y344" t="str">
        <x:v>03_Process_Losses(6).xlsx</x:v>
      </x:c>
      <x:c r="Z344" t="str">
        <x:v>ENH-20260830-01</x:v>
      </x:c>
      <x:c r="AA344" t="str">
        <x:f>IF(X344="LOAD","Active","Quarantine")</x:f>
        <x:v>Active</x:v>
      </x:c>
      <x:c r="AB344"/>
      <x:c r="AC344"/>
      <x:c r="AD344"/>
      <x:c r="AE344"/>
    </x:row>
    <x:row r="345">
      <x:c r="A345" t="str">
        <x:v>PLD-000341</x:v>
      </x:c>
      <x:c r="B345" t="str">
        <x:v>LOSS-KG01-L23-20251021-AM-ORD-2025-00092</x:v>
      </x:c>
      <x:c r="C345" t="str">
        <x:v>PE-KG01-L23-20251021-AM-ORD-2025-00092</x:v>
      </x:c>
      <x:c r="D345" t="str">
        <x:v>KG01</x:v>
      </x:c>
      <x:c r="E345" t="n">
        <x:v>23</x:v>
      </x:c>
      <x:c r="F345" s="52" t="n">
        <x:v>45951</x:v>
      </x:c>
      <x:c r="G345" t="str">
        <x:v>AM</x:v>
      </x:c>
      <x:c r="H345" t="str">
        <x:v>ORD-2025-00092</x:v>
      </x:c>
      <x:c r="I345" t="str">
        <x:v>Normal</x:v>
      </x:c>
      <x:c r="J345" t="str">
        <x:v>PROC_PALLETIZER</x:v>
      </x:c>
      <x:c r="K345" t="str">
        <x:v>Palletizer</x:v>
      </x:c>
      <x:c r="L345" s="54" t="n">
        <x:v>0.0055332162706801255</x:v>
      </x:c>
      <x:c r="M345" t="n">
        <x:v>324043</x:v>
      </x:c>
      <x:c r="N345" t="n">
        <x:f>L345*M345</x:f>
        <x:v>1793</x:v>
      </x:c>
      <x:c r="O345"/>
      <x:c r="P345"/>
      <x:c r="Q345"/>
      <x:c r="R345"/>
      <x:c r="S345" s="52"/>
      <x:c r="T345" t="str">
        <x:v>OK</x:v>
      </x:c>
      <x:c r="U345" t="str">
        <x:f>IF(AND(ISNUMBER(L345),L345&gt;=0,L345&lt;=1),"OK","CHECK")</x:f>
        <x:v>OK</x:v>
      </x:c>
      <x:c r="V345" t="str">
        <x:f>IF(AND(ISNUMBER(N345),N345&gt;=0),"OK","CHECK")</x:f>
        <x:v>OK</x:v>
      </x:c>
      <x:c r="W345" t="str">
        <x:f>IF(AND(T345="OK",U345="OK",V345="OK"),"OK","CHECK")</x:f>
        <x:v>OK</x:v>
      </x:c>
      <x:c r="X345" t="str">
        <x:f>IF(W345="OK","LOAD","QUARANTINE")</x:f>
        <x:v>LOAD</x:v>
      </x:c>
      <x:c r="Y345" t="str">
        <x:v>03_Process_Losses(6).xlsx</x:v>
      </x:c>
      <x:c r="Z345" t="str">
        <x:v>ENH-20260830-01</x:v>
      </x:c>
      <x:c r="AA345" t="str">
        <x:f>IF(X345="LOAD","Active","Quarantine")</x:f>
        <x:v>Active</x:v>
      </x:c>
      <x:c r="AB345"/>
      <x:c r="AC345"/>
      <x:c r="AD345"/>
      <x:c r="AE345"/>
    </x:row>
    <x:row r="346">
      <x:c r="A346" t="str">
        <x:v>PLD-000342</x:v>
      </x:c>
      <x:c r="B346" t="str">
        <x:v>LOSS-KG01-L23-20251021-PM-ORD-2025-00092</x:v>
      </x:c>
      <x:c r="C346" t="str">
        <x:v>PE-KG01-L23-20251021-PM-ORD-2025-00092</x:v>
      </x:c>
      <x:c r="D346" t="str">
        <x:v>KG01</x:v>
      </x:c>
      <x:c r="E346" t="n">
        <x:v>23</x:v>
      </x:c>
      <x:c r="F346" s="52" t="n">
        <x:v>45951</x:v>
      </x:c>
      <x:c r="G346" t="str">
        <x:v>PM</x:v>
      </x:c>
      <x:c r="H346" t="str">
        <x:v>ORD-2025-00092</x:v>
      </x:c>
      <x:c r="I346" t="str">
        <x:v>Normal</x:v>
      </x:c>
      <x:c r="J346" t="str">
        <x:v>PROC_FIXED</x:v>
      </x:c>
      <x:c r="K346" t="str">
        <x:v>Fixed Losses</x:v>
      </x:c>
      <x:c r="L346" s="54" t="n">
        <x:v>0.0038295038295038295</x:v>
      </x:c>
      <x:c r="M346" t="n">
        <x:v>324324</x:v>
      </x:c>
      <x:c r="N346" t="n">
        <x:f>L346*M346</x:f>
        <x:v>1242</x:v>
      </x:c>
      <x:c r="O346"/>
      <x:c r="P346"/>
      <x:c r="Q346"/>
      <x:c r="R346"/>
      <x:c r="S346" s="52"/>
      <x:c r="T346" t="str">
        <x:v>OK</x:v>
      </x:c>
      <x:c r="U346" t="str">
        <x:f>IF(AND(ISNUMBER(L346),L346&gt;=0,L346&lt;=1),"OK","CHECK")</x:f>
        <x:v>OK</x:v>
      </x:c>
      <x:c r="V346" t="str">
        <x:f>IF(AND(ISNUMBER(N346),N346&gt;=0),"OK","CHECK")</x:f>
        <x:v>OK</x:v>
      </x:c>
      <x:c r="W346" t="str">
        <x:f>IF(AND(T346="OK",U346="OK",V346="OK"),"OK","CHECK")</x:f>
        <x:v>OK</x:v>
      </x:c>
      <x:c r="X346" t="str">
        <x:f>IF(W346="OK","LOAD","QUARANTINE")</x:f>
        <x:v>LOAD</x:v>
      </x:c>
      <x:c r="Y346" t="str">
        <x:v>03_Process_Losses(6).xlsx</x:v>
      </x:c>
      <x:c r="Z346" t="str">
        <x:v>ENH-20260830-01</x:v>
      </x:c>
      <x:c r="AA346" t="str">
        <x:f>IF(X346="LOAD","Active","Quarantine")</x:f>
        <x:v>Active</x:v>
      </x:c>
      <x:c r="AB346"/>
      <x:c r="AC346"/>
      <x:c r="AD346"/>
      <x:c r="AE346"/>
    </x:row>
    <x:row r="347">
      <x:c r="A347" t="str">
        <x:v>PLD-000343</x:v>
      </x:c>
      <x:c r="B347" t="str">
        <x:v>LOSS-KG01-L23-20251021-PM-ORD-2025-00092</x:v>
      </x:c>
      <x:c r="C347" t="str">
        <x:v>PE-KG01-L23-20251021-PM-ORD-2025-00092</x:v>
      </x:c>
      <x:c r="D347" t="str">
        <x:v>KG01</x:v>
      </x:c>
      <x:c r="E347" t="n">
        <x:v>23</x:v>
      </x:c>
      <x:c r="F347" s="52" t="n">
        <x:v>45951</x:v>
      </x:c>
      <x:c r="G347" t="str">
        <x:v>PM</x:v>
      </x:c>
      <x:c r="H347" t="str">
        <x:v>ORD-2025-00092</x:v>
      </x:c>
      <x:c r="I347" t="str">
        <x:v>Normal</x:v>
      </x:c>
      <x:c r="J347" t="str">
        <x:v>PROC_IS</x:v>
      </x:c>
      <x:c r="K347" t="str">
        <x:v>IS Machine</x:v>
      </x:c>
      <x:c r="L347" s="54" t="n">
        <x:v>0.014531764531764533</x:v>
      </x:c>
      <x:c r="M347" t="n">
        <x:v>324324</x:v>
      </x:c>
      <x:c r="N347" t="n">
        <x:f>L347*M347</x:f>
        <x:v>4713</x:v>
      </x:c>
      <x:c r="O347"/>
      <x:c r="P347"/>
      <x:c r="Q347"/>
      <x:c r="R347"/>
      <x:c r="S347" s="52"/>
      <x:c r="T347" t="str">
        <x:v>OK</x:v>
      </x:c>
      <x:c r="U347" t="str">
        <x:f>IF(AND(ISNUMBER(L347),L347&gt;=0,L347&lt;=1),"OK","CHECK")</x:f>
        <x:v>OK</x:v>
      </x:c>
      <x:c r="V347" t="str">
        <x:f>IF(AND(ISNUMBER(N347),N347&gt;=0),"OK","CHECK")</x:f>
        <x:v>OK</x:v>
      </x:c>
      <x:c r="W347" t="str">
        <x:f>IF(AND(T347="OK",U347="OK",V347="OK"),"OK","CHECK")</x:f>
        <x:v>OK</x:v>
      </x:c>
      <x:c r="X347" t="str">
        <x:f>IF(W347="OK","LOAD","QUARANTINE")</x:f>
        <x:v>LOAD</x:v>
      </x:c>
      <x:c r="Y347" t="str">
        <x:v>03_Process_Losses(6).xlsx</x:v>
      </x:c>
      <x:c r="Z347" t="str">
        <x:v>ENH-20260830-01</x:v>
      </x:c>
      <x:c r="AA347" t="str">
        <x:f>IF(X347="LOAD","Active","Quarantine")</x:f>
        <x:v>Active</x:v>
      </x:c>
      <x:c r="AB347"/>
      <x:c r="AC347"/>
      <x:c r="AD347"/>
      <x:c r="AE347"/>
    </x:row>
    <x:row r="348">
      <x:c r="A348" t="str">
        <x:v>PLD-000344</x:v>
      </x:c>
      <x:c r="B348" t="str">
        <x:v>LOSS-KG01-L23-20251021-PM-ORD-2025-00092</x:v>
      </x:c>
      <x:c r="C348" t="str">
        <x:v>PE-KG01-L23-20251021-PM-ORD-2025-00092</x:v>
      </x:c>
      <x:c r="D348" t="str">
        <x:v>KG01</x:v>
      </x:c>
      <x:c r="E348" t="n">
        <x:v>23</x:v>
      </x:c>
      <x:c r="F348" s="52" t="n">
        <x:v>45951</x:v>
      </x:c>
      <x:c r="G348" t="str">
        <x:v>PM</x:v>
      </x:c>
      <x:c r="H348" t="str">
        <x:v>ORD-2025-00092</x:v>
      </x:c>
      <x:c r="I348" t="str">
        <x:v>Normal</x:v>
      </x:c>
      <x:c r="J348" t="str">
        <x:v>PROC_HE_CONVEYER</x:v>
      </x:c>
      <x:c r="K348" t="str">
        <x:v>Hot End</x:v>
      </x:c>
      <x:c r="L348" s="54" t="n">
        <x:v>0.003407086740420074</x:v>
      </x:c>
      <x:c r="M348" t="n">
        <x:v>324324</x:v>
      </x:c>
      <x:c r="N348" t="n">
        <x:f>L348*M348</x:f>
        <x:v>1105</x:v>
      </x:c>
      <x:c r="O348"/>
      <x:c r="P348"/>
      <x:c r="Q348"/>
      <x:c r="R348"/>
      <x:c r="S348" s="52"/>
      <x:c r="T348" t="str">
        <x:v>OK</x:v>
      </x:c>
      <x:c r="U348" t="str">
        <x:f>IF(AND(ISNUMBER(L348),L348&gt;=0,L348&lt;=1),"OK","CHECK")</x:f>
        <x:v>OK</x:v>
      </x:c>
      <x:c r="V348" t="str">
        <x:f>IF(AND(ISNUMBER(N348),N348&gt;=0),"OK","CHECK")</x:f>
        <x:v>OK</x:v>
      </x:c>
      <x:c r="W348" t="str">
        <x:f>IF(AND(T348="OK",U348="OK",V348="OK"),"OK","CHECK")</x:f>
        <x:v>OK</x:v>
      </x:c>
      <x:c r="X348" t="str">
        <x:f>IF(W348="OK","LOAD","QUARANTINE")</x:f>
        <x:v>LOAD</x:v>
      </x:c>
      <x:c r="Y348" t="str">
        <x:v>03_Process_Losses(6).xlsx</x:v>
      </x:c>
      <x:c r="Z348" t="str">
        <x:v>ENH-20260830-01</x:v>
      </x:c>
      <x:c r="AA348" t="str">
        <x:f>IF(X348="LOAD","Active","Quarantine")</x:f>
        <x:v>Active</x:v>
      </x:c>
      <x:c r="AB348"/>
      <x:c r="AC348"/>
      <x:c r="AD348"/>
      <x:c r="AE348"/>
    </x:row>
    <x:row r="349">
      <x:c r="A349" t="str">
        <x:v>PLD-000345</x:v>
      </x:c>
      <x:c r="B349" t="str">
        <x:v>LOSS-KG01-L23-20251021-PM-ORD-2025-00092</x:v>
      </x:c>
      <x:c r="C349" t="str">
        <x:v>PE-KG01-L23-20251021-PM-ORD-2025-00092</x:v>
      </x:c>
      <x:c r="D349" t="str">
        <x:v>KG01</x:v>
      </x:c>
      <x:c r="E349" t="n">
        <x:v>23</x:v>
      </x:c>
      <x:c r="F349" s="52" t="n">
        <x:v>45951</x:v>
      </x:c>
      <x:c r="G349" t="str">
        <x:v>PM</x:v>
      </x:c>
      <x:c r="H349" t="str">
        <x:v>ORD-2025-00092</x:v>
      </x:c>
      <x:c r="I349" t="str">
        <x:v>Normal</x:v>
      </x:c>
      <x:c r="J349" t="str">
        <x:v>PROC_STUCKDOWN</x:v>
      </x:c>
      <x:c r="K349" t="str">
        <x:v>Forming</x:v>
      </x:c>
      <x:c r="L349" s="54" t="n">
        <x:v>0.0062098395431728765</x:v>
      </x:c>
      <x:c r="M349" t="n">
        <x:v>324324</x:v>
      </x:c>
      <x:c r="N349" t="n">
        <x:f>L349*M349</x:f>
        <x:v>2014</x:v>
      </x:c>
      <x:c r="O349"/>
      <x:c r="P349"/>
      <x:c r="Q349"/>
      <x:c r="R349"/>
      <x:c r="S349" s="52"/>
      <x:c r="T349" t="str">
        <x:v>OK</x:v>
      </x:c>
      <x:c r="U349" t="str">
        <x:f>IF(AND(ISNUMBER(L349),L349&gt;=0,L349&lt;=1),"OK","CHECK")</x:f>
        <x:v>OK</x:v>
      </x:c>
      <x:c r="V349" t="str">
        <x:f>IF(AND(ISNUMBER(N349),N349&gt;=0),"OK","CHECK")</x:f>
        <x:v>OK</x:v>
      </x:c>
      <x:c r="W349" t="str">
        <x:f>IF(AND(T349="OK",U349="OK",V349="OK"),"OK","CHECK")</x:f>
        <x:v>OK</x:v>
      </x:c>
      <x:c r="X349" t="str">
        <x:f>IF(W349="OK","LOAD","QUARANTINE")</x:f>
        <x:v>LOAD</x:v>
      </x:c>
      <x:c r="Y349" t="str">
        <x:v>03_Process_Losses(6).xlsx</x:v>
      </x:c>
      <x:c r="Z349" t="str">
        <x:v>ENH-20260830-01</x:v>
      </x:c>
      <x:c r="AA349" t="str">
        <x:f>IF(X349="LOAD","Active","Quarantine")</x:f>
        <x:v>Active</x:v>
      </x:c>
      <x:c r="AB349"/>
      <x:c r="AC349"/>
      <x:c r="AD349"/>
      <x:c r="AE349"/>
    </x:row>
    <x:row r="350">
      <x:c r="A350" t="str">
        <x:v>PLD-000346</x:v>
      </x:c>
      <x:c r="B350" t="str">
        <x:v>LOSS-KG01-L23-20251021-PM-ORD-2025-00092</x:v>
      </x:c>
      <x:c r="C350" t="str">
        <x:v>PE-KG01-L23-20251021-PM-ORD-2025-00092</x:v>
      </x:c>
      <x:c r="D350" t="str">
        <x:v>KG01</x:v>
      </x:c>
      <x:c r="E350" t="n">
        <x:v>23</x:v>
      </x:c>
      <x:c r="F350" s="52" t="n">
        <x:v>45951</x:v>
      </x:c>
      <x:c r="G350" t="str">
        <x:v>PM</x:v>
      </x:c>
      <x:c r="H350" t="str">
        <x:v>ORD-2025-00092</x:v>
      </x:c>
      <x:c r="I350" t="str">
        <x:v>Normal</x:v>
      </x:c>
      <x:c r="J350" t="str">
        <x:v>PROC_LEHR</x:v>
      </x:c>
      <x:c r="K350" t="str">
        <x:v>Lehr</x:v>
      </x:c>
      <x:c r="L350" s="54" t="n">
        <x:v>0.004045337378670712</x:v>
      </x:c>
      <x:c r="M350" t="n">
        <x:v>324324</x:v>
      </x:c>
      <x:c r="N350" t="n">
        <x:f>L350*M350</x:f>
        <x:v>1312.0000000000002</x:v>
      </x:c>
      <x:c r="O350"/>
      <x:c r="P350"/>
      <x:c r="Q350"/>
      <x:c r="R350"/>
      <x:c r="S350" s="52"/>
      <x:c r="T350" t="str">
        <x:v>OK</x:v>
      </x:c>
      <x:c r="U350" t="str">
        <x:f>IF(AND(ISNUMBER(L350),L350&gt;=0,L350&lt;=1),"OK","CHECK")</x:f>
        <x:v>OK</x:v>
      </x:c>
      <x:c r="V350" t="str">
        <x:f>IF(AND(ISNUMBER(N350),N350&gt;=0),"OK","CHECK")</x:f>
        <x:v>OK</x:v>
      </x:c>
      <x:c r="W350" t="str">
        <x:f>IF(AND(T350="OK",U350="OK",V350="OK"),"OK","CHECK")</x:f>
        <x:v>OK</x:v>
      </x:c>
      <x:c r="X350" t="str">
        <x:f>IF(W350="OK","LOAD","QUARANTINE")</x:f>
        <x:v>LOAD</x:v>
      </x:c>
      <x:c r="Y350" t="str">
        <x:v>03_Process_Losses(6).xlsx</x:v>
      </x:c>
      <x:c r="Z350" t="str">
        <x:v>ENH-20260830-01</x:v>
      </x:c>
      <x:c r="AA350" t="str">
        <x:f>IF(X350="LOAD","Active","Quarantine")</x:f>
        <x:v>Active</x:v>
      </x:c>
      <x:c r="AB350"/>
      <x:c r="AC350"/>
      <x:c r="AD350"/>
      <x:c r="AE350"/>
    </x:row>
    <x:row r="351">
      <x:c r="A351" t="str">
        <x:v>PLD-000347</x:v>
      </x:c>
      <x:c r="B351" t="str">
        <x:v>LOSS-KG01-L23-20251021-PM-ORD-2025-00092</x:v>
      </x:c>
      <x:c r="C351" t="str">
        <x:v>PE-KG01-L23-20251021-PM-ORD-2025-00092</x:v>
      </x:c>
      <x:c r="D351" t="str">
        <x:v>KG01</x:v>
      </x:c>
      <x:c r="E351" t="n">
        <x:v>23</x:v>
      </x:c>
      <x:c r="F351" s="52" t="n">
        <x:v>45951</x:v>
      </x:c>
      <x:c r="G351" t="str">
        <x:v>PM</x:v>
      </x:c>
      <x:c r="H351" t="str">
        <x:v>ORD-2025-00092</x:v>
      </x:c>
      <x:c r="I351" t="str">
        <x:v>Normal</x:v>
      </x:c>
      <x:c r="J351" t="str">
        <x:v>PROC_EVO16</x:v>
      </x:c>
      <x:c r="K351" t="str">
        <x:v>Inspection</x:v>
      </x:c>
      <x:c r="L351" s="54" t="n">
        <x:v>0.005016588349921683</x:v>
      </x:c>
      <x:c r="M351" t="n">
        <x:v>324324</x:v>
      </x:c>
      <x:c r="N351" t="n">
        <x:f>L351*M351</x:f>
        <x:v>1627</x:v>
      </x:c>
      <x:c r="O351"/>
      <x:c r="P351"/>
      <x:c r="Q351"/>
      <x:c r="R351"/>
      <x:c r="S351" s="52"/>
      <x:c r="T351" t="str">
        <x:v>OK</x:v>
      </x:c>
      <x:c r="U351" t="str">
        <x:f>IF(AND(ISNUMBER(L351),L351&gt;=0,L351&lt;=1),"OK","CHECK")</x:f>
        <x:v>OK</x:v>
      </x:c>
      <x:c r="V351" t="str">
        <x:f>IF(AND(ISNUMBER(N351),N351&gt;=0),"OK","CHECK")</x:f>
        <x:v>OK</x:v>
      </x:c>
      <x:c r="W351" t="str">
        <x:f>IF(AND(T351="OK",U351="OK",V351="OK"),"OK","CHECK")</x:f>
        <x:v>OK</x:v>
      </x:c>
      <x:c r="X351" t="str">
        <x:f>IF(W351="OK","LOAD","QUARANTINE")</x:f>
        <x:v>LOAD</x:v>
      </x:c>
      <x:c r="Y351" t="str">
        <x:v>03_Process_Losses(6).xlsx</x:v>
      </x:c>
      <x:c r="Z351" t="str">
        <x:v>ENH-20260830-01</x:v>
      </x:c>
      <x:c r="AA351" t="str">
        <x:f>IF(X351="LOAD","Active","Quarantine")</x:f>
        <x:v>Active</x:v>
      </x:c>
      <x:c r="AB351"/>
      <x:c r="AC351"/>
      <x:c r="AD351"/>
      <x:c r="AE351"/>
    </x:row>
    <x:row r="352">
      <x:c r="A352" t="str">
        <x:v>PLD-000348</x:v>
      </x:c>
      <x:c r="B352" t="str">
        <x:v>LOSS-KG01-L23-20251021-PM-ORD-2025-00092</x:v>
      </x:c>
      <x:c r="C352" t="str">
        <x:v>PE-KG01-L23-20251021-PM-ORD-2025-00092</x:v>
      </x:c>
      <x:c r="D352" t="str">
        <x:v>KG01</x:v>
      </x:c>
      <x:c r="E352" t="n">
        <x:v>23</x:v>
      </x:c>
      <x:c r="F352" s="52" t="n">
        <x:v>45951</x:v>
      </x:c>
      <x:c r="G352" t="str">
        <x:v>PM</x:v>
      </x:c>
      <x:c r="H352" t="str">
        <x:v>ORD-2025-00092</x:v>
      </x:c>
      <x:c r="I352" t="str">
        <x:v>Normal</x:v>
      </x:c>
      <x:c r="J352" t="str">
        <x:v>PROC_EVO12</x:v>
      </x:c>
      <x:c r="K352" t="str">
        <x:v>Inspection</x:v>
      </x:c>
      <x:c r="L352" s="54" t="n">
        <x:v>0.004800754800754801</x:v>
      </x:c>
      <x:c r="M352" t="n">
        <x:v>324324</x:v>
      </x:c>
      <x:c r="N352" t="n">
        <x:f>L352*M352</x:f>
        <x:v>1557</x:v>
      </x:c>
      <x:c r="O352"/>
      <x:c r="P352"/>
      <x:c r="Q352"/>
      <x:c r="R352"/>
      <x:c r="S352" s="52"/>
      <x:c r="T352" t="str">
        <x:v>OK</x:v>
      </x:c>
      <x:c r="U352" t="str">
        <x:f>IF(AND(ISNUMBER(L352),L352&gt;=0,L352&lt;=1),"OK","CHECK")</x:f>
        <x:v>OK</x:v>
      </x:c>
      <x:c r="V352" t="str">
        <x:f>IF(AND(ISNUMBER(N352),N352&gt;=0),"OK","CHECK")</x:f>
        <x:v>OK</x:v>
      </x:c>
      <x:c r="W352" t="str">
        <x:f>IF(AND(T352="OK",U352="OK",V352="OK"),"OK","CHECK")</x:f>
        <x:v>OK</x:v>
      </x:c>
      <x:c r="X352" t="str">
        <x:f>IF(W352="OK","LOAD","QUARANTINE")</x:f>
        <x:v>LOAD</x:v>
      </x:c>
      <x:c r="Y352" t="str">
        <x:v>03_Process_Losses(6).xlsx</x:v>
      </x:c>
      <x:c r="Z352" t="str">
        <x:v>ENH-20260830-01</x:v>
      </x:c>
      <x:c r="AA352" t="str">
        <x:f>IF(X352="LOAD","Active","Quarantine")</x:f>
        <x:v>Active</x:v>
      </x:c>
      <x:c r="AB352"/>
      <x:c r="AC352"/>
      <x:c r="AD352"/>
      <x:c r="AE352"/>
    </x:row>
    <x:row r="353">
      <x:c r="A353" t="str">
        <x:v>PLD-000349</x:v>
      </x:c>
      <x:c r="B353" t="str">
        <x:v>LOSS-KG01-L23-20251021-PM-ORD-2025-00092</x:v>
      </x:c>
      <x:c r="C353" t="str">
        <x:v>PE-KG01-L23-20251021-PM-ORD-2025-00092</x:v>
      </x:c>
      <x:c r="D353" t="str">
        <x:v>KG01</x:v>
      </x:c>
      <x:c r="E353" t="n">
        <x:v>23</x:v>
      </x:c>
      <x:c r="F353" s="52" t="n">
        <x:v>45951</x:v>
      </x:c>
      <x:c r="G353" t="str">
        <x:v>PM</x:v>
      </x:c>
      <x:c r="H353" t="str">
        <x:v>ORD-2025-00092</x:v>
      </x:c>
      <x:c r="I353" t="str">
        <x:v>Normal</x:v>
      </x:c>
      <x:c r="J353" t="str">
        <x:v>PROC_EVO5</x:v>
      </x:c>
      <x:c r="K353" t="str">
        <x:v>Inspection</x:v>
      </x:c>
      <x:c r="L353" s="54" t="n">
        <x:v>0.0031172531172531173</x:v>
      </x:c>
      <x:c r="M353" t="n">
        <x:v>324324</x:v>
      </x:c>
      <x:c r="N353" t="n">
        <x:f>L353*M353</x:f>
        <x:v>1011</x:v>
      </x:c>
      <x:c r="O353"/>
      <x:c r="P353"/>
      <x:c r="Q353"/>
      <x:c r="R353"/>
      <x:c r="S353" s="52"/>
      <x:c r="T353" t="str">
        <x:v>OK</x:v>
      </x:c>
      <x:c r="U353" t="str">
        <x:f>IF(AND(ISNUMBER(L353),L353&gt;=0,L353&lt;=1),"OK","CHECK")</x:f>
        <x:v>OK</x:v>
      </x:c>
      <x:c r="V353" t="str">
        <x:f>IF(AND(ISNUMBER(N353),N353&gt;=0),"OK","CHECK")</x:f>
        <x:v>OK</x:v>
      </x:c>
      <x:c r="W353" t="str">
        <x:f>IF(AND(T353="OK",U353="OK",V353="OK"),"OK","CHECK")</x:f>
        <x:v>OK</x:v>
      </x:c>
      <x:c r="X353" t="str">
        <x:f>IF(W353="OK","LOAD","QUARANTINE")</x:f>
        <x:v>LOAD</x:v>
      </x:c>
      <x:c r="Y353" t="str">
        <x:v>03_Process_Losses(6).xlsx</x:v>
      </x:c>
      <x:c r="Z353" t="str">
        <x:v>ENH-20260830-01</x:v>
      </x:c>
      <x:c r="AA353" t="str">
        <x:f>IF(X353="LOAD","Active","Quarantine")</x:f>
        <x:v>Active</x:v>
      </x:c>
      <x:c r="AB353"/>
      <x:c r="AC353"/>
      <x:c r="AD353"/>
      <x:c r="AE353"/>
    </x:row>
    <x:row r="354">
      <x:c r="A354" t="str">
        <x:v>PLD-000350</x:v>
      </x:c>
      <x:c r="B354" t="str">
        <x:v>LOSS-KG01-L23-20251021-PM-ORD-2025-00092</x:v>
      </x:c>
      <x:c r="C354" t="str">
        <x:v>PE-KG01-L23-20251021-PM-ORD-2025-00092</x:v>
      </x:c>
      <x:c r="D354" t="str">
        <x:v>KG01</x:v>
      </x:c>
      <x:c r="E354" t="n">
        <x:v>23</x:v>
      </x:c>
      <x:c r="F354" s="52" t="n">
        <x:v>45951</x:v>
      </x:c>
      <x:c r="G354" t="str">
        <x:v>PM</x:v>
      </x:c>
      <x:c r="H354" t="str">
        <x:v>ORD-2025-00092</x:v>
      </x:c>
      <x:c r="I354" t="str">
        <x:v>Normal</x:v>
      </x:c>
      <x:c r="J354" t="str">
        <x:v>PROC_SANLI</x:v>
      </x:c>
      <x:c r="K354" t="str">
        <x:v>Inspection</x:v>
      </x:c>
      <x:c r="L354" s="54" t="n">
        <x:v>0.002013418680085347</x:v>
      </x:c>
      <x:c r="M354" t="n">
        <x:v>324324</x:v>
      </x:c>
      <x:c r="N354" t="n">
        <x:f>L354*M354</x:f>
        <x:v>653</x:v>
      </x:c>
      <x:c r="O354"/>
      <x:c r="P354"/>
      <x:c r="Q354"/>
      <x:c r="R354"/>
      <x:c r="S354" s="52"/>
      <x:c r="T354" t="str">
        <x:v>OK</x:v>
      </x:c>
      <x:c r="U354" t="str">
        <x:f>IF(AND(ISNUMBER(L354),L354&gt;=0,L354&lt;=1),"OK","CHECK")</x:f>
        <x:v>OK</x:v>
      </x:c>
      <x:c r="V354" t="str">
        <x:f>IF(AND(ISNUMBER(N354),N354&gt;=0),"OK","CHECK")</x:f>
        <x:v>OK</x:v>
      </x:c>
      <x:c r="W354" t="str">
        <x:f>IF(AND(T354="OK",U354="OK",V354="OK"),"OK","CHECK")</x:f>
        <x:v>OK</x:v>
      </x:c>
      <x:c r="X354" t="str">
        <x:f>IF(W354="OK","LOAD","QUARANTINE")</x:f>
        <x:v>LOAD</x:v>
      </x:c>
      <x:c r="Y354" t="str">
        <x:v>03_Process_Losses(6).xlsx</x:v>
      </x:c>
      <x:c r="Z354" t="str">
        <x:v>ENH-20260830-01</x:v>
      </x:c>
      <x:c r="AA354" t="str">
        <x:f>IF(X354="LOAD","Active","Quarantine")</x:f>
        <x:v>Active</x:v>
      </x:c>
      <x:c r="AB354"/>
      <x:c r="AC354"/>
      <x:c r="AD354"/>
      <x:c r="AE354"/>
    </x:row>
    <x:row r="355">
      <x:c r="A355" t="str">
        <x:v>PLD-000351</x:v>
      </x:c>
      <x:c r="B355" t="str">
        <x:v>LOSS-KG01-L23-20251021-PM-ORD-2025-00092</x:v>
      </x:c>
      <x:c r="C355" t="str">
        <x:v>PE-KG01-L23-20251021-PM-ORD-2025-00092</x:v>
      </x:c>
      <x:c r="D355" t="str">
        <x:v>KG01</x:v>
      </x:c>
      <x:c r="E355" t="n">
        <x:v>23</x:v>
      </x:c>
      <x:c r="F355" s="52" t="n">
        <x:v>45951</x:v>
      </x:c>
      <x:c r="G355" t="str">
        <x:v>PM</x:v>
      </x:c>
      <x:c r="H355" t="str">
        <x:v>ORD-2025-00092</x:v>
      </x:c>
      <x:c r="I355" t="str">
        <x:v>Normal</x:v>
      </x:c>
      <x:c r="J355" t="str">
        <x:v>PROC_VISUAL</x:v>
      </x:c>
      <x:c r="K355" t="str">
        <x:v>Inspection</x:v>
      </x:c>
      <x:c r="L355" s="54" t="n">
        <x:v>0.0053341720008386675</x:v>
      </x:c>
      <x:c r="M355" t="n">
        <x:v>324324</x:v>
      </x:c>
      <x:c r="N355" t="n">
        <x:f>L355*M355</x:f>
        <x:v>1730</x:v>
      </x:c>
      <x:c r="O355"/>
      <x:c r="P355"/>
      <x:c r="Q355"/>
      <x:c r="R355"/>
      <x:c r="S355" s="52"/>
      <x:c r="T355" t="str">
        <x:v>OK</x:v>
      </x:c>
      <x:c r="U355" t="str">
        <x:f>IF(AND(ISNUMBER(L355),L355&gt;=0,L355&lt;=1),"OK","CHECK")</x:f>
        <x:v>OK</x:v>
      </x:c>
      <x:c r="V355" t="str">
        <x:f>IF(AND(ISNUMBER(N355),N355&gt;=0),"OK","CHECK")</x:f>
        <x:v>OK</x:v>
      </x:c>
      <x:c r="W355" t="str">
        <x:f>IF(AND(T355="OK",U355="OK",V355="OK"),"OK","CHECK")</x:f>
        <x:v>OK</x:v>
      </x:c>
      <x:c r="X355" t="str">
        <x:f>IF(W355="OK","LOAD","QUARANTINE")</x:f>
        <x:v>LOAD</x:v>
      </x:c>
      <x:c r="Y355" t="str">
        <x:v>03_Process_Losses(6).xlsx</x:v>
      </x:c>
      <x:c r="Z355" t="str">
        <x:v>ENH-20260830-01</x:v>
      </x:c>
      <x:c r="AA355" t="str">
        <x:f>IF(X355="LOAD","Active","Quarantine")</x:f>
        <x:v>Active</x:v>
      </x:c>
      <x:c r="AB355"/>
      <x:c r="AC355"/>
      <x:c r="AD355"/>
      <x:c r="AE355"/>
    </x:row>
    <x:row r="356">
      <x:c r="A356" t="str">
        <x:v>PLD-000352</x:v>
      </x:c>
      <x:c r="B356" t="str">
        <x:v>LOSS-KG01-L23-20251021-PM-ORD-2025-00092</x:v>
      </x:c>
      <x:c r="C356" t="str">
        <x:v>PE-KG01-L23-20251021-PM-ORD-2025-00092</x:v>
      </x:c>
      <x:c r="D356" t="str">
        <x:v>KG01</x:v>
      </x:c>
      <x:c r="E356" t="n">
        <x:v>23</x:v>
      </x:c>
      <x:c r="F356" s="52" t="n">
        <x:v>45951</x:v>
      </x:c>
      <x:c r="G356" t="str">
        <x:v>PM</x:v>
      </x:c>
      <x:c r="H356" t="str">
        <x:v>ORD-2025-00092</x:v>
      </x:c>
      <x:c r="I356" t="str">
        <x:v>Normal</x:v>
      </x:c>
      <x:c r="J356" t="str">
        <x:v>PROC_PALLETIZER</x:v>
      </x:c>
      <x:c r="K356" t="str">
        <x:v>Palletizer</x:v>
      </x:c>
      <x:c r="L356" s="54" t="n">
        <x:v>0.010955094288427622</x:v>
      </x:c>
      <x:c r="M356" t="n">
        <x:v>324324</x:v>
      </x:c>
      <x:c r="N356" t="n">
        <x:f>L356*M356</x:f>
        <x:v>3553</x:v>
      </x:c>
      <x:c r="O356"/>
      <x:c r="P356"/>
      <x:c r="Q356"/>
      <x:c r="R356"/>
      <x:c r="S356" s="52"/>
      <x:c r="T356" t="str">
        <x:v>OK</x:v>
      </x:c>
      <x:c r="U356" t="str">
        <x:f>IF(AND(ISNUMBER(L356),L356&gt;=0,L356&lt;=1),"OK","CHECK")</x:f>
        <x:v>OK</x:v>
      </x:c>
      <x:c r="V356" t="str">
        <x:f>IF(AND(ISNUMBER(N356),N356&gt;=0),"OK","CHECK")</x:f>
        <x:v>OK</x:v>
      </x:c>
      <x:c r="W356" t="str">
        <x:f>IF(AND(T356="OK",U356="OK",V356="OK"),"OK","CHECK")</x:f>
        <x:v>OK</x:v>
      </x:c>
      <x:c r="X356" t="str">
        <x:f>IF(W356="OK","LOAD","QUARANTINE")</x:f>
        <x:v>LOAD</x:v>
      </x:c>
      <x:c r="Y356" t="str">
        <x:v>03_Process_Losses(6).xlsx</x:v>
      </x:c>
      <x:c r="Z356" t="str">
        <x:v>ENH-20260830-01</x:v>
      </x:c>
      <x:c r="AA356" t="str">
        <x:f>IF(X356="LOAD","Active","Quarantine")</x:f>
        <x:v>Active</x:v>
      </x:c>
      <x:c r="AB356"/>
      <x:c r="AC356"/>
      <x:c r="AD356"/>
      <x:c r="AE356"/>
    </x:row>
    <x:row r="357">
      <x:c r="A357" t="str">
        <x:v>PLD-000353</x:v>
      </x:c>
      <x:c r="B357" t="str">
        <x:v>LOSS-KG01-L23-20251022-AM-ORD-2025-00093</x:v>
      </x:c>
      <x:c r="C357" t="str">
        <x:v>PE-KG01-L23-20251022-AM-ORD-2025-00093</x:v>
      </x:c>
      <x:c r="D357" t="str">
        <x:v>KG01</x:v>
      </x:c>
      <x:c r="E357" t="n">
        <x:v>23</x:v>
      </x:c>
      <x:c r="F357" s="52" t="n">
        <x:v>45952</x:v>
      </x:c>
      <x:c r="G357" t="str">
        <x:v>AM</x:v>
      </x:c>
      <x:c r="H357" t="str">
        <x:v>ORD-2025-00093</x:v>
      </x:c>
      <x:c r="I357" t="str">
        <x:v>Normal</x:v>
      </x:c>
      <x:c r="J357" t="str">
        <x:v>PROC_FIXED</x:v>
      </x:c>
      <x:c r="K357" t="str">
        <x:v>Fixed Losses</x:v>
      </x:c>
      <x:c r="L357" s="54" t="n">
        <x:v>0.00975719172320978</x:v>
      </x:c>
      <x:c r="M357" t="n">
        <x:v>89165</x:v>
      </x:c>
      <x:c r="N357" t="n">
        <x:f>L357*M357</x:f>
        <x:v>870.0000000000001</x:v>
      </x:c>
      <x:c r="O357"/>
      <x:c r="P357"/>
      <x:c r="Q357"/>
      <x:c r="R357"/>
      <x:c r="S357" s="52"/>
      <x:c r="T357" t="str">
        <x:v>OK</x:v>
      </x:c>
      <x:c r="U357" t="str">
        <x:f>IF(AND(ISNUMBER(L357),L357&gt;=0,L357&lt;=1),"OK","CHECK")</x:f>
        <x:v>OK</x:v>
      </x:c>
      <x:c r="V357" t="str">
        <x:f>IF(AND(ISNUMBER(N357),N357&gt;=0),"OK","CHECK")</x:f>
        <x:v>OK</x:v>
      </x:c>
      <x:c r="W357" t="str">
        <x:f>IF(AND(T357="OK",U357="OK",V357="OK"),"OK","CHECK")</x:f>
        <x:v>OK</x:v>
      </x:c>
      <x:c r="X357" t="str">
        <x:f>IF(W357="OK","LOAD","QUARANTINE")</x:f>
        <x:v>LOAD</x:v>
      </x:c>
      <x:c r="Y357" t="str">
        <x:v>03_Process_Losses(6).xlsx</x:v>
      </x:c>
      <x:c r="Z357" t="str">
        <x:v>ENH-20260830-01</x:v>
      </x:c>
      <x:c r="AA357" t="str">
        <x:f>IF(X357="LOAD","Active","Quarantine")</x:f>
        <x:v>Active</x:v>
      </x:c>
      <x:c r="AB357"/>
      <x:c r="AC357"/>
      <x:c r="AD357"/>
      <x:c r="AE357"/>
    </x:row>
    <x:row r="358">
      <x:c r="A358" t="str">
        <x:v>PLD-000354</x:v>
      </x:c>
      <x:c r="B358" t="str">
        <x:v>LOSS-KG01-L23-20251022-AM-ORD-2025-00093</x:v>
      </x:c>
      <x:c r="C358" t="str">
        <x:v>PE-KG01-L23-20251022-AM-ORD-2025-00093</x:v>
      </x:c>
      <x:c r="D358" t="str">
        <x:v>KG01</x:v>
      </x:c>
      <x:c r="E358" t="n">
        <x:v>23</x:v>
      </x:c>
      <x:c r="F358" s="52" t="n">
        <x:v>45952</x:v>
      </x:c>
      <x:c r="G358" t="str">
        <x:v>AM</x:v>
      </x:c>
      <x:c r="H358" t="str">
        <x:v>ORD-2025-00093</x:v>
      </x:c>
      <x:c r="I358" t="str">
        <x:v>Normal</x:v>
      </x:c>
      <x:c r="J358" t="str">
        <x:v>PROC_IS</x:v>
      </x:c>
      <x:c r="K358" t="str">
        <x:v>IS Machine</x:v>
      </x:c>
      <x:c r="L358" s="54" t="n">
        <x:v>0.012594627936970785</x:v>
      </x:c>
      <x:c r="M358" t="n">
        <x:v>89165</x:v>
      </x:c>
      <x:c r="N358" t="n">
        <x:f>L358*M358</x:f>
        <x:v>1123</x:v>
      </x:c>
      <x:c r="O358"/>
      <x:c r="P358"/>
      <x:c r="Q358"/>
      <x:c r="R358"/>
      <x:c r="S358" s="52"/>
      <x:c r="T358" t="str">
        <x:v>OK</x:v>
      </x:c>
      <x:c r="U358" t="str">
        <x:f>IF(AND(ISNUMBER(L358),L358&gt;=0,L358&lt;=1),"OK","CHECK")</x:f>
        <x:v>OK</x:v>
      </x:c>
      <x:c r="V358" t="str">
        <x:f>IF(AND(ISNUMBER(N358),N358&gt;=0),"OK","CHECK")</x:f>
        <x:v>OK</x:v>
      </x:c>
      <x:c r="W358" t="str">
        <x:f>IF(AND(T358="OK",U358="OK",V358="OK"),"OK","CHECK")</x:f>
        <x:v>OK</x:v>
      </x:c>
      <x:c r="X358" t="str">
        <x:f>IF(W358="OK","LOAD","QUARANTINE")</x:f>
        <x:v>LOAD</x:v>
      </x:c>
      <x:c r="Y358" t="str">
        <x:v>03_Process_Losses(6).xlsx</x:v>
      </x:c>
      <x:c r="Z358" t="str">
        <x:v>ENH-20260830-01</x:v>
      </x:c>
      <x:c r="AA358" t="str">
        <x:f>IF(X358="LOAD","Active","Quarantine")</x:f>
        <x:v>Active</x:v>
      </x:c>
      <x:c r="AB358"/>
      <x:c r="AC358"/>
      <x:c r="AD358"/>
      <x:c r="AE358"/>
    </x:row>
    <x:row r="359">
      <x:c r="A359" t="str">
        <x:v>PLD-000355</x:v>
      </x:c>
      <x:c r="B359" t="str">
        <x:v>LOSS-KG01-L23-20251022-AM-ORD-2025-00093</x:v>
      </x:c>
      <x:c r="C359" t="str">
        <x:v>PE-KG01-L23-20251022-AM-ORD-2025-00093</x:v>
      </x:c>
      <x:c r="D359" t="str">
        <x:v>KG01</x:v>
      </x:c>
      <x:c r="E359" t="n">
        <x:v>23</x:v>
      </x:c>
      <x:c r="F359" s="52" t="n">
        <x:v>45952</x:v>
      </x:c>
      <x:c r="G359" t="str">
        <x:v>AM</x:v>
      </x:c>
      <x:c r="H359" t="str">
        <x:v>ORD-2025-00093</x:v>
      </x:c>
      <x:c r="I359" t="str">
        <x:v>Normal</x:v>
      </x:c>
      <x:c r="J359" t="str">
        <x:v>PROC_HE_CONVEYER</x:v>
      </x:c>
      <x:c r="K359" t="str">
        <x:v>Hot End</x:v>
      </x:c>
      <x:c r="L359" s="54" t="n">
        <x:v>0.0037795098973812595</x:v>
      </x:c>
      <x:c r="M359" t="n">
        <x:v>89165</x:v>
      </x:c>
      <x:c r="N359" t="n">
        <x:f>L359*M359</x:f>
        <x:v>337</x:v>
      </x:c>
      <x:c r="O359"/>
      <x:c r="P359"/>
      <x:c r="Q359"/>
      <x:c r="R359"/>
      <x:c r="S359" s="52"/>
      <x:c r="T359" t="str">
        <x:v>OK</x:v>
      </x:c>
      <x:c r="U359" t="str">
        <x:f>IF(AND(ISNUMBER(L359),L359&gt;=0,L359&lt;=1),"OK","CHECK")</x:f>
        <x:v>OK</x:v>
      </x:c>
      <x:c r="V359" t="str">
        <x:f>IF(AND(ISNUMBER(N359),N359&gt;=0),"OK","CHECK")</x:f>
        <x:v>OK</x:v>
      </x:c>
      <x:c r="W359" t="str">
        <x:f>IF(AND(T359="OK",U359="OK",V359="OK"),"OK","CHECK")</x:f>
        <x:v>OK</x:v>
      </x:c>
      <x:c r="X359" t="str">
        <x:f>IF(W359="OK","LOAD","QUARANTINE")</x:f>
        <x:v>LOAD</x:v>
      </x:c>
      <x:c r="Y359" t="str">
        <x:v>03_Process_Losses(6).xlsx</x:v>
      </x:c>
      <x:c r="Z359" t="str">
        <x:v>ENH-20260830-01</x:v>
      </x:c>
      <x:c r="AA359" t="str">
        <x:f>IF(X359="LOAD","Active","Quarantine")</x:f>
        <x:v>Active</x:v>
      </x:c>
      <x:c r="AB359"/>
      <x:c r="AC359"/>
      <x:c r="AD359"/>
      <x:c r="AE359"/>
    </x:row>
    <x:row r="360">
      <x:c r="A360" t="str">
        <x:v>PLD-000356</x:v>
      </x:c>
      <x:c r="B360" t="str">
        <x:v>LOSS-KG01-L23-20251022-AM-ORD-2025-00093</x:v>
      </x:c>
      <x:c r="C360" t="str">
        <x:v>PE-KG01-L23-20251022-AM-ORD-2025-00093</x:v>
      </x:c>
      <x:c r="D360" t="str">
        <x:v>KG01</x:v>
      </x:c>
      <x:c r="E360" t="n">
        <x:v>23</x:v>
      </x:c>
      <x:c r="F360" s="52" t="n">
        <x:v>45952</x:v>
      </x:c>
      <x:c r="G360" t="str">
        <x:v>AM</x:v>
      </x:c>
      <x:c r="H360" t="str">
        <x:v>ORD-2025-00093</x:v>
      </x:c>
      <x:c r="I360" t="str">
        <x:v>Normal</x:v>
      </x:c>
      <x:c r="J360" t="str">
        <x:v>PROC_STUCKDOWN</x:v>
      </x:c>
      <x:c r="K360" t="str">
        <x:v>Forming</x:v>
      </x:c>
      <x:c r="L360" s="54" t="n">
        <x:v>0.003925307015084394</x:v>
      </x:c>
      <x:c r="M360" t="n">
        <x:v>89165</x:v>
      </x:c>
      <x:c r="N360" t="n">
        <x:f>L360*M360</x:f>
        <x:v>350</x:v>
      </x:c>
      <x:c r="O360"/>
      <x:c r="P360"/>
      <x:c r="Q360"/>
      <x:c r="R360"/>
      <x:c r="S360" s="52"/>
      <x:c r="T360" t="str">
        <x:v>OK</x:v>
      </x:c>
      <x:c r="U360" t="str">
        <x:f>IF(AND(ISNUMBER(L360),L360&gt;=0,L360&lt;=1),"OK","CHECK")</x:f>
        <x:v>OK</x:v>
      </x:c>
      <x:c r="V360" t="str">
        <x:f>IF(AND(ISNUMBER(N360),N360&gt;=0),"OK","CHECK")</x:f>
        <x:v>OK</x:v>
      </x:c>
      <x:c r="W360" t="str">
        <x:f>IF(AND(T360="OK",U360="OK",V360="OK"),"OK","CHECK")</x:f>
        <x:v>OK</x:v>
      </x:c>
      <x:c r="X360" t="str">
        <x:f>IF(W360="OK","LOAD","QUARANTINE")</x:f>
        <x:v>LOAD</x:v>
      </x:c>
      <x:c r="Y360" t="str">
        <x:v>03_Process_Losses(6).xlsx</x:v>
      </x:c>
      <x:c r="Z360" t="str">
        <x:v>ENH-20260830-01</x:v>
      </x:c>
      <x:c r="AA360" t="str">
        <x:f>IF(X360="LOAD","Active","Quarantine")</x:f>
        <x:v>Active</x:v>
      </x:c>
      <x:c r="AB360"/>
      <x:c r="AC360"/>
      <x:c r="AD360"/>
      <x:c r="AE360"/>
    </x:row>
    <x:row r="361">
      <x:c r="A361" t="str">
        <x:v>PLD-000357</x:v>
      </x:c>
      <x:c r="B361" t="str">
        <x:v>LOSS-KG01-L23-20251022-AM-ORD-2025-00093</x:v>
      </x:c>
      <x:c r="C361" t="str">
        <x:v>PE-KG01-L23-20251022-AM-ORD-2025-00093</x:v>
      </x:c>
      <x:c r="D361" t="str">
        <x:v>KG01</x:v>
      </x:c>
      <x:c r="E361" t="n">
        <x:v>23</x:v>
      </x:c>
      <x:c r="F361" s="52" t="n">
        <x:v>45952</x:v>
      </x:c>
      <x:c r="G361" t="str">
        <x:v>AM</x:v>
      </x:c>
      <x:c r="H361" t="str">
        <x:v>ORD-2025-00093</x:v>
      </x:c>
      <x:c r="I361" t="str">
        <x:v>Normal</x:v>
      </x:c>
      <x:c r="J361" t="str">
        <x:v>PROC_LEHR</x:v>
      </x:c>
      <x:c r="K361" t="str">
        <x:v>Lehr</x:v>
      </x:c>
      <x:c r="L361" s="54" t="n">
        <x:v>0.00467672292940055</x:v>
      </x:c>
      <x:c r="M361" t="n">
        <x:v>89165</x:v>
      </x:c>
      <x:c r="N361" t="n">
        <x:f>L361*M361</x:f>
        <x:v>417.00000000000006</x:v>
      </x:c>
      <x:c r="O361"/>
      <x:c r="P361"/>
      <x:c r="Q361"/>
      <x:c r="R361"/>
      <x:c r="S361" s="52"/>
      <x:c r="T361" t="str">
        <x:v>OK</x:v>
      </x:c>
      <x:c r="U361" t="str">
        <x:f>IF(AND(ISNUMBER(L361),L361&gt;=0,L361&lt;=1),"OK","CHECK")</x:f>
        <x:v>OK</x:v>
      </x:c>
      <x:c r="V361" t="str">
        <x:f>IF(AND(ISNUMBER(N361),N361&gt;=0),"OK","CHECK")</x:f>
        <x:v>OK</x:v>
      </x:c>
      <x:c r="W361" t="str">
        <x:f>IF(AND(T361="OK",U361="OK",V361="OK"),"OK","CHECK")</x:f>
        <x:v>OK</x:v>
      </x:c>
      <x:c r="X361" t="str">
        <x:f>IF(W361="OK","LOAD","QUARANTINE")</x:f>
        <x:v>LOAD</x:v>
      </x:c>
      <x:c r="Y361" t="str">
        <x:v>03_Process_Losses(6).xlsx</x:v>
      </x:c>
      <x:c r="Z361" t="str">
        <x:v>ENH-20260830-01</x:v>
      </x:c>
      <x:c r="AA361" t="str">
        <x:f>IF(X361="LOAD","Active","Quarantine")</x:f>
        <x:v>Active</x:v>
      </x:c>
      <x:c r="AB361"/>
      <x:c r="AC361"/>
      <x:c r="AD361"/>
      <x:c r="AE361"/>
    </x:row>
    <x:row r="362">
      <x:c r="A362" t="str">
        <x:v>PLD-000358</x:v>
      </x:c>
      <x:c r="B362" t="str">
        <x:v>LOSS-KG01-L23-20251022-AM-ORD-2025-00093</x:v>
      </x:c>
      <x:c r="C362" t="str">
        <x:v>PE-KG01-L23-20251022-AM-ORD-2025-00093</x:v>
      </x:c>
      <x:c r="D362" t="str">
        <x:v>KG01</x:v>
      </x:c>
      <x:c r="E362" t="n">
        <x:v>23</x:v>
      </x:c>
      <x:c r="F362" s="52" t="n">
        <x:v>45952</x:v>
      </x:c>
      <x:c r="G362" t="str">
        <x:v>AM</x:v>
      </x:c>
      <x:c r="H362" t="str">
        <x:v>ORD-2025-00093</x:v>
      </x:c>
      <x:c r="I362" t="str">
        <x:v>Normal</x:v>
      </x:c>
      <x:c r="J362" t="str">
        <x:v>PROC_EVO16</x:v>
      </x:c>
      <x:c r="K362" t="str">
        <x:v>Inspection</x:v>
      </x:c>
      <x:c r="L362" s="54" t="n">
        <x:v>0.0015364773173330343</x:v>
      </x:c>
      <x:c r="M362" t="n">
        <x:v>89165</x:v>
      </x:c>
      <x:c r="N362" t="n">
        <x:f>L362*M362</x:f>
        <x:v>137</x:v>
      </x:c>
      <x:c r="O362"/>
      <x:c r="P362"/>
      <x:c r="Q362"/>
      <x:c r="R362"/>
      <x:c r="S362" s="52"/>
      <x:c r="T362" t="str">
        <x:v>OK</x:v>
      </x:c>
      <x:c r="U362" t="str">
        <x:f>IF(AND(ISNUMBER(L362),L362&gt;=0,L362&lt;=1),"OK","CHECK")</x:f>
        <x:v>OK</x:v>
      </x:c>
      <x:c r="V362" t="str">
        <x:f>IF(AND(ISNUMBER(N362),N362&gt;=0),"OK","CHECK")</x:f>
        <x:v>OK</x:v>
      </x:c>
      <x:c r="W362" t="str">
        <x:f>IF(AND(T362="OK",U362="OK",V362="OK"),"OK","CHECK")</x:f>
        <x:v>OK</x:v>
      </x:c>
      <x:c r="X362" t="str">
        <x:f>IF(W362="OK","LOAD","QUARANTINE")</x:f>
        <x:v>LOAD</x:v>
      </x:c>
      <x:c r="Y362" t="str">
        <x:v>03_Process_Losses(6).xlsx</x:v>
      </x:c>
      <x:c r="Z362" t="str">
        <x:v>ENH-20260830-01</x:v>
      </x:c>
      <x:c r="AA362" t="str">
        <x:f>IF(X362="LOAD","Active","Quarantine")</x:f>
        <x:v>Active</x:v>
      </x:c>
      <x:c r="AB362"/>
      <x:c r="AC362"/>
      <x:c r="AD362"/>
      <x:c r="AE362"/>
    </x:row>
    <x:row r="363">
      <x:c r="A363" t="str">
        <x:v>PLD-000359</x:v>
      </x:c>
      <x:c r="B363" t="str">
        <x:v>LOSS-KG01-L23-20251022-AM-ORD-2025-00093</x:v>
      </x:c>
      <x:c r="C363" t="str">
        <x:v>PE-KG01-L23-20251022-AM-ORD-2025-00093</x:v>
      </x:c>
      <x:c r="D363" t="str">
        <x:v>KG01</x:v>
      </x:c>
      <x:c r="E363" t="n">
        <x:v>23</x:v>
      </x:c>
      <x:c r="F363" s="52" t="n">
        <x:v>45952</x:v>
      </x:c>
      <x:c r="G363" t="str">
        <x:v>AM</x:v>
      </x:c>
      <x:c r="H363" t="str">
        <x:v>ORD-2025-00093</x:v>
      </x:c>
      <x:c r="I363" t="str">
        <x:v>Normal</x:v>
      </x:c>
      <x:c r="J363" t="str">
        <x:v>PROC_EVO12</x:v>
      </x:c>
      <x:c r="K363" t="str">
        <x:v>Inspection</x:v>
      </x:c>
      <x:c r="L363" s="54" t="n">
        <x:v>0.005820669545225144</x:v>
      </x:c>
      <x:c r="M363" t="n">
        <x:v>89165</x:v>
      </x:c>
      <x:c r="N363" t="n">
        <x:f>L363*M363</x:f>
        <x:v>519</x:v>
      </x:c>
      <x:c r="O363"/>
      <x:c r="P363"/>
      <x:c r="Q363"/>
      <x:c r="R363"/>
      <x:c r="S363" s="52"/>
      <x:c r="T363" t="str">
        <x:v>OK</x:v>
      </x:c>
      <x:c r="U363" t="str">
        <x:f>IF(AND(ISNUMBER(L363),L363&gt;=0,L363&lt;=1),"OK","CHECK")</x:f>
        <x:v>OK</x:v>
      </x:c>
      <x:c r="V363" t="str">
        <x:f>IF(AND(ISNUMBER(N363),N363&gt;=0),"OK","CHECK")</x:f>
        <x:v>OK</x:v>
      </x:c>
      <x:c r="W363" t="str">
        <x:f>IF(AND(T363="OK",U363="OK",V363="OK"),"OK","CHECK")</x:f>
        <x:v>OK</x:v>
      </x:c>
      <x:c r="X363" t="str">
        <x:f>IF(W363="OK","LOAD","QUARANTINE")</x:f>
        <x:v>LOAD</x:v>
      </x:c>
      <x:c r="Y363" t="str">
        <x:v>03_Process_Losses(6).xlsx</x:v>
      </x:c>
      <x:c r="Z363" t="str">
        <x:v>ENH-20260830-01</x:v>
      </x:c>
      <x:c r="AA363" t="str">
        <x:f>IF(X363="LOAD","Active","Quarantine")</x:f>
        <x:v>Active</x:v>
      </x:c>
      <x:c r="AB363"/>
      <x:c r="AC363"/>
      <x:c r="AD363"/>
      <x:c r="AE363"/>
    </x:row>
    <x:row r="364">
      <x:c r="A364" t="str">
        <x:v>PLD-000360</x:v>
      </x:c>
      <x:c r="B364" t="str">
        <x:v>LOSS-KG01-L23-20251022-AM-ORD-2025-00093</x:v>
      </x:c>
      <x:c r="C364" t="str">
        <x:v>PE-KG01-L23-20251022-AM-ORD-2025-00093</x:v>
      </x:c>
      <x:c r="D364" t="str">
        <x:v>KG01</x:v>
      </x:c>
      <x:c r="E364" t="n">
        <x:v>23</x:v>
      </x:c>
      <x:c r="F364" s="52" t="n">
        <x:v>45952</x:v>
      </x:c>
      <x:c r="G364" t="str">
        <x:v>AM</x:v>
      </x:c>
      <x:c r="H364" t="str">
        <x:v>ORD-2025-00093</x:v>
      </x:c>
      <x:c r="I364" t="str">
        <x:v>Normal</x:v>
      </x:c>
      <x:c r="J364" t="str">
        <x:v>PROC_EVO5</x:v>
      </x:c>
      <x:c r="K364" t="str">
        <x:v>Inspection</x:v>
      </x:c>
      <x:c r="L364" s="54" t="n">
        <x:v>0.0009084281949195312</x:v>
      </x:c>
      <x:c r="M364" t="n">
        <x:v>89165</x:v>
      </x:c>
      <x:c r="N364" t="n">
        <x:f>L364*M364</x:f>
        <x:v>81</x:v>
      </x:c>
      <x:c r="O364"/>
      <x:c r="P364"/>
      <x:c r="Q364"/>
      <x:c r="R364"/>
      <x:c r="S364" s="52"/>
      <x:c r="T364" t="str">
        <x:v>OK</x:v>
      </x:c>
      <x:c r="U364" t="str">
        <x:f>IF(AND(ISNUMBER(L364),L364&gt;=0,L364&lt;=1),"OK","CHECK")</x:f>
        <x:v>OK</x:v>
      </x:c>
      <x:c r="V364" t="str">
        <x:f>IF(AND(ISNUMBER(N364),N364&gt;=0),"OK","CHECK")</x:f>
        <x:v>OK</x:v>
      </x:c>
      <x:c r="W364" t="str">
        <x:f>IF(AND(T364="OK",U364="OK",V364="OK"),"OK","CHECK")</x:f>
        <x:v>OK</x:v>
      </x:c>
      <x:c r="X364" t="str">
        <x:f>IF(W364="OK","LOAD","QUARANTINE")</x:f>
        <x:v>LOAD</x:v>
      </x:c>
      <x:c r="Y364" t="str">
        <x:v>03_Process_Losses(6).xlsx</x:v>
      </x:c>
      <x:c r="Z364" t="str">
        <x:v>ENH-20260830-01</x:v>
      </x:c>
      <x:c r="AA364" t="str">
        <x:f>IF(X364="LOAD","Active","Quarantine")</x:f>
        <x:v>Active</x:v>
      </x:c>
      <x:c r="AB364"/>
      <x:c r="AC364"/>
      <x:c r="AD364"/>
      <x:c r="AE364"/>
    </x:row>
    <x:row r="365">
      <x:c r="A365" t="str">
        <x:v>PLD-000361</x:v>
      </x:c>
      <x:c r="B365" t="str">
        <x:v>LOSS-KG01-L23-20251022-AM-ORD-2025-00093</x:v>
      </x:c>
      <x:c r="C365" t="str">
        <x:v>PE-KG01-L23-20251022-AM-ORD-2025-00093</x:v>
      </x:c>
      <x:c r="D365" t="str">
        <x:v>KG01</x:v>
      </x:c>
      <x:c r="E365" t="n">
        <x:v>23</x:v>
      </x:c>
      <x:c r="F365" s="52" t="n">
        <x:v>45952</x:v>
      </x:c>
      <x:c r="G365" t="str">
        <x:v>AM</x:v>
      </x:c>
      <x:c r="H365" t="str">
        <x:v>ORD-2025-00093</x:v>
      </x:c>
      <x:c r="I365" t="str">
        <x:v>Normal</x:v>
      </x:c>
      <x:c r="J365" t="str">
        <x:v>PROC_SANLI</x:v>
      </x:c>
      <x:c r="K365" t="str">
        <x:v>Inspection</x:v>
      </x:c>
      <x:c r="L365" s="54" t="n">
        <x:v>0.0017159199237368923</x:v>
      </x:c>
      <x:c r="M365" t="n">
        <x:v>89165</x:v>
      </x:c>
      <x:c r="N365" t="n">
        <x:f>L365*M365</x:f>
        <x:v>153</x:v>
      </x:c>
      <x:c r="O365"/>
      <x:c r="P365"/>
      <x:c r="Q365"/>
      <x:c r="R365"/>
      <x:c r="S365" s="52"/>
      <x:c r="T365" t="str">
        <x:v>OK</x:v>
      </x:c>
      <x:c r="U365" t="str">
        <x:f>IF(AND(ISNUMBER(L365),L365&gt;=0,L365&lt;=1),"OK","CHECK")</x:f>
        <x:v>OK</x:v>
      </x:c>
      <x:c r="V365" t="str">
        <x:f>IF(AND(ISNUMBER(N365),N365&gt;=0),"OK","CHECK")</x:f>
        <x:v>OK</x:v>
      </x:c>
      <x:c r="W365" t="str">
        <x:f>IF(AND(T365="OK",U365="OK",V365="OK"),"OK","CHECK")</x:f>
        <x:v>OK</x:v>
      </x:c>
      <x:c r="X365" t="str">
        <x:f>IF(W365="OK","LOAD","QUARANTINE")</x:f>
        <x:v>LOAD</x:v>
      </x:c>
      <x:c r="Y365" t="str">
        <x:v>03_Process_Losses(6).xlsx</x:v>
      </x:c>
      <x:c r="Z365" t="str">
        <x:v>ENH-20260830-01</x:v>
      </x:c>
      <x:c r="AA365" t="str">
        <x:f>IF(X365="LOAD","Active","Quarantine")</x:f>
        <x:v>Active</x:v>
      </x:c>
      <x:c r="AB365"/>
      <x:c r="AC365"/>
      <x:c r="AD365"/>
      <x:c r="AE365"/>
    </x:row>
    <x:row r="366">
      <x:c r="A366" t="str">
        <x:v>PLD-000362</x:v>
      </x:c>
      <x:c r="B366" t="str">
        <x:v>LOSS-KG01-L23-20251022-AM-ORD-2025-00093</x:v>
      </x:c>
      <x:c r="C366" t="str">
        <x:v>PE-KG01-L23-20251022-AM-ORD-2025-00093</x:v>
      </x:c>
      <x:c r="D366" t="str">
        <x:v>KG01</x:v>
      </x:c>
      <x:c r="E366" t="n">
        <x:v>23</x:v>
      </x:c>
      <x:c r="F366" s="52" t="n">
        <x:v>45952</x:v>
      </x:c>
      <x:c r="G366" t="str">
        <x:v>AM</x:v>
      </x:c>
      <x:c r="H366" t="str">
        <x:v>ORD-2025-00093</x:v>
      </x:c>
      <x:c r="I366" t="str">
        <x:v>Normal</x:v>
      </x:c>
      <x:c r="J366" t="str">
        <x:v>PROC_VISUAL</x:v>
      </x:c>
      <x:c r="K366" t="str">
        <x:v>Inspection</x:v>
      </x:c>
      <x:c r="L366" s="54" t="n">
        <x:v>0.004093534458588011</x:v>
      </x:c>
      <x:c r="M366" t="n">
        <x:v>89165</x:v>
      </x:c>
      <x:c r="N366" t="n">
        <x:f>L366*M366</x:f>
        <x:v>365</x:v>
      </x:c>
      <x:c r="O366"/>
      <x:c r="P366"/>
      <x:c r="Q366"/>
      <x:c r="R366"/>
      <x:c r="S366" s="52"/>
      <x:c r="T366" t="str">
        <x:v>OK</x:v>
      </x:c>
      <x:c r="U366" t="str">
        <x:f>IF(AND(ISNUMBER(L366),L366&gt;=0,L366&lt;=1),"OK","CHECK")</x:f>
        <x:v>OK</x:v>
      </x:c>
      <x:c r="V366" t="str">
        <x:f>IF(AND(ISNUMBER(N366),N366&gt;=0),"OK","CHECK")</x:f>
        <x:v>OK</x:v>
      </x:c>
      <x:c r="W366" t="str">
        <x:f>IF(AND(T366="OK",U366="OK",V366="OK"),"OK","CHECK")</x:f>
        <x:v>OK</x:v>
      </x:c>
      <x:c r="X366" t="str">
        <x:f>IF(W366="OK","LOAD","QUARANTINE")</x:f>
        <x:v>LOAD</x:v>
      </x:c>
      <x:c r="Y366" t="str">
        <x:v>03_Process_Losses(6).xlsx</x:v>
      </x:c>
      <x:c r="Z366" t="str">
        <x:v>ENH-20260830-01</x:v>
      </x:c>
      <x:c r="AA366" t="str">
        <x:f>IF(X366="LOAD","Active","Quarantine")</x:f>
        <x:v>Active</x:v>
      </x:c>
      <x:c r="AB366"/>
      <x:c r="AC366"/>
      <x:c r="AD366"/>
      <x:c r="AE366"/>
    </x:row>
    <x:row r="367">
      <x:c r="A367" t="str">
        <x:v>PLD-000363</x:v>
      </x:c>
      <x:c r="B367" t="str">
        <x:v>LOSS-KG01-L23-20251022-AM-ORD-2025-00093</x:v>
      </x:c>
      <x:c r="C367" t="str">
        <x:v>PE-KG01-L23-20251022-AM-ORD-2025-00093</x:v>
      </x:c>
      <x:c r="D367" t="str">
        <x:v>KG01</x:v>
      </x:c>
      <x:c r="E367" t="n">
        <x:v>23</x:v>
      </x:c>
      <x:c r="F367" s="52" t="n">
        <x:v>45952</x:v>
      </x:c>
      <x:c r="G367" t="str">
        <x:v>AM</x:v>
      </x:c>
      <x:c r="H367" t="str">
        <x:v>ORD-2025-00093</x:v>
      </x:c>
      <x:c r="I367" t="str">
        <x:v>Normal</x:v>
      </x:c>
      <x:c r="J367" t="str">
        <x:v>PROC_PALLETIZER</x:v>
      </x:c>
      <x:c r="K367" t="str">
        <x:v>Palletizer</x:v>
      </x:c>
      <x:c r="L367" s="54" t="n">
        <x:v>0.006089833454830932</x:v>
      </x:c>
      <x:c r="M367" t="n">
        <x:v>89165</x:v>
      </x:c>
      <x:c r="N367" t="n">
        <x:f>L367*M367</x:f>
        <x:v>543</x:v>
      </x:c>
      <x:c r="O367"/>
      <x:c r="P367"/>
      <x:c r="Q367"/>
      <x:c r="R367"/>
      <x:c r="S367" s="52"/>
      <x:c r="T367" t="str">
        <x:v>OK</x:v>
      </x:c>
      <x:c r="U367" t="str">
        <x:f>IF(AND(ISNUMBER(L367),L367&gt;=0,L367&lt;=1),"OK","CHECK")</x:f>
        <x:v>OK</x:v>
      </x:c>
      <x:c r="V367" t="str">
        <x:f>IF(AND(ISNUMBER(N367),N367&gt;=0),"OK","CHECK")</x:f>
        <x:v>OK</x:v>
      </x:c>
      <x:c r="W367" t="str">
        <x:f>IF(AND(T367="OK",U367="OK",V367="OK"),"OK","CHECK")</x:f>
        <x:v>OK</x:v>
      </x:c>
      <x:c r="X367" t="str">
        <x:f>IF(W367="OK","LOAD","QUARANTINE")</x:f>
        <x:v>LOAD</x:v>
      </x:c>
      <x:c r="Y367" t="str">
        <x:v>03_Process_Losses(6).xlsx</x:v>
      </x:c>
      <x:c r="Z367" t="str">
        <x:v>ENH-20260830-01</x:v>
      </x:c>
      <x:c r="AA367" t="str">
        <x:f>IF(X367="LOAD","Active","Quarantine")</x:f>
        <x:v>Active</x:v>
      </x:c>
      <x:c r="AB367"/>
      <x:c r="AC367"/>
      <x:c r="AD367"/>
      <x:c r="AE367"/>
    </x:row>
    <x:row r="368">
      <x:c r="A368" t="str">
        <x:v>PLD-000364</x:v>
      </x:c>
      <x:c r="B368" t="str">
        <x:v>LOSS-KG01-L23-20251022-PM-ORD-2025-00093</x:v>
      </x:c>
      <x:c r="C368" t="str">
        <x:v>PE-KG01-L23-20251022-PM-ORD-2025-00093</x:v>
      </x:c>
      <x:c r="D368" t="str">
        <x:v>KG01</x:v>
      </x:c>
      <x:c r="E368" t="n">
        <x:v>23</x:v>
      </x:c>
      <x:c r="F368" s="52" t="n">
        <x:v>45952</x:v>
      </x:c>
      <x:c r="G368" t="str">
        <x:v>PM</x:v>
      </x:c>
      <x:c r="H368" t="str">
        <x:v>ORD-2025-00093</x:v>
      </x:c>
      <x:c r="I368" t="str">
        <x:v>Normal</x:v>
      </x:c>
      <x:c r="J368" t="str">
        <x:v>PROC_FIXED</x:v>
      </x:c>
      <x:c r="K368" t="str">
        <x:v>Fixed Losses</x:v>
      </x:c>
      <x:c r="L368" s="54" t="n">
        <x:v>0.007306763285024154</x:v>
      </x:c>
      <x:c r="M368" t="n">
        <x:v>165600</x:v>
      </x:c>
      <x:c r="N368" t="n">
        <x:f>L368*M368</x:f>
        <x:v>1210</x:v>
      </x:c>
      <x:c r="O368"/>
      <x:c r="P368"/>
      <x:c r="Q368"/>
      <x:c r="R368"/>
      <x:c r="S368" s="52"/>
      <x:c r="T368" t="str">
        <x:v>OK</x:v>
      </x:c>
      <x:c r="U368" t="str">
        <x:f>IF(AND(ISNUMBER(L368),L368&gt;=0,L368&lt;=1),"OK","CHECK")</x:f>
        <x:v>OK</x:v>
      </x:c>
      <x:c r="V368" t="str">
        <x:f>IF(AND(ISNUMBER(N368),N368&gt;=0),"OK","CHECK")</x:f>
        <x:v>OK</x:v>
      </x:c>
      <x:c r="W368" t="str">
        <x:f>IF(AND(T368="OK",U368="OK",V368="OK"),"OK","CHECK")</x:f>
        <x:v>OK</x:v>
      </x:c>
      <x:c r="X368" t="str">
        <x:f>IF(W368="OK","LOAD","QUARANTINE")</x:f>
        <x:v>LOAD</x:v>
      </x:c>
      <x:c r="Y368" t="str">
        <x:v>03_Process_Losses(6).xlsx</x:v>
      </x:c>
      <x:c r="Z368" t="str">
        <x:v>ENH-20260830-01</x:v>
      </x:c>
      <x:c r="AA368" t="str">
        <x:f>IF(X368="LOAD","Active","Quarantine")</x:f>
        <x:v>Active</x:v>
      </x:c>
      <x:c r="AB368"/>
      <x:c r="AC368"/>
      <x:c r="AD368"/>
      <x:c r="AE368"/>
    </x:row>
    <x:row r="369">
      <x:c r="A369" t="str">
        <x:v>PLD-000365</x:v>
      </x:c>
      <x:c r="B369" t="str">
        <x:v>LOSS-KG01-L23-20251022-PM-ORD-2025-00093</x:v>
      </x:c>
      <x:c r="C369" t="str">
        <x:v>PE-KG01-L23-20251022-PM-ORD-2025-00093</x:v>
      </x:c>
      <x:c r="D369" t="str">
        <x:v>KG01</x:v>
      </x:c>
      <x:c r="E369" t="n">
        <x:v>23</x:v>
      </x:c>
      <x:c r="F369" s="52" t="n">
        <x:v>45952</x:v>
      </x:c>
      <x:c r="G369" t="str">
        <x:v>PM</x:v>
      </x:c>
      <x:c r="H369" t="str">
        <x:v>ORD-2025-00093</x:v>
      </x:c>
      <x:c r="I369" t="str">
        <x:v>Normal</x:v>
      </x:c>
      <x:c r="J369" t="str">
        <x:v>PROC_IS</x:v>
      </x:c>
      <x:c r="K369" t="str">
        <x:v>IS Machine</x:v>
      </x:c>
      <x:c r="L369" s="54" t="n">
        <x:v>0.009595410628019324</x:v>
      </x:c>
      <x:c r="M369" t="n">
        <x:v>165600</x:v>
      </x:c>
      <x:c r="N369" t="n">
        <x:f>L369*M369</x:f>
        <x:v>1589.0000000000002</x:v>
      </x:c>
      <x:c r="O369"/>
      <x:c r="P369"/>
      <x:c r="Q369"/>
      <x:c r="R369"/>
      <x:c r="S369" s="52"/>
      <x:c r="T369" t="str">
        <x:v>OK</x:v>
      </x:c>
      <x:c r="U369" t="str">
        <x:f>IF(AND(ISNUMBER(L369),L369&gt;=0,L369&lt;=1),"OK","CHECK")</x:f>
        <x:v>OK</x:v>
      </x:c>
      <x:c r="V369" t="str">
        <x:f>IF(AND(ISNUMBER(N369),N369&gt;=0),"OK","CHECK")</x:f>
        <x:v>OK</x:v>
      </x:c>
      <x:c r="W369" t="str">
        <x:f>IF(AND(T369="OK",U369="OK",V369="OK"),"OK","CHECK")</x:f>
        <x:v>OK</x:v>
      </x:c>
      <x:c r="X369" t="str">
        <x:f>IF(W369="OK","LOAD","QUARANTINE")</x:f>
        <x:v>LOAD</x:v>
      </x:c>
      <x:c r="Y369" t="str">
        <x:v>03_Process_Losses(6).xlsx</x:v>
      </x:c>
      <x:c r="Z369" t="str">
        <x:v>ENH-20260830-01</x:v>
      </x:c>
      <x:c r="AA369" t="str">
        <x:f>IF(X369="LOAD","Active","Quarantine")</x:f>
        <x:v>Active</x:v>
      </x:c>
      <x:c r="AB369"/>
      <x:c r="AC369"/>
      <x:c r="AD369"/>
      <x:c r="AE369"/>
    </x:row>
    <x:row r="370">
      <x:c r="A370" t="str">
        <x:v>PLD-000366</x:v>
      </x:c>
      <x:c r="B370" t="str">
        <x:v>LOSS-KG01-L23-20251022-PM-ORD-2025-00093</x:v>
      </x:c>
      <x:c r="C370" t="str">
        <x:v>PE-KG01-L23-20251022-PM-ORD-2025-00093</x:v>
      </x:c>
      <x:c r="D370" t="str">
        <x:v>KG01</x:v>
      </x:c>
      <x:c r="E370" t="n">
        <x:v>23</x:v>
      </x:c>
      <x:c r="F370" s="52" t="n">
        <x:v>45952</x:v>
      </x:c>
      <x:c r="G370" t="str">
        <x:v>PM</x:v>
      </x:c>
      <x:c r="H370" t="str">
        <x:v>ORD-2025-00093</x:v>
      </x:c>
      <x:c r="I370" t="str">
        <x:v>Normal</x:v>
      </x:c>
      <x:c r="J370" t="str">
        <x:v>PROC_HE_CONVEYER</x:v>
      </x:c>
      <x:c r="K370" t="str">
        <x:v>Hot End</x:v>
      </x:c>
      <x:c r="L370" s="54" t="n">
        <x:v>0.0042995169082125605</x:v>
      </x:c>
      <x:c r="M370" t="n">
        <x:v>165600</x:v>
      </x:c>
      <x:c r="N370" t="n">
        <x:f>L370*M370</x:f>
        <x:v>712</x:v>
      </x:c>
      <x:c r="O370"/>
      <x:c r="P370"/>
      <x:c r="Q370"/>
      <x:c r="R370"/>
      <x:c r="S370" s="52"/>
      <x:c r="T370" t="str">
        <x:v>OK</x:v>
      </x:c>
      <x:c r="U370" t="str">
        <x:f>IF(AND(ISNUMBER(L370),L370&gt;=0,L370&lt;=1),"OK","CHECK")</x:f>
        <x:v>OK</x:v>
      </x:c>
      <x:c r="V370" t="str">
        <x:f>IF(AND(ISNUMBER(N370),N370&gt;=0),"OK","CHECK")</x:f>
        <x:v>OK</x:v>
      </x:c>
      <x:c r="W370" t="str">
        <x:f>IF(AND(T370="OK",U370="OK",V370="OK"),"OK","CHECK")</x:f>
        <x:v>OK</x:v>
      </x:c>
      <x:c r="X370" t="str">
        <x:f>IF(W370="OK","LOAD","QUARANTINE")</x:f>
        <x:v>LOAD</x:v>
      </x:c>
      <x:c r="Y370" t="str">
        <x:v>03_Process_Losses(6).xlsx</x:v>
      </x:c>
      <x:c r="Z370" t="str">
        <x:v>ENH-20260830-01</x:v>
      </x:c>
      <x:c r="AA370" t="str">
        <x:f>IF(X370="LOAD","Active","Quarantine")</x:f>
        <x:v>Active</x:v>
      </x:c>
      <x:c r="AB370"/>
      <x:c r="AC370"/>
      <x:c r="AD370"/>
      <x:c r="AE370"/>
    </x:row>
    <x:row r="371">
      <x:c r="A371" t="str">
        <x:v>PLD-000367</x:v>
      </x:c>
      <x:c r="B371" t="str">
        <x:v>LOSS-KG01-L23-20251022-PM-ORD-2025-00093</x:v>
      </x:c>
      <x:c r="C371" t="str">
        <x:v>PE-KG01-L23-20251022-PM-ORD-2025-00093</x:v>
      </x:c>
      <x:c r="D371" t="str">
        <x:v>KG01</x:v>
      </x:c>
      <x:c r="E371" t="n">
        <x:v>23</x:v>
      </x:c>
      <x:c r="F371" s="52" t="n">
        <x:v>45952</x:v>
      </x:c>
      <x:c r="G371" t="str">
        <x:v>PM</x:v>
      </x:c>
      <x:c r="H371" t="str">
        <x:v>ORD-2025-00093</x:v>
      </x:c>
      <x:c r="I371" t="str">
        <x:v>Normal</x:v>
      </x:c>
      <x:c r="J371" t="str">
        <x:v>PROC_STUCKDOWN</x:v>
      </x:c>
      <x:c r="K371" t="str">
        <x:v>Forming</x:v>
      </x:c>
      <x:c r="L371" s="54" t="n">
        <x:v>0.0030253623188405796</x:v>
      </x:c>
      <x:c r="M371" t="n">
        <x:v>165600</x:v>
      </x:c>
      <x:c r="N371" t="n">
        <x:f>L371*M371</x:f>
        <x:v>501</x:v>
      </x:c>
      <x:c r="O371"/>
      <x:c r="P371"/>
      <x:c r="Q371"/>
      <x:c r="R371"/>
      <x:c r="S371" s="52"/>
      <x:c r="T371" t="str">
        <x:v>OK</x:v>
      </x:c>
      <x:c r="U371" t="str">
        <x:f>IF(AND(ISNUMBER(L371),L371&gt;=0,L371&lt;=1),"OK","CHECK")</x:f>
        <x:v>OK</x:v>
      </x:c>
      <x:c r="V371" t="str">
        <x:f>IF(AND(ISNUMBER(N371),N371&gt;=0),"OK","CHECK")</x:f>
        <x:v>OK</x:v>
      </x:c>
      <x:c r="W371" t="str">
        <x:f>IF(AND(T371="OK",U371="OK",V371="OK"),"OK","CHECK")</x:f>
        <x:v>OK</x:v>
      </x:c>
      <x:c r="X371" t="str">
        <x:f>IF(W371="OK","LOAD","QUARANTINE")</x:f>
        <x:v>LOAD</x:v>
      </x:c>
      <x:c r="Y371" t="str">
        <x:v>03_Process_Losses(6).xlsx</x:v>
      </x:c>
      <x:c r="Z371" t="str">
        <x:v>ENH-20260830-01</x:v>
      </x:c>
      <x:c r="AA371" t="str">
        <x:f>IF(X371="LOAD","Active","Quarantine")</x:f>
        <x:v>Active</x:v>
      </x:c>
      <x:c r="AB371"/>
      <x:c r="AC371"/>
      <x:c r="AD371"/>
      <x:c r="AE371"/>
    </x:row>
    <x:row r="372">
      <x:c r="A372" t="str">
        <x:v>PLD-000368</x:v>
      </x:c>
      <x:c r="B372" t="str">
        <x:v>LOSS-KG01-L23-20251022-PM-ORD-2025-00093</x:v>
      </x:c>
      <x:c r="C372" t="str">
        <x:v>PE-KG01-L23-20251022-PM-ORD-2025-00093</x:v>
      </x:c>
      <x:c r="D372" t="str">
        <x:v>KG01</x:v>
      </x:c>
      <x:c r="E372" t="n">
        <x:v>23</x:v>
      </x:c>
      <x:c r="F372" s="52" t="n">
        <x:v>45952</x:v>
      </x:c>
      <x:c r="G372" t="str">
        <x:v>PM</x:v>
      </x:c>
      <x:c r="H372" t="str">
        <x:v>ORD-2025-00093</x:v>
      </x:c>
      <x:c r="I372" t="str">
        <x:v>Normal</x:v>
      </x:c>
      <x:c r="J372" t="str">
        <x:v>PROC_LEHR</x:v>
      </x:c>
      <x:c r="K372" t="str">
        <x:v>Lehr</x:v>
      </x:c>
      <x:c r="L372" s="54" t="n">
        <x:v>0.007210144927536232</x:v>
      </x:c>
      <x:c r="M372" t="n">
        <x:v>165600</x:v>
      </x:c>
      <x:c r="N372" t="n">
        <x:f>L372*M372</x:f>
        <x:v>1194</x:v>
      </x:c>
      <x:c r="O372"/>
      <x:c r="P372"/>
      <x:c r="Q372"/>
      <x:c r="R372"/>
      <x:c r="S372" s="52"/>
      <x:c r="T372" t="str">
        <x:v>OK</x:v>
      </x:c>
      <x:c r="U372" t="str">
        <x:f>IF(AND(ISNUMBER(L372),L372&gt;=0,L372&lt;=1),"OK","CHECK")</x:f>
        <x:v>OK</x:v>
      </x:c>
      <x:c r="V372" t="str">
        <x:f>IF(AND(ISNUMBER(N372),N372&gt;=0),"OK","CHECK")</x:f>
        <x:v>OK</x:v>
      </x:c>
      <x:c r="W372" t="str">
        <x:f>IF(AND(T372="OK",U372="OK",V372="OK"),"OK","CHECK")</x:f>
        <x:v>OK</x:v>
      </x:c>
      <x:c r="X372" t="str">
        <x:f>IF(W372="OK","LOAD","QUARANTINE")</x:f>
        <x:v>LOAD</x:v>
      </x:c>
      <x:c r="Y372" t="str">
        <x:v>03_Process_Losses(6).xlsx</x:v>
      </x:c>
      <x:c r="Z372" t="str">
        <x:v>ENH-20260830-01</x:v>
      </x:c>
      <x:c r="AA372" t="str">
        <x:f>IF(X372="LOAD","Active","Quarantine")</x:f>
        <x:v>Active</x:v>
      </x:c>
      <x:c r="AB372"/>
      <x:c r="AC372"/>
      <x:c r="AD372"/>
      <x:c r="AE372"/>
    </x:row>
    <x:row r="373">
      <x:c r="A373" t="str">
        <x:v>PLD-000369</x:v>
      </x:c>
      <x:c r="B373" t="str">
        <x:v>LOSS-KG01-L23-20251022-PM-ORD-2025-00093</x:v>
      </x:c>
      <x:c r="C373" t="str">
        <x:v>PE-KG01-L23-20251022-PM-ORD-2025-00093</x:v>
      </x:c>
      <x:c r="D373" t="str">
        <x:v>KG01</x:v>
      </x:c>
      <x:c r="E373" t="n">
        <x:v>23</x:v>
      </x:c>
      <x:c r="F373" s="52" t="n">
        <x:v>45952</x:v>
      </x:c>
      <x:c r="G373" t="str">
        <x:v>PM</x:v>
      </x:c>
      <x:c r="H373" t="str">
        <x:v>ORD-2025-00093</x:v>
      </x:c>
      <x:c r="I373" t="str">
        <x:v>Normal</x:v>
      </x:c>
      <x:c r="J373" t="str">
        <x:v>PROC_EVO16</x:v>
      </x:c>
      <x:c r="K373" t="str">
        <x:v>Inspection</x:v>
      </x:c>
      <x:c r="L373" s="54" t="n">
        <x:v>0.004921497584541063</x:v>
      </x:c>
      <x:c r="M373" t="n">
        <x:v>165600</x:v>
      </x:c>
      <x:c r="N373" t="n">
        <x:f>L373*M373</x:f>
        <x:v>815</x:v>
      </x:c>
      <x:c r="O373"/>
      <x:c r="P373"/>
      <x:c r="Q373"/>
      <x:c r="R373"/>
      <x:c r="S373" s="52"/>
      <x:c r="T373" t="str">
        <x:v>OK</x:v>
      </x:c>
      <x:c r="U373" t="str">
        <x:f>IF(AND(ISNUMBER(L373),L373&gt;=0,L373&lt;=1),"OK","CHECK")</x:f>
        <x:v>OK</x:v>
      </x:c>
      <x:c r="V373" t="str">
        <x:f>IF(AND(ISNUMBER(N373),N373&gt;=0),"OK","CHECK")</x:f>
        <x:v>OK</x:v>
      </x:c>
      <x:c r="W373" t="str">
        <x:f>IF(AND(T373="OK",U373="OK",V373="OK"),"OK","CHECK")</x:f>
        <x:v>OK</x:v>
      </x:c>
      <x:c r="X373" t="str">
        <x:f>IF(W373="OK","LOAD","QUARANTINE")</x:f>
        <x:v>LOAD</x:v>
      </x:c>
      <x:c r="Y373" t="str">
        <x:v>03_Process_Losses(6).xlsx</x:v>
      </x:c>
      <x:c r="Z373" t="str">
        <x:v>ENH-20260830-01</x:v>
      </x:c>
      <x:c r="AA373" t="str">
        <x:f>IF(X373="LOAD","Active","Quarantine")</x:f>
        <x:v>Active</x:v>
      </x:c>
      <x:c r="AB373"/>
      <x:c r="AC373"/>
      <x:c r="AD373"/>
      <x:c r="AE373"/>
    </x:row>
    <x:row r="374">
      <x:c r="A374" t="str">
        <x:v>PLD-000370</x:v>
      </x:c>
      <x:c r="B374" t="str">
        <x:v>LOSS-KG01-L23-20251022-PM-ORD-2025-00093</x:v>
      </x:c>
      <x:c r="C374" t="str">
        <x:v>PE-KG01-L23-20251022-PM-ORD-2025-00093</x:v>
      </x:c>
      <x:c r="D374" t="str">
        <x:v>KG01</x:v>
      </x:c>
      <x:c r="E374" t="n">
        <x:v>23</x:v>
      </x:c>
      <x:c r="F374" s="52" t="n">
        <x:v>45952</x:v>
      </x:c>
      <x:c r="G374" t="str">
        <x:v>PM</x:v>
      </x:c>
      <x:c r="H374" t="str">
        <x:v>ORD-2025-00093</x:v>
      </x:c>
      <x:c r="I374" t="str">
        <x:v>Normal</x:v>
      </x:c>
      <x:c r="J374" t="str">
        <x:v>PROC_EVO12</x:v>
      </x:c>
      <x:c r="K374" t="str">
        <x:v>Inspection</x:v>
      </x:c>
      <x:c r="L374" s="54" t="n">
        <x:v>0.0016183574879227052</x:v>
      </x:c>
      <x:c r="M374" t="n">
        <x:v>165600</x:v>
      </x:c>
      <x:c r="N374" t="n">
        <x:f>L374*M374</x:f>
        <x:v>268</x:v>
      </x:c>
      <x:c r="O374"/>
      <x:c r="P374"/>
      <x:c r="Q374"/>
      <x:c r="R374"/>
      <x:c r="S374" s="52"/>
      <x:c r="T374" t="str">
        <x:v>OK</x:v>
      </x:c>
      <x:c r="U374" t="str">
        <x:f>IF(AND(ISNUMBER(L374),L374&gt;=0,L374&lt;=1),"OK","CHECK")</x:f>
        <x:v>OK</x:v>
      </x:c>
      <x:c r="V374" t="str">
        <x:f>IF(AND(ISNUMBER(N374),N374&gt;=0),"OK","CHECK")</x:f>
        <x:v>OK</x:v>
      </x:c>
      <x:c r="W374" t="str">
        <x:f>IF(AND(T374="OK",U374="OK",V374="OK"),"OK","CHECK")</x:f>
        <x:v>OK</x:v>
      </x:c>
      <x:c r="X374" t="str">
        <x:f>IF(W374="OK","LOAD","QUARANTINE")</x:f>
        <x:v>LOAD</x:v>
      </x:c>
      <x:c r="Y374" t="str">
        <x:v>03_Process_Losses(6).xlsx</x:v>
      </x:c>
      <x:c r="Z374" t="str">
        <x:v>ENH-20260830-01</x:v>
      </x:c>
      <x:c r="AA374" t="str">
        <x:f>IF(X374="LOAD","Active","Quarantine")</x:f>
        <x:v>Active</x:v>
      </x:c>
      <x:c r="AB374"/>
      <x:c r="AC374"/>
      <x:c r="AD374"/>
      <x:c r="AE374"/>
    </x:row>
    <x:row r="375">
      <x:c r="A375" t="str">
        <x:v>PLD-000371</x:v>
      </x:c>
      <x:c r="B375" t="str">
        <x:v>LOSS-KG01-L23-20251022-PM-ORD-2025-00093</x:v>
      </x:c>
      <x:c r="C375" t="str">
        <x:v>PE-KG01-L23-20251022-PM-ORD-2025-00093</x:v>
      </x:c>
      <x:c r="D375" t="str">
        <x:v>KG01</x:v>
      </x:c>
      <x:c r="E375" t="n">
        <x:v>23</x:v>
      </x:c>
      <x:c r="F375" s="52" t="n">
        <x:v>45952</x:v>
      </x:c>
      <x:c r="G375" t="str">
        <x:v>PM</x:v>
      </x:c>
      <x:c r="H375" t="str">
        <x:v>ORD-2025-00093</x:v>
      </x:c>
      <x:c r="I375" t="str">
        <x:v>Normal</x:v>
      </x:c>
      <x:c r="J375" t="str">
        <x:v>PROC_EVO5</x:v>
      </x:c>
      <x:c r="K375" t="str">
        <x:v>Inspection</x:v>
      </x:c>
      <x:c r="L375" s="54" t="n">
        <x:v>0.0012258454106280194</x:v>
      </x:c>
      <x:c r="M375" t="n">
        <x:v>165600</x:v>
      </x:c>
      <x:c r="N375" t="n">
        <x:f>L375*M375</x:f>
        <x:v>203</x:v>
      </x:c>
      <x:c r="O375"/>
      <x:c r="P375"/>
      <x:c r="Q375"/>
      <x:c r="R375"/>
      <x:c r="S375" s="52"/>
      <x:c r="T375" t="str">
        <x:v>OK</x:v>
      </x:c>
      <x:c r="U375" t="str">
        <x:f>IF(AND(ISNUMBER(L375),L375&gt;=0,L375&lt;=1),"OK","CHECK")</x:f>
        <x:v>OK</x:v>
      </x:c>
      <x:c r="V375" t="str">
        <x:f>IF(AND(ISNUMBER(N375),N375&gt;=0),"OK","CHECK")</x:f>
        <x:v>OK</x:v>
      </x:c>
      <x:c r="W375" t="str">
        <x:f>IF(AND(T375="OK",U375="OK",V375="OK"),"OK","CHECK")</x:f>
        <x:v>OK</x:v>
      </x:c>
      <x:c r="X375" t="str">
        <x:f>IF(W375="OK","LOAD","QUARANTINE")</x:f>
        <x:v>LOAD</x:v>
      </x:c>
      <x:c r="Y375" t="str">
        <x:v>03_Process_Losses(6).xlsx</x:v>
      </x:c>
      <x:c r="Z375" t="str">
        <x:v>ENH-20260830-01</x:v>
      </x:c>
      <x:c r="AA375" t="str">
        <x:f>IF(X375="LOAD","Active","Quarantine")</x:f>
        <x:v>Active</x:v>
      </x:c>
      <x:c r="AB375"/>
      <x:c r="AC375"/>
      <x:c r="AD375"/>
      <x:c r="AE375"/>
    </x:row>
    <x:row r="376">
      <x:c r="A376" t="str">
        <x:v>PLD-000372</x:v>
      </x:c>
      <x:c r="B376" t="str">
        <x:v>LOSS-KG01-L23-20251022-PM-ORD-2025-00093</x:v>
      </x:c>
      <x:c r="C376" t="str">
        <x:v>PE-KG01-L23-20251022-PM-ORD-2025-00093</x:v>
      </x:c>
      <x:c r="D376" t="str">
        <x:v>KG01</x:v>
      </x:c>
      <x:c r="E376" t="n">
        <x:v>23</x:v>
      </x:c>
      <x:c r="F376" s="52" t="n">
        <x:v>45952</x:v>
      </x:c>
      <x:c r="G376" t="str">
        <x:v>PM</x:v>
      </x:c>
      <x:c r="H376" t="str">
        <x:v>ORD-2025-00093</x:v>
      </x:c>
      <x:c r="I376" t="str">
        <x:v>Normal</x:v>
      </x:c>
      <x:c r="J376" t="str">
        <x:v>PROC_SANLI</x:v>
      </x:c>
      <x:c r="K376" t="str">
        <x:v>Inspection</x:v>
      </x:c>
      <x:c r="L376" s="54" t="n">
        <x:v>0.00125</x:v>
      </x:c>
      <x:c r="M376" t="n">
        <x:v>165600</x:v>
      </x:c>
      <x:c r="N376" t="n">
        <x:f>L376*M376</x:f>
        <x:v>207</x:v>
      </x:c>
      <x:c r="O376"/>
      <x:c r="P376"/>
      <x:c r="Q376"/>
      <x:c r="R376"/>
      <x:c r="S376" s="52"/>
      <x:c r="T376" t="str">
        <x:v>OK</x:v>
      </x:c>
      <x:c r="U376" t="str">
        <x:f>IF(AND(ISNUMBER(L376),L376&gt;=0,L376&lt;=1),"OK","CHECK")</x:f>
        <x:v>OK</x:v>
      </x:c>
      <x:c r="V376" t="str">
        <x:f>IF(AND(ISNUMBER(N376),N376&gt;=0),"OK","CHECK")</x:f>
        <x:v>OK</x:v>
      </x:c>
      <x:c r="W376" t="str">
        <x:f>IF(AND(T376="OK",U376="OK",V376="OK"),"OK","CHECK")</x:f>
        <x:v>OK</x:v>
      </x:c>
      <x:c r="X376" t="str">
        <x:f>IF(W376="OK","LOAD","QUARANTINE")</x:f>
        <x:v>LOAD</x:v>
      </x:c>
      <x:c r="Y376" t="str">
        <x:v>03_Process_Losses(6).xlsx</x:v>
      </x:c>
      <x:c r="Z376" t="str">
        <x:v>ENH-20260830-01</x:v>
      </x:c>
      <x:c r="AA376" t="str">
        <x:f>IF(X376="LOAD","Active","Quarantine")</x:f>
        <x:v>Active</x:v>
      </x:c>
      <x:c r="AB376"/>
      <x:c r="AC376"/>
      <x:c r="AD376"/>
      <x:c r="AE376"/>
    </x:row>
    <x:row r="377">
      <x:c r="A377" t="str">
        <x:v>PLD-000373</x:v>
      </x:c>
      <x:c r="B377" t="str">
        <x:v>LOSS-KG01-L23-20251022-PM-ORD-2025-00093</x:v>
      </x:c>
      <x:c r="C377" t="str">
        <x:v>PE-KG01-L23-20251022-PM-ORD-2025-00093</x:v>
      </x:c>
      <x:c r="D377" t="str">
        <x:v>KG01</x:v>
      </x:c>
      <x:c r="E377" t="n">
        <x:v>23</x:v>
      </x:c>
      <x:c r="F377" s="52" t="n">
        <x:v>45952</x:v>
      </x:c>
      <x:c r="G377" t="str">
        <x:v>PM</x:v>
      </x:c>
      <x:c r="H377" t="str">
        <x:v>ORD-2025-00093</x:v>
      </x:c>
      <x:c r="I377" t="str">
        <x:v>Normal</x:v>
      </x:c>
      <x:c r="J377" t="str">
        <x:v>PROC_VISUAL</x:v>
      </x:c>
      <x:c r="K377" t="str">
        <x:v>Inspection</x:v>
      </x:c>
      <x:c r="L377" s="54" t="n">
        <x:v>0.015440821256038647</x:v>
      </x:c>
      <x:c r="M377" t="n">
        <x:v>165600</x:v>
      </x:c>
      <x:c r="N377" t="n">
        <x:f>L377*M377</x:f>
        <x:v>2557</x:v>
      </x:c>
      <x:c r="O377"/>
      <x:c r="P377"/>
      <x:c r="Q377"/>
      <x:c r="R377"/>
      <x:c r="S377" s="52"/>
      <x:c r="T377" t="str">
        <x:v>OK</x:v>
      </x:c>
      <x:c r="U377" t="str">
        <x:f>IF(AND(ISNUMBER(L377),L377&gt;=0,L377&lt;=1),"OK","CHECK")</x:f>
        <x:v>OK</x:v>
      </x:c>
      <x:c r="V377" t="str">
        <x:f>IF(AND(ISNUMBER(N377),N377&gt;=0),"OK","CHECK")</x:f>
        <x:v>OK</x:v>
      </x:c>
      <x:c r="W377" t="str">
        <x:f>IF(AND(T377="OK",U377="OK",V377="OK"),"OK","CHECK")</x:f>
        <x:v>OK</x:v>
      </x:c>
      <x:c r="X377" t="str">
        <x:f>IF(W377="OK","LOAD","QUARANTINE")</x:f>
        <x:v>LOAD</x:v>
      </x:c>
      <x:c r="Y377" t="str">
        <x:v>03_Process_Losses(6).xlsx</x:v>
      </x:c>
      <x:c r="Z377" t="str">
        <x:v>ENH-20260830-01</x:v>
      </x:c>
      <x:c r="AA377" t="str">
        <x:f>IF(X377="LOAD","Active","Quarantine")</x:f>
        <x:v>Active</x:v>
      </x:c>
      <x:c r="AB377"/>
      <x:c r="AC377"/>
      <x:c r="AD377"/>
      <x:c r="AE377"/>
    </x:row>
    <x:row r="378">
      <x:c r="A378" t="str">
        <x:v>PLD-000374</x:v>
      </x:c>
      <x:c r="B378" t="str">
        <x:v>LOSS-KG01-L23-20251022-PM-ORD-2025-00093</x:v>
      </x:c>
      <x:c r="C378" t="str">
        <x:v>PE-KG01-L23-20251022-PM-ORD-2025-00093</x:v>
      </x:c>
      <x:c r="D378" t="str">
        <x:v>KG01</x:v>
      </x:c>
      <x:c r="E378" t="n">
        <x:v>23</x:v>
      </x:c>
      <x:c r="F378" s="52" t="n">
        <x:v>45952</x:v>
      </x:c>
      <x:c r="G378" t="str">
        <x:v>PM</x:v>
      </x:c>
      <x:c r="H378" t="str">
        <x:v>ORD-2025-00093</x:v>
      </x:c>
      <x:c r="I378" t="str">
        <x:v>Normal</x:v>
      </x:c>
      <x:c r="J378" t="str">
        <x:v>PROC_PALLETIZER</x:v>
      </x:c>
      <x:c r="K378" t="str">
        <x:v>Palletizer</x:v>
      </x:c>
      <x:c r="L378" s="54" t="n">
        <x:v>0.005084541062801933</x:v>
      </x:c>
      <x:c r="M378" t="n">
        <x:v>165600</x:v>
      </x:c>
      <x:c r="N378" t="n">
        <x:f>L378*M378</x:f>
        <x:v>842</x:v>
      </x:c>
      <x:c r="O378"/>
      <x:c r="P378"/>
      <x:c r="Q378"/>
      <x:c r="R378"/>
      <x:c r="S378" s="52"/>
      <x:c r="T378" t="str">
        <x:v>OK</x:v>
      </x:c>
      <x:c r="U378" t="str">
        <x:f>IF(AND(ISNUMBER(L378),L378&gt;=0,L378&lt;=1),"OK","CHECK")</x:f>
        <x:v>OK</x:v>
      </x:c>
      <x:c r="V378" t="str">
        <x:f>IF(AND(ISNUMBER(N378),N378&gt;=0),"OK","CHECK")</x:f>
        <x:v>OK</x:v>
      </x:c>
      <x:c r="W378" t="str">
        <x:f>IF(AND(T378="OK",U378="OK",V378="OK"),"OK","CHECK")</x:f>
        <x:v>OK</x:v>
      </x:c>
      <x:c r="X378" t="str">
        <x:f>IF(W378="OK","LOAD","QUARANTINE")</x:f>
        <x:v>LOAD</x:v>
      </x:c>
      <x:c r="Y378" t="str">
        <x:v>03_Process_Losses(6).xlsx</x:v>
      </x:c>
      <x:c r="Z378" t="str">
        <x:v>ENH-20260830-01</x:v>
      </x:c>
      <x:c r="AA378" t="str">
        <x:f>IF(X378="LOAD","Active","Quarantine")</x:f>
        <x:v>Active</x:v>
      </x:c>
      <x:c r="AB378"/>
      <x:c r="AC378"/>
      <x:c r="AD378"/>
      <x:c r="AE378"/>
    </x:row>
    <x:row r="379">
      <x:c r="A379" t="str">
        <x:v>PLD-000375</x:v>
      </x:c>
      <x:c r="B379" t="str">
        <x:v>LOSS-KG01-L23-20251023-AM-ORD-2025-00093</x:v>
      </x:c>
      <x:c r="C379" t="str">
        <x:v>PE-KG01-L23-20251023-AM-ORD-2025-00093</x:v>
      </x:c>
      <x:c r="D379" t="str">
        <x:v>KG01</x:v>
      </x:c>
      <x:c r="E379" t="n">
        <x:v>23</x:v>
      </x:c>
      <x:c r="F379" s="52" t="n">
        <x:v>45953</x:v>
      </x:c>
      <x:c r="G379" t="str">
        <x:v>AM</x:v>
      </x:c>
      <x:c r="H379" t="str">
        <x:v>ORD-2025-00093</x:v>
      </x:c>
      <x:c r="I379" t="str">
        <x:v>Normal</x:v>
      </x:c>
      <x:c r="J379" t="str">
        <x:v>PROC_FIXED</x:v>
      </x:c>
      <x:c r="K379" t="str">
        <x:v>Fixed Losses</x:v>
      </x:c>
      <x:c r="L379" s="54" t="n">
        <x:v>0.002992139568484953</x:v>
      </x:c>
      <x:c r="M379" t="n">
        <x:v>185486</x:v>
      </x:c>
      <x:c r="N379" t="n">
        <x:f>L379*M379</x:f>
        <x:v>555</x:v>
      </x:c>
      <x:c r="O379"/>
      <x:c r="P379"/>
      <x:c r="Q379"/>
      <x:c r="R379"/>
      <x:c r="S379" s="52"/>
      <x:c r="T379" t="str">
        <x:v>OK</x:v>
      </x:c>
      <x:c r="U379" t="str">
        <x:f>IF(AND(ISNUMBER(L379),L379&gt;=0,L379&lt;=1),"OK","CHECK")</x:f>
        <x:v>OK</x:v>
      </x:c>
      <x:c r="V379" t="str">
        <x:f>IF(AND(ISNUMBER(N379),N379&gt;=0),"OK","CHECK")</x:f>
        <x:v>OK</x:v>
      </x:c>
      <x:c r="W379" t="str">
        <x:f>IF(AND(T379="OK",U379="OK",V379="OK"),"OK","CHECK")</x:f>
        <x:v>OK</x:v>
      </x:c>
      <x:c r="X379" t="str">
        <x:f>IF(W379="OK","LOAD","QUARANTINE")</x:f>
        <x:v>LOAD</x:v>
      </x:c>
      <x:c r="Y379" t="str">
        <x:v>03_Process_Losses(6).xlsx</x:v>
      </x:c>
      <x:c r="Z379" t="str">
        <x:v>ENH-20260830-01</x:v>
      </x:c>
      <x:c r="AA379" t="str">
        <x:f>IF(X379="LOAD","Active","Quarantine")</x:f>
        <x:v>Active</x:v>
      </x:c>
      <x:c r="AB379"/>
      <x:c r="AC379"/>
      <x:c r="AD379"/>
      <x:c r="AE379"/>
    </x:row>
    <x:row r="380">
      <x:c r="A380" t="str">
        <x:v>PLD-000376</x:v>
      </x:c>
      <x:c r="B380" t="str">
        <x:v>LOSS-KG01-L23-20251023-AM-ORD-2025-00093</x:v>
      </x:c>
      <x:c r="C380" t="str">
        <x:v>PE-KG01-L23-20251023-AM-ORD-2025-00093</x:v>
      </x:c>
      <x:c r="D380" t="str">
        <x:v>KG01</x:v>
      </x:c>
      <x:c r="E380" t="n">
        <x:v>23</x:v>
      </x:c>
      <x:c r="F380" s="52" t="n">
        <x:v>45953</x:v>
      </x:c>
      <x:c r="G380" t="str">
        <x:v>AM</x:v>
      </x:c>
      <x:c r="H380" t="str">
        <x:v>ORD-2025-00093</x:v>
      </x:c>
      <x:c r="I380" t="str">
        <x:v>Normal</x:v>
      </x:c>
      <x:c r="J380" t="str">
        <x:v>PROC_IS</x:v>
      </x:c>
      <x:c r="K380" t="str">
        <x:v>IS Machine</x:v>
      </x:c>
      <x:c r="L380" s="54" t="n">
        <x:v>0.011925428334213903</x:v>
      </x:c>
      <x:c r="M380" t="n">
        <x:v>185486</x:v>
      </x:c>
      <x:c r="N380" t="n">
        <x:f>L380*M380</x:f>
        <x:v>2212</x:v>
      </x:c>
      <x:c r="O380"/>
      <x:c r="P380"/>
      <x:c r="Q380"/>
      <x:c r="R380"/>
      <x:c r="S380" s="52"/>
      <x:c r="T380" t="str">
        <x:v>OK</x:v>
      </x:c>
      <x:c r="U380" t="str">
        <x:f>IF(AND(ISNUMBER(L380),L380&gt;=0,L380&lt;=1),"OK","CHECK")</x:f>
        <x:v>OK</x:v>
      </x:c>
      <x:c r="V380" t="str">
        <x:f>IF(AND(ISNUMBER(N380),N380&gt;=0),"OK","CHECK")</x:f>
        <x:v>OK</x:v>
      </x:c>
      <x:c r="W380" t="str">
        <x:f>IF(AND(T380="OK",U380="OK",V380="OK"),"OK","CHECK")</x:f>
        <x:v>OK</x:v>
      </x:c>
      <x:c r="X380" t="str">
        <x:f>IF(W380="OK","LOAD","QUARANTINE")</x:f>
        <x:v>LOAD</x:v>
      </x:c>
      <x:c r="Y380" t="str">
        <x:v>03_Process_Losses(6).xlsx</x:v>
      </x:c>
      <x:c r="Z380" t="str">
        <x:v>ENH-20260830-01</x:v>
      </x:c>
      <x:c r="AA380" t="str">
        <x:f>IF(X380="LOAD","Active","Quarantine")</x:f>
        <x:v>Active</x:v>
      </x:c>
      <x:c r="AB380"/>
      <x:c r="AC380"/>
      <x:c r="AD380"/>
      <x:c r="AE380"/>
    </x:row>
    <x:row r="381">
      <x:c r="A381" t="str">
        <x:v>PLD-000377</x:v>
      </x:c>
      <x:c r="B381" t="str">
        <x:v>LOSS-KG01-L23-20251023-AM-ORD-2025-00093</x:v>
      </x:c>
      <x:c r="C381" t="str">
        <x:v>PE-KG01-L23-20251023-AM-ORD-2025-00093</x:v>
      </x:c>
      <x:c r="D381" t="str">
        <x:v>KG01</x:v>
      </x:c>
      <x:c r="E381" t="n">
        <x:v>23</x:v>
      </x:c>
      <x:c r="F381" s="52" t="n">
        <x:v>45953</x:v>
      </x:c>
      <x:c r="G381" t="str">
        <x:v>AM</x:v>
      </x:c>
      <x:c r="H381" t="str">
        <x:v>ORD-2025-00093</x:v>
      </x:c>
      <x:c r="I381" t="str">
        <x:v>Normal</x:v>
      </x:c>
      <x:c r="J381" t="str">
        <x:v>PROC_HE_CONVEYER</x:v>
      </x:c>
      <x:c r="K381" t="str">
        <x:v>Hot End</x:v>
      </x:c>
      <x:c r="L381" s="54" t="n">
        <x:v>0.006135233926010588</x:v>
      </x:c>
      <x:c r="M381" t="n">
        <x:v>185486</x:v>
      </x:c>
      <x:c r="N381" t="n">
        <x:f>L381*M381</x:f>
        <x:v>1138</x:v>
      </x:c>
      <x:c r="O381"/>
      <x:c r="P381"/>
      <x:c r="Q381"/>
      <x:c r="R381"/>
      <x:c r="S381" s="52"/>
      <x:c r="T381" t="str">
        <x:v>OK</x:v>
      </x:c>
      <x:c r="U381" t="str">
        <x:f>IF(AND(ISNUMBER(L381),L381&gt;=0,L381&lt;=1),"OK","CHECK")</x:f>
        <x:v>OK</x:v>
      </x:c>
      <x:c r="V381" t="str">
        <x:f>IF(AND(ISNUMBER(N381),N381&gt;=0),"OK","CHECK")</x:f>
        <x:v>OK</x:v>
      </x:c>
      <x:c r="W381" t="str">
        <x:f>IF(AND(T381="OK",U381="OK",V381="OK"),"OK","CHECK")</x:f>
        <x:v>OK</x:v>
      </x:c>
      <x:c r="X381" t="str">
        <x:f>IF(W381="OK","LOAD","QUARANTINE")</x:f>
        <x:v>LOAD</x:v>
      </x:c>
      <x:c r="Y381" t="str">
        <x:v>03_Process_Losses(6).xlsx</x:v>
      </x:c>
      <x:c r="Z381" t="str">
        <x:v>ENH-20260830-01</x:v>
      </x:c>
      <x:c r="AA381" t="str">
        <x:f>IF(X381="LOAD","Active","Quarantine")</x:f>
        <x:v>Active</x:v>
      </x:c>
      <x:c r="AB381"/>
      <x:c r="AC381"/>
      <x:c r="AD381"/>
      <x:c r="AE381"/>
    </x:row>
    <x:row r="382">
      <x:c r="A382" t="str">
        <x:v>PLD-000378</x:v>
      </x:c>
      <x:c r="B382" t="str">
        <x:v>LOSS-KG01-L23-20251023-AM-ORD-2025-00093</x:v>
      </x:c>
      <x:c r="C382" t="str">
        <x:v>PE-KG01-L23-20251023-AM-ORD-2025-00093</x:v>
      </x:c>
      <x:c r="D382" t="str">
        <x:v>KG01</x:v>
      </x:c>
      <x:c r="E382" t="n">
        <x:v>23</x:v>
      </x:c>
      <x:c r="F382" s="52" t="n">
        <x:v>45953</x:v>
      </x:c>
      <x:c r="G382" t="str">
        <x:v>AM</x:v>
      </x:c>
      <x:c r="H382" t="str">
        <x:v>ORD-2025-00093</x:v>
      </x:c>
      <x:c r="I382" t="str">
        <x:v>Normal</x:v>
      </x:c>
      <x:c r="J382" t="str">
        <x:v>PROC_STUCKDOWN</x:v>
      </x:c>
      <x:c r="K382" t="str">
        <x:v>Forming</x:v>
      </x:c>
      <x:c r="L382" s="54" t="n">
        <x:v>0.004070388061632684</x:v>
      </x:c>
      <x:c r="M382" t="n">
        <x:v>185486</x:v>
      </x:c>
      <x:c r="N382" t="n">
        <x:f>L382*M382</x:f>
        <x:v>755</x:v>
      </x:c>
      <x:c r="O382"/>
      <x:c r="P382"/>
      <x:c r="Q382"/>
      <x:c r="R382"/>
      <x:c r="S382" s="52"/>
      <x:c r="T382" t="str">
        <x:v>OK</x:v>
      </x:c>
      <x:c r="U382" t="str">
        <x:f>IF(AND(ISNUMBER(L382),L382&gt;=0,L382&lt;=1),"OK","CHECK")</x:f>
        <x:v>OK</x:v>
      </x:c>
      <x:c r="V382" t="str">
        <x:f>IF(AND(ISNUMBER(N382),N382&gt;=0),"OK","CHECK")</x:f>
        <x:v>OK</x:v>
      </x:c>
      <x:c r="W382" t="str">
        <x:f>IF(AND(T382="OK",U382="OK",V382="OK"),"OK","CHECK")</x:f>
        <x:v>OK</x:v>
      </x:c>
      <x:c r="X382" t="str">
        <x:f>IF(W382="OK","LOAD","QUARANTINE")</x:f>
        <x:v>LOAD</x:v>
      </x:c>
      <x:c r="Y382" t="str">
        <x:v>03_Process_Losses(6).xlsx</x:v>
      </x:c>
      <x:c r="Z382" t="str">
        <x:v>ENH-20260830-01</x:v>
      </x:c>
      <x:c r="AA382" t="str">
        <x:f>IF(X382="LOAD","Active","Quarantine")</x:f>
        <x:v>Active</x:v>
      </x:c>
      <x:c r="AB382"/>
      <x:c r="AC382"/>
      <x:c r="AD382"/>
      <x:c r="AE382"/>
    </x:row>
    <x:row r="383">
      <x:c r="A383" t="str">
        <x:v>PLD-000379</x:v>
      </x:c>
      <x:c r="B383" t="str">
        <x:v>LOSS-KG01-L23-20251023-AM-ORD-2025-00093</x:v>
      </x:c>
      <x:c r="C383" t="str">
        <x:v>PE-KG01-L23-20251023-AM-ORD-2025-00093</x:v>
      </x:c>
      <x:c r="D383" t="str">
        <x:v>KG01</x:v>
      </x:c>
      <x:c r="E383" t="n">
        <x:v>23</x:v>
      </x:c>
      <x:c r="F383" s="52" t="n">
        <x:v>45953</x:v>
      </x:c>
      <x:c r="G383" t="str">
        <x:v>AM</x:v>
      </x:c>
      <x:c r="H383" t="str">
        <x:v>ORD-2025-00093</x:v>
      </x:c>
      <x:c r="I383" t="str">
        <x:v>Normal</x:v>
      </x:c>
      <x:c r="J383" t="str">
        <x:v>PROC_LEHR</x:v>
      </x:c>
      <x:c r="K383" t="str">
        <x:v>Lehr</x:v>
      </x:c>
      <x:c r="L383" s="54" t="n">
        <x:v>0.0020378896520492113</x:v>
      </x:c>
      <x:c r="M383" t="n">
        <x:v>185486</x:v>
      </x:c>
      <x:c r="N383" t="n">
        <x:f>L383*M383</x:f>
        <x:v>378</x:v>
      </x:c>
      <x:c r="O383"/>
      <x:c r="P383"/>
      <x:c r="Q383"/>
      <x:c r="R383"/>
      <x:c r="S383" s="52"/>
      <x:c r="T383" t="str">
        <x:v>OK</x:v>
      </x:c>
      <x:c r="U383" t="str">
        <x:f>IF(AND(ISNUMBER(L383),L383&gt;=0,L383&lt;=1),"OK","CHECK")</x:f>
        <x:v>OK</x:v>
      </x:c>
      <x:c r="V383" t="str">
        <x:f>IF(AND(ISNUMBER(N383),N383&gt;=0),"OK","CHECK")</x:f>
        <x:v>OK</x:v>
      </x:c>
      <x:c r="W383" t="str">
        <x:f>IF(AND(T383="OK",U383="OK",V383="OK"),"OK","CHECK")</x:f>
        <x:v>OK</x:v>
      </x:c>
      <x:c r="X383" t="str">
        <x:f>IF(W383="OK","LOAD","QUARANTINE")</x:f>
        <x:v>LOAD</x:v>
      </x:c>
      <x:c r="Y383" t="str">
        <x:v>03_Process_Losses(6).xlsx</x:v>
      </x:c>
      <x:c r="Z383" t="str">
        <x:v>ENH-20260830-01</x:v>
      </x:c>
      <x:c r="AA383" t="str">
        <x:f>IF(X383="LOAD","Active","Quarantine")</x:f>
        <x:v>Active</x:v>
      </x:c>
      <x:c r="AB383"/>
      <x:c r="AC383"/>
      <x:c r="AD383"/>
      <x:c r="AE383"/>
    </x:row>
    <x:row r="384">
      <x:c r="A384" t="str">
        <x:v>PLD-000380</x:v>
      </x:c>
      <x:c r="B384" t="str">
        <x:v>LOSS-KG01-L23-20251023-AM-ORD-2025-00093</x:v>
      </x:c>
      <x:c r="C384" t="str">
        <x:v>PE-KG01-L23-20251023-AM-ORD-2025-00093</x:v>
      </x:c>
      <x:c r="D384" t="str">
        <x:v>KG01</x:v>
      </x:c>
      <x:c r="E384" t="n">
        <x:v>23</x:v>
      </x:c>
      <x:c r="F384" s="52" t="n">
        <x:v>45953</x:v>
      </x:c>
      <x:c r="G384" t="str">
        <x:v>AM</x:v>
      </x:c>
      <x:c r="H384" t="str">
        <x:v>ORD-2025-00093</x:v>
      </x:c>
      <x:c r="I384" t="str">
        <x:v>Normal</x:v>
      </x:c>
      <x:c r="J384" t="str">
        <x:v>PROC_EVO16</x:v>
      </x:c>
      <x:c r="K384" t="str">
        <x:v>Inspection</x:v>
      </x:c>
      <x:c r="L384" s="54" t="n">
        <x:v>0.0037684784835513192</x:v>
      </x:c>
      <x:c r="M384" t="n">
        <x:v>185486</x:v>
      </x:c>
      <x:c r="N384" t="n">
        <x:f>L384*M384</x:f>
        <x:v>699</x:v>
      </x:c>
      <x:c r="O384"/>
      <x:c r="P384"/>
      <x:c r="Q384"/>
      <x:c r="R384"/>
      <x:c r="S384" s="52"/>
      <x:c r="T384" t="str">
        <x:v>OK</x:v>
      </x:c>
      <x:c r="U384" t="str">
        <x:f>IF(AND(ISNUMBER(L384),L384&gt;=0,L384&lt;=1),"OK","CHECK")</x:f>
        <x:v>OK</x:v>
      </x:c>
      <x:c r="V384" t="str">
        <x:f>IF(AND(ISNUMBER(N384),N384&gt;=0),"OK","CHECK")</x:f>
        <x:v>OK</x:v>
      </x:c>
      <x:c r="W384" t="str">
        <x:f>IF(AND(T384="OK",U384="OK",V384="OK"),"OK","CHECK")</x:f>
        <x:v>OK</x:v>
      </x:c>
      <x:c r="X384" t="str">
        <x:f>IF(W384="OK","LOAD","QUARANTINE")</x:f>
        <x:v>LOAD</x:v>
      </x:c>
      <x:c r="Y384" t="str">
        <x:v>03_Process_Losses(6).xlsx</x:v>
      </x:c>
      <x:c r="Z384" t="str">
        <x:v>ENH-20260830-01</x:v>
      </x:c>
      <x:c r="AA384" t="str">
        <x:f>IF(X384="LOAD","Active","Quarantine")</x:f>
        <x:v>Active</x:v>
      </x:c>
      <x:c r="AB384"/>
      <x:c r="AC384"/>
      <x:c r="AD384"/>
      <x:c r="AE384"/>
    </x:row>
    <x:row r="385">
      <x:c r="A385" t="str">
        <x:v>PLD-000381</x:v>
      </x:c>
      <x:c r="B385" t="str">
        <x:v>LOSS-KG01-L23-20251023-AM-ORD-2025-00093</x:v>
      </x:c>
      <x:c r="C385" t="str">
        <x:v>PE-KG01-L23-20251023-AM-ORD-2025-00093</x:v>
      </x:c>
      <x:c r="D385" t="str">
        <x:v>KG01</x:v>
      </x:c>
      <x:c r="E385" t="n">
        <x:v>23</x:v>
      </x:c>
      <x:c r="F385" s="52" t="n">
        <x:v>45953</x:v>
      </x:c>
      <x:c r="G385" t="str">
        <x:v>AM</x:v>
      </x:c>
      <x:c r="H385" t="str">
        <x:v>ORD-2025-00093</x:v>
      </x:c>
      <x:c r="I385" t="str">
        <x:v>Normal</x:v>
      </x:c>
      <x:c r="J385" t="str">
        <x:v>PROC_EVO12</x:v>
      </x:c>
      <x:c r="K385" t="str">
        <x:v>Inspection</x:v>
      </x:c>
      <x:c r="L385" s="54" t="n">
        <x:v>0.0005229505191766495</x:v>
      </x:c>
      <x:c r="M385" t="n">
        <x:v>185486</x:v>
      </x:c>
      <x:c r="N385" t="n">
        <x:f>L385*M385</x:f>
        <x:v>97</x:v>
      </x:c>
      <x:c r="O385"/>
      <x:c r="P385"/>
      <x:c r="Q385"/>
      <x:c r="R385"/>
      <x:c r="S385" s="52"/>
      <x:c r="T385" t="str">
        <x:v>OK</x:v>
      </x:c>
      <x:c r="U385" t="str">
        <x:f>IF(AND(ISNUMBER(L385),L385&gt;=0,L385&lt;=1),"OK","CHECK")</x:f>
        <x:v>OK</x:v>
      </x:c>
      <x:c r="V385" t="str">
        <x:f>IF(AND(ISNUMBER(N385),N385&gt;=0),"OK","CHECK")</x:f>
        <x:v>OK</x:v>
      </x:c>
      <x:c r="W385" t="str">
        <x:f>IF(AND(T385="OK",U385="OK",V385="OK"),"OK","CHECK")</x:f>
        <x:v>OK</x:v>
      </x:c>
      <x:c r="X385" t="str">
        <x:f>IF(W385="OK","LOAD","QUARANTINE")</x:f>
        <x:v>LOAD</x:v>
      </x:c>
      <x:c r="Y385" t="str">
        <x:v>03_Process_Losses(6).xlsx</x:v>
      </x:c>
      <x:c r="Z385" t="str">
        <x:v>ENH-20260830-01</x:v>
      </x:c>
      <x:c r="AA385" t="str">
        <x:f>IF(X385="LOAD","Active","Quarantine")</x:f>
        <x:v>Active</x:v>
      </x:c>
      <x:c r="AB385"/>
      <x:c r="AC385"/>
      <x:c r="AD385"/>
      <x:c r="AE385"/>
    </x:row>
    <x:row r="386">
      <x:c r="A386" t="str">
        <x:v>PLD-000382</x:v>
      </x:c>
      <x:c r="B386" t="str">
        <x:v>LOSS-KG01-L23-20251023-AM-ORD-2025-00093</x:v>
      </x:c>
      <x:c r="C386" t="str">
        <x:v>PE-KG01-L23-20251023-AM-ORD-2025-00093</x:v>
      </x:c>
      <x:c r="D386" t="str">
        <x:v>KG01</x:v>
      </x:c>
      <x:c r="E386" t="n">
        <x:v>23</x:v>
      </x:c>
      <x:c r="F386" s="52" t="n">
        <x:v>45953</x:v>
      </x:c>
      <x:c r="G386" t="str">
        <x:v>AM</x:v>
      </x:c>
      <x:c r="H386" t="str">
        <x:v>ORD-2025-00093</x:v>
      </x:c>
      <x:c r="I386" t="str">
        <x:v>Normal</x:v>
      </x:c>
      <x:c r="J386" t="str">
        <x:v>PROC_EVO5</x:v>
      </x:c>
      <x:c r="K386" t="str">
        <x:v>Inspection</x:v>
      </x:c>
      <x:c r="L386" s="54" t="n">
        <x:v>0.0016227639821873349</x:v>
      </x:c>
      <x:c r="M386" t="n">
        <x:v>185486</x:v>
      </x:c>
      <x:c r="N386" t="n">
        <x:f>L386*M386</x:f>
        <x:v>301</x:v>
      </x:c>
      <x:c r="O386"/>
      <x:c r="P386"/>
      <x:c r="Q386"/>
      <x:c r="R386"/>
      <x:c r="S386" s="52"/>
      <x:c r="T386" t="str">
        <x:v>OK</x:v>
      </x:c>
      <x:c r="U386" t="str">
        <x:f>IF(AND(ISNUMBER(L386),L386&gt;=0,L386&lt;=1),"OK","CHECK")</x:f>
        <x:v>OK</x:v>
      </x:c>
      <x:c r="V386" t="str">
        <x:f>IF(AND(ISNUMBER(N386),N386&gt;=0),"OK","CHECK")</x:f>
        <x:v>OK</x:v>
      </x:c>
      <x:c r="W386" t="str">
        <x:f>IF(AND(T386="OK",U386="OK",V386="OK"),"OK","CHECK")</x:f>
        <x:v>OK</x:v>
      </x:c>
      <x:c r="X386" t="str">
        <x:f>IF(W386="OK","LOAD","QUARANTINE")</x:f>
        <x:v>LOAD</x:v>
      </x:c>
      <x:c r="Y386" t="str">
        <x:v>03_Process_Losses(6).xlsx</x:v>
      </x:c>
      <x:c r="Z386" t="str">
        <x:v>ENH-20260830-01</x:v>
      </x:c>
      <x:c r="AA386" t="str">
        <x:f>IF(X386="LOAD","Active","Quarantine")</x:f>
        <x:v>Active</x:v>
      </x:c>
      <x:c r="AB386"/>
      <x:c r="AC386"/>
      <x:c r="AD386"/>
      <x:c r="AE386"/>
    </x:row>
    <x:row r="387">
      <x:c r="A387" t="str">
        <x:v>PLD-000383</x:v>
      </x:c>
      <x:c r="B387" t="str">
        <x:v>LOSS-KG01-L23-20251023-AM-ORD-2025-00093</x:v>
      </x:c>
      <x:c r="C387" t="str">
        <x:v>PE-KG01-L23-20251023-AM-ORD-2025-00093</x:v>
      </x:c>
      <x:c r="D387" t="str">
        <x:v>KG01</x:v>
      </x:c>
      <x:c r="E387" t="n">
        <x:v>23</x:v>
      </x:c>
      <x:c r="F387" s="52" t="n">
        <x:v>45953</x:v>
      </x:c>
      <x:c r="G387" t="str">
        <x:v>AM</x:v>
      </x:c>
      <x:c r="H387" t="str">
        <x:v>ORD-2025-00093</x:v>
      </x:c>
      <x:c r="I387" t="str">
        <x:v>Normal</x:v>
      </x:c>
      <x:c r="J387" t="str">
        <x:v>PROC_SANLI</x:v>
      </x:c>
      <x:c r="K387" t="str">
        <x:v>Inspection</x:v>
      </x:c>
      <x:c r="L387" s="54" t="n">
        <x:v>0.0031107469027312033</x:v>
      </x:c>
      <x:c r="M387" t="n">
        <x:v>185486</x:v>
      </x:c>
      <x:c r="N387" t="n">
        <x:f>L387*M387</x:f>
        <x:v>577</x:v>
      </x:c>
      <x:c r="O387"/>
      <x:c r="P387"/>
      <x:c r="Q387"/>
      <x:c r="R387"/>
      <x:c r="S387" s="52"/>
      <x:c r="T387" t="str">
        <x:v>OK</x:v>
      </x:c>
      <x:c r="U387" t="str">
        <x:f>IF(AND(ISNUMBER(L387),L387&gt;=0,L387&lt;=1),"OK","CHECK")</x:f>
        <x:v>OK</x:v>
      </x:c>
      <x:c r="V387" t="str">
        <x:f>IF(AND(ISNUMBER(N387),N387&gt;=0),"OK","CHECK")</x:f>
        <x:v>OK</x:v>
      </x:c>
      <x:c r="W387" t="str">
        <x:f>IF(AND(T387="OK",U387="OK",V387="OK"),"OK","CHECK")</x:f>
        <x:v>OK</x:v>
      </x:c>
      <x:c r="X387" t="str">
        <x:f>IF(W387="OK","LOAD","QUARANTINE")</x:f>
        <x:v>LOAD</x:v>
      </x:c>
      <x:c r="Y387" t="str">
        <x:v>03_Process_Losses(6).xlsx</x:v>
      </x:c>
      <x:c r="Z387" t="str">
        <x:v>ENH-20260830-01</x:v>
      </x:c>
      <x:c r="AA387" t="str">
        <x:f>IF(X387="LOAD","Active","Quarantine")</x:f>
        <x:v>Active</x:v>
      </x:c>
      <x:c r="AB387"/>
      <x:c r="AC387"/>
      <x:c r="AD387"/>
      <x:c r="AE387"/>
    </x:row>
    <x:row r="388">
      <x:c r="A388" t="str">
        <x:v>PLD-000384</x:v>
      </x:c>
      <x:c r="B388" t="str">
        <x:v>LOSS-KG01-L23-20251023-AM-ORD-2025-00093</x:v>
      </x:c>
      <x:c r="C388" t="str">
        <x:v>PE-KG01-L23-20251023-AM-ORD-2025-00093</x:v>
      </x:c>
      <x:c r="D388" t="str">
        <x:v>KG01</x:v>
      </x:c>
      <x:c r="E388" t="n">
        <x:v>23</x:v>
      </x:c>
      <x:c r="F388" s="52" t="n">
        <x:v>45953</x:v>
      </x:c>
      <x:c r="G388" t="str">
        <x:v>AM</x:v>
      </x:c>
      <x:c r="H388" t="str">
        <x:v>ORD-2025-00093</x:v>
      </x:c>
      <x:c r="I388" t="str">
        <x:v>Normal</x:v>
      </x:c>
      <x:c r="J388" t="str">
        <x:v>PROC_VISUAL</x:v>
      </x:c>
      <x:c r="K388" t="str">
        <x:v>Inspection</x:v>
      </x:c>
      <x:c r="L388" s="54" t="n">
        <x:v>0.0028196198095813163</x:v>
      </x:c>
      <x:c r="M388" t="n">
        <x:v>185486</x:v>
      </x:c>
      <x:c r="N388" t="n">
        <x:f>L388*M388</x:f>
        <x:v>523</x:v>
      </x:c>
      <x:c r="O388"/>
      <x:c r="P388"/>
      <x:c r="Q388"/>
      <x:c r="R388"/>
      <x:c r="S388" s="52"/>
      <x:c r="T388" t="str">
        <x:v>OK</x:v>
      </x:c>
      <x:c r="U388" t="str">
        <x:f>IF(AND(ISNUMBER(L388),L388&gt;=0,L388&lt;=1),"OK","CHECK")</x:f>
        <x:v>OK</x:v>
      </x:c>
      <x:c r="V388" t="str">
        <x:f>IF(AND(ISNUMBER(N388),N388&gt;=0),"OK","CHECK")</x:f>
        <x:v>OK</x:v>
      </x:c>
      <x:c r="W388" t="str">
        <x:f>IF(AND(T388="OK",U388="OK",V388="OK"),"OK","CHECK")</x:f>
        <x:v>OK</x:v>
      </x:c>
      <x:c r="X388" t="str">
        <x:f>IF(W388="OK","LOAD","QUARANTINE")</x:f>
        <x:v>LOAD</x:v>
      </x:c>
      <x:c r="Y388" t="str">
        <x:v>03_Process_Losses(6).xlsx</x:v>
      </x:c>
      <x:c r="Z388" t="str">
        <x:v>ENH-20260830-01</x:v>
      </x:c>
      <x:c r="AA388" t="str">
        <x:f>IF(X388="LOAD","Active","Quarantine")</x:f>
        <x:v>Active</x:v>
      </x:c>
      <x:c r="AB388"/>
      <x:c r="AC388"/>
      <x:c r="AD388"/>
      <x:c r="AE388"/>
    </x:row>
    <x:row r="389">
      <x:c r="A389" t="str">
        <x:v>PLD-000385</x:v>
      </x:c>
      <x:c r="B389" t="str">
        <x:v>LOSS-KG01-L23-20251023-AM-ORD-2025-00093</x:v>
      </x:c>
      <x:c r="C389" t="str">
        <x:v>PE-KG01-L23-20251023-AM-ORD-2025-00093</x:v>
      </x:c>
      <x:c r="D389" t="str">
        <x:v>KG01</x:v>
      </x:c>
      <x:c r="E389" t="n">
        <x:v>23</x:v>
      </x:c>
      <x:c r="F389" s="52" t="n">
        <x:v>45953</x:v>
      </x:c>
      <x:c r="G389" t="str">
        <x:v>AM</x:v>
      </x:c>
      <x:c r="H389" t="str">
        <x:v>ORD-2025-00093</x:v>
      </x:c>
      <x:c r="I389" t="str">
        <x:v>Normal</x:v>
      </x:c>
      <x:c r="J389" t="str">
        <x:v>PROC_PALLETIZER</x:v>
      </x:c>
      <x:c r="K389" t="str">
        <x:v>Palletizer</x:v>
      </x:c>
      <x:c r="L389" s="54" t="n">
        <x:v>0.0034180477232783066</x:v>
      </x:c>
      <x:c r="M389" t="n">
        <x:v>185486</x:v>
      </x:c>
      <x:c r="N389" t="n">
        <x:f>L389*M389</x:f>
        <x:v>634</x:v>
      </x:c>
      <x:c r="O389"/>
      <x:c r="P389"/>
      <x:c r="Q389"/>
      <x:c r="R389"/>
      <x:c r="S389" s="52"/>
      <x:c r="T389" t="str">
        <x:v>OK</x:v>
      </x:c>
      <x:c r="U389" t="str">
        <x:f>IF(AND(ISNUMBER(L389),L389&gt;=0,L389&lt;=1),"OK","CHECK")</x:f>
        <x:v>OK</x:v>
      </x:c>
      <x:c r="V389" t="str">
        <x:f>IF(AND(ISNUMBER(N389),N389&gt;=0),"OK","CHECK")</x:f>
        <x:v>OK</x:v>
      </x:c>
      <x:c r="W389" t="str">
        <x:f>IF(AND(T389="OK",U389="OK",V389="OK"),"OK","CHECK")</x:f>
        <x:v>OK</x:v>
      </x:c>
      <x:c r="X389" t="str">
        <x:f>IF(W389="OK","LOAD","QUARANTINE")</x:f>
        <x:v>LOAD</x:v>
      </x:c>
      <x:c r="Y389" t="str">
        <x:v>03_Process_Losses(6).xlsx</x:v>
      </x:c>
      <x:c r="Z389" t="str">
        <x:v>ENH-20260830-01</x:v>
      </x:c>
      <x:c r="AA389" t="str">
        <x:f>IF(X389="LOAD","Active","Quarantine")</x:f>
        <x:v>Active</x:v>
      </x:c>
      <x:c r="AB389"/>
      <x:c r="AC389"/>
      <x:c r="AD389"/>
      <x:c r="AE389"/>
    </x:row>
    <x:row r="390">
      <x:c r="A390" t="str">
        <x:v>PLD-000386</x:v>
      </x:c>
      <x:c r="B390" t="str">
        <x:v>LOSS-KG01-L23-20251023-PM-ORD-2025-00093</x:v>
      </x:c>
      <x:c r="C390" t="str">
        <x:v>PE-KG01-L23-20251023-PM-ORD-2025-00093</x:v>
      </x:c>
      <x:c r="D390" t="str">
        <x:v>KG01</x:v>
      </x:c>
      <x:c r="E390" t="n">
        <x:v>23</x:v>
      </x:c>
      <x:c r="F390" s="52" t="n">
        <x:v>45953</x:v>
      </x:c>
      <x:c r="G390" t="str">
        <x:v>PM</x:v>
      </x:c>
      <x:c r="H390" t="str">
        <x:v>ORD-2025-00093</x:v>
      </x:c>
      <x:c r="I390" t="str">
        <x:v>Normal</x:v>
      </x:c>
      <x:c r="J390" t="str">
        <x:v>PROC_FIXED</x:v>
      </x:c>
      <x:c r="K390" t="str">
        <x:v>Fixed Losses</x:v>
      </x:c>
      <x:c r="L390" s="54" t="n">
        <x:v>0.002171386832232146</x:v>
      </x:c>
      <x:c r="M390" t="n">
        <x:v>150595</x:v>
      </x:c>
      <x:c r="N390" t="n">
        <x:f>L390*M390</x:f>
        <x:v>327.00000000000006</x:v>
      </x:c>
      <x:c r="O390"/>
      <x:c r="P390"/>
      <x:c r="Q390"/>
      <x:c r="R390"/>
      <x:c r="S390" s="52"/>
      <x:c r="T390" t="str">
        <x:v>OK</x:v>
      </x:c>
      <x:c r="U390" t="str">
        <x:f>IF(AND(ISNUMBER(L390),L390&gt;=0,L390&lt;=1),"OK","CHECK")</x:f>
        <x:v>OK</x:v>
      </x:c>
      <x:c r="V390" t="str">
        <x:f>IF(AND(ISNUMBER(N390),N390&gt;=0),"OK","CHECK")</x:f>
        <x:v>OK</x:v>
      </x:c>
      <x:c r="W390" t="str">
        <x:f>IF(AND(T390="OK",U390="OK",V390="OK"),"OK","CHECK")</x:f>
        <x:v>OK</x:v>
      </x:c>
      <x:c r="X390" t="str">
        <x:f>IF(W390="OK","LOAD","QUARANTINE")</x:f>
        <x:v>LOAD</x:v>
      </x:c>
      <x:c r="Y390" t="str">
        <x:v>03_Process_Losses(6).xlsx</x:v>
      </x:c>
      <x:c r="Z390" t="str">
        <x:v>ENH-20260830-01</x:v>
      </x:c>
      <x:c r="AA390" t="str">
        <x:f>IF(X390="LOAD","Active","Quarantine")</x:f>
        <x:v>Active</x:v>
      </x:c>
      <x:c r="AB390"/>
      <x:c r="AC390"/>
      <x:c r="AD390"/>
      <x:c r="AE390"/>
    </x:row>
    <x:row r="391">
      <x:c r="A391" t="str">
        <x:v>PLD-000387</x:v>
      </x:c>
      <x:c r="B391" t="str">
        <x:v>LOSS-KG01-L23-20251023-PM-ORD-2025-00093</x:v>
      </x:c>
      <x:c r="C391" t="str">
        <x:v>PE-KG01-L23-20251023-PM-ORD-2025-00093</x:v>
      </x:c>
      <x:c r="D391" t="str">
        <x:v>KG01</x:v>
      </x:c>
      <x:c r="E391" t="n">
        <x:v>23</x:v>
      </x:c>
      <x:c r="F391" s="52" t="n">
        <x:v>45953</x:v>
      </x:c>
      <x:c r="G391" t="str">
        <x:v>PM</x:v>
      </x:c>
      <x:c r="H391" t="str">
        <x:v>ORD-2025-00093</x:v>
      </x:c>
      <x:c r="I391" t="str">
        <x:v>Normal</x:v>
      </x:c>
      <x:c r="J391" t="str">
        <x:v>PROC_IS</x:v>
      </x:c>
      <x:c r="K391" t="str">
        <x:v>IS Machine</x:v>
      </x:c>
      <x:c r="L391" s="54" t="n">
        <x:v>0.007151631860287526</x:v>
      </x:c>
      <x:c r="M391" t="n">
        <x:v>150595</x:v>
      </x:c>
      <x:c r="N391" t="n">
        <x:f>L391*M391</x:f>
        <x:v>1077</x:v>
      </x:c>
      <x:c r="O391"/>
      <x:c r="P391"/>
      <x:c r="Q391"/>
      <x:c r="R391"/>
      <x:c r="S391" s="52"/>
      <x:c r="T391" t="str">
        <x:v>OK</x:v>
      </x:c>
      <x:c r="U391" t="str">
        <x:f>IF(AND(ISNUMBER(L391),L391&gt;=0,L391&lt;=1),"OK","CHECK")</x:f>
        <x:v>OK</x:v>
      </x:c>
      <x:c r="V391" t="str">
        <x:f>IF(AND(ISNUMBER(N391),N391&gt;=0),"OK","CHECK")</x:f>
        <x:v>OK</x:v>
      </x:c>
      <x:c r="W391" t="str">
        <x:f>IF(AND(T391="OK",U391="OK",V391="OK"),"OK","CHECK")</x:f>
        <x:v>OK</x:v>
      </x:c>
      <x:c r="X391" t="str">
        <x:f>IF(W391="OK","LOAD","QUARANTINE")</x:f>
        <x:v>LOAD</x:v>
      </x:c>
      <x:c r="Y391" t="str">
        <x:v>03_Process_Losses(6).xlsx</x:v>
      </x:c>
      <x:c r="Z391" t="str">
        <x:v>ENH-20260830-01</x:v>
      </x:c>
      <x:c r="AA391" t="str">
        <x:f>IF(X391="LOAD","Active","Quarantine")</x:f>
        <x:v>Active</x:v>
      </x:c>
      <x:c r="AB391"/>
      <x:c r="AC391"/>
      <x:c r="AD391"/>
      <x:c r="AE391"/>
    </x:row>
    <x:row r="392">
      <x:c r="A392" t="str">
        <x:v>PLD-000388</x:v>
      </x:c>
      <x:c r="B392" t="str">
        <x:v>LOSS-KG01-L23-20251023-PM-ORD-2025-00093</x:v>
      </x:c>
      <x:c r="C392" t="str">
        <x:v>PE-KG01-L23-20251023-PM-ORD-2025-00093</x:v>
      </x:c>
      <x:c r="D392" t="str">
        <x:v>KG01</x:v>
      </x:c>
      <x:c r="E392" t="n">
        <x:v>23</x:v>
      </x:c>
      <x:c r="F392" s="52" t="n">
        <x:v>45953</x:v>
      </x:c>
      <x:c r="G392" t="str">
        <x:v>PM</x:v>
      </x:c>
      <x:c r="H392" t="str">
        <x:v>ORD-2025-00093</x:v>
      </x:c>
      <x:c r="I392" t="str">
        <x:v>Normal</x:v>
      </x:c>
      <x:c r="J392" t="str">
        <x:v>PROC_HE_CONVEYER</x:v>
      </x:c>
      <x:c r="K392" t="str">
        <x:v>Hot End</x:v>
      </x:c>
      <x:c r="L392" s="54" t="n">
        <x:v>0.001992098011222152</x:v>
      </x:c>
      <x:c r="M392" t="n">
        <x:v>150595</x:v>
      </x:c>
      <x:c r="N392" t="n">
        <x:f>L392*M392</x:f>
        <x:v>300</x:v>
      </x:c>
      <x:c r="O392"/>
      <x:c r="P392"/>
      <x:c r="Q392"/>
      <x:c r="R392"/>
      <x:c r="S392" s="52"/>
      <x:c r="T392" t="str">
        <x:v>OK</x:v>
      </x:c>
      <x:c r="U392" t="str">
        <x:f>IF(AND(ISNUMBER(L392),L392&gt;=0,L392&lt;=1),"OK","CHECK")</x:f>
        <x:v>OK</x:v>
      </x:c>
      <x:c r="V392" t="str">
        <x:f>IF(AND(ISNUMBER(N392),N392&gt;=0),"OK","CHECK")</x:f>
        <x:v>OK</x:v>
      </x:c>
      <x:c r="W392" t="str">
        <x:f>IF(AND(T392="OK",U392="OK",V392="OK"),"OK","CHECK")</x:f>
        <x:v>OK</x:v>
      </x:c>
      <x:c r="X392" t="str">
        <x:f>IF(W392="OK","LOAD","QUARANTINE")</x:f>
        <x:v>LOAD</x:v>
      </x:c>
      <x:c r="Y392" t="str">
        <x:v>03_Process_Losses(6).xlsx</x:v>
      </x:c>
      <x:c r="Z392" t="str">
        <x:v>ENH-20260830-01</x:v>
      </x:c>
      <x:c r="AA392" t="str">
        <x:f>IF(X392="LOAD","Active","Quarantine")</x:f>
        <x:v>Active</x:v>
      </x:c>
      <x:c r="AB392"/>
      <x:c r="AC392"/>
      <x:c r="AD392"/>
      <x:c r="AE392"/>
    </x:row>
    <x:row r="393">
      <x:c r="A393" t="str">
        <x:v>PLD-000389</x:v>
      </x:c>
      <x:c r="B393" t="str">
        <x:v>LOSS-KG01-L23-20251023-PM-ORD-2025-00093</x:v>
      </x:c>
      <x:c r="C393" t="str">
        <x:v>PE-KG01-L23-20251023-PM-ORD-2025-00093</x:v>
      </x:c>
      <x:c r="D393" t="str">
        <x:v>KG01</x:v>
      </x:c>
      <x:c r="E393" t="n">
        <x:v>23</x:v>
      </x:c>
      <x:c r="F393" s="52" t="n">
        <x:v>45953</x:v>
      </x:c>
      <x:c r="G393" t="str">
        <x:v>PM</x:v>
      </x:c>
      <x:c r="H393" t="str">
        <x:v>ORD-2025-00093</x:v>
      </x:c>
      <x:c r="I393" t="str">
        <x:v>Normal</x:v>
      </x:c>
      <x:c r="J393" t="str">
        <x:v>PROC_STUCKDOWN</x:v>
      </x:c>
      <x:c r="K393" t="str">
        <x:v>Forming</x:v>
      </x:c>
      <x:c r="L393" s="54" t="n">
        <x:v>0.0031408745310269265</x:v>
      </x:c>
      <x:c r="M393" t="n">
        <x:v>150595</x:v>
      </x:c>
      <x:c r="N393" t="n">
        <x:f>L393*M393</x:f>
        <x:v>473</x:v>
      </x:c>
      <x:c r="O393"/>
      <x:c r="P393"/>
      <x:c r="Q393"/>
      <x:c r="R393"/>
      <x:c r="S393" s="52"/>
      <x:c r="T393" t="str">
        <x:v>OK</x:v>
      </x:c>
      <x:c r="U393" t="str">
        <x:f>IF(AND(ISNUMBER(L393),L393&gt;=0,L393&lt;=1),"OK","CHECK")</x:f>
        <x:v>OK</x:v>
      </x:c>
      <x:c r="V393" t="str">
        <x:f>IF(AND(ISNUMBER(N393),N393&gt;=0),"OK","CHECK")</x:f>
        <x:v>OK</x:v>
      </x:c>
      <x:c r="W393" t="str">
        <x:f>IF(AND(T393="OK",U393="OK",V393="OK"),"OK","CHECK")</x:f>
        <x:v>OK</x:v>
      </x:c>
      <x:c r="X393" t="str">
        <x:f>IF(W393="OK","LOAD","QUARANTINE")</x:f>
        <x:v>LOAD</x:v>
      </x:c>
      <x:c r="Y393" t="str">
        <x:v>03_Process_Losses(6).xlsx</x:v>
      </x:c>
      <x:c r="Z393" t="str">
        <x:v>ENH-20260830-01</x:v>
      </x:c>
      <x:c r="AA393" t="str">
        <x:f>IF(X393="LOAD","Active","Quarantine")</x:f>
        <x:v>Active</x:v>
      </x:c>
      <x:c r="AB393"/>
      <x:c r="AC393"/>
      <x:c r="AD393"/>
      <x:c r="AE393"/>
    </x:row>
    <x:row r="394">
      <x:c r="A394" t="str">
        <x:v>PLD-000390</x:v>
      </x:c>
      <x:c r="B394" t="str">
        <x:v>LOSS-KG01-L23-20251023-PM-ORD-2025-00093</x:v>
      </x:c>
      <x:c r="C394" t="str">
        <x:v>PE-KG01-L23-20251023-PM-ORD-2025-00093</x:v>
      </x:c>
      <x:c r="D394" t="str">
        <x:v>KG01</x:v>
      </x:c>
      <x:c r="E394" t="n">
        <x:v>23</x:v>
      </x:c>
      <x:c r="F394" s="52" t="n">
        <x:v>45953</x:v>
      </x:c>
      <x:c r="G394" t="str">
        <x:v>PM</x:v>
      </x:c>
      <x:c r="H394" t="str">
        <x:v>ORD-2025-00093</x:v>
      </x:c>
      <x:c r="I394" t="str">
        <x:v>Normal</x:v>
      </x:c>
      <x:c r="J394" t="str">
        <x:v>PROC_LEHR</x:v>
      </x:c>
      <x:c r="K394" t="str">
        <x:v>Lehr</x:v>
      </x:c>
      <x:c r="L394" s="54" t="n">
        <x:v>0.0025166838208439857</x:v>
      </x:c>
      <x:c r="M394" t="n">
        <x:v>150595</x:v>
      </x:c>
      <x:c r="N394" t="n">
        <x:f>L394*M394</x:f>
        <x:v>379</x:v>
      </x:c>
      <x:c r="O394"/>
      <x:c r="P394"/>
      <x:c r="Q394"/>
      <x:c r="R394"/>
      <x:c r="S394" s="52"/>
      <x:c r="T394" t="str">
        <x:v>OK</x:v>
      </x:c>
      <x:c r="U394" t="str">
        <x:f>IF(AND(ISNUMBER(L394),L394&gt;=0,L394&lt;=1),"OK","CHECK")</x:f>
        <x:v>OK</x:v>
      </x:c>
      <x:c r="V394" t="str">
        <x:f>IF(AND(ISNUMBER(N394),N394&gt;=0),"OK","CHECK")</x:f>
        <x:v>OK</x:v>
      </x:c>
      <x:c r="W394" t="str">
        <x:f>IF(AND(T394="OK",U394="OK",V394="OK"),"OK","CHECK")</x:f>
        <x:v>OK</x:v>
      </x:c>
      <x:c r="X394" t="str">
        <x:f>IF(W394="OK","LOAD","QUARANTINE")</x:f>
        <x:v>LOAD</x:v>
      </x:c>
      <x:c r="Y394" t="str">
        <x:v>03_Process_Losses(6).xlsx</x:v>
      </x:c>
      <x:c r="Z394" t="str">
        <x:v>ENH-20260830-01</x:v>
      </x:c>
      <x:c r="AA394" t="str">
        <x:f>IF(X394="LOAD","Active","Quarantine")</x:f>
        <x:v>Active</x:v>
      </x:c>
      <x:c r="AB394"/>
      <x:c r="AC394"/>
      <x:c r="AD394"/>
      <x:c r="AE394"/>
    </x:row>
    <x:row r="395">
      <x:c r="A395" t="str">
        <x:v>PLD-000391</x:v>
      </x:c>
      <x:c r="B395" t="str">
        <x:v>LOSS-KG01-L23-20251023-PM-ORD-2025-00093</x:v>
      </x:c>
      <x:c r="C395" t="str">
        <x:v>PE-KG01-L23-20251023-PM-ORD-2025-00093</x:v>
      </x:c>
      <x:c r="D395" t="str">
        <x:v>KG01</x:v>
      </x:c>
      <x:c r="E395" t="n">
        <x:v>23</x:v>
      </x:c>
      <x:c r="F395" s="52" t="n">
        <x:v>45953</x:v>
      </x:c>
      <x:c r="G395" t="str">
        <x:v>PM</x:v>
      </x:c>
      <x:c r="H395" t="str">
        <x:v>ORD-2025-00093</x:v>
      </x:c>
      <x:c r="I395" t="str">
        <x:v>Normal</x:v>
      </x:c>
      <x:c r="J395" t="str">
        <x:v>PROC_EVO16</x:v>
      </x:c>
      <x:c r="K395" t="str">
        <x:v>Inspection</x:v>
      </x:c>
      <x:c r="L395" s="54" t="n">
        <x:v>0.004083800923005412</x:v>
      </x:c>
      <x:c r="M395" t="n">
        <x:v>150595</x:v>
      </x:c>
      <x:c r="N395" t="n">
        <x:f>L395*M395</x:f>
        <x:v>615</x:v>
      </x:c>
      <x:c r="O395"/>
      <x:c r="P395"/>
      <x:c r="Q395"/>
      <x:c r="R395"/>
      <x:c r="S395" s="52"/>
      <x:c r="T395" t="str">
        <x:v>OK</x:v>
      </x:c>
      <x:c r="U395" t="str">
        <x:f>IF(AND(ISNUMBER(L395),L395&gt;=0,L395&lt;=1),"OK","CHECK")</x:f>
        <x:v>OK</x:v>
      </x:c>
      <x:c r="V395" t="str">
        <x:f>IF(AND(ISNUMBER(N395),N395&gt;=0),"OK","CHECK")</x:f>
        <x:v>OK</x:v>
      </x:c>
      <x:c r="W395" t="str">
        <x:f>IF(AND(T395="OK",U395="OK",V395="OK"),"OK","CHECK")</x:f>
        <x:v>OK</x:v>
      </x:c>
      <x:c r="X395" t="str">
        <x:f>IF(W395="OK","LOAD","QUARANTINE")</x:f>
        <x:v>LOAD</x:v>
      </x:c>
      <x:c r="Y395" t="str">
        <x:v>03_Process_Losses(6).xlsx</x:v>
      </x:c>
      <x:c r="Z395" t="str">
        <x:v>ENH-20260830-01</x:v>
      </x:c>
      <x:c r="AA395" t="str">
        <x:f>IF(X395="LOAD","Active","Quarantine")</x:f>
        <x:v>Active</x:v>
      </x:c>
      <x:c r="AB395"/>
      <x:c r="AC395"/>
      <x:c r="AD395"/>
      <x:c r="AE395"/>
    </x:row>
    <x:row r="396">
      <x:c r="A396" t="str">
        <x:v>PLD-000392</x:v>
      </x:c>
      <x:c r="B396" t="str">
        <x:v>LOSS-KG01-L23-20251023-PM-ORD-2025-00093</x:v>
      </x:c>
      <x:c r="C396" t="str">
        <x:v>PE-KG01-L23-20251023-PM-ORD-2025-00093</x:v>
      </x:c>
      <x:c r="D396" t="str">
        <x:v>KG01</x:v>
      </x:c>
      <x:c r="E396" t="n">
        <x:v>23</x:v>
      </x:c>
      <x:c r="F396" s="52" t="n">
        <x:v>45953</x:v>
      </x:c>
      <x:c r="G396" t="str">
        <x:v>PM</x:v>
      </x:c>
      <x:c r="H396" t="str">
        <x:v>ORD-2025-00093</x:v>
      </x:c>
      <x:c r="I396" t="str">
        <x:v>Normal</x:v>
      </x:c>
      <x:c r="J396" t="str">
        <x:v>PROC_EVO12</x:v>
      </x:c>
      <x:c r="K396" t="str">
        <x:v>Inspection</x:v>
      </x:c>
      <x:c r="L396" s="54" t="n">
        <x:v>0.0013147846874066204</x:v>
      </x:c>
      <x:c r="M396" t="n">
        <x:v>150595</x:v>
      </x:c>
      <x:c r="N396" t="n">
        <x:f>L396*M396</x:f>
        <x:v>198</x:v>
      </x:c>
      <x:c r="O396"/>
      <x:c r="P396"/>
      <x:c r="Q396"/>
      <x:c r="R396"/>
      <x:c r="S396" s="52"/>
      <x:c r="T396" t="str">
        <x:v>OK</x:v>
      </x:c>
      <x:c r="U396" t="str">
        <x:f>IF(AND(ISNUMBER(L396),L396&gt;=0,L396&lt;=1),"OK","CHECK")</x:f>
        <x:v>OK</x:v>
      </x:c>
      <x:c r="V396" t="str">
        <x:f>IF(AND(ISNUMBER(N396),N396&gt;=0),"OK","CHECK")</x:f>
        <x:v>OK</x:v>
      </x:c>
      <x:c r="W396" t="str">
        <x:f>IF(AND(T396="OK",U396="OK",V396="OK"),"OK","CHECK")</x:f>
        <x:v>OK</x:v>
      </x:c>
      <x:c r="X396" t="str">
        <x:f>IF(W396="OK","LOAD","QUARANTINE")</x:f>
        <x:v>LOAD</x:v>
      </x:c>
      <x:c r="Y396" t="str">
        <x:v>03_Process_Losses(6).xlsx</x:v>
      </x:c>
      <x:c r="Z396" t="str">
        <x:v>ENH-20260830-01</x:v>
      </x:c>
      <x:c r="AA396" t="str">
        <x:f>IF(X396="LOAD","Active","Quarantine")</x:f>
        <x:v>Active</x:v>
      </x:c>
      <x:c r="AB396"/>
      <x:c r="AC396"/>
      <x:c r="AD396"/>
      <x:c r="AE396"/>
    </x:row>
    <x:row r="397">
      <x:c r="A397" t="str">
        <x:v>PLD-000393</x:v>
      </x:c>
      <x:c r="B397" t="str">
        <x:v>LOSS-KG01-L23-20251023-PM-ORD-2025-00093</x:v>
      </x:c>
      <x:c r="C397" t="str">
        <x:v>PE-KG01-L23-20251023-PM-ORD-2025-00093</x:v>
      </x:c>
      <x:c r="D397" t="str">
        <x:v>KG01</x:v>
      </x:c>
      <x:c r="E397" t="n">
        <x:v>23</x:v>
      </x:c>
      <x:c r="F397" s="52" t="n">
        <x:v>45953</x:v>
      </x:c>
      <x:c r="G397" t="str">
        <x:v>PM</x:v>
      </x:c>
      <x:c r="H397" t="str">
        <x:v>ORD-2025-00093</x:v>
      </x:c>
      <x:c r="I397" t="str">
        <x:v>Normal</x:v>
      </x:c>
      <x:c r="J397" t="str">
        <x:v>PROC_EVO5</x:v>
      </x:c>
      <x:c r="K397" t="str">
        <x:v>Inspection</x:v>
      </x:c>
      <x:c r="L397" s="54" t="n">
        <x:v>0.0008499618181214515</x:v>
      </x:c>
      <x:c r="M397" t="n">
        <x:v>150595</x:v>
      </x:c>
      <x:c r="N397" t="n">
        <x:f>L397*M397</x:f>
        <x:v>128</x:v>
      </x:c>
      <x:c r="O397"/>
      <x:c r="P397"/>
      <x:c r="Q397"/>
      <x:c r="R397"/>
      <x:c r="S397" s="52"/>
      <x:c r="T397" t="str">
        <x:v>OK</x:v>
      </x:c>
      <x:c r="U397" t="str">
        <x:f>IF(AND(ISNUMBER(L397),L397&gt;=0,L397&lt;=1),"OK","CHECK")</x:f>
        <x:v>OK</x:v>
      </x:c>
      <x:c r="V397" t="str">
        <x:f>IF(AND(ISNUMBER(N397),N397&gt;=0),"OK","CHECK")</x:f>
        <x:v>OK</x:v>
      </x:c>
      <x:c r="W397" t="str">
        <x:f>IF(AND(T397="OK",U397="OK",V397="OK"),"OK","CHECK")</x:f>
        <x:v>OK</x:v>
      </x:c>
      <x:c r="X397" t="str">
        <x:f>IF(W397="OK","LOAD","QUARANTINE")</x:f>
        <x:v>LOAD</x:v>
      </x:c>
      <x:c r="Y397" t="str">
        <x:v>03_Process_Losses(6).xlsx</x:v>
      </x:c>
      <x:c r="Z397" t="str">
        <x:v>ENH-20260830-01</x:v>
      </x:c>
      <x:c r="AA397" t="str">
        <x:f>IF(X397="LOAD","Active","Quarantine")</x:f>
        <x:v>Active</x:v>
      </x:c>
      <x:c r="AB397"/>
      <x:c r="AC397"/>
      <x:c r="AD397"/>
      <x:c r="AE397"/>
    </x:row>
    <x:row r="398">
      <x:c r="A398" t="str">
        <x:v>PLD-000394</x:v>
      </x:c>
      <x:c r="B398" t="str">
        <x:v>LOSS-KG01-L23-20251023-PM-ORD-2025-00093</x:v>
      </x:c>
      <x:c r="C398" t="str">
        <x:v>PE-KG01-L23-20251023-PM-ORD-2025-00093</x:v>
      </x:c>
      <x:c r="D398" t="str">
        <x:v>KG01</x:v>
      </x:c>
      <x:c r="E398" t="n">
        <x:v>23</x:v>
      </x:c>
      <x:c r="F398" s="52" t="n">
        <x:v>45953</x:v>
      </x:c>
      <x:c r="G398" t="str">
        <x:v>PM</x:v>
      </x:c>
      <x:c r="H398" t="str">
        <x:v>ORD-2025-00093</x:v>
      </x:c>
      <x:c r="I398" t="str">
        <x:v>Normal</x:v>
      </x:c>
      <x:c r="J398" t="str">
        <x:v>PROC_SANLI</x:v>
      </x:c>
      <x:c r="K398" t="str">
        <x:v>Inspection</x:v>
      </x:c>
      <x:c r="L398" s="54" t="n">
        <x:v>0.0006308310368870148</x:v>
      </x:c>
      <x:c r="M398" t="n">
        <x:v>150595</x:v>
      </x:c>
      <x:c r="N398" t="n">
        <x:f>L398*M398</x:f>
        <x:v>95</x:v>
      </x:c>
      <x:c r="O398"/>
      <x:c r="P398"/>
      <x:c r="Q398"/>
      <x:c r="R398"/>
      <x:c r="S398" s="52"/>
      <x:c r="T398" t="str">
        <x:v>OK</x:v>
      </x:c>
      <x:c r="U398" t="str">
        <x:f>IF(AND(ISNUMBER(L398),L398&gt;=0,L398&lt;=1),"OK","CHECK")</x:f>
        <x:v>OK</x:v>
      </x:c>
      <x:c r="V398" t="str">
        <x:f>IF(AND(ISNUMBER(N398),N398&gt;=0),"OK","CHECK")</x:f>
        <x:v>OK</x:v>
      </x:c>
      <x:c r="W398" t="str">
        <x:f>IF(AND(T398="OK",U398="OK",V398="OK"),"OK","CHECK")</x:f>
        <x:v>OK</x:v>
      </x:c>
      <x:c r="X398" t="str">
        <x:f>IF(W398="OK","LOAD","QUARANTINE")</x:f>
        <x:v>LOAD</x:v>
      </x:c>
      <x:c r="Y398" t="str">
        <x:v>03_Process_Losses(6).xlsx</x:v>
      </x:c>
      <x:c r="Z398" t="str">
        <x:v>ENH-20260830-01</x:v>
      </x:c>
      <x:c r="AA398" t="str">
        <x:f>IF(X398="LOAD","Active","Quarantine")</x:f>
        <x:v>Active</x:v>
      </x:c>
      <x:c r="AB398"/>
      <x:c r="AC398"/>
      <x:c r="AD398"/>
      <x:c r="AE398"/>
    </x:row>
    <x:row r="399">
      <x:c r="A399" t="str">
        <x:v>PLD-000395</x:v>
      </x:c>
      <x:c r="B399" t="str">
        <x:v>LOSS-KG01-L23-20251023-PM-ORD-2025-00093</x:v>
      </x:c>
      <x:c r="C399" t="str">
        <x:v>PE-KG01-L23-20251023-PM-ORD-2025-00093</x:v>
      </x:c>
      <x:c r="D399" t="str">
        <x:v>KG01</x:v>
      </x:c>
      <x:c r="E399" t="n">
        <x:v>23</x:v>
      </x:c>
      <x:c r="F399" s="52" t="n">
        <x:v>45953</x:v>
      </x:c>
      <x:c r="G399" t="str">
        <x:v>PM</x:v>
      </x:c>
      <x:c r="H399" t="str">
        <x:v>ORD-2025-00093</x:v>
      </x:c>
      <x:c r="I399" t="str">
        <x:v>Normal</x:v>
      </x:c>
      <x:c r="J399" t="str">
        <x:v>PROC_VISUAL</x:v>
      </x:c>
      <x:c r="K399" t="str">
        <x:v>Inspection</x:v>
      </x:c>
      <x:c r="L399" s="54" t="n">
        <x:v>0.004263089744015405</x:v>
      </x:c>
      <x:c r="M399" t="n">
        <x:v>150595</x:v>
      </x:c>
      <x:c r="N399" t="n">
        <x:f>L399*M399</x:f>
        <x:v>641.9999999999999</x:v>
      </x:c>
      <x:c r="O399"/>
      <x:c r="P399"/>
      <x:c r="Q399"/>
      <x:c r="R399"/>
      <x:c r="S399" s="52"/>
      <x:c r="T399" t="str">
        <x:v>OK</x:v>
      </x:c>
      <x:c r="U399" t="str">
        <x:f>IF(AND(ISNUMBER(L399),L399&gt;=0,L399&lt;=1),"OK","CHECK")</x:f>
        <x:v>OK</x:v>
      </x:c>
      <x:c r="V399" t="str">
        <x:f>IF(AND(ISNUMBER(N399),N399&gt;=0),"OK","CHECK")</x:f>
        <x:v>OK</x:v>
      </x:c>
      <x:c r="W399" t="str">
        <x:f>IF(AND(T399="OK",U399="OK",V399="OK"),"OK","CHECK")</x:f>
        <x:v>OK</x:v>
      </x:c>
      <x:c r="X399" t="str">
        <x:f>IF(W399="OK","LOAD","QUARANTINE")</x:f>
        <x:v>LOAD</x:v>
      </x:c>
      <x:c r="Y399" t="str">
        <x:v>03_Process_Losses(6).xlsx</x:v>
      </x:c>
      <x:c r="Z399" t="str">
        <x:v>ENH-20260830-01</x:v>
      </x:c>
      <x:c r="AA399" t="str">
        <x:f>IF(X399="LOAD","Active","Quarantine")</x:f>
        <x:v>Active</x:v>
      </x:c>
      <x:c r="AB399"/>
      <x:c r="AC399"/>
      <x:c r="AD399"/>
      <x:c r="AE399"/>
    </x:row>
    <x:row r="400">
      <x:c r="A400" t="str">
        <x:v>PLD-000396</x:v>
      </x:c>
      <x:c r="B400" t="str">
        <x:v>LOSS-KG01-L23-20251023-PM-ORD-2025-00093</x:v>
      </x:c>
      <x:c r="C400" t="str">
        <x:v>PE-KG01-L23-20251023-PM-ORD-2025-00093</x:v>
      </x:c>
      <x:c r="D400" t="str">
        <x:v>KG01</x:v>
      </x:c>
      <x:c r="E400" t="n">
        <x:v>23</x:v>
      </x:c>
      <x:c r="F400" s="52" t="n">
        <x:v>45953</x:v>
      </x:c>
      <x:c r="G400" t="str">
        <x:v>PM</x:v>
      </x:c>
      <x:c r="H400" t="str">
        <x:v>ORD-2025-00093</x:v>
      </x:c>
      <x:c r="I400" t="str">
        <x:v>Normal</x:v>
      </x:c>
      <x:c r="J400" t="str">
        <x:v>PROC_PALLETIZER</x:v>
      </x:c>
      <x:c r="K400" t="str">
        <x:v>Palletizer</x:v>
      </x:c>
      <x:c r="L400" s="54" t="n">
        <x:v>0.006148942527972376</x:v>
      </x:c>
      <x:c r="M400" t="n">
        <x:v>150595</x:v>
      </x:c>
      <x:c r="N400" t="n">
        <x:f>L400*M400</x:f>
        <x:v>926</x:v>
      </x:c>
      <x:c r="O400"/>
      <x:c r="P400"/>
      <x:c r="Q400"/>
      <x:c r="R400"/>
      <x:c r="S400" s="52"/>
      <x:c r="T400" t="str">
        <x:v>OK</x:v>
      </x:c>
      <x:c r="U400" t="str">
        <x:f>IF(AND(ISNUMBER(L400),L400&gt;=0,L400&lt;=1),"OK","CHECK")</x:f>
        <x:v>OK</x:v>
      </x:c>
      <x:c r="V400" t="str">
        <x:f>IF(AND(ISNUMBER(N400),N400&gt;=0),"OK","CHECK")</x:f>
        <x:v>OK</x:v>
      </x:c>
      <x:c r="W400" t="str">
        <x:f>IF(AND(T400="OK",U400="OK",V400="OK"),"OK","CHECK")</x:f>
        <x:v>OK</x:v>
      </x:c>
      <x:c r="X400" t="str">
        <x:f>IF(W400="OK","LOAD","QUARANTINE")</x:f>
        <x:v>LOAD</x:v>
      </x:c>
      <x:c r="Y400" t="str">
        <x:v>03_Process_Losses(6).xlsx</x:v>
      </x:c>
      <x:c r="Z400" t="str">
        <x:v>ENH-20260830-01</x:v>
      </x:c>
      <x:c r="AA400" t="str">
        <x:f>IF(X400="LOAD","Active","Quarantine")</x:f>
        <x:v>Active</x:v>
      </x:c>
      <x:c r="AB400"/>
      <x:c r="AC400"/>
      <x:c r="AD400"/>
      <x:c r="AE400"/>
    </x:row>
    <x:row r="401">
      <x:c r="A401" t="str">
        <x:v>PLD-000397</x:v>
      </x:c>
      <x:c r="B401" t="str">
        <x:v>LOSS-KG01-L23-20251024-AM-ORD-2025-00093</x:v>
      </x:c>
      <x:c r="C401" t="str">
        <x:v>PE-KG01-L23-20251024-AM-ORD-2025-00093</x:v>
      </x:c>
      <x:c r="D401" t="str">
        <x:v>KG01</x:v>
      </x:c>
      <x:c r="E401" t="n">
        <x:v>23</x:v>
      </x:c>
      <x:c r="F401" s="52" t="n">
        <x:v>45954</x:v>
      </x:c>
      <x:c r="G401" t="str">
        <x:v>AM</x:v>
      </x:c>
      <x:c r="H401" t="str">
        <x:v>ORD-2025-00093</x:v>
      </x:c>
      <x:c r="I401" t="str">
        <x:v>Normal</x:v>
      </x:c>
      <x:c r="J401" t="str">
        <x:v>PROC_FIXED</x:v>
      </x:c>
      <x:c r="K401" t="str">
        <x:v>Fixed Losses</x:v>
      </x:c>
      <x:c r="L401" s="54" t="n">
        <x:v>0.004173920056996525</x:v>
      </x:c>
      <x:c r="M401" t="n">
        <x:v>148781</x:v>
      </x:c>
      <x:c r="N401" t="n">
        <x:f>L401*M401</x:f>
        <x:v>621</x:v>
      </x:c>
      <x:c r="O401"/>
      <x:c r="P401"/>
      <x:c r="Q401"/>
      <x:c r="R401"/>
      <x:c r="S401" s="52"/>
      <x:c r="T401" t="str">
        <x:v>OK</x:v>
      </x:c>
      <x:c r="U401" t="str">
        <x:f>IF(AND(ISNUMBER(L401),L401&gt;=0,L401&lt;=1),"OK","CHECK")</x:f>
        <x:v>OK</x:v>
      </x:c>
      <x:c r="V401" t="str">
        <x:f>IF(AND(ISNUMBER(N401),N401&gt;=0),"OK","CHECK")</x:f>
        <x:v>OK</x:v>
      </x:c>
      <x:c r="W401" t="str">
        <x:f>IF(AND(T401="OK",U401="OK",V401="OK"),"OK","CHECK")</x:f>
        <x:v>OK</x:v>
      </x:c>
      <x:c r="X401" t="str">
        <x:f>IF(W401="OK","LOAD","QUARANTINE")</x:f>
        <x:v>LOAD</x:v>
      </x:c>
      <x:c r="Y401" t="str">
        <x:v>03_Process_Losses(6).xlsx</x:v>
      </x:c>
      <x:c r="Z401" t="str">
        <x:v>ENH-20260830-01</x:v>
      </x:c>
      <x:c r="AA401" t="str">
        <x:f>IF(X401="LOAD","Active","Quarantine")</x:f>
        <x:v>Active</x:v>
      </x:c>
      <x:c r="AB401"/>
      <x:c r="AC401"/>
      <x:c r="AD401"/>
      <x:c r="AE401"/>
    </x:row>
    <x:row r="402">
      <x:c r="A402" t="str">
        <x:v>PLD-000398</x:v>
      </x:c>
      <x:c r="B402" t="str">
        <x:v>LOSS-KG01-L23-20251024-AM-ORD-2025-00093</x:v>
      </x:c>
      <x:c r="C402" t="str">
        <x:v>PE-KG01-L23-20251024-AM-ORD-2025-00093</x:v>
      </x:c>
      <x:c r="D402" t="str">
        <x:v>KG01</x:v>
      </x:c>
      <x:c r="E402" t="n">
        <x:v>23</x:v>
      </x:c>
      <x:c r="F402" s="52" t="n">
        <x:v>45954</x:v>
      </x:c>
      <x:c r="G402" t="str">
        <x:v>AM</x:v>
      </x:c>
      <x:c r="H402" t="str">
        <x:v>ORD-2025-00093</x:v>
      </x:c>
      <x:c r="I402" t="str">
        <x:v>Normal</x:v>
      </x:c>
      <x:c r="J402" t="str">
        <x:v>PROC_IS</x:v>
      </x:c>
      <x:c r="K402" t="str">
        <x:v>IS Machine</x:v>
      </x:c>
      <x:c r="L402" s="54" t="n">
        <x:v>0.011587501092209355</x:v>
      </x:c>
      <x:c r="M402" t="n">
        <x:v>148781</x:v>
      </x:c>
      <x:c r="N402" t="n">
        <x:f>L402*M402</x:f>
        <x:v>1724</x:v>
      </x:c>
      <x:c r="O402"/>
      <x:c r="P402"/>
      <x:c r="Q402"/>
      <x:c r="R402"/>
      <x:c r="S402" s="52"/>
      <x:c r="T402" t="str">
        <x:v>OK</x:v>
      </x:c>
      <x:c r="U402" t="str">
        <x:f>IF(AND(ISNUMBER(L402),L402&gt;=0,L402&lt;=1),"OK","CHECK")</x:f>
        <x:v>OK</x:v>
      </x:c>
      <x:c r="V402" t="str">
        <x:f>IF(AND(ISNUMBER(N402),N402&gt;=0),"OK","CHECK")</x:f>
        <x:v>OK</x:v>
      </x:c>
      <x:c r="W402" t="str">
        <x:f>IF(AND(T402="OK",U402="OK",V402="OK"),"OK","CHECK")</x:f>
        <x:v>OK</x:v>
      </x:c>
      <x:c r="X402" t="str">
        <x:f>IF(W402="OK","LOAD","QUARANTINE")</x:f>
        <x:v>LOAD</x:v>
      </x:c>
      <x:c r="Y402" t="str">
        <x:v>03_Process_Losses(6).xlsx</x:v>
      </x:c>
      <x:c r="Z402" t="str">
        <x:v>ENH-20260830-01</x:v>
      </x:c>
      <x:c r="AA402" t="str">
        <x:f>IF(X402="LOAD","Active","Quarantine")</x:f>
        <x:v>Active</x:v>
      </x:c>
      <x:c r="AB402"/>
      <x:c r="AC402"/>
      <x:c r="AD402"/>
      <x:c r="AE402"/>
    </x:row>
    <x:row r="403">
      <x:c r="A403" t="str">
        <x:v>PLD-000399</x:v>
      </x:c>
      <x:c r="B403" t="str">
        <x:v>LOSS-KG01-L23-20251024-AM-ORD-2025-00093</x:v>
      </x:c>
      <x:c r="C403" t="str">
        <x:v>PE-KG01-L23-20251024-AM-ORD-2025-00093</x:v>
      </x:c>
      <x:c r="D403" t="str">
        <x:v>KG01</x:v>
      </x:c>
      <x:c r="E403" t="n">
        <x:v>23</x:v>
      </x:c>
      <x:c r="F403" s="52" t="n">
        <x:v>45954</x:v>
      </x:c>
      <x:c r="G403" t="str">
        <x:v>AM</x:v>
      </x:c>
      <x:c r="H403" t="str">
        <x:v>ORD-2025-00093</x:v>
      </x:c>
      <x:c r="I403" t="str">
        <x:v>Normal</x:v>
      </x:c>
      <x:c r="J403" t="str">
        <x:v>PROC_HE_CONVEYER</x:v>
      </x:c>
      <x:c r="K403" t="str">
        <x:v>Hot End</x:v>
      </x:c>
      <x:c r="L403" s="54" t="n">
        <x:v>0.003925232388544237</x:v>
      </x:c>
      <x:c r="M403" t="n">
        <x:v>148781</x:v>
      </x:c>
      <x:c r="N403" t="n">
        <x:f>L403*M403</x:f>
        <x:v>584.0000000000001</x:v>
      </x:c>
      <x:c r="O403"/>
      <x:c r="P403"/>
      <x:c r="Q403"/>
      <x:c r="R403"/>
      <x:c r="S403" s="52"/>
      <x:c r="T403" t="str">
        <x:v>OK</x:v>
      </x:c>
      <x:c r="U403" t="str">
        <x:f>IF(AND(ISNUMBER(L403),L403&gt;=0,L403&lt;=1),"OK","CHECK")</x:f>
        <x:v>OK</x:v>
      </x:c>
      <x:c r="V403" t="str">
        <x:f>IF(AND(ISNUMBER(N403),N403&gt;=0),"OK","CHECK")</x:f>
        <x:v>OK</x:v>
      </x:c>
      <x:c r="W403" t="str">
        <x:f>IF(AND(T403="OK",U403="OK",V403="OK"),"OK","CHECK")</x:f>
        <x:v>OK</x:v>
      </x:c>
      <x:c r="X403" t="str">
        <x:f>IF(W403="OK","LOAD","QUARANTINE")</x:f>
        <x:v>LOAD</x:v>
      </x:c>
      <x:c r="Y403" t="str">
        <x:v>03_Process_Losses(6).xlsx</x:v>
      </x:c>
      <x:c r="Z403" t="str">
        <x:v>ENH-20260830-01</x:v>
      </x:c>
      <x:c r="AA403" t="str">
        <x:f>IF(X403="LOAD","Active","Quarantine")</x:f>
        <x:v>Active</x:v>
      </x:c>
      <x:c r="AB403"/>
      <x:c r="AC403"/>
      <x:c r="AD403"/>
      <x:c r="AE403"/>
    </x:row>
    <x:row r="404">
      <x:c r="A404" t="str">
        <x:v>PLD-000400</x:v>
      </x:c>
      <x:c r="B404" t="str">
        <x:v>LOSS-KG01-L23-20251024-AM-ORD-2025-00093</x:v>
      </x:c>
      <x:c r="C404" t="str">
        <x:v>PE-KG01-L23-20251024-AM-ORD-2025-00093</x:v>
      </x:c>
      <x:c r="D404" t="str">
        <x:v>KG01</x:v>
      </x:c>
      <x:c r="E404" t="n">
        <x:v>23</x:v>
      </x:c>
      <x:c r="F404" s="52" t="n">
        <x:v>45954</x:v>
      </x:c>
      <x:c r="G404" t="str">
        <x:v>AM</x:v>
      </x:c>
      <x:c r="H404" t="str">
        <x:v>ORD-2025-00093</x:v>
      </x:c>
      <x:c r="I404" t="str">
        <x:v>Normal</x:v>
      </x:c>
      <x:c r="J404" t="str">
        <x:v>PROC_STUCKDOWN</x:v>
      </x:c>
      <x:c r="K404" t="str">
        <x:v>Forming</x:v>
      </x:c>
      <x:c r="L404" s="54" t="n">
        <x:v>0.0020096652126279564</x:v>
      </x:c>
      <x:c r="M404" t="n">
        <x:v>148781</x:v>
      </x:c>
      <x:c r="N404" t="n">
        <x:f>L404*M404</x:f>
        <x:v>299</x:v>
      </x:c>
      <x:c r="O404"/>
      <x:c r="P404"/>
      <x:c r="Q404"/>
      <x:c r="R404"/>
      <x:c r="S404" s="52"/>
      <x:c r="T404" t="str">
        <x:v>OK</x:v>
      </x:c>
      <x:c r="U404" t="str">
        <x:f>IF(AND(ISNUMBER(L404),L404&gt;=0,L404&lt;=1),"OK","CHECK")</x:f>
        <x:v>OK</x:v>
      </x:c>
      <x:c r="V404" t="str">
        <x:f>IF(AND(ISNUMBER(N404),N404&gt;=0),"OK","CHECK")</x:f>
        <x:v>OK</x:v>
      </x:c>
      <x:c r="W404" t="str">
        <x:f>IF(AND(T404="OK",U404="OK",V404="OK"),"OK","CHECK")</x:f>
        <x:v>OK</x:v>
      </x:c>
      <x:c r="X404" t="str">
        <x:f>IF(W404="OK","LOAD","QUARANTINE")</x:f>
        <x:v>LOAD</x:v>
      </x:c>
      <x:c r="Y404" t="str">
        <x:v>03_Process_Losses(6).xlsx</x:v>
      </x:c>
      <x:c r="Z404" t="str">
        <x:v>ENH-20260830-01</x:v>
      </x:c>
      <x:c r="AA404" t="str">
        <x:f>IF(X404="LOAD","Active","Quarantine")</x:f>
        <x:v>Active</x:v>
      </x:c>
      <x:c r="AB404"/>
      <x:c r="AC404"/>
      <x:c r="AD404"/>
      <x:c r="AE404"/>
    </x:row>
    <x:row r="405">
      <x:c r="A405" t="str">
        <x:v>PLD-000401</x:v>
      </x:c>
      <x:c r="B405" t="str">
        <x:v>LOSS-KG01-L23-20251024-AM-ORD-2025-00093</x:v>
      </x:c>
      <x:c r="C405" t="str">
        <x:v>PE-KG01-L23-20251024-AM-ORD-2025-00093</x:v>
      </x:c>
      <x:c r="D405" t="str">
        <x:v>KG01</x:v>
      </x:c>
      <x:c r="E405" t="n">
        <x:v>23</x:v>
      </x:c>
      <x:c r="F405" s="52" t="n">
        <x:v>45954</x:v>
      </x:c>
      <x:c r="G405" t="str">
        <x:v>AM</x:v>
      </x:c>
      <x:c r="H405" t="str">
        <x:v>ORD-2025-00093</x:v>
      </x:c>
      <x:c r="I405" t="str">
        <x:v>Normal</x:v>
      </x:c>
      <x:c r="J405" t="str">
        <x:v>PROC_LEHR</x:v>
      </x:c>
      <x:c r="K405" t="str">
        <x:v>Lehr</x:v>
      </x:c>
      <x:c r="L405" s="54" t="n">
        <x:v>0.0021373696910223752</x:v>
      </x:c>
      <x:c r="M405" t="n">
        <x:v>148781</x:v>
      </x:c>
      <x:c r="N405" t="n">
        <x:f>L405*M405</x:f>
        <x:v>318</x:v>
      </x:c>
      <x:c r="O405"/>
      <x:c r="P405"/>
      <x:c r="Q405"/>
      <x:c r="R405"/>
      <x:c r="S405" s="52"/>
      <x:c r="T405" t="str">
        <x:v>OK</x:v>
      </x:c>
      <x:c r="U405" t="str">
        <x:f>IF(AND(ISNUMBER(L405),L405&gt;=0,L405&lt;=1),"OK","CHECK")</x:f>
        <x:v>OK</x:v>
      </x:c>
      <x:c r="V405" t="str">
        <x:f>IF(AND(ISNUMBER(N405),N405&gt;=0),"OK","CHECK")</x:f>
        <x:v>OK</x:v>
      </x:c>
      <x:c r="W405" t="str">
        <x:f>IF(AND(T405="OK",U405="OK",V405="OK"),"OK","CHECK")</x:f>
        <x:v>OK</x:v>
      </x:c>
      <x:c r="X405" t="str">
        <x:f>IF(W405="OK","LOAD","QUARANTINE")</x:f>
        <x:v>LOAD</x:v>
      </x:c>
      <x:c r="Y405" t="str">
        <x:v>03_Process_Losses(6).xlsx</x:v>
      </x:c>
      <x:c r="Z405" t="str">
        <x:v>ENH-20260830-01</x:v>
      </x:c>
      <x:c r="AA405" t="str">
        <x:f>IF(X405="LOAD","Active","Quarantine")</x:f>
        <x:v>Active</x:v>
      </x:c>
      <x:c r="AB405"/>
      <x:c r="AC405"/>
      <x:c r="AD405"/>
      <x:c r="AE405"/>
    </x:row>
    <x:row r="406">
      <x:c r="A406" t="str">
        <x:v>PLD-000402</x:v>
      </x:c>
      <x:c r="B406" t="str">
        <x:v>LOSS-KG01-L23-20251024-AM-ORD-2025-00093</x:v>
      </x:c>
      <x:c r="C406" t="str">
        <x:v>PE-KG01-L23-20251024-AM-ORD-2025-00093</x:v>
      </x:c>
      <x:c r="D406" t="str">
        <x:v>KG01</x:v>
      </x:c>
      <x:c r="E406" t="n">
        <x:v>23</x:v>
      </x:c>
      <x:c r="F406" s="52" t="n">
        <x:v>45954</x:v>
      </x:c>
      <x:c r="G406" t="str">
        <x:v>AM</x:v>
      </x:c>
      <x:c r="H406" t="str">
        <x:v>ORD-2025-00093</x:v>
      </x:c>
      <x:c r="I406" t="str">
        <x:v>Normal</x:v>
      </x:c>
      <x:c r="J406" t="str">
        <x:v>PROC_EVO16</x:v>
      </x:c>
      <x:c r="K406" t="str">
        <x:v>Inspection</x:v>
      </x:c>
      <x:c r="L406" s="54" t="n">
        <x:v>0.001633273065781249</x:v>
      </x:c>
      <x:c r="M406" t="n">
        <x:v>148781</x:v>
      </x:c>
      <x:c r="N406" t="n">
        <x:f>L406*M406</x:f>
        <x:v>243</x:v>
      </x:c>
      <x:c r="O406"/>
      <x:c r="P406"/>
      <x:c r="Q406"/>
      <x:c r="R406"/>
      <x:c r="S406" s="52"/>
      <x:c r="T406" t="str">
        <x:v>OK</x:v>
      </x:c>
      <x:c r="U406" t="str">
        <x:f>IF(AND(ISNUMBER(L406),L406&gt;=0,L406&lt;=1),"OK","CHECK")</x:f>
        <x:v>OK</x:v>
      </x:c>
      <x:c r="V406" t="str">
        <x:f>IF(AND(ISNUMBER(N406),N406&gt;=0),"OK","CHECK")</x:f>
        <x:v>OK</x:v>
      </x:c>
      <x:c r="W406" t="str">
        <x:f>IF(AND(T406="OK",U406="OK",V406="OK"),"OK","CHECK")</x:f>
        <x:v>OK</x:v>
      </x:c>
      <x:c r="X406" t="str">
        <x:f>IF(W406="OK","LOAD","QUARANTINE")</x:f>
        <x:v>LOAD</x:v>
      </x:c>
      <x:c r="Y406" t="str">
        <x:v>03_Process_Losses(6).xlsx</x:v>
      </x:c>
      <x:c r="Z406" t="str">
        <x:v>ENH-20260830-01</x:v>
      </x:c>
      <x:c r="AA406" t="str">
        <x:f>IF(X406="LOAD","Active","Quarantine")</x:f>
        <x:v>Active</x:v>
      </x:c>
      <x:c r="AB406"/>
      <x:c r="AC406"/>
      <x:c r="AD406"/>
      <x:c r="AE406"/>
    </x:row>
    <x:row r="407">
      <x:c r="A407" t="str">
        <x:v>PLD-000403</x:v>
      </x:c>
      <x:c r="B407" t="str">
        <x:v>LOSS-KG01-L23-20251024-AM-ORD-2025-00093</x:v>
      </x:c>
      <x:c r="C407" t="str">
        <x:v>PE-KG01-L23-20251024-AM-ORD-2025-00093</x:v>
      </x:c>
      <x:c r="D407" t="str">
        <x:v>KG01</x:v>
      </x:c>
      <x:c r="E407" t="n">
        <x:v>23</x:v>
      </x:c>
      <x:c r="F407" s="52" t="n">
        <x:v>45954</x:v>
      </x:c>
      <x:c r="G407" t="str">
        <x:v>AM</x:v>
      </x:c>
      <x:c r="H407" t="str">
        <x:v>ORD-2025-00093</x:v>
      </x:c>
      <x:c r="I407" t="str">
        <x:v>Normal</x:v>
      </x:c>
      <x:c r="J407" t="str">
        <x:v>PROC_EVO12</x:v>
      </x:c>
      <x:c r="K407" t="str">
        <x:v>Inspection</x:v>
      </x:c>
      <x:c r="L407" s="54" t="n">
        <x:v>0.0012031106122421546</x:v>
      </x:c>
      <x:c r="M407" t="n">
        <x:v>148781</x:v>
      </x:c>
      <x:c r="N407" t="n">
        <x:f>L407*M407</x:f>
        <x:v>179</x:v>
      </x:c>
      <x:c r="O407"/>
      <x:c r="P407"/>
      <x:c r="Q407"/>
      <x:c r="R407"/>
      <x:c r="S407" s="52"/>
      <x:c r="T407" t="str">
        <x:v>OK</x:v>
      </x:c>
      <x:c r="U407" t="str">
        <x:f>IF(AND(ISNUMBER(L407),L407&gt;=0,L407&lt;=1),"OK","CHECK")</x:f>
        <x:v>OK</x:v>
      </x:c>
      <x:c r="V407" t="str">
        <x:f>IF(AND(ISNUMBER(N407),N407&gt;=0),"OK","CHECK")</x:f>
        <x:v>OK</x:v>
      </x:c>
      <x:c r="W407" t="str">
        <x:f>IF(AND(T407="OK",U407="OK",V407="OK"),"OK","CHECK")</x:f>
        <x:v>OK</x:v>
      </x:c>
      <x:c r="X407" t="str">
        <x:f>IF(W407="OK","LOAD","QUARANTINE")</x:f>
        <x:v>LOAD</x:v>
      </x:c>
      <x:c r="Y407" t="str">
        <x:v>03_Process_Losses(6).xlsx</x:v>
      </x:c>
      <x:c r="Z407" t="str">
        <x:v>ENH-20260830-01</x:v>
      </x:c>
      <x:c r="AA407" t="str">
        <x:f>IF(X407="LOAD","Active","Quarantine")</x:f>
        <x:v>Active</x:v>
      </x:c>
      <x:c r="AB407"/>
      <x:c r="AC407"/>
      <x:c r="AD407"/>
      <x:c r="AE407"/>
    </x:row>
    <x:row r="408">
      <x:c r="A408" t="str">
        <x:v>PLD-000404</x:v>
      </x:c>
      <x:c r="B408" t="str">
        <x:v>LOSS-KG01-L23-20251024-AM-ORD-2025-00093</x:v>
      </x:c>
      <x:c r="C408" t="str">
        <x:v>PE-KG01-L23-20251024-AM-ORD-2025-00093</x:v>
      </x:c>
      <x:c r="D408" t="str">
        <x:v>KG01</x:v>
      </x:c>
      <x:c r="E408" t="n">
        <x:v>23</x:v>
      </x:c>
      <x:c r="F408" s="52" t="n">
        <x:v>45954</x:v>
      </x:c>
      <x:c r="G408" t="str">
        <x:v>AM</x:v>
      </x:c>
      <x:c r="H408" t="str">
        <x:v>ORD-2025-00093</x:v>
      </x:c>
      <x:c r="I408" t="str">
        <x:v>Normal</x:v>
      </x:c>
      <x:c r="J408" t="str">
        <x:v>PROC_EVO5</x:v>
      </x:c>
      <x:c r="K408" t="str">
        <x:v>Inspection</x:v>
      </x:c>
      <x:c r="L408" s="54" t="n">
        <x:v>0.0017408136791660226</x:v>
      </x:c>
      <x:c r="M408" t="n">
        <x:v>148781</x:v>
      </x:c>
      <x:c r="N408" t="n">
        <x:f>L408*M408</x:f>
        <x:v>259</x:v>
      </x:c>
      <x:c r="O408"/>
      <x:c r="P408"/>
      <x:c r="Q408"/>
      <x:c r="R408"/>
      <x:c r="S408" s="52"/>
      <x:c r="T408" t="str">
        <x:v>OK</x:v>
      </x:c>
      <x:c r="U408" t="str">
        <x:f>IF(AND(ISNUMBER(L408),L408&gt;=0,L408&lt;=1),"OK","CHECK")</x:f>
        <x:v>OK</x:v>
      </x:c>
      <x:c r="V408" t="str">
        <x:f>IF(AND(ISNUMBER(N408),N408&gt;=0),"OK","CHECK")</x:f>
        <x:v>OK</x:v>
      </x:c>
      <x:c r="W408" t="str">
        <x:f>IF(AND(T408="OK",U408="OK",V408="OK"),"OK","CHECK")</x:f>
        <x:v>OK</x:v>
      </x:c>
      <x:c r="X408" t="str">
        <x:f>IF(W408="OK","LOAD","QUARANTINE")</x:f>
        <x:v>LOAD</x:v>
      </x:c>
      <x:c r="Y408" t="str">
        <x:v>03_Process_Losses(6).xlsx</x:v>
      </x:c>
      <x:c r="Z408" t="str">
        <x:v>ENH-20260830-01</x:v>
      </x:c>
      <x:c r="AA408" t="str">
        <x:f>IF(X408="LOAD","Active","Quarantine")</x:f>
        <x:v>Active</x:v>
      </x:c>
      <x:c r="AB408"/>
      <x:c r="AC408"/>
      <x:c r="AD408"/>
      <x:c r="AE408"/>
    </x:row>
    <x:row r="409">
      <x:c r="A409" t="str">
        <x:v>PLD-000405</x:v>
      </x:c>
      <x:c r="B409" t="str">
        <x:v>LOSS-KG01-L23-20251024-AM-ORD-2025-00093</x:v>
      </x:c>
      <x:c r="C409" t="str">
        <x:v>PE-KG01-L23-20251024-AM-ORD-2025-00093</x:v>
      </x:c>
      <x:c r="D409" t="str">
        <x:v>KG01</x:v>
      </x:c>
      <x:c r="E409" t="n">
        <x:v>23</x:v>
      </x:c>
      <x:c r="F409" s="52" t="n">
        <x:v>45954</x:v>
      </x:c>
      <x:c r="G409" t="str">
        <x:v>AM</x:v>
      </x:c>
      <x:c r="H409" t="str">
        <x:v>ORD-2025-00093</x:v>
      </x:c>
      <x:c r="I409" t="str">
        <x:v>Normal</x:v>
      </x:c>
      <x:c r="J409" t="str">
        <x:v>PROC_SANLI</x:v>
      </x:c>
      <x:c r="K409" t="str">
        <x:v>Inspection</x:v>
      </x:c>
      <x:c r="L409" s="54" t="n">
        <x:v>0.002977530733090919</x:v>
      </x:c>
      <x:c r="M409" t="n">
        <x:v>148781</x:v>
      </x:c>
      <x:c r="N409" t="n">
        <x:f>L409*M409</x:f>
        <x:v>443.00000000000006</x:v>
      </x:c>
      <x:c r="O409"/>
      <x:c r="P409"/>
      <x:c r="Q409"/>
      <x:c r="R409"/>
      <x:c r="S409" s="52"/>
      <x:c r="T409" t="str">
        <x:v>OK</x:v>
      </x:c>
      <x:c r="U409" t="str">
        <x:f>IF(AND(ISNUMBER(L409),L409&gt;=0,L409&lt;=1),"OK","CHECK")</x:f>
        <x:v>OK</x:v>
      </x:c>
      <x:c r="V409" t="str">
        <x:f>IF(AND(ISNUMBER(N409),N409&gt;=0),"OK","CHECK")</x:f>
        <x:v>OK</x:v>
      </x:c>
      <x:c r="W409" t="str">
        <x:f>IF(AND(T409="OK",U409="OK",V409="OK"),"OK","CHECK")</x:f>
        <x:v>OK</x:v>
      </x:c>
      <x:c r="X409" t="str">
        <x:f>IF(W409="OK","LOAD","QUARANTINE")</x:f>
        <x:v>LOAD</x:v>
      </x:c>
      <x:c r="Y409" t="str">
        <x:v>03_Process_Losses(6).xlsx</x:v>
      </x:c>
      <x:c r="Z409" t="str">
        <x:v>ENH-20260830-01</x:v>
      </x:c>
      <x:c r="AA409" t="str">
        <x:f>IF(X409="LOAD","Active","Quarantine")</x:f>
        <x:v>Active</x:v>
      </x:c>
      <x:c r="AB409"/>
      <x:c r="AC409"/>
      <x:c r="AD409"/>
      <x:c r="AE409"/>
    </x:row>
    <x:row r="410">
      <x:c r="A410" t="str">
        <x:v>PLD-000406</x:v>
      </x:c>
      <x:c r="B410" t="str">
        <x:v>LOSS-KG01-L23-20251024-AM-ORD-2025-00093</x:v>
      </x:c>
      <x:c r="C410" t="str">
        <x:v>PE-KG01-L23-20251024-AM-ORD-2025-00093</x:v>
      </x:c>
      <x:c r="D410" t="str">
        <x:v>KG01</x:v>
      </x:c>
      <x:c r="E410" t="n">
        <x:v>23</x:v>
      </x:c>
      <x:c r="F410" s="52" t="n">
        <x:v>45954</x:v>
      </x:c>
      <x:c r="G410" t="str">
        <x:v>AM</x:v>
      </x:c>
      <x:c r="H410" t="str">
        <x:v>ORD-2025-00093</x:v>
      </x:c>
      <x:c r="I410" t="str">
        <x:v>Normal</x:v>
      </x:c>
      <x:c r="J410" t="str">
        <x:v>PROC_VISUAL</x:v>
      </x:c>
      <x:c r="K410" t="str">
        <x:v>Inspection</x:v>
      </x:c>
      <x:c r="L410" s="54" t="n">
        <x:v>0.002614581162917308</x:v>
      </x:c>
      <x:c r="M410" t="n">
        <x:v>148781</x:v>
      </x:c>
      <x:c r="N410" t="n">
        <x:f>L410*M410</x:f>
        <x:v>389</x:v>
      </x:c>
      <x:c r="O410"/>
      <x:c r="P410"/>
      <x:c r="Q410"/>
      <x:c r="R410"/>
      <x:c r="S410" s="52"/>
      <x:c r="T410" t="str">
        <x:v>OK</x:v>
      </x:c>
      <x:c r="U410" t="str">
        <x:f>IF(AND(ISNUMBER(L410),L410&gt;=0,L410&lt;=1),"OK","CHECK")</x:f>
        <x:v>OK</x:v>
      </x:c>
      <x:c r="V410" t="str">
        <x:f>IF(AND(ISNUMBER(N410),N410&gt;=0),"OK","CHECK")</x:f>
        <x:v>OK</x:v>
      </x:c>
      <x:c r="W410" t="str">
        <x:f>IF(AND(T410="OK",U410="OK",V410="OK"),"OK","CHECK")</x:f>
        <x:v>OK</x:v>
      </x:c>
      <x:c r="X410" t="str">
        <x:f>IF(W410="OK","LOAD","QUARANTINE")</x:f>
        <x:v>LOAD</x:v>
      </x:c>
      <x:c r="Y410" t="str">
        <x:v>03_Process_Losses(6).xlsx</x:v>
      </x:c>
      <x:c r="Z410" t="str">
        <x:v>ENH-20260830-01</x:v>
      </x:c>
      <x:c r="AA410" t="str">
        <x:f>IF(X410="LOAD","Active","Quarantine")</x:f>
        <x:v>Active</x:v>
      </x:c>
      <x:c r="AB410"/>
      <x:c r="AC410"/>
      <x:c r="AD410"/>
      <x:c r="AE410"/>
    </x:row>
    <x:row r="411">
      <x:c r="A411" t="str">
        <x:v>PLD-000407</x:v>
      </x:c>
      <x:c r="B411" t="str">
        <x:v>LOSS-KG01-L23-20251024-AM-ORD-2025-00093</x:v>
      </x:c>
      <x:c r="C411" t="str">
        <x:v>PE-KG01-L23-20251024-AM-ORD-2025-00093</x:v>
      </x:c>
      <x:c r="D411" t="str">
        <x:v>KG01</x:v>
      </x:c>
      <x:c r="E411" t="n">
        <x:v>23</x:v>
      </x:c>
      <x:c r="F411" s="52" t="n">
        <x:v>45954</x:v>
      </x:c>
      <x:c r="G411" t="str">
        <x:v>AM</x:v>
      </x:c>
      <x:c r="H411" t="str">
        <x:v>ORD-2025-00093</x:v>
      </x:c>
      <x:c r="I411" t="str">
        <x:v>Normal</x:v>
      </x:c>
      <x:c r="J411" t="str">
        <x:v>PROC_PALLETIZER</x:v>
      </x:c>
      <x:c r="K411" t="str">
        <x:v>Palletizer</x:v>
      </x:c>
      <x:c r="L411" s="54" t="n">
        <x:v>0.003999166560246268</x:v>
      </x:c>
      <x:c r="M411" t="n">
        <x:v>148781</x:v>
      </x:c>
      <x:c r="N411" t="n">
        <x:f>L411*M411</x:f>
        <x:v>595</x:v>
      </x:c>
      <x:c r="O411"/>
      <x:c r="P411"/>
      <x:c r="Q411"/>
      <x:c r="R411"/>
      <x:c r="S411" s="52"/>
      <x:c r="T411" t="str">
        <x:v>OK</x:v>
      </x:c>
      <x:c r="U411" t="str">
        <x:f>IF(AND(ISNUMBER(L411),L411&gt;=0,L411&lt;=1),"OK","CHECK")</x:f>
        <x:v>OK</x:v>
      </x:c>
      <x:c r="V411" t="str">
        <x:f>IF(AND(ISNUMBER(N411),N411&gt;=0),"OK","CHECK")</x:f>
        <x:v>OK</x:v>
      </x:c>
      <x:c r="W411" t="str">
        <x:f>IF(AND(T411="OK",U411="OK",V411="OK"),"OK","CHECK")</x:f>
        <x:v>OK</x:v>
      </x:c>
      <x:c r="X411" t="str">
        <x:f>IF(W411="OK","LOAD","QUARANTINE")</x:f>
        <x:v>LOAD</x:v>
      </x:c>
      <x:c r="Y411" t="str">
        <x:v>03_Process_Losses(6).xlsx</x:v>
      </x:c>
      <x:c r="Z411" t="str">
        <x:v>ENH-20260830-01</x:v>
      </x:c>
      <x:c r="AA411" t="str">
        <x:f>IF(X411="LOAD","Active","Quarantine")</x:f>
        <x:v>Active</x:v>
      </x:c>
      <x:c r="AB411"/>
      <x:c r="AC411"/>
      <x:c r="AD411"/>
      <x:c r="AE411"/>
    </x:row>
    <x:row r="412">
      <x:c r="A412" t="str">
        <x:v>PLD-000408</x:v>
      </x:c>
      <x:c r="B412" t="str">
        <x:v>LOSS-KG01-L23-20251024-PM-ORD-2025-00093</x:v>
      </x:c>
      <x:c r="C412" t="str">
        <x:v>PE-KG01-L23-20251024-PM-ORD-2025-00093</x:v>
      </x:c>
      <x:c r="D412" t="str">
        <x:v>KG01</x:v>
      </x:c>
      <x:c r="E412" t="n">
        <x:v>23</x:v>
      </x:c>
      <x:c r="F412" s="52" t="n">
        <x:v>45954</x:v>
      </x:c>
      <x:c r="G412" t="str">
        <x:v>PM</x:v>
      </x:c>
      <x:c r="H412" t="str">
        <x:v>ORD-2025-00093</x:v>
      </x:c>
      <x:c r="I412" t="str">
        <x:v>Normal</x:v>
      </x:c>
      <x:c r="J412" t="str">
        <x:v>PROC_FIXED</x:v>
      </x:c>
      <x:c r="K412" t="str">
        <x:v>Fixed Losses</x:v>
      </x:c>
      <x:c r="L412" s="54" t="n">
        <x:v>0.0020845290047321516</x:v>
      </x:c>
      <x:c r="M412" t="n">
        <x:v>184694</x:v>
      </x:c>
      <x:c r="N412" t="n">
        <x:f>L412*M412</x:f>
        <x:v>385</x:v>
      </x:c>
      <x:c r="O412"/>
      <x:c r="P412"/>
      <x:c r="Q412"/>
      <x:c r="R412"/>
      <x:c r="S412" s="52"/>
      <x:c r="T412" t="str">
        <x:v>OK</x:v>
      </x:c>
      <x:c r="U412" t="str">
        <x:f>IF(AND(ISNUMBER(L412),L412&gt;=0,L412&lt;=1),"OK","CHECK")</x:f>
        <x:v>OK</x:v>
      </x:c>
      <x:c r="V412" t="str">
        <x:f>IF(AND(ISNUMBER(N412),N412&gt;=0),"OK","CHECK")</x:f>
        <x:v>OK</x:v>
      </x:c>
      <x:c r="W412" t="str">
        <x:f>IF(AND(T412="OK",U412="OK",V412="OK"),"OK","CHECK")</x:f>
        <x:v>OK</x:v>
      </x:c>
      <x:c r="X412" t="str">
        <x:f>IF(W412="OK","LOAD","QUARANTINE")</x:f>
        <x:v>LOAD</x:v>
      </x:c>
      <x:c r="Y412" t="str">
        <x:v>03_Process_Losses(6).xlsx</x:v>
      </x:c>
      <x:c r="Z412" t="str">
        <x:v>ENH-20260830-01</x:v>
      </x:c>
      <x:c r="AA412" t="str">
        <x:f>IF(X412="LOAD","Active","Quarantine")</x:f>
        <x:v>Active</x:v>
      </x:c>
      <x:c r="AB412"/>
      <x:c r="AC412"/>
      <x:c r="AD412"/>
      <x:c r="AE412"/>
    </x:row>
    <x:row r="413">
      <x:c r="A413" t="str">
        <x:v>PLD-000409</x:v>
      </x:c>
      <x:c r="B413" t="str">
        <x:v>LOSS-KG01-L23-20251024-PM-ORD-2025-00093</x:v>
      </x:c>
      <x:c r="C413" t="str">
        <x:v>PE-KG01-L23-20251024-PM-ORD-2025-00093</x:v>
      </x:c>
      <x:c r="D413" t="str">
        <x:v>KG01</x:v>
      </x:c>
      <x:c r="E413" t="n">
        <x:v>23</x:v>
      </x:c>
      <x:c r="F413" s="52" t="n">
        <x:v>45954</x:v>
      </x:c>
      <x:c r="G413" t="str">
        <x:v>PM</x:v>
      </x:c>
      <x:c r="H413" t="str">
        <x:v>ORD-2025-00093</x:v>
      </x:c>
      <x:c r="I413" t="str">
        <x:v>Normal</x:v>
      </x:c>
      <x:c r="J413" t="str">
        <x:v>PROC_IS</x:v>
      </x:c>
      <x:c r="K413" t="str">
        <x:v>IS Machine</x:v>
      </x:c>
      <x:c r="L413" s="54" t="n">
        <x:v>0.007623420360163297</x:v>
      </x:c>
      <x:c r="M413" t="n">
        <x:v>184694</x:v>
      </x:c>
      <x:c r="N413" t="n">
        <x:f>L413*M413</x:f>
        <x:v>1408</x:v>
      </x:c>
      <x:c r="O413"/>
      <x:c r="P413"/>
      <x:c r="Q413"/>
      <x:c r="R413"/>
      <x:c r="S413" s="52"/>
      <x:c r="T413" t="str">
        <x:v>OK</x:v>
      </x:c>
      <x:c r="U413" t="str">
        <x:f>IF(AND(ISNUMBER(L413),L413&gt;=0,L413&lt;=1),"OK","CHECK")</x:f>
        <x:v>OK</x:v>
      </x:c>
      <x:c r="V413" t="str">
        <x:f>IF(AND(ISNUMBER(N413),N413&gt;=0),"OK","CHECK")</x:f>
        <x:v>OK</x:v>
      </x:c>
      <x:c r="W413" t="str">
        <x:f>IF(AND(T413="OK",U413="OK",V413="OK"),"OK","CHECK")</x:f>
        <x:v>OK</x:v>
      </x:c>
      <x:c r="X413" t="str">
        <x:f>IF(W413="OK","LOAD","QUARANTINE")</x:f>
        <x:v>LOAD</x:v>
      </x:c>
      <x:c r="Y413" t="str">
        <x:v>03_Process_Losses(6).xlsx</x:v>
      </x:c>
      <x:c r="Z413" t="str">
        <x:v>ENH-20260830-01</x:v>
      </x:c>
      <x:c r="AA413" t="str">
        <x:f>IF(X413="LOAD","Active","Quarantine")</x:f>
        <x:v>Active</x:v>
      </x:c>
      <x:c r="AB413"/>
      <x:c r="AC413"/>
      <x:c r="AD413"/>
      <x:c r="AE413"/>
    </x:row>
    <x:row r="414">
      <x:c r="A414" t="str">
        <x:v>PLD-000410</x:v>
      </x:c>
      <x:c r="B414" t="str">
        <x:v>LOSS-KG01-L23-20251024-PM-ORD-2025-00093</x:v>
      </x:c>
      <x:c r="C414" t="str">
        <x:v>PE-KG01-L23-20251024-PM-ORD-2025-00093</x:v>
      </x:c>
      <x:c r="D414" t="str">
        <x:v>KG01</x:v>
      </x:c>
      <x:c r="E414" t="n">
        <x:v>23</x:v>
      </x:c>
      <x:c r="F414" s="52" t="n">
        <x:v>45954</x:v>
      </x:c>
      <x:c r="G414" t="str">
        <x:v>PM</x:v>
      </x:c>
      <x:c r="H414" t="str">
        <x:v>ORD-2025-00093</x:v>
      </x:c>
      <x:c r="I414" t="str">
        <x:v>Normal</x:v>
      </x:c>
      <x:c r="J414" t="str">
        <x:v>PROC_HE_CONVEYER</x:v>
      </x:c>
      <x:c r="K414" t="str">
        <x:v>Hot End</x:v>
      </x:c>
      <x:c r="L414" s="54" t="n">
        <x:v>0.002625965109857386</x:v>
      </x:c>
      <x:c r="M414" t="n">
        <x:v>184694</x:v>
      </x:c>
      <x:c r="N414" t="n">
        <x:f>L414*M414</x:f>
        <x:v>485</x:v>
      </x:c>
      <x:c r="O414"/>
      <x:c r="P414"/>
      <x:c r="Q414"/>
      <x:c r="R414"/>
      <x:c r="S414" s="52"/>
      <x:c r="T414" t="str">
        <x:v>OK</x:v>
      </x:c>
      <x:c r="U414" t="str">
        <x:f>IF(AND(ISNUMBER(L414),L414&gt;=0,L414&lt;=1),"OK","CHECK")</x:f>
        <x:v>OK</x:v>
      </x:c>
      <x:c r="V414" t="str">
        <x:f>IF(AND(ISNUMBER(N414),N414&gt;=0),"OK","CHECK")</x:f>
        <x:v>OK</x:v>
      </x:c>
      <x:c r="W414" t="str">
        <x:f>IF(AND(T414="OK",U414="OK",V414="OK"),"OK","CHECK")</x:f>
        <x:v>OK</x:v>
      </x:c>
      <x:c r="X414" t="str">
        <x:f>IF(W414="OK","LOAD","QUARANTINE")</x:f>
        <x:v>LOAD</x:v>
      </x:c>
      <x:c r="Y414" t="str">
        <x:v>03_Process_Losses(6).xlsx</x:v>
      </x:c>
      <x:c r="Z414" t="str">
        <x:v>ENH-20260830-01</x:v>
      </x:c>
      <x:c r="AA414" t="str">
        <x:f>IF(X414="LOAD","Active","Quarantine")</x:f>
        <x:v>Active</x:v>
      </x:c>
      <x:c r="AB414"/>
      <x:c r="AC414"/>
      <x:c r="AD414"/>
      <x:c r="AE414"/>
    </x:row>
    <x:row r="415">
      <x:c r="A415" t="str">
        <x:v>PLD-000411</x:v>
      </x:c>
      <x:c r="B415" t="str">
        <x:v>LOSS-KG01-L23-20251024-PM-ORD-2025-00093</x:v>
      </x:c>
      <x:c r="C415" t="str">
        <x:v>PE-KG01-L23-20251024-PM-ORD-2025-00093</x:v>
      </x:c>
      <x:c r="D415" t="str">
        <x:v>KG01</x:v>
      </x:c>
      <x:c r="E415" t="n">
        <x:v>23</x:v>
      </x:c>
      <x:c r="F415" s="52" t="n">
        <x:v>45954</x:v>
      </x:c>
      <x:c r="G415" t="str">
        <x:v>PM</x:v>
      </x:c>
      <x:c r="H415" t="str">
        <x:v>ORD-2025-00093</x:v>
      </x:c>
      <x:c r="I415" t="str">
        <x:v>Normal</x:v>
      </x:c>
      <x:c r="J415" t="str">
        <x:v>PROC_STUCKDOWN</x:v>
      </x:c>
      <x:c r="K415" t="str">
        <x:v>Forming</x:v>
      </x:c>
      <x:c r="L415" s="54" t="n">
        <x:v>0.0015972365101194408</x:v>
      </x:c>
      <x:c r="M415" t="n">
        <x:v>184694</x:v>
      </x:c>
      <x:c r="N415" t="n">
        <x:f>L415*M415</x:f>
        <x:v>295</x:v>
      </x:c>
      <x:c r="O415"/>
      <x:c r="P415"/>
      <x:c r="Q415"/>
      <x:c r="R415"/>
      <x:c r="S415" s="52"/>
      <x:c r="T415" t="str">
        <x:v>OK</x:v>
      </x:c>
      <x:c r="U415" t="str">
        <x:f>IF(AND(ISNUMBER(L415),L415&gt;=0,L415&lt;=1),"OK","CHECK")</x:f>
        <x:v>OK</x:v>
      </x:c>
      <x:c r="V415" t="str">
        <x:f>IF(AND(ISNUMBER(N415),N415&gt;=0),"OK","CHECK")</x:f>
        <x:v>OK</x:v>
      </x:c>
      <x:c r="W415" t="str">
        <x:f>IF(AND(T415="OK",U415="OK",V415="OK"),"OK","CHECK")</x:f>
        <x:v>OK</x:v>
      </x:c>
      <x:c r="X415" t="str">
        <x:f>IF(W415="OK","LOAD","QUARANTINE")</x:f>
        <x:v>LOAD</x:v>
      </x:c>
      <x:c r="Y415" t="str">
        <x:v>03_Process_Losses(6).xlsx</x:v>
      </x:c>
      <x:c r="Z415" t="str">
        <x:v>ENH-20260830-01</x:v>
      </x:c>
      <x:c r="AA415" t="str">
        <x:f>IF(X415="LOAD","Active","Quarantine")</x:f>
        <x:v>Active</x:v>
      </x:c>
      <x:c r="AB415"/>
      <x:c r="AC415"/>
      <x:c r="AD415"/>
      <x:c r="AE415"/>
    </x:row>
    <x:row r="416">
      <x:c r="A416" t="str">
        <x:v>PLD-000412</x:v>
      </x:c>
      <x:c r="B416" t="str">
        <x:v>LOSS-KG01-L23-20251024-PM-ORD-2025-00093</x:v>
      </x:c>
      <x:c r="C416" t="str">
        <x:v>PE-KG01-L23-20251024-PM-ORD-2025-00093</x:v>
      </x:c>
      <x:c r="D416" t="str">
        <x:v>KG01</x:v>
      </x:c>
      <x:c r="E416" t="n">
        <x:v>23</x:v>
      </x:c>
      <x:c r="F416" s="52" t="n">
        <x:v>45954</x:v>
      </x:c>
      <x:c r="G416" t="str">
        <x:v>PM</x:v>
      </x:c>
      <x:c r="H416" t="str">
        <x:v>ORD-2025-00093</x:v>
      </x:c>
      <x:c r="I416" t="str">
        <x:v>Normal</x:v>
      </x:c>
      <x:c r="J416" t="str">
        <x:v>PROC_LEHR</x:v>
      </x:c>
      <x:c r="K416" t="str">
        <x:v>Lehr</x:v>
      </x:c>
      <x:c r="L416" s="54" t="n">
        <x:v>0.002501434805678582</x:v>
      </x:c>
      <x:c r="M416" t="n">
        <x:v>184694</x:v>
      </x:c>
      <x:c r="N416" t="n">
        <x:f>L416*M416</x:f>
        <x:v>462</x:v>
      </x:c>
      <x:c r="O416"/>
      <x:c r="P416"/>
      <x:c r="Q416"/>
      <x:c r="R416"/>
      <x:c r="S416" s="52"/>
      <x:c r="T416" t="str">
        <x:v>OK</x:v>
      </x:c>
      <x:c r="U416" t="str">
        <x:f>IF(AND(ISNUMBER(L416),L416&gt;=0,L416&lt;=1),"OK","CHECK")</x:f>
        <x:v>OK</x:v>
      </x:c>
      <x:c r="V416" t="str">
        <x:f>IF(AND(ISNUMBER(N416),N416&gt;=0),"OK","CHECK")</x:f>
        <x:v>OK</x:v>
      </x:c>
      <x:c r="W416" t="str">
        <x:f>IF(AND(T416="OK",U416="OK",V416="OK"),"OK","CHECK")</x:f>
        <x:v>OK</x:v>
      </x:c>
      <x:c r="X416" t="str">
        <x:f>IF(W416="OK","LOAD","QUARANTINE")</x:f>
        <x:v>LOAD</x:v>
      </x:c>
      <x:c r="Y416" t="str">
        <x:v>03_Process_Losses(6).xlsx</x:v>
      </x:c>
      <x:c r="Z416" t="str">
        <x:v>ENH-20260830-01</x:v>
      </x:c>
      <x:c r="AA416" t="str">
        <x:f>IF(X416="LOAD","Active","Quarantine")</x:f>
        <x:v>Active</x:v>
      </x:c>
      <x:c r="AB416"/>
      <x:c r="AC416"/>
      <x:c r="AD416"/>
      <x:c r="AE416"/>
    </x:row>
    <x:row r="417">
      <x:c r="A417" t="str">
        <x:v>PLD-000413</x:v>
      </x:c>
      <x:c r="B417" t="str">
        <x:v>LOSS-KG01-L23-20251024-PM-ORD-2025-00093</x:v>
      </x:c>
      <x:c r="C417" t="str">
        <x:v>PE-KG01-L23-20251024-PM-ORD-2025-00093</x:v>
      </x:c>
      <x:c r="D417" t="str">
        <x:v>KG01</x:v>
      </x:c>
      <x:c r="E417" t="n">
        <x:v>23</x:v>
      </x:c>
      <x:c r="F417" s="52" t="n">
        <x:v>45954</x:v>
      </x:c>
      <x:c r="G417" t="str">
        <x:v>PM</x:v>
      </x:c>
      <x:c r="H417" t="str">
        <x:v>ORD-2025-00093</x:v>
      </x:c>
      <x:c r="I417" t="str">
        <x:v>Normal</x:v>
      </x:c>
      <x:c r="J417" t="str">
        <x:v>PROC_EVO16</x:v>
      </x:c>
      <x:c r="K417" t="str">
        <x:v>Inspection</x:v>
      </x:c>
      <x:c r="L417" s="54" t="n">
        <x:v>0.001997899227912114</x:v>
      </x:c>
      <x:c r="M417" t="n">
        <x:v>184694</x:v>
      </x:c>
      <x:c r="N417" t="n">
        <x:f>L417*M417</x:f>
        <x:v>369</x:v>
      </x:c>
      <x:c r="O417"/>
      <x:c r="P417"/>
      <x:c r="Q417"/>
      <x:c r="R417"/>
      <x:c r="S417" s="52"/>
      <x:c r="T417" t="str">
        <x:v>OK</x:v>
      </x:c>
      <x:c r="U417" t="str">
        <x:f>IF(AND(ISNUMBER(L417),L417&gt;=0,L417&lt;=1),"OK","CHECK")</x:f>
        <x:v>OK</x:v>
      </x:c>
      <x:c r="V417" t="str">
        <x:f>IF(AND(ISNUMBER(N417),N417&gt;=0),"OK","CHECK")</x:f>
        <x:v>OK</x:v>
      </x:c>
      <x:c r="W417" t="str">
        <x:f>IF(AND(T417="OK",U417="OK",V417="OK"),"OK","CHECK")</x:f>
        <x:v>OK</x:v>
      </x:c>
      <x:c r="X417" t="str">
        <x:f>IF(W417="OK","LOAD","QUARANTINE")</x:f>
        <x:v>LOAD</x:v>
      </x:c>
      <x:c r="Y417" t="str">
        <x:v>03_Process_Losses(6).xlsx</x:v>
      </x:c>
      <x:c r="Z417" t="str">
        <x:v>ENH-20260830-01</x:v>
      </x:c>
      <x:c r="AA417" t="str">
        <x:f>IF(X417="LOAD","Active","Quarantine")</x:f>
        <x:v>Active</x:v>
      </x:c>
      <x:c r="AB417"/>
      <x:c r="AC417"/>
      <x:c r="AD417"/>
      <x:c r="AE417"/>
    </x:row>
    <x:row r="418">
      <x:c r="A418" t="str">
        <x:v>PLD-000414</x:v>
      </x:c>
      <x:c r="B418" t="str">
        <x:v>LOSS-KG01-L23-20251024-PM-ORD-2025-00093</x:v>
      </x:c>
      <x:c r="C418" t="str">
        <x:v>PE-KG01-L23-20251024-PM-ORD-2025-00093</x:v>
      </x:c>
      <x:c r="D418" t="str">
        <x:v>KG01</x:v>
      </x:c>
      <x:c r="E418" t="n">
        <x:v>23</x:v>
      </x:c>
      <x:c r="F418" s="52" t="n">
        <x:v>45954</x:v>
      </x:c>
      <x:c r="G418" t="str">
        <x:v>PM</x:v>
      </x:c>
      <x:c r="H418" t="str">
        <x:v>ORD-2025-00093</x:v>
      </x:c>
      <x:c r="I418" t="str">
        <x:v>Normal</x:v>
      </x:c>
      <x:c r="J418" t="str">
        <x:v>PROC_EVO12</x:v>
      </x:c>
      <x:c r="K418" t="str">
        <x:v>Inspection</x:v>
      </x:c>
      <x:c r="L418" s="54" t="n">
        <x:v>0.001299446652300562</x:v>
      </x:c>
      <x:c r="M418" t="n">
        <x:v>184694</x:v>
      </x:c>
      <x:c r="N418" t="n">
        <x:f>L418*M418</x:f>
        <x:v>240</x:v>
      </x:c>
      <x:c r="O418"/>
      <x:c r="P418"/>
      <x:c r="Q418"/>
      <x:c r="R418"/>
      <x:c r="S418" s="52"/>
      <x:c r="T418" t="str">
        <x:v>OK</x:v>
      </x:c>
      <x:c r="U418" t="str">
        <x:f>IF(AND(ISNUMBER(L418),L418&gt;=0,L418&lt;=1),"OK","CHECK")</x:f>
        <x:v>OK</x:v>
      </x:c>
      <x:c r="V418" t="str">
        <x:f>IF(AND(ISNUMBER(N418),N418&gt;=0),"OK","CHECK")</x:f>
        <x:v>OK</x:v>
      </x:c>
      <x:c r="W418" t="str">
        <x:f>IF(AND(T418="OK",U418="OK",V418="OK"),"OK","CHECK")</x:f>
        <x:v>OK</x:v>
      </x:c>
      <x:c r="X418" t="str">
        <x:f>IF(W418="OK","LOAD","QUARANTINE")</x:f>
        <x:v>LOAD</x:v>
      </x:c>
      <x:c r="Y418" t="str">
        <x:v>03_Process_Losses(6).xlsx</x:v>
      </x:c>
      <x:c r="Z418" t="str">
        <x:v>ENH-20260830-01</x:v>
      </x:c>
      <x:c r="AA418" t="str">
        <x:f>IF(X418="LOAD","Active","Quarantine")</x:f>
        <x:v>Active</x:v>
      </x:c>
      <x:c r="AB418"/>
      <x:c r="AC418"/>
      <x:c r="AD418"/>
      <x:c r="AE418"/>
    </x:row>
    <x:row r="419">
      <x:c r="A419" t="str">
        <x:v>PLD-000415</x:v>
      </x:c>
      <x:c r="B419" t="str">
        <x:v>LOSS-KG01-L23-20251024-PM-ORD-2025-00093</x:v>
      </x:c>
      <x:c r="C419" t="str">
        <x:v>PE-KG01-L23-20251024-PM-ORD-2025-00093</x:v>
      </x:c>
      <x:c r="D419" t="str">
        <x:v>KG01</x:v>
      </x:c>
      <x:c r="E419" t="n">
        <x:v>23</x:v>
      </x:c>
      <x:c r="F419" s="52" t="n">
        <x:v>45954</x:v>
      </x:c>
      <x:c r="G419" t="str">
        <x:v>PM</x:v>
      </x:c>
      <x:c r="H419" t="str">
        <x:v>ORD-2025-00093</x:v>
      </x:c>
      <x:c r="I419" t="str">
        <x:v>Normal</x:v>
      </x:c>
      <x:c r="J419" t="str">
        <x:v>PROC_EVO5</x:v>
      </x:c>
      <x:c r="K419" t="str">
        <x:v>Inspection</x:v>
      </x:c>
      <x:c r="L419" s="54" t="n">
        <x:v>0.0006172371598427669</x:v>
      </x:c>
      <x:c r="M419" t="n">
        <x:v>184694</x:v>
      </x:c>
      <x:c r="N419" t="n">
        <x:f>L419*M419</x:f>
        <x:v>114</x:v>
      </x:c>
      <x:c r="O419"/>
      <x:c r="P419"/>
      <x:c r="Q419"/>
      <x:c r="R419"/>
      <x:c r="S419" s="52"/>
      <x:c r="T419" t="str">
        <x:v>OK</x:v>
      </x:c>
      <x:c r="U419" t="str">
        <x:f>IF(AND(ISNUMBER(L419),L419&gt;=0,L419&lt;=1),"OK","CHECK")</x:f>
        <x:v>OK</x:v>
      </x:c>
      <x:c r="V419" t="str">
        <x:f>IF(AND(ISNUMBER(N419),N419&gt;=0),"OK","CHECK")</x:f>
        <x:v>OK</x:v>
      </x:c>
      <x:c r="W419" t="str">
        <x:f>IF(AND(T419="OK",U419="OK",V419="OK"),"OK","CHECK")</x:f>
        <x:v>OK</x:v>
      </x:c>
      <x:c r="X419" t="str">
        <x:f>IF(W419="OK","LOAD","QUARANTINE")</x:f>
        <x:v>LOAD</x:v>
      </x:c>
      <x:c r="Y419" t="str">
        <x:v>03_Process_Losses(6).xlsx</x:v>
      </x:c>
      <x:c r="Z419" t="str">
        <x:v>ENH-20260830-01</x:v>
      </x:c>
      <x:c r="AA419" t="str">
        <x:f>IF(X419="LOAD","Active","Quarantine")</x:f>
        <x:v>Active</x:v>
      </x:c>
      <x:c r="AB419"/>
      <x:c r="AC419"/>
      <x:c r="AD419"/>
      <x:c r="AE419"/>
    </x:row>
    <x:row r="420">
      <x:c r="A420" t="str">
        <x:v>PLD-000416</x:v>
      </x:c>
      <x:c r="B420" t="str">
        <x:v>LOSS-KG01-L23-20251024-PM-ORD-2025-00093</x:v>
      </x:c>
      <x:c r="C420" t="str">
        <x:v>PE-KG01-L23-20251024-PM-ORD-2025-00093</x:v>
      </x:c>
      <x:c r="D420" t="str">
        <x:v>KG01</x:v>
      </x:c>
      <x:c r="E420" t="n">
        <x:v>23</x:v>
      </x:c>
      <x:c r="F420" s="52" t="n">
        <x:v>45954</x:v>
      </x:c>
      <x:c r="G420" t="str">
        <x:v>PM</x:v>
      </x:c>
      <x:c r="H420" t="str">
        <x:v>ORD-2025-00093</x:v>
      </x:c>
      <x:c r="I420" t="str">
        <x:v>Normal</x:v>
      </x:c>
      <x:c r="J420" t="str">
        <x:v>PROC_SANLI</x:v>
      </x:c>
      <x:c r="K420" t="str">
        <x:v>Inspection</x:v>
      </x:c>
      <x:c r="L420" s="54" t="n">
        <x:v>0.0034110474622889753</x:v>
      </x:c>
      <x:c r="M420" t="n">
        <x:v>184694</x:v>
      </x:c>
      <x:c r="N420" t="n">
        <x:f>L420*M420</x:f>
        <x:v>630</x:v>
      </x:c>
      <x:c r="O420"/>
      <x:c r="P420"/>
      <x:c r="Q420"/>
      <x:c r="R420"/>
      <x:c r="S420" s="52"/>
      <x:c r="T420" t="str">
        <x:v>OK</x:v>
      </x:c>
      <x:c r="U420" t="str">
        <x:f>IF(AND(ISNUMBER(L420),L420&gt;=0,L420&lt;=1),"OK","CHECK")</x:f>
        <x:v>OK</x:v>
      </x:c>
      <x:c r="V420" t="str">
        <x:f>IF(AND(ISNUMBER(N420),N420&gt;=0),"OK","CHECK")</x:f>
        <x:v>OK</x:v>
      </x:c>
      <x:c r="W420" t="str">
        <x:f>IF(AND(T420="OK",U420="OK",V420="OK"),"OK","CHECK")</x:f>
        <x:v>OK</x:v>
      </x:c>
      <x:c r="X420" t="str">
        <x:f>IF(W420="OK","LOAD","QUARANTINE")</x:f>
        <x:v>LOAD</x:v>
      </x:c>
      <x:c r="Y420" t="str">
        <x:v>03_Process_Losses(6).xlsx</x:v>
      </x:c>
      <x:c r="Z420" t="str">
        <x:v>ENH-20260830-01</x:v>
      </x:c>
      <x:c r="AA420" t="str">
        <x:f>IF(X420="LOAD","Active","Quarantine")</x:f>
        <x:v>Active</x:v>
      </x:c>
      <x:c r="AB420"/>
      <x:c r="AC420"/>
      <x:c r="AD420"/>
      <x:c r="AE420"/>
    </x:row>
    <x:row r="421">
      <x:c r="A421" t="str">
        <x:v>PLD-000417</x:v>
      </x:c>
      <x:c r="B421" t="str">
        <x:v>LOSS-KG01-L23-20251024-PM-ORD-2025-00093</x:v>
      </x:c>
      <x:c r="C421" t="str">
        <x:v>PE-KG01-L23-20251024-PM-ORD-2025-00093</x:v>
      </x:c>
      <x:c r="D421" t="str">
        <x:v>KG01</x:v>
      </x:c>
      <x:c r="E421" t="n">
        <x:v>23</x:v>
      </x:c>
      <x:c r="F421" s="52" t="n">
        <x:v>45954</x:v>
      </x:c>
      <x:c r="G421" t="str">
        <x:v>PM</x:v>
      </x:c>
      <x:c r="H421" t="str">
        <x:v>ORD-2025-00093</x:v>
      </x:c>
      <x:c r="I421" t="str">
        <x:v>Normal</x:v>
      </x:c>
      <x:c r="J421" t="str">
        <x:v>PROC_VISUAL</x:v>
      </x:c>
      <x:c r="K421" t="str">
        <x:v>Inspection</x:v>
      </x:c>
      <x:c r="L421" s="54" t="n">
        <x:v>0.0033190033244176855</x:v>
      </x:c>
      <x:c r="M421" t="n">
        <x:v>184694</x:v>
      </x:c>
      <x:c r="N421" t="n">
        <x:f>L421*M421</x:f>
        <x:v>613</x:v>
      </x:c>
      <x:c r="O421"/>
      <x:c r="P421"/>
      <x:c r="Q421"/>
      <x:c r="R421"/>
      <x:c r="S421" s="52"/>
      <x:c r="T421" t="str">
        <x:v>OK</x:v>
      </x:c>
      <x:c r="U421" t="str">
        <x:f>IF(AND(ISNUMBER(L421),L421&gt;=0,L421&lt;=1),"OK","CHECK")</x:f>
        <x:v>OK</x:v>
      </x:c>
      <x:c r="V421" t="str">
        <x:f>IF(AND(ISNUMBER(N421),N421&gt;=0),"OK","CHECK")</x:f>
        <x:v>OK</x:v>
      </x:c>
      <x:c r="W421" t="str">
        <x:f>IF(AND(T421="OK",U421="OK",V421="OK"),"OK","CHECK")</x:f>
        <x:v>OK</x:v>
      </x:c>
      <x:c r="X421" t="str">
        <x:f>IF(W421="OK","LOAD","QUARANTINE")</x:f>
        <x:v>LOAD</x:v>
      </x:c>
      <x:c r="Y421" t="str">
        <x:v>03_Process_Losses(6).xlsx</x:v>
      </x:c>
      <x:c r="Z421" t="str">
        <x:v>ENH-20260830-01</x:v>
      </x:c>
      <x:c r="AA421" t="str">
        <x:f>IF(X421="LOAD","Active","Quarantine")</x:f>
        <x:v>Active</x:v>
      </x:c>
      <x:c r="AB421"/>
      <x:c r="AC421"/>
      <x:c r="AD421"/>
      <x:c r="AE421"/>
    </x:row>
    <x:row r="422">
      <x:c r="A422" t="str">
        <x:v>PLD-000418</x:v>
      </x:c>
      <x:c r="B422" t="str">
        <x:v>LOSS-KG01-L23-20251024-PM-ORD-2025-00093</x:v>
      </x:c>
      <x:c r="C422" t="str">
        <x:v>PE-KG01-L23-20251024-PM-ORD-2025-00093</x:v>
      </x:c>
      <x:c r="D422" t="str">
        <x:v>KG01</x:v>
      </x:c>
      <x:c r="E422" t="n">
        <x:v>23</x:v>
      </x:c>
      <x:c r="F422" s="52" t="n">
        <x:v>45954</x:v>
      </x:c>
      <x:c r="G422" t="str">
        <x:v>PM</x:v>
      </x:c>
      <x:c r="H422" t="str">
        <x:v>ORD-2025-00093</x:v>
      </x:c>
      <x:c r="I422" t="str">
        <x:v>Normal</x:v>
      </x:c>
      <x:c r="J422" t="str">
        <x:v>PROC_PALLETIZER</x:v>
      </x:c>
      <x:c r="K422" t="str">
        <x:v>Palletizer</x:v>
      </x:c>
      <x:c r="L422" s="54" t="n">
        <x:v>0.0010558004049942065</x:v>
      </x:c>
      <x:c r="M422" t="n">
        <x:v>184694</x:v>
      </x:c>
      <x:c r="N422" t="n">
        <x:f>L422*M422</x:f>
        <x:v>194.99999999999997</x:v>
      </x:c>
      <x:c r="O422"/>
      <x:c r="P422"/>
      <x:c r="Q422"/>
      <x:c r="R422"/>
      <x:c r="S422" s="52"/>
      <x:c r="T422" t="str">
        <x:v>OK</x:v>
      </x:c>
      <x:c r="U422" t="str">
        <x:f>IF(AND(ISNUMBER(L422),L422&gt;=0,L422&lt;=1),"OK","CHECK")</x:f>
        <x:v>OK</x:v>
      </x:c>
      <x:c r="V422" t="str">
        <x:f>IF(AND(ISNUMBER(N422),N422&gt;=0),"OK","CHECK")</x:f>
        <x:v>OK</x:v>
      </x:c>
      <x:c r="W422" t="str">
        <x:f>IF(AND(T422="OK",U422="OK",V422="OK"),"OK","CHECK")</x:f>
        <x:v>OK</x:v>
      </x:c>
      <x:c r="X422" t="str">
        <x:f>IF(W422="OK","LOAD","QUARANTINE")</x:f>
        <x:v>LOAD</x:v>
      </x:c>
      <x:c r="Y422" t="str">
        <x:v>03_Process_Losses(6).xlsx</x:v>
      </x:c>
      <x:c r="Z422" t="str">
        <x:v>ENH-20260830-01</x:v>
      </x:c>
      <x:c r="AA422" t="str">
        <x:f>IF(X422="LOAD","Active","Quarantine")</x:f>
        <x:v>Active</x:v>
      </x:c>
      <x:c r="AB422"/>
      <x:c r="AC422"/>
      <x:c r="AD422"/>
      <x:c r="AE422"/>
    </x:row>
    <x:row r="423">
      <x:c r="A423" t="str">
        <x:v>PLD-000419</x:v>
      </x:c>
      <x:c r="B423" t="str">
        <x:v>LOSS-KG01-L23-20251025-AM-ORD-2025-00093</x:v>
      </x:c>
      <x:c r="C423" t="str">
        <x:v>PE-KG01-L23-20251025-AM-ORD-2025-00093</x:v>
      </x:c>
      <x:c r="D423" t="str">
        <x:v>KG01</x:v>
      </x:c>
      <x:c r="E423" t="n">
        <x:v>23</x:v>
      </x:c>
      <x:c r="F423" s="52" t="n">
        <x:v>45955</x:v>
      </x:c>
      <x:c r="G423" t="str">
        <x:v>AM</x:v>
      </x:c>
      <x:c r="H423" t="str">
        <x:v>ORD-2025-00093</x:v>
      </x:c>
      <x:c r="I423" t="str">
        <x:v>Normal</x:v>
      </x:c>
      <x:c r="J423" t="str">
        <x:v>PROC_FIXED</x:v>
      </x:c>
      <x:c r="K423" t="str">
        <x:v>Fixed Losses</x:v>
      </x:c>
      <x:c r="L423" s="54" t="n">
        <x:v>0.007032348804500703</x:v>
      </x:c>
      <x:c r="M423" t="n">
        <x:v>170640</x:v>
      </x:c>
      <x:c r="N423" t="n">
        <x:f>L423*M423</x:f>
        <x:v>1200</x:v>
      </x:c>
      <x:c r="O423"/>
      <x:c r="P423"/>
      <x:c r="Q423"/>
      <x:c r="R423"/>
      <x:c r="S423" s="52"/>
      <x:c r="T423" t="str">
        <x:v>OK</x:v>
      </x:c>
      <x:c r="U423" t="str">
        <x:f>IF(AND(ISNUMBER(L423),L423&gt;=0,L423&lt;=1),"OK","CHECK")</x:f>
        <x:v>OK</x:v>
      </x:c>
      <x:c r="V423" t="str">
        <x:f>IF(AND(ISNUMBER(N423),N423&gt;=0),"OK","CHECK")</x:f>
        <x:v>OK</x:v>
      </x:c>
      <x:c r="W423" t="str">
        <x:f>IF(AND(T423="OK",U423="OK",V423="OK"),"OK","CHECK")</x:f>
        <x:v>OK</x:v>
      </x:c>
      <x:c r="X423" t="str">
        <x:f>IF(W423="OK","LOAD","QUARANTINE")</x:f>
        <x:v>LOAD</x:v>
      </x:c>
      <x:c r="Y423" t="str">
        <x:v>03_Process_Losses(6).xlsx</x:v>
      </x:c>
      <x:c r="Z423" t="str">
        <x:v>ENH-20260830-01</x:v>
      </x:c>
      <x:c r="AA423" t="str">
        <x:f>IF(X423="LOAD","Active","Quarantine")</x:f>
        <x:v>Active</x:v>
      </x:c>
      <x:c r="AB423"/>
      <x:c r="AC423"/>
      <x:c r="AD423"/>
      <x:c r="AE423"/>
    </x:row>
    <x:row r="424">
      <x:c r="A424" t="str">
        <x:v>PLD-000420</x:v>
      </x:c>
      <x:c r="B424" t="str">
        <x:v>LOSS-KG01-L23-20251025-AM-ORD-2025-00093</x:v>
      </x:c>
      <x:c r="C424" t="str">
        <x:v>PE-KG01-L23-20251025-AM-ORD-2025-00093</x:v>
      </x:c>
      <x:c r="D424" t="str">
        <x:v>KG01</x:v>
      </x:c>
      <x:c r="E424" t="n">
        <x:v>23</x:v>
      </x:c>
      <x:c r="F424" s="52" t="n">
        <x:v>45955</x:v>
      </x:c>
      <x:c r="G424" t="str">
        <x:v>AM</x:v>
      </x:c>
      <x:c r="H424" t="str">
        <x:v>ORD-2025-00093</x:v>
      </x:c>
      <x:c r="I424" t="str">
        <x:v>Normal</x:v>
      </x:c>
      <x:c r="J424" t="str">
        <x:v>PROC_IS</x:v>
      </x:c>
      <x:c r="K424" t="str">
        <x:v>IS Machine</x:v>
      </x:c>
      <x:c r="L424" s="54" t="n">
        <x:v>0.011316221284575715</x:v>
      </x:c>
      <x:c r="M424" t="n">
        <x:v>170640</x:v>
      </x:c>
      <x:c r="N424" t="n">
        <x:f>L424*M424</x:f>
        <x:v>1931</x:v>
      </x:c>
      <x:c r="O424"/>
      <x:c r="P424"/>
      <x:c r="Q424"/>
      <x:c r="R424"/>
      <x:c r="S424" s="52"/>
      <x:c r="T424" t="str">
        <x:v>OK</x:v>
      </x:c>
      <x:c r="U424" t="str">
        <x:f>IF(AND(ISNUMBER(L424),L424&gt;=0,L424&lt;=1),"OK","CHECK")</x:f>
        <x:v>OK</x:v>
      </x:c>
      <x:c r="V424" t="str">
        <x:f>IF(AND(ISNUMBER(N424),N424&gt;=0),"OK","CHECK")</x:f>
        <x:v>OK</x:v>
      </x:c>
      <x:c r="W424" t="str">
        <x:f>IF(AND(T424="OK",U424="OK",V424="OK"),"OK","CHECK")</x:f>
        <x:v>OK</x:v>
      </x:c>
      <x:c r="X424" t="str">
        <x:f>IF(W424="OK","LOAD","QUARANTINE")</x:f>
        <x:v>LOAD</x:v>
      </x:c>
      <x:c r="Y424" t="str">
        <x:v>03_Process_Losses(6).xlsx</x:v>
      </x:c>
      <x:c r="Z424" t="str">
        <x:v>ENH-20260830-01</x:v>
      </x:c>
      <x:c r="AA424" t="str">
        <x:f>IF(X424="LOAD","Active","Quarantine")</x:f>
        <x:v>Active</x:v>
      </x:c>
      <x:c r="AB424"/>
      <x:c r="AC424"/>
      <x:c r="AD424"/>
      <x:c r="AE424"/>
    </x:row>
    <x:row r="425">
      <x:c r="A425" t="str">
        <x:v>PLD-000421</x:v>
      </x:c>
      <x:c r="B425" t="str">
        <x:v>LOSS-KG01-L23-20251025-AM-ORD-2025-00093</x:v>
      </x:c>
      <x:c r="C425" t="str">
        <x:v>PE-KG01-L23-20251025-AM-ORD-2025-00093</x:v>
      </x:c>
      <x:c r="D425" t="str">
        <x:v>KG01</x:v>
      </x:c>
      <x:c r="E425" t="n">
        <x:v>23</x:v>
      </x:c>
      <x:c r="F425" s="52" t="n">
        <x:v>45955</x:v>
      </x:c>
      <x:c r="G425" t="str">
        <x:v>AM</x:v>
      </x:c>
      <x:c r="H425" t="str">
        <x:v>ORD-2025-00093</x:v>
      </x:c>
      <x:c r="I425" t="str">
        <x:v>Normal</x:v>
      </x:c>
      <x:c r="J425" t="str">
        <x:v>PROC_HE_CONVEYER</x:v>
      </x:c>
      <x:c r="K425" t="str">
        <x:v>Hot End</x:v>
      </x:c>
      <x:c r="L425" s="54" t="n">
        <x:v>0.0043073136427566805</x:v>
      </x:c>
      <x:c r="M425" t="n">
        <x:v>170640</x:v>
      </x:c>
      <x:c r="N425" t="n">
        <x:f>L425*M425</x:f>
        <x:v>735</x:v>
      </x:c>
      <x:c r="O425"/>
      <x:c r="P425"/>
      <x:c r="Q425"/>
      <x:c r="R425"/>
      <x:c r="S425" s="52"/>
      <x:c r="T425" t="str">
        <x:v>OK</x:v>
      </x:c>
      <x:c r="U425" t="str">
        <x:f>IF(AND(ISNUMBER(L425),L425&gt;=0,L425&lt;=1),"OK","CHECK")</x:f>
        <x:v>OK</x:v>
      </x:c>
      <x:c r="V425" t="str">
        <x:f>IF(AND(ISNUMBER(N425),N425&gt;=0),"OK","CHECK")</x:f>
        <x:v>OK</x:v>
      </x:c>
      <x:c r="W425" t="str">
        <x:f>IF(AND(T425="OK",U425="OK",V425="OK"),"OK","CHECK")</x:f>
        <x:v>OK</x:v>
      </x:c>
      <x:c r="X425" t="str">
        <x:f>IF(W425="OK","LOAD","QUARANTINE")</x:f>
        <x:v>LOAD</x:v>
      </x:c>
      <x:c r="Y425" t="str">
        <x:v>03_Process_Losses(6).xlsx</x:v>
      </x:c>
      <x:c r="Z425" t="str">
        <x:v>ENH-20260830-01</x:v>
      </x:c>
      <x:c r="AA425" t="str">
        <x:f>IF(X425="LOAD","Active","Quarantine")</x:f>
        <x:v>Active</x:v>
      </x:c>
      <x:c r="AB425"/>
      <x:c r="AC425"/>
      <x:c r="AD425"/>
      <x:c r="AE425"/>
    </x:row>
    <x:row r="426">
      <x:c r="A426" t="str">
        <x:v>PLD-000422</x:v>
      </x:c>
      <x:c r="B426" t="str">
        <x:v>LOSS-KG01-L23-20251025-AM-ORD-2025-00093</x:v>
      </x:c>
      <x:c r="C426" t="str">
        <x:v>PE-KG01-L23-20251025-AM-ORD-2025-00093</x:v>
      </x:c>
      <x:c r="D426" t="str">
        <x:v>KG01</x:v>
      </x:c>
      <x:c r="E426" t="n">
        <x:v>23</x:v>
      </x:c>
      <x:c r="F426" s="52" t="n">
        <x:v>45955</x:v>
      </x:c>
      <x:c r="G426" t="str">
        <x:v>AM</x:v>
      </x:c>
      <x:c r="H426" t="str">
        <x:v>ORD-2025-00093</x:v>
      </x:c>
      <x:c r="I426" t="str">
        <x:v>Normal</x:v>
      </x:c>
      <x:c r="J426" t="str">
        <x:v>PROC_STUCKDOWN</x:v>
      </x:c>
      <x:c r="K426" t="str">
        <x:v>Forming</x:v>
      </x:c>
      <x:c r="L426" s="54" t="n">
        <x:v>0.006381856540084388</x:v>
      </x:c>
      <x:c r="M426" t="n">
        <x:v>170640</x:v>
      </x:c>
      <x:c r="N426" t="n">
        <x:f>L426*M426</x:f>
        <x:v>1089</x:v>
      </x:c>
      <x:c r="O426"/>
      <x:c r="P426"/>
      <x:c r="Q426"/>
      <x:c r="R426"/>
      <x:c r="S426" s="52"/>
      <x:c r="T426" t="str">
        <x:v>OK</x:v>
      </x:c>
      <x:c r="U426" t="str">
        <x:f>IF(AND(ISNUMBER(L426),L426&gt;=0,L426&lt;=1),"OK","CHECK")</x:f>
        <x:v>OK</x:v>
      </x:c>
      <x:c r="V426" t="str">
        <x:f>IF(AND(ISNUMBER(N426),N426&gt;=0),"OK","CHECK")</x:f>
        <x:v>OK</x:v>
      </x:c>
      <x:c r="W426" t="str">
        <x:f>IF(AND(T426="OK",U426="OK",V426="OK"),"OK","CHECK")</x:f>
        <x:v>OK</x:v>
      </x:c>
      <x:c r="X426" t="str">
        <x:f>IF(W426="OK","LOAD","QUARANTINE")</x:f>
        <x:v>LOAD</x:v>
      </x:c>
      <x:c r="Y426" t="str">
        <x:v>03_Process_Losses(6).xlsx</x:v>
      </x:c>
      <x:c r="Z426" t="str">
        <x:v>ENH-20260830-01</x:v>
      </x:c>
      <x:c r="AA426" t="str">
        <x:f>IF(X426="LOAD","Active","Quarantine")</x:f>
        <x:v>Active</x:v>
      </x:c>
      <x:c r="AB426"/>
      <x:c r="AC426"/>
      <x:c r="AD426"/>
      <x:c r="AE426"/>
    </x:row>
    <x:row r="427">
      <x:c r="A427" t="str">
        <x:v>PLD-000423</x:v>
      </x:c>
      <x:c r="B427" t="str">
        <x:v>LOSS-KG01-L23-20251025-AM-ORD-2025-00093</x:v>
      </x:c>
      <x:c r="C427" t="str">
        <x:v>PE-KG01-L23-20251025-AM-ORD-2025-00093</x:v>
      </x:c>
      <x:c r="D427" t="str">
        <x:v>KG01</x:v>
      </x:c>
      <x:c r="E427" t="n">
        <x:v>23</x:v>
      </x:c>
      <x:c r="F427" s="52" t="n">
        <x:v>45955</x:v>
      </x:c>
      <x:c r="G427" t="str">
        <x:v>AM</x:v>
      </x:c>
      <x:c r="H427" t="str">
        <x:v>ORD-2025-00093</x:v>
      </x:c>
      <x:c r="I427" t="str">
        <x:v>Normal</x:v>
      </x:c>
      <x:c r="J427" t="str">
        <x:v>PROC_LEHR</x:v>
      </x:c>
      <x:c r="K427" t="str">
        <x:v>Lehr</x:v>
      </x:c>
      <x:c r="L427" s="54" t="n">
        <x:v>0.003105954055321144</x:v>
      </x:c>
      <x:c r="M427" t="n">
        <x:v>170640</x:v>
      </x:c>
      <x:c r="N427" t="n">
        <x:f>L427*M427</x:f>
        <x:v>530</x:v>
      </x:c>
      <x:c r="O427"/>
      <x:c r="P427"/>
      <x:c r="Q427"/>
      <x:c r="R427"/>
      <x:c r="S427" s="52"/>
      <x:c r="T427" t="str">
        <x:v>OK</x:v>
      </x:c>
      <x:c r="U427" t="str">
        <x:f>IF(AND(ISNUMBER(L427),L427&gt;=0,L427&lt;=1),"OK","CHECK")</x:f>
        <x:v>OK</x:v>
      </x:c>
      <x:c r="V427" t="str">
        <x:f>IF(AND(ISNUMBER(N427),N427&gt;=0),"OK","CHECK")</x:f>
        <x:v>OK</x:v>
      </x:c>
      <x:c r="W427" t="str">
        <x:f>IF(AND(T427="OK",U427="OK",V427="OK"),"OK","CHECK")</x:f>
        <x:v>OK</x:v>
      </x:c>
      <x:c r="X427" t="str">
        <x:f>IF(W427="OK","LOAD","QUARANTINE")</x:f>
        <x:v>LOAD</x:v>
      </x:c>
      <x:c r="Y427" t="str">
        <x:v>03_Process_Losses(6).xlsx</x:v>
      </x:c>
      <x:c r="Z427" t="str">
        <x:v>ENH-20260830-01</x:v>
      </x:c>
      <x:c r="AA427" t="str">
        <x:f>IF(X427="LOAD","Active","Quarantine")</x:f>
        <x:v>Active</x:v>
      </x:c>
      <x:c r="AB427"/>
      <x:c r="AC427"/>
      <x:c r="AD427"/>
      <x:c r="AE427"/>
    </x:row>
    <x:row r="428">
      <x:c r="A428" t="str">
        <x:v>PLD-000424</x:v>
      </x:c>
      <x:c r="B428" t="str">
        <x:v>LOSS-KG01-L23-20251025-AM-ORD-2025-00093</x:v>
      </x:c>
      <x:c r="C428" t="str">
        <x:v>PE-KG01-L23-20251025-AM-ORD-2025-00093</x:v>
      </x:c>
      <x:c r="D428" t="str">
        <x:v>KG01</x:v>
      </x:c>
      <x:c r="E428" t="n">
        <x:v>23</x:v>
      </x:c>
      <x:c r="F428" s="52" t="n">
        <x:v>45955</x:v>
      </x:c>
      <x:c r="G428" t="str">
        <x:v>AM</x:v>
      </x:c>
      <x:c r="H428" t="str">
        <x:v>ORD-2025-00093</x:v>
      </x:c>
      <x:c r="I428" t="str">
        <x:v>Normal</x:v>
      </x:c>
      <x:c r="J428" t="str">
        <x:v>PROC_EVO16</x:v>
      </x:c>
      <x:c r="K428" t="str">
        <x:v>Inspection</x:v>
      </x:c>
      <x:c r="L428" s="54" t="n">
        <x:v>0.0023265353961556493</x:v>
      </x:c>
      <x:c r="M428" t="n">
        <x:v>170640</x:v>
      </x:c>
      <x:c r="N428" t="n">
        <x:f>L428*M428</x:f>
        <x:v>397</x:v>
      </x:c>
      <x:c r="O428"/>
      <x:c r="P428"/>
      <x:c r="Q428"/>
      <x:c r="R428"/>
      <x:c r="S428" s="52"/>
      <x:c r="T428" t="str">
        <x:v>OK</x:v>
      </x:c>
      <x:c r="U428" t="str">
        <x:f>IF(AND(ISNUMBER(L428),L428&gt;=0,L428&lt;=1),"OK","CHECK")</x:f>
        <x:v>OK</x:v>
      </x:c>
      <x:c r="V428" t="str">
        <x:f>IF(AND(ISNUMBER(N428),N428&gt;=0),"OK","CHECK")</x:f>
        <x:v>OK</x:v>
      </x:c>
      <x:c r="W428" t="str">
        <x:f>IF(AND(T428="OK",U428="OK",V428="OK"),"OK","CHECK")</x:f>
        <x:v>OK</x:v>
      </x:c>
      <x:c r="X428" t="str">
        <x:f>IF(W428="OK","LOAD","QUARANTINE")</x:f>
        <x:v>LOAD</x:v>
      </x:c>
      <x:c r="Y428" t="str">
        <x:v>03_Process_Losses(6).xlsx</x:v>
      </x:c>
      <x:c r="Z428" t="str">
        <x:v>ENH-20260830-01</x:v>
      </x:c>
      <x:c r="AA428" t="str">
        <x:f>IF(X428="LOAD","Active","Quarantine")</x:f>
        <x:v>Active</x:v>
      </x:c>
      <x:c r="AB428"/>
      <x:c r="AC428"/>
      <x:c r="AD428"/>
      <x:c r="AE428"/>
    </x:row>
    <x:row r="429">
      <x:c r="A429" t="str">
        <x:v>PLD-000425</x:v>
      </x:c>
      <x:c r="B429" t="str">
        <x:v>LOSS-KG01-L23-20251025-AM-ORD-2025-00093</x:v>
      </x:c>
      <x:c r="C429" t="str">
        <x:v>PE-KG01-L23-20251025-AM-ORD-2025-00093</x:v>
      </x:c>
      <x:c r="D429" t="str">
        <x:v>KG01</x:v>
      </x:c>
      <x:c r="E429" t="n">
        <x:v>23</x:v>
      </x:c>
      <x:c r="F429" s="52" t="n">
        <x:v>45955</x:v>
      </x:c>
      <x:c r="G429" t="str">
        <x:v>AM</x:v>
      </x:c>
      <x:c r="H429" t="str">
        <x:v>ORD-2025-00093</x:v>
      </x:c>
      <x:c r="I429" t="str">
        <x:v>Normal</x:v>
      </x:c>
      <x:c r="J429" t="str">
        <x:v>PROC_EVO12</x:v>
      </x:c>
      <x:c r="K429" t="str">
        <x:v>Inspection</x:v>
      </x:c>
      <x:c r="L429" s="54" t="n">
        <x:v>0.0032993436474449134</x:v>
      </x:c>
      <x:c r="M429" t="n">
        <x:v>170640</x:v>
      </x:c>
      <x:c r="N429" t="n">
        <x:f>L429*M429</x:f>
        <x:v>563</x:v>
      </x:c>
      <x:c r="O429"/>
      <x:c r="P429"/>
      <x:c r="Q429"/>
      <x:c r="R429"/>
      <x:c r="S429" s="52"/>
      <x:c r="T429" t="str">
        <x:v>OK</x:v>
      </x:c>
      <x:c r="U429" t="str">
        <x:f>IF(AND(ISNUMBER(L429),L429&gt;=0,L429&lt;=1),"OK","CHECK")</x:f>
        <x:v>OK</x:v>
      </x:c>
      <x:c r="V429" t="str">
        <x:f>IF(AND(ISNUMBER(N429),N429&gt;=0),"OK","CHECK")</x:f>
        <x:v>OK</x:v>
      </x:c>
      <x:c r="W429" t="str">
        <x:f>IF(AND(T429="OK",U429="OK",V429="OK"),"OK","CHECK")</x:f>
        <x:v>OK</x:v>
      </x:c>
      <x:c r="X429" t="str">
        <x:f>IF(W429="OK","LOAD","QUARANTINE")</x:f>
        <x:v>LOAD</x:v>
      </x:c>
      <x:c r="Y429" t="str">
        <x:v>03_Process_Losses(6).xlsx</x:v>
      </x:c>
      <x:c r="Z429" t="str">
        <x:v>ENH-20260830-01</x:v>
      </x:c>
      <x:c r="AA429" t="str">
        <x:f>IF(X429="LOAD","Active","Quarantine")</x:f>
        <x:v>Active</x:v>
      </x:c>
      <x:c r="AB429"/>
      <x:c r="AC429"/>
      <x:c r="AD429"/>
      <x:c r="AE429"/>
    </x:row>
    <x:row r="430">
      <x:c r="A430" t="str">
        <x:v>PLD-000426</x:v>
      </x:c>
      <x:c r="B430" t="str">
        <x:v>LOSS-KG01-L23-20251025-AM-ORD-2025-00093</x:v>
      </x:c>
      <x:c r="C430" t="str">
        <x:v>PE-KG01-L23-20251025-AM-ORD-2025-00093</x:v>
      </x:c>
      <x:c r="D430" t="str">
        <x:v>KG01</x:v>
      </x:c>
      <x:c r="E430" t="n">
        <x:v>23</x:v>
      </x:c>
      <x:c r="F430" s="52" t="n">
        <x:v>45955</x:v>
      </x:c>
      <x:c r="G430" t="str">
        <x:v>AM</x:v>
      </x:c>
      <x:c r="H430" t="str">
        <x:v>ORD-2025-00093</x:v>
      </x:c>
      <x:c r="I430" t="str">
        <x:v>Normal</x:v>
      </x:c>
      <x:c r="J430" t="str">
        <x:v>PROC_EVO5</x:v>
      </x:c>
      <x:c r="K430" t="str">
        <x:v>Inspection</x:v>
      </x:c>
      <x:c r="L430" s="54" t="n">
        <x:v>0.0010021097046413502</x:v>
      </x:c>
      <x:c r="M430" t="n">
        <x:v>170640</x:v>
      </x:c>
      <x:c r="N430" t="n">
        <x:f>L430*M430</x:f>
        <x:v>171</x:v>
      </x:c>
      <x:c r="O430"/>
      <x:c r="P430"/>
      <x:c r="Q430"/>
      <x:c r="R430"/>
      <x:c r="S430" s="52"/>
      <x:c r="T430" t="str">
        <x:v>OK</x:v>
      </x:c>
      <x:c r="U430" t="str">
        <x:f>IF(AND(ISNUMBER(L430),L430&gt;=0,L430&lt;=1),"OK","CHECK")</x:f>
        <x:v>OK</x:v>
      </x:c>
      <x:c r="V430" t="str">
        <x:f>IF(AND(ISNUMBER(N430),N430&gt;=0),"OK","CHECK")</x:f>
        <x:v>OK</x:v>
      </x:c>
      <x:c r="W430" t="str">
        <x:f>IF(AND(T430="OK",U430="OK",V430="OK"),"OK","CHECK")</x:f>
        <x:v>OK</x:v>
      </x:c>
      <x:c r="X430" t="str">
        <x:f>IF(W430="OK","LOAD","QUARANTINE")</x:f>
        <x:v>LOAD</x:v>
      </x:c>
      <x:c r="Y430" t="str">
        <x:v>03_Process_Losses(6).xlsx</x:v>
      </x:c>
      <x:c r="Z430" t="str">
        <x:v>ENH-20260830-01</x:v>
      </x:c>
      <x:c r="AA430" t="str">
        <x:f>IF(X430="LOAD","Active","Quarantine")</x:f>
        <x:v>Active</x:v>
      </x:c>
      <x:c r="AB430"/>
      <x:c r="AC430"/>
      <x:c r="AD430"/>
      <x:c r="AE430"/>
    </x:row>
    <x:row r="431">
      <x:c r="A431" t="str">
        <x:v>PLD-000427</x:v>
      </x:c>
      <x:c r="B431" t="str">
        <x:v>LOSS-KG01-L23-20251025-AM-ORD-2025-00093</x:v>
      </x:c>
      <x:c r="C431" t="str">
        <x:v>PE-KG01-L23-20251025-AM-ORD-2025-00093</x:v>
      </x:c>
      <x:c r="D431" t="str">
        <x:v>KG01</x:v>
      </x:c>
      <x:c r="E431" t="n">
        <x:v>23</x:v>
      </x:c>
      <x:c r="F431" s="52" t="n">
        <x:v>45955</x:v>
      </x:c>
      <x:c r="G431" t="str">
        <x:v>AM</x:v>
      </x:c>
      <x:c r="H431" t="str">
        <x:v>ORD-2025-00093</x:v>
      </x:c>
      <x:c r="I431" t="str">
        <x:v>Normal</x:v>
      </x:c>
      <x:c r="J431" t="str">
        <x:v>PROC_SANLI</x:v>
      </x:c>
      <x:c r="K431" t="str">
        <x:v>Inspection</x:v>
      </x:c>
      <x:c r="L431" s="54" t="n">
        <x:v>0.007266760431317393</x:v>
      </x:c>
      <x:c r="M431" t="n">
        <x:v>170640</x:v>
      </x:c>
      <x:c r="N431" t="n">
        <x:f>L431*M431</x:f>
        <x:v>1240</x:v>
      </x:c>
      <x:c r="O431"/>
      <x:c r="P431"/>
      <x:c r="Q431"/>
      <x:c r="R431"/>
      <x:c r="S431" s="52"/>
      <x:c r="T431" t="str">
        <x:v>OK</x:v>
      </x:c>
      <x:c r="U431" t="str">
        <x:f>IF(AND(ISNUMBER(L431),L431&gt;=0,L431&lt;=1),"OK","CHECK")</x:f>
        <x:v>OK</x:v>
      </x:c>
      <x:c r="V431" t="str">
        <x:f>IF(AND(ISNUMBER(N431),N431&gt;=0),"OK","CHECK")</x:f>
        <x:v>OK</x:v>
      </x:c>
      <x:c r="W431" t="str">
        <x:f>IF(AND(T431="OK",U431="OK",V431="OK"),"OK","CHECK")</x:f>
        <x:v>OK</x:v>
      </x:c>
      <x:c r="X431" t="str">
        <x:f>IF(W431="OK","LOAD","QUARANTINE")</x:f>
        <x:v>LOAD</x:v>
      </x:c>
      <x:c r="Y431" t="str">
        <x:v>03_Process_Losses(6).xlsx</x:v>
      </x:c>
      <x:c r="Z431" t="str">
        <x:v>ENH-20260830-01</x:v>
      </x:c>
      <x:c r="AA431" t="str">
        <x:f>IF(X431="LOAD","Active","Quarantine")</x:f>
        <x:v>Active</x:v>
      </x:c>
      <x:c r="AB431"/>
      <x:c r="AC431"/>
      <x:c r="AD431"/>
      <x:c r="AE431"/>
    </x:row>
    <x:row r="432">
      <x:c r="A432" t="str">
        <x:v>PLD-000428</x:v>
      </x:c>
      <x:c r="B432" t="str">
        <x:v>LOSS-KG01-L23-20251025-AM-ORD-2025-00093</x:v>
      </x:c>
      <x:c r="C432" t="str">
        <x:v>PE-KG01-L23-20251025-AM-ORD-2025-00093</x:v>
      </x:c>
      <x:c r="D432" t="str">
        <x:v>KG01</x:v>
      </x:c>
      <x:c r="E432" t="n">
        <x:v>23</x:v>
      </x:c>
      <x:c r="F432" s="52" t="n">
        <x:v>45955</x:v>
      </x:c>
      <x:c r="G432" t="str">
        <x:v>AM</x:v>
      </x:c>
      <x:c r="H432" t="str">
        <x:v>ORD-2025-00093</x:v>
      </x:c>
      <x:c r="I432" t="str">
        <x:v>Normal</x:v>
      </x:c>
      <x:c r="J432" t="str">
        <x:v>PROC_VISUAL</x:v>
      </x:c>
      <x:c r="K432" t="str">
        <x:v>Inspection</x:v>
      </x:c>
      <x:c r="L432" s="54" t="n">
        <x:v>0.004231129864041256</x:v>
      </x:c>
      <x:c r="M432" t="n">
        <x:v>170640</x:v>
      </x:c>
      <x:c r="N432" t="n">
        <x:f>L432*M432</x:f>
        <x:v>722</x:v>
      </x:c>
      <x:c r="O432"/>
      <x:c r="P432"/>
      <x:c r="Q432"/>
      <x:c r="R432"/>
      <x:c r="S432" s="52"/>
      <x:c r="T432" t="str">
        <x:v>OK</x:v>
      </x:c>
      <x:c r="U432" t="str">
        <x:f>IF(AND(ISNUMBER(L432),L432&gt;=0,L432&lt;=1),"OK","CHECK")</x:f>
        <x:v>OK</x:v>
      </x:c>
      <x:c r="V432" t="str">
        <x:f>IF(AND(ISNUMBER(N432),N432&gt;=0),"OK","CHECK")</x:f>
        <x:v>OK</x:v>
      </x:c>
      <x:c r="W432" t="str">
        <x:f>IF(AND(T432="OK",U432="OK",V432="OK"),"OK","CHECK")</x:f>
        <x:v>OK</x:v>
      </x:c>
      <x:c r="X432" t="str">
        <x:f>IF(W432="OK","LOAD","QUARANTINE")</x:f>
        <x:v>LOAD</x:v>
      </x:c>
      <x:c r="Y432" t="str">
        <x:v>03_Process_Losses(6).xlsx</x:v>
      </x:c>
      <x:c r="Z432" t="str">
        <x:v>ENH-20260830-01</x:v>
      </x:c>
      <x:c r="AA432" t="str">
        <x:f>IF(X432="LOAD","Active","Quarantine")</x:f>
        <x:v>Active</x:v>
      </x:c>
      <x:c r="AB432"/>
      <x:c r="AC432"/>
      <x:c r="AD432"/>
      <x:c r="AE432"/>
    </x:row>
    <x:row r="433">
      <x:c r="A433" t="str">
        <x:v>PLD-000429</x:v>
      </x:c>
      <x:c r="B433" t="str">
        <x:v>LOSS-KG01-L23-20251025-AM-ORD-2025-00093</x:v>
      </x:c>
      <x:c r="C433" t="str">
        <x:v>PE-KG01-L23-20251025-AM-ORD-2025-00093</x:v>
      </x:c>
      <x:c r="D433" t="str">
        <x:v>KG01</x:v>
      </x:c>
      <x:c r="E433" t="n">
        <x:v>23</x:v>
      </x:c>
      <x:c r="F433" s="52" t="n">
        <x:v>45955</x:v>
      </x:c>
      <x:c r="G433" t="str">
        <x:v>AM</x:v>
      </x:c>
      <x:c r="H433" t="str">
        <x:v>ORD-2025-00093</x:v>
      </x:c>
      <x:c r="I433" t="str">
        <x:v>Normal</x:v>
      </x:c>
      <x:c r="J433" t="str">
        <x:v>PROC_PALLETIZER</x:v>
      </x:c>
      <x:c r="K433" t="str">
        <x:v>Palletizer</x:v>
      </x:c>
      <x:c r="L433" s="54" t="n">
        <x:v>0.001734646038443507</x:v>
      </x:c>
      <x:c r="M433" t="n">
        <x:v>170640</x:v>
      </x:c>
      <x:c r="N433" t="n">
        <x:f>L433*M433</x:f>
        <x:v>296</x:v>
      </x:c>
      <x:c r="O433"/>
      <x:c r="P433"/>
      <x:c r="Q433"/>
      <x:c r="R433"/>
      <x:c r="S433" s="52"/>
      <x:c r="T433" t="str">
        <x:v>OK</x:v>
      </x:c>
      <x:c r="U433" t="str">
        <x:f>IF(AND(ISNUMBER(L433),L433&gt;=0,L433&lt;=1),"OK","CHECK")</x:f>
        <x:v>OK</x:v>
      </x:c>
      <x:c r="V433" t="str">
        <x:f>IF(AND(ISNUMBER(N433),N433&gt;=0),"OK","CHECK")</x:f>
        <x:v>OK</x:v>
      </x:c>
      <x:c r="W433" t="str">
        <x:f>IF(AND(T433="OK",U433="OK",V433="OK"),"OK","CHECK")</x:f>
        <x:v>OK</x:v>
      </x:c>
      <x:c r="X433" t="str">
        <x:f>IF(W433="OK","LOAD","QUARANTINE")</x:f>
        <x:v>LOAD</x:v>
      </x:c>
      <x:c r="Y433" t="str">
        <x:v>03_Process_Losses(6).xlsx</x:v>
      </x:c>
      <x:c r="Z433" t="str">
        <x:v>ENH-20260830-01</x:v>
      </x:c>
      <x:c r="AA433" t="str">
        <x:f>IF(X433="LOAD","Active","Quarantine")</x:f>
        <x:v>Active</x:v>
      </x:c>
      <x:c r="AB433"/>
      <x:c r="AC433"/>
      <x:c r="AD433"/>
      <x:c r="AE433"/>
    </x:row>
    <x:row r="434">
      <x:c r="A434" t="str">
        <x:v>PLD-000430</x:v>
      </x:c>
      <x:c r="B434" t="str">
        <x:v>LOSS-KG01-L23-20251025-PM-ORD-2025-00093</x:v>
      </x:c>
      <x:c r="C434" t="str">
        <x:v>PE-KG01-L23-20251025-PM-ORD-2025-00093</x:v>
      </x:c>
      <x:c r="D434" t="str">
        <x:v>KG01</x:v>
      </x:c>
      <x:c r="E434" t="n">
        <x:v>23</x:v>
      </x:c>
      <x:c r="F434" s="52" t="n">
        <x:v>45955</x:v>
      </x:c>
      <x:c r="G434" t="str">
        <x:v>PM</x:v>
      </x:c>
      <x:c r="H434" t="str">
        <x:v>ORD-2025-00093</x:v>
      </x:c>
      <x:c r="I434" t="str">
        <x:v>Normal</x:v>
      </x:c>
      <x:c r="J434" t="str">
        <x:v>PROC_FIXED</x:v>
      </x:c>
      <x:c r="K434" t="str">
        <x:v>Fixed Losses</x:v>
      </x:c>
      <x:c r="L434" s="54" t="n">
        <x:v>0.005231347793969512</x:v>
      </x:c>
      <x:c r="M434" t="n">
        <x:v>148910</x:v>
      </x:c>
      <x:c r="N434" t="n">
        <x:f>L434*M434</x:f>
        <x:v>779</x:v>
      </x:c>
      <x:c r="O434"/>
      <x:c r="P434"/>
      <x:c r="Q434"/>
      <x:c r="R434"/>
      <x:c r="S434" s="52"/>
      <x:c r="T434" t="str">
        <x:v>OK</x:v>
      </x:c>
      <x:c r="U434" t="str">
        <x:f>IF(AND(ISNUMBER(L434),L434&gt;=0,L434&lt;=1),"OK","CHECK")</x:f>
        <x:v>OK</x:v>
      </x:c>
      <x:c r="V434" t="str">
        <x:f>IF(AND(ISNUMBER(N434),N434&gt;=0),"OK","CHECK")</x:f>
        <x:v>OK</x:v>
      </x:c>
      <x:c r="W434" t="str">
        <x:f>IF(AND(T434="OK",U434="OK",V434="OK"),"OK","CHECK")</x:f>
        <x:v>OK</x:v>
      </x:c>
      <x:c r="X434" t="str">
        <x:f>IF(W434="OK","LOAD","QUARANTINE")</x:f>
        <x:v>LOAD</x:v>
      </x:c>
      <x:c r="Y434" t="str">
        <x:v>03_Process_Losses(6).xlsx</x:v>
      </x:c>
      <x:c r="Z434" t="str">
        <x:v>ENH-20260830-01</x:v>
      </x:c>
      <x:c r="AA434" t="str">
        <x:f>IF(X434="LOAD","Active","Quarantine")</x:f>
        <x:v>Active</x:v>
      </x:c>
      <x:c r="AB434"/>
      <x:c r="AC434"/>
      <x:c r="AD434"/>
      <x:c r="AE434"/>
    </x:row>
    <x:row r="435">
      <x:c r="A435" t="str">
        <x:v>PLD-000431</x:v>
      </x:c>
      <x:c r="B435" t="str">
        <x:v>LOSS-KG01-L23-20251025-PM-ORD-2025-00093</x:v>
      </x:c>
      <x:c r="C435" t="str">
        <x:v>PE-KG01-L23-20251025-PM-ORD-2025-00093</x:v>
      </x:c>
      <x:c r="D435" t="str">
        <x:v>KG01</x:v>
      </x:c>
      <x:c r="E435" t="n">
        <x:v>23</x:v>
      </x:c>
      <x:c r="F435" s="52" t="n">
        <x:v>45955</x:v>
      </x:c>
      <x:c r="G435" t="str">
        <x:v>PM</x:v>
      </x:c>
      <x:c r="H435" t="str">
        <x:v>ORD-2025-00093</x:v>
      </x:c>
      <x:c r="I435" t="str">
        <x:v>Normal</x:v>
      </x:c>
      <x:c r="J435" t="str">
        <x:v>PROC_IS</x:v>
      </x:c>
      <x:c r="K435" t="str">
        <x:v>IS Machine</x:v>
      </x:c>
      <x:c r="L435" s="54" t="n">
        <x:v>0.01576791350480156</x:v>
      </x:c>
      <x:c r="M435" t="n">
        <x:v>148910</x:v>
      </x:c>
      <x:c r="N435" t="n">
        <x:f>L435*M435</x:f>
        <x:v>2348.0000000000005</x:v>
      </x:c>
      <x:c r="O435"/>
      <x:c r="P435"/>
      <x:c r="Q435"/>
      <x:c r="R435"/>
      <x:c r="S435" s="52"/>
      <x:c r="T435" t="str">
        <x:v>OK</x:v>
      </x:c>
      <x:c r="U435" t="str">
        <x:f>IF(AND(ISNUMBER(L435),L435&gt;=0,L435&lt;=1),"OK","CHECK")</x:f>
        <x:v>OK</x:v>
      </x:c>
      <x:c r="V435" t="str">
        <x:f>IF(AND(ISNUMBER(N435),N435&gt;=0),"OK","CHECK")</x:f>
        <x:v>OK</x:v>
      </x:c>
      <x:c r="W435" t="str">
        <x:f>IF(AND(T435="OK",U435="OK",V435="OK"),"OK","CHECK")</x:f>
        <x:v>OK</x:v>
      </x:c>
      <x:c r="X435" t="str">
        <x:f>IF(W435="OK","LOAD","QUARANTINE")</x:f>
        <x:v>LOAD</x:v>
      </x:c>
      <x:c r="Y435" t="str">
        <x:v>03_Process_Losses(6).xlsx</x:v>
      </x:c>
      <x:c r="Z435" t="str">
        <x:v>ENH-20260830-01</x:v>
      </x:c>
      <x:c r="AA435" t="str">
        <x:f>IF(X435="LOAD","Active","Quarantine")</x:f>
        <x:v>Active</x:v>
      </x:c>
      <x:c r="AB435"/>
      <x:c r="AC435"/>
      <x:c r="AD435"/>
      <x:c r="AE435"/>
    </x:row>
    <x:row r="436">
      <x:c r="A436" t="str">
        <x:v>PLD-000432</x:v>
      </x:c>
      <x:c r="B436" t="str">
        <x:v>LOSS-KG01-L23-20251025-PM-ORD-2025-00093</x:v>
      </x:c>
      <x:c r="C436" t="str">
        <x:v>PE-KG01-L23-20251025-PM-ORD-2025-00093</x:v>
      </x:c>
      <x:c r="D436" t="str">
        <x:v>KG01</x:v>
      </x:c>
      <x:c r="E436" t="n">
        <x:v>23</x:v>
      </x:c>
      <x:c r="F436" s="52" t="n">
        <x:v>45955</x:v>
      </x:c>
      <x:c r="G436" t="str">
        <x:v>PM</x:v>
      </x:c>
      <x:c r="H436" t="str">
        <x:v>ORD-2025-00093</x:v>
      </x:c>
      <x:c r="I436" t="str">
        <x:v>Normal</x:v>
      </x:c>
      <x:c r="J436" t="str">
        <x:v>PROC_HE_CONVEYER</x:v>
      </x:c>
      <x:c r="K436" t="str">
        <x:v>Hot End</x:v>
      </x:c>
      <x:c r="L436" s="54" t="n">
        <x:v>0.0012826539520515749</x:v>
      </x:c>
      <x:c r="M436" t="n">
        <x:v>148910</x:v>
      </x:c>
      <x:c r="N436" t="n">
        <x:f>L436*M436</x:f>
        <x:v>191</x:v>
      </x:c>
      <x:c r="O436"/>
      <x:c r="P436"/>
      <x:c r="Q436"/>
      <x:c r="R436"/>
      <x:c r="S436" s="52"/>
      <x:c r="T436" t="str">
        <x:v>OK</x:v>
      </x:c>
      <x:c r="U436" t="str">
        <x:f>IF(AND(ISNUMBER(L436),L436&gt;=0,L436&lt;=1),"OK","CHECK")</x:f>
        <x:v>OK</x:v>
      </x:c>
      <x:c r="V436" t="str">
        <x:f>IF(AND(ISNUMBER(N436),N436&gt;=0),"OK","CHECK")</x:f>
        <x:v>OK</x:v>
      </x:c>
      <x:c r="W436" t="str">
        <x:f>IF(AND(T436="OK",U436="OK",V436="OK"),"OK","CHECK")</x:f>
        <x:v>OK</x:v>
      </x:c>
      <x:c r="X436" t="str">
        <x:f>IF(W436="OK","LOAD","QUARANTINE")</x:f>
        <x:v>LOAD</x:v>
      </x:c>
      <x:c r="Y436" t="str">
        <x:v>03_Process_Losses(6).xlsx</x:v>
      </x:c>
      <x:c r="Z436" t="str">
        <x:v>ENH-20260830-01</x:v>
      </x:c>
      <x:c r="AA436" t="str">
        <x:f>IF(X436="LOAD","Active","Quarantine")</x:f>
        <x:v>Active</x:v>
      </x:c>
      <x:c r="AB436"/>
      <x:c r="AC436"/>
      <x:c r="AD436"/>
      <x:c r="AE436"/>
    </x:row>
    <x:row r="437">
      <x:c r="A437" t="str">
        <x:v>PLD-000433</x:v>
      </x:c>
      <x:c r="B437" t="str">
        <x:v>LOSS-KG01-L23-20251025-PM-ORD-2025-00093</x:v>
      </x:c>
      <x:c r="C437" t="str">
        <x:v>PE-KG01-L23-20251025-PM-ORD-2025-00093</x:v>
      </x:c>
      <x:c r="D437" t="str">
        <x:v>KG01</x:v>
      </x:c>
      <x:c r="E437" t="n">
        <x:v>23</x:v>
      </x:c>
      <x:c r="F437" s="52" t="n">
        <x:v>45955</x:v>
      </x:c>
      <x:c r="G437" t="str">
        <x:v>PM</x:v>
      </x:c>
      <x:c r="H437" t="str">
        <x:v>ORD-2025-00093</x:v>
      </x:c>
      <x:c r="I437" t="str">
        <x:v>Normal</x:v>
      </x:c>
      <x:c r="J437" t="str">
        <x:v>PROC_STUCKDOWN</x:v>
      </x:c>
      <x:c r="K437" t="str">
        <x:v>Forming</x:v>
      </x:c>
      <x:c r="L437" s="54" t="n">
        <x:v>0.001981062386676516</x:v>
      </x:c>
      <x:c r="M437" t="n">
        <x:v>148910</x:v>
      </x:c>
      <x:c r="N437" t="n">
        <x:f>L437*M437</x:f>
        <x:v>295</x:v>
      </x:c>
      <x:c r="O437"/>
      <x:c r="P437"/>
      <x:c r="Q437"/>
      <x:c r="R437"/>
      <x:c r="S437" s="52"/>
      <x:c r="T437" t="str">
        <x:v>OK</x:v>
      </x:c>
      <x:c r="U437" t="str">
        <x:f>IF(AND(ISNUMBER(L437),L437&gt;=0,L437&lt;=1),"OK","CHECK")</x:f>
        <x:v>OK</x:v>
      </x:c>
      <x:c r="V437" t="str">
        <x:f>IF(AND(ISNUMBER(N437),N437&gt;=0),"OK","CHECK")</x:f>
        <x:v>OK</x:v>
      </x:c>
      <x:c r="W437" t="str">
        <x:f>IF(AND(T437="OK",U437="OK",V437="OK"),"OK","CHECK")</x:f>
        <x:v>OK</x:v>
      </x:c>
      <x:c r="X437" t="str">
        <x:f>IF(W437="OK","LOAD","QUARANTINE")</x:f>
        <x:v>LOAD</x:v>
      </x:c>
      <x:c r="Y437" t="str">
        <x:v>03_Process_Losses(6).xlsx</x:v>
      </x:c>
      <x:c r="Z437" t="str">
        <x:v>ENH-20260830-01</x:v>
      </x:c>
      <x:c r="AA437" t="str">
        <x:f>IF(X437="LOAD","Active","Quarantine")</x:f>
        <x:v>Active</x:v>
      </x:c>
      <x:c r="AB437"/>
      <x:c r="AC437"/>
      <x:c r="AD437"/>
      <x:c r="AE437"/>
    </x:row>
    <x:row r="438">
      <x:c r="A438" t="str">
        <x:v>PLD-000434</x:v>
      </x:c>
      <x:c r="B438" t="str">
        <x:v>LOSS-KG01-L23-20251025-PM-ORD-2025-00093</x:v>
      </x:c>
      <x:c r="C438" t="str">
        <x:v>PE-KG01-L23-20251025-PM-ORD-2025-00093</x:v>
      </x:c>
      <x:c r="D438" t="str">
        <x:v>KG01</x:v>
      </x:c>
      <x:c r="E438" t="n">
        <x:v>23</x:v>
      </x:c>
      <x:c r="F438" s="52" t="n">
        <x:v>45955</x:v>
      </x:c>
      <x:c r="G438" t="str">
        <x:v>PM</x:v>
      </x:c>
      <x:c r="H438" t="str">
        <x:v>ORD-2025-00093</x:v>
      </x:c>
      <x:c r="I438" t="str">
        <x:v>Normal</x:v>
      </x:c>
      <x:c r="J438" t="str">
        <x:v>PROC_LEHR</x:v>
      </x:c>
      <x:c r="K438" t="str">
        <x:v>Lehr</x:v>
      </x:c>
      <x:c r="L438" s="54" t="n">
        <x:v>0.004136726882009267</x:v>
      </x:c>
      <x:c r="M438" t="n">
        <x:v>148910</x:v>
      </x:c>
      <x:c r="N438" t="n">
        <x:f>L438*M438</x:f>
        <x:v>616</x:v>
      </x:c>
      <x:c r="O438"/>
      <x:c r="P438"/>
      <x:c r="Q438"/>
      <x:c r="R438"/>
      <x:c r="S438" s="52"/>
      <x:c r="T438" t="str">
        <x:v>OK</x:v>
      </x:c>
      <x:c r="U438" t="str">
        <x:f>IF(AND(ISNUMBER(L438),L438&gt;=0,L438&lt;=1),"OK","CHECK")</x:f>
        <x:v>OK</x:v>
      </x:c>
      <x:c r="V438" t="str">
        <x:f>IF(AND(ISNUMBER(N438),N438&gt;=0),"OK","CHECK")</x:f>
        <x:v>OK</x:v>
      </x:c>
      <x:c r="W438" t="str">
        <x:f>IF(AND(T438="OK",U438="OK",V438="OK"),"OK","CHECK")</x:f>
        <x:v>OK</x:v>
      </x:c>
      <x:c r="X438" t="str">
        <x:f>IF(W438="OK","LOAD","QUARANTINE")</x:f>
        <x:v>LOAD</x:v>
      </x:c>
      <x:c r="Y438" t="str">
        <x:v>03_Process_Losses(6).xlsx</x:v>
      </x:c>
      <x:c r="Z438" t="str">
        <x:v>ENH-20260830-01</x:v>
      </x:c>
      <x:c r="AA438" t="str">
        <x:f>IF(X438="LOAD","Active","Quarantine")</x:f>
        <x:v>Active</x:v>
      </x:c>
      <x:c r="AB438"/>
      <x:c r="AC438"/>
      <x:c r="AD438"/>
      <x:c r="AE438"/>
    </x:row>
    <x:row r="439">
      <x:c r="A439" t="str">
        <x:v>PLD-000435</x:v>
      </x:c>
      <x:c r="B439" t="str">
        <x:v>LOSS-KG01-L23-20251025-PM-ORD-2025-00093</x:v>
      </x:c>
      <x:c r="C439" t="str">
        <x:v>PE-KG01-L23-20251025-PM-ORD-2025-00093</x:v>
      </x:c>
      <x:c r="D439" t="str">
        <x:v>KG01</x:v>
      </x:c>
      <x:c r="E439" t="n">
        <x:v>23</x:v>
      </x:c>
      <x:c r="F439" s="52" t="n">
        <x:v>45955</x:v>
      </x:c>
      <x:c r="G439" t="str">
        <x:v>PM</x:v>
      </x:c>
      <x:c r="H439" t="str">
        <x:v>ORD-2025-00093</x:v>
      </x:c>
      <x:c r="I439" t="str">
        <x:v>Normal</x:v>
      </x:c>
      <x:c r="J439" t="str">
        <x:v>PROC_EVO16</x:v>
      </x:c>
      <x:c r="K439" t="str">
        <x:v>Inspection</x:v>
      </x:c>
      <x:c r="L439" s="54" t="n">
        <x:v>0.0031831307501175208</x:v>
      </x:c>
      <x:c r="M439" t="n">
        <x:v>148910</x:v>
      </x:c>
      <x:c r="N439" t="n">
        <x:f>L439*M439</x:f>
        <x:v>474</x:v>
      </x:c>
      <x:c r="O439"/>
      <x:c r="P439"/>
      <x:c r="Q439"/>
      <x:c r="R439"/>
      <x:c r="S439" s="52"/>
      <x:c r="T439" t="str">
        <x:v>OK</x:v>
      </x:c>
      <x:c r="U439" t="str">
        <x:f>IF(AND(ISNUMBER(L439),L439&gt;=0,L439&lt;=1),"OK","CHECK")</x:f>
        <x:v>OK</x:v>
      </x:c>
      <x:c r="V439" t="str">
        <x:f>IF(AND(ISNUMBER(N439),N439&gt;=0),"OK","CHECK")</x:f>
        <x:v>OK</x:v>
      </x:c>
      <x:c r="W439" t="str">
        <x:f>IF(AND(T439="OK",U439="OK",V439="OK"),"OK","CHECK")</x:f>
        <x:v>OK</x:v>
      </x:c>
      <x:c r="X439" t="str">
        <x:f>IF(W439="OK","LOAD","QUARANTINE")</x:f>
        <x:v>LOAD</x:v>
      </x:c>
      <x:c r="Y439" t="str">
        <x:v>03_Process_Losses(6).xlsx</x:v>
      </x:c>
      <x:c r="Z439" t="str">
        <x:v>ENH-20260830-01</x:v>
      </x:c>
      <x:c r="AA439" t="str">
        <x:f>IF(X439="LOAD","Active","Quarantine")</x:f>
        <x:v>Active</x:v>
      </x:c>
      <x:c r="AB439"/>
      <x:c r="AC439"/>
      <x:c r="AD439"/>
      <x:c r="AE439"/>
    </x:row>
    <x:row r="440">
      <x:c r="A440" t="str">
        <x:v>PLD-000436</x:v>
      </x:c>
      <x:c r="B440" t="str">
        <x:v>LOSS-KG01-L23-20251025-PM-ORD-2025-00093</x:v>
      </x:c>
      <x:c r="C440" t="str">
        <x:v>PE-KG01-L23-20251025-PM-ORD-2025-00093</x:v>
      </x:c>
      <x:c r="D440" t="str">
        <x:v>KG01</x:v>
      </x:c>
      <x:c r="E440" t="n">
        <x:v>23</x:v>
      </x:c>
      <x:c r="F440" s="52" t="n">
        <x:v>45955</x:v>
      </x:c>
      <x:c r="G440" t="str">
        <x:v>PM</x:v>
      </x:c>
      <x:c r="H440" t="str">
        <x:v>ORD-2025-00093</x:v>
      </x:c>
      <x:c r="I440" t="str">
        <x:v>Normal</x:v>
      </x:c>
      <x:c r="J440" t="str">
        <x:v>PROC_EVO12</x:v>
      </x:c>
      <x:c r="K440" t="str">
        <x:v>Inspection</x:v>
      </x:c>
      <x:c r="L440" s="54" t="n">
        <x:v>0.0023168356725538916</x:v>
      </x:c>
      <x:c r="M440" t="n">
        <x:v>148910</x:v>
      </x:c>
      <x:c r="N440" t="n">
        <x:f>L440*M440</x:f>
        <x:v>345</x:v>
      </x:c>
      <x:c r="O440"/>
      <x:c r="P440"/>
      <x:c r="Q440"/>
      <x:c r="R440"/>
      <x:c r="S440" s="52"/>
      <x:c r="T440" t="str">
        <x:v>OK</x:v>
      </x:c>
      <x:c r="U440" t="str">
        <x:f>IF(AND(ISNUMBER(L440),L440&gt;=0,L440&lt;=1),"OK","CHECK")</x:f>
        <x:v>OK</x:v>
      </x:c>
      <x:c r="V440" t="str">
        <x:f>IF(AND(ISNUMBER(N440),N440&gt;=0),"OK","CHECK")</x:f>
        <x:v>OK</x:v>
      </x:c>
      <x:c r="W440" t="str">
        <x:f>IF(AND(T440="OK",U440="OK",V440="OK"),"OK","CHECK")</x:f>
        <x:v>OK</x:v>
      </x:c>
      <x:c r="X440" t="str">
        <x:f>IF(W440="OK","LOAD","QUARANTINE")</x:f>
        <x:v>LOAD</x:v>
      </x:c>
      <x:c r="Y440" t="str">
        <x:v>03_Process_Losses(6).xlsx</x:v>
      </x:c>
      <x:c r="Z440" t="str">
        <x:v>ENH-20260830-01</x:v>
      </x:c>
      <x:c r="AA440" t="str">
        <x:f>IF(X440="LOAD","Active","Quarantine")</x:f>
        <x:v>Active</x:v>
      </x:c>
      <x:c r="AB440"/>
      <x:c r="AC440"/>
      <x:c r="AD440"/>
      <x:c r="AE440"/>
    </x:row>
    <x:row r="441">
      <x:c r="A441" t="str">
        <x:v>PLD-000437</x:v>
      </x:c>
      <x:c r="B441" t="str">
        <x:v>LOSS-KG01-L23-20251025-PM-ORD-2025-00093</x:v>
      </x:c>
      <x:c r="C441" t="str">
        <x:v>PE-KG01-L23-20251025-PM-ORD-2025-00093</x:v>
      </x:c>
      <x:c r="D441" t="str">
        <x:v>KG01</x:v>
      </x:c>
      <x:c r="E441" t="n">
        <x:v>23</x:v>
      </x:c>
      <x:c r="F441" s="52" t="n">
        <x:v>45955</x:v>
      </x:c>
      <x:c r="G441" t="str">
        <x:v>PM</x:v>
      </x:c>
      <x:c r="H441" t="str">
        <x:v>ORD-2025-00093</x:v>
      </x:c>
      <x:c r="I441" t="str">
        <x:v>Normal</x:v>
      </x:c>
      <x:c r="J441" t="str">
        <x:v>PROC_EVO5</x:v>
      </x:c>
      <x:c r="K441" t="str">
        <x:v>Inspection</x:v>
      </x:c>
      <x:c r="L441" s="54" t="n">
        <x:v>0.0006849775031898463</x:v>
      </x:c>
      <x:c r="M441" t="n">
        <x:v>148910</x:v>
      </x:c>
      <x:c r="N441" t="n">
        <x:f>L441*M441</x:f>
        <x:v>102</x:v>
      </x:c>
      <x:c r="O441"/>
      <x:c r="P441"/>
      <x:c r="Q441"/>
      <x:c r="R441"/>
      <x:c r="S441" s="52"/>
      <x:c r="T441" t="str">
        <x:v>OK</x:v>
      </x:c>
      <x:c r="U441" t="str">
        <x:f>IF(AND(ISNUMBER(L441),L441&gt;=0,L441&lt;=1),"OK","CHECK")</x:f>
        <x:v>OK</x:v>
      </x:c>
      <x:c r="V441" t="str">
        <x:f>IF(AND(ISNUMBER(N441),N441&gt;=0),"OK","CHECK")</x:f>
        <x:v>OK</x:v>
      </x:c>
      <x:c r="W441" t="str">
        <x:f>IF(AND(T441="OK",U441="OK",V441="OK"),"OK","CHECK")</x:f>
        <x:v>OK</x:v>
      </x:c>
      <x:c r="X441" t="str">
        <x:f>IF(W441="OK","LOAD","QUARANTINE")</x:f>
        <x:v>LOAD</x:v>
      </x:c>
      <x:c r="Y441" t="str">
        <x:v>03_Process_Losses(6).xlsx</x:v>
      </x:c>
      <x:c r="Z441" t="str">
        <x:v>ENH-20260830-01</x:v>
      </x:c>
      <x:c r="AA441" t="str">
        <x:f>IF(X441="LOAD","Active","Quarantine")</x:f>
        <x:v>Active</x:v>
      </x:c>
      <x:c r="AB441"/>
      <x:c r="AC441"/>
      <x:c r="AD441"/>
      <x:c r="AE441"/>
    </x:row>
    <x:row r="442">
      <x:c r="A442" t="str">
        <x:v>PLD-000438</x:v>
      </x:c>
      <x:c r="B442" t="str">
        <x:v>LOSS-KG01-L23-20251025-PM-ORD-2025-00093</x:v>
      </x:c>
      <x:c r="C442" t="str">
        <x:v>PE-KG01-L23-20251025-PM-ORD-2025-00093</x:v>
      </x:c>
      <x:c r="D442" t="str">
        <x:v>KG01</x:v>
      </x:c>
      <x:c r="E442" t="n">
        <x:v>23</x:v>
      </x:c>
      <x:c r="F442" s="52" t="n">
        <x:v>45955</x:v>
      </x:c>
      <x:c r="G442" t="str">
        <x:v>PM</x:v>
      </x:c>
      <x:c r="H442" t="str">
        <x:v>ORD-2025-00093</x:v>
      </x:c>
      <x:c r="I442" t="str">
        <x:v>Normal</x:v>
      </x:c>
      <x:c r="J442" t="str">
        <x:v>PROC_SANLI</x:v>
      </x:c>
      <x:c r="K442" t="str">
        <x:v>Inspection</x:v>
      </x:c>
      <x:c r="L442" s="54" t="n">
        <x:v>0.005493250956953865</x:v>
      </x:c>
      <x:c r="M442" t="n">
        <x:v>148910</x:v>
      </x:c>
      <x:c r="N442" t="n">
        <x:f>L442*M442</x:f>
        <x:v>818</x:v>
      </x:c>
      <x:c r="O442"/>
      <x:c r="P442"/>
      <x:c r="Q442"/>
      <x:c r="R442"/>
      <x:c r="S442" s="52"/>
      <x:c r="T442" t="str">
        <x:v>OK</x:v>
      </x:c>
      <x:c r="U442" t="str">
        <x:f>IF(AND(ISNUMBER(L442),L442&gt;=0,L442&lt;=1),"OK","CHECK")</x:f>
        <x:v>OK</x:v>
      </x:c>
      <x:c r="V442" t="str">
        <x:f>IF(AND(ISNUMBER(N442),N442&gt;=0),"OK","CHECK")</x:f>
        <x:v>OK</x:v>
      </x:c>
      <x:c r="W442" t="str">
        <x:f>IF(AND(T442="OK",U442="OK",V442="OK"),"OK","CHECK")</x:f>
        <x:v>OK</x:v>
      </x:c>
      <x:c r="X442" t="str">
        <x:f>IF(W442="OK","LOAD","QUARANTINE")</x:f>
        <x:v>LOAD</x:v>
      </x:c>
      <x:c r="Y442" t="str">
        <x:v>03_Process_Losses(6).xlsx</x:v>
      </x:c>
      <x:c r="Z442" t="str">
        <x:v>ENH-20260830-01</x:v>
      </x:c>
      <x:c r="AA442" t="str">
        <x:f>IF(X442="LOAD","Active","Quarantine")</x:f>
        <x:v>Active</x:v>
      </x:c>
      <x:c r="AB442"/>
      <x:c r="AC442"/>
      <x:c r="AD442"/>
      <x:c r="AE442"/>
    </x:row>
    <x:row r="443">
      <x:c r="A443" t="str">
        <x:v>PLD-000439</x:v>
      </x:c>
      <x:c r="B443" t="str">
        <x:v>LOSS-KG01-L23-20251025-PM-ORD-2025-00093</x:v>
      </x:c>
      <x:c r="C443" t="str">
        <x:v>PE-KG01-L23-20251025-PM-ORD-2025-00093</x:v>
      </x:c>
      <x:c r="D443" t="str">
        <x:v>KG01</x:v>
      </x:c>
      <x:c r="E443" t="n">
        <x:v>23</x:v>
      </x:c>
      <x:c r="F443" s="52" t="n">
        <x:v>45955</x:v>
      </x:c>
      <x:c r="G443" t="str">
        <x:v>PM</x:v>
      </x:c>
      <x:c r="H443" t="str">
        <x:v>ORD-2025-00093</x:v>
      </x:c>
      <x:c r="I443" t="str">
        <x:v>Normal</x:v>
      </x:c>
      <x:c r="J443" t="str">
        <x:v>PROC_VISUAL</x:v>
      </x:c>
      <x:c r="K443" t="str">
        <x:v>Inspection</x:v>
      </x:c>
      <x:c r="L443" s="54" t="n">
        <x:v>0.005184339533946679</x:v>
      </x:c>
      <x:c r="M443" t="n">
        <x:v>148910</x:v>
      </x:c>
      <x:c r="N443" t="n">
        <x:f>L443*M443</x:f>
        <x:v>772</x:v>
      </x:c>
      <x:c r="O443"/>
      <x:c r="P443"/>
      <x:c r="Q443"/>
      <x:c r="R443"/>
      <x:c r="S443" s="52"/>
      <x:c r="T443" t="str">
        <x:v>OK</x:v>
      </x:c>
      <x:c r="U443" t="str">
        <x:f>IF(AND(ISNUMBER(L443),L443&gt;=0,L443&lt;=1),"OK","CHECK")</x:f>
        <x:v>OK</x:v>
      </x:c>
      <x:c r="V443" t="str">
        <x:f>IF(AND(ISNUMBER(N443),N443&gt;=0),"OK","CHECK")</x:f>
        <x:v>OK</x:v>
      </x:c>
      <x:c r="W443" t="str">
        <x:f>IF(AND(T443="OK",U443="OK",V443="OK"),"OK","CHECK")</x:f>
        <x:v>OK</x:v>
      </x:c>
      <x:c r="X443" t="str">
        <x:f>IF(W443="OK","LOAD","QUARANTINE")</x:f>
        <x:v>LOAD</x:v>
      </x:c>
      <x:c r="Y443" t="str">
        <x:v>03_Process_Losses(6).xlsx</x:v>
      </x:c>
      <x:c r="Z443" t="str">
        <x:v>ENH-20260830-01</x:v>
      </x:c>
      <x:c r="AA443" t="str">
        <x:f>IF(X443="LOAD","Active","Quarantine")</x:f>
        <x:v>Active</x:v>
      </x:c>
      <x:c r="AB443"/>
      <x:c r="AC443"/>
      <x:c r="AD443"/>
      <x:c r="AE443"/>
    </x:row>
    <x:row r="444">
      <x:c r="A444" t="str">
        <x:v>PLD-000440</x:v>
      </x:c>
      <x:c r="B444" t="str">
        <x:v>LOSS-KG01-L23-20251025-PM-ORD-2025-00093</x:v>
      </x:c>
      <x:c r="C444" t="str">
        <x:v>PE-KG01-L23-20251025-PM-ORD-2025-00093</x:v>
      </x:c>
      <x:c r="D444" t="str">
        <x:v>KG01</x:v>
      </x:c>
      <x:c r="E444" t="n">
        <x:v>23</x:v>
      </x:c>
      <x:c r="F444" s="52" t="n">
        <x:v>45955</x:v>
      </x:c>
      <x:c r="G444" t="str">
        <x:v>PM</x:v>
      </x:c>
      <x:c r="H444" t="str">
        <x:v>ORD-2025-00093</x:v>
      </x:c>
      <x:c r="I444" t="str">
        <x:v>Normal</x:v>
      </x:c>
      <x:c r="J444" t="str">
        <x:v>PROC_PALLETIZER</x:v>
      </x:c>
      <x:c r="K444" t="str">
        <x:v>Palletizer</x:v>
      </x:c>
      <x:c r="L444" s="54" t="n">
        <x:v>0.005083607548183467</x:v>
      </x:c>
      <x:c r="M444" t="n">
        <x:v>148910</x:v>
      </x:c>
      <x:c r="N444" t="n">
        <x:f>L444*M444</x:f>
        <x:v>757.0000000000001</x:v>
      </x:c>
      <x:c r="O444"/>
      <x:c r="P444"/>
      <x:c r="Q444"/>
      <x:c r="R444"/>
      <x:c r="S444" s="52"/>
      <x:c r="T444" t="str">
        <x:v>OK</x:v>
      </x:c>
      <x:c r="U444" t="str">
        <x:f>IF(AND(ISNUMBER(L444),L444&gt;=0,L444&lt;=1),"OK","CHECK")</x:f>
        <x:v>OK</x:v>
      </x:c>
      <x:c r="V444" t="str">
        <x:f>IF(AND(ISNUMBER(N444),N444&gt;=0),"OK","CHECK")</x:f>
        <x:v>OK</x:v>
      </x:c>
      <x:c r="W444" t="str">
        <x:f>IF(AND(T444="OK",U444="OK",V444="OK"),"OK","CHECK")</x:f>
        <x:v>OK</x:v>
      </x:c>
      <x:c r="X444" t="str">
        <x:f>IF(W444="OK","LOAD","QUARANTINE")</x:f>
        <x:v>LOAD</x:v>
      </x:c>
      <x:c r="Y444" t="str">
        <x:v>03_Process_Losses(6).xlsx</x:v>
      </x:c>
      <x:c r="Z444" t="str">
        <x:v>ENH-20260830-01</x:v>
      </x:c>
      <x:c r="AA444" t="str">
        <x:f>IF(X444="LOAD","Active","Quarantine")</x:f>
        <x:v>Active</x:v>
      </x:c>
      <x:c r="AB444"/>
      <x:c r="AC444"/>
      <x:c r="AD444"/>
      <x:c r="AE444"/>
    </x:row>
    <x:row r="445">
      <x:c r="A445" t="str">
        <x:v>PLD-000441</x:v>
      </x:c>
      <x:c r="B445" t="str">
        <x:v>LOSS-KG01-L23-20251026-AM-ORD-2025-00094</x:v>
      </x:c>
      <x:c r="C445" t="str">
        <x:v>PE-KG01-L23-20251026-AM-ORD-2025-00094</x:v>
      </x:c>
      <x:c r="D445" t="str">
        <x:v>KG01</x:v>
      </x:c>
      <x:c r="E445" t="n">
        <x:v>23</x:v>
      </x:c>
      <x:c r="F445" s="52" t="n">
        <x:v>45956</x:v>
      </x:c>
      <x:c r="G445" t="str">
        <x:v>AM</x:v>
      </x:c>
      <x:c r="H445" t="str">
        <x:v>ORD-2025-00094</x:v>
      </x:c>
      <x:c r="I445" t="str">
        <x:v>Trial</x:v>
      </x:c>
      <x:c r="J445" t="str">
        <x:v>PROC_FIXED</x:v>
      </x:c>
      <x:c r="K445" t="str">
        <x:v>Fixed Losses</x:v>
      </x:c>
      <x:c r="L445" s="54" t="n">
        <x:v>0.008928571428571428</x:v>
      </x:c>
      <x:c r="M445" t="n">
        <x:v>13104</x:v>
      </x:c>
      <x:c r="N445" t="n">
        <x:f>L445*M445</x:f>
        <x:v>117</x:v>
      </x:c>
      <x:c r="O445"/>
      <x:c r="P445"/>
      <x:c r="Q445"/>
      <x:c r="R445"/>
      <x:c r="S445" s="52"/>
      <x:c r="T445" t="str">
        <x:v>OK</x:v>
      </x:c>
      <x:c r="U445" t="str">
        <x:f>IF(AND(ISNUMBER(L445),L445&gt;=0,L445&lt;=1),"OK","CHECK")</x:f>
        <x:v>OK</x:v>
      </x:c>
      <x:c r="V445" t="str">
        <x:f>IF(AND(ISNUMBER(N445),N445&gt;=0),"OK","CHECK")</x:f>
        <x:v>OK</x:v>
      </x:c>
      <x:c r="W445" t="str">
        <x:f>IF(AND(T445="OK",U445="OK",V445="OK"),"OK","CHECK")</x:f>
        <x:v>OK</x:v>
      </x:c>
      <x:c r="X445" t="str">
        <x:f>IF(W445="OK","LOAD","QUARANTINE")</x:f>
        <x:v>LOAD</x:v>
      </x:c>
      <x:c r="Y445" t="str">
        <x:v>03_Process_Losses(6).xlsx</x:v>
      </x:c>
      <x:c r="Z445" t="str">
        <x:v>ENH-20260830-01</x:v>
      </x:c>
      <x:c r="AA445" t="str">
        <x:f>IF(X445="LOAD","Active","Quarantine")</x:f>
        <x:v>Active</x:v>
      </x:c>
      <x:c r="AB445"/>
      <x:c r="AC445"/>
      <x:c r="AD445"/>
      <x:c r="AE445"/>
    </x:row>
    <x:row r="446">
      <x:c r="A446" t="str">
        <x:v>PLD-000442</x:v>
      </x:c>
      <x:c r="B446" t="str">
        <x:v>LOSS-KG01-L23-20251026-AM-ORD-2025-00094</x:v>
      </x:c>
      <x:c r="C446" t="str">
        <x:v>PE-KG01-L23-20251026-AM-ORD-2025-00094</x:v>
      </x:c>
      <x:c r="D446" t="str">
        <x:v>KG01</x:v>
      </x:c>
      <x:c r="E446" t="n">
        <x:v>23</x:v>
      </x:c>
      <x:c r="F446" s="52" t="n">
        <x:v>45956</x:v>
      </x:c>
      <x:c r="G446" t="str">
        <x:v>AM</x:v>
      </x:c>
      <x:c r="H446" t="str">
        <x:v>ORD-2025-00094</x:v>
      </x:c>
      <x:c r="I446" t="str">
        <x:v>Trial</x:v>
      </x:c>
      <x:c r="J446" t="str">
        <x:v>PROC_IS</x:v>
      </x:c>
      <x:c r="K446" t="str">
        <x:v>IS Machine</x:v>
      </x:c>
      <x:c r="L446" s="54" t="n">
        <x:v>0.022130647130647132</x:v>
      </x:c>
      <x:c r="M446" t="n">
        <x:v>13104</x:v>
      </x:c>
      <x:c r="N446" t="n">
        <x:f>L446*M446</x:f>
        <x:v>290</x:v>
      </x:c>
      <x:c r="O446"/>
      <x:c r="P446"/>
      <x:c r="Q446"/>
      <x:c r="R446"/>
      <x:c r="S446" s="52"/>
      <x:c r="T446" t="str">
        <x:v>OK</x:v>
      </x:c>
      <x:c r="U446" t="str">
        <x:f>IF(AND(ISNUMBER(L446),L446&gt;=0,L446&lt;=1),"OK","CHECK")</x:f>
        <x:v>OK</x:v>
      </x:c>
      <x:c r="V446" t="str">
        <x:f>IF(AND(ISNUMBER(N446),N446&gt;=0),"OK","CHECK")</x:f>
        <x:v>OK</x:v>
      </x:c>
      <x:c r="W446" t="str">
        <x:f>IF(AND(T446="OK",U446="OK",V446="OK"),"OK","CHECK")</x:f>
        <x:v>OK</x:v>
      </x:c>
      <x:c r="X446" t="str">
        <x:f>IF(W446="OK","LOAD","QUARANTINE")</x:f>
        <x:v>LOAD</x:v>
      </x:c>
      <x:c r="Y446" t="str">
        <x:v>03_Process_Losses(6).xlsx</x:v>
      </x:c>
      <x:c r="Z446" t="str">
        <x:v>ENH-20260830-01</x:v>
      </x:c>
      <x:c r="AA446" t="str">
        <x:f>IF(X446="LOAD","Active","Quarantine")</x:f>
        <x:v>Active</x:v>
      </x:c>
      <x:c r="AB446"/>
      <x:c r="AC446"/>
      <x:c r="AD446"/>
      <x:c r="AE446"/>
    </x:row>
    <x:row r="447">
      <x:c r="A447" t="str">
        <x:v>PLD-000443</x:v>
      </x:c>
      <x:c r="B447" t="str">
        <x:v>LOSS-KG01-L23-20251026-AM-ORD-2025-00094</x:v>
      </x:c>
      <x:c r="C447" t="str">
        <x:v>PE-KG01-L23-20251026-AM-ORD-2025-00094</x:v>
      </x:c>
      <x:c r="D447" t="str">
        <x:v>KG01</x:v>
      </x:c>
      <x:c r="E447" t="n">
        <x:v>23</x:v>
      </x:c>
      <x:c r="F447" s="52" t="n">
        <x:v>45956</x:v>
      </x:c>
      <x:c r="G447" t="str">
        <x:v>AM</x:v>
      </x:c>
      <x:c r="H447" t="str">
        <x:v>ORD-2025-00094</x:v>
      </x:c>
      <x:c r="I447" t="str">
        <x:v>Trial</x:v>
      </x:c>
      <x:c r="J447" t="str">
        <x:v>PROC_HE_CONVEYER</x:v>
      </x:c>
      <x:c r="K447" t="str">
        <x:v>Hot End</x:v>
      </x:c>
      <x:c r="L447" s="54" t="n">
        <x:v>0.005952380952380952</x:v>
      </x:c>
      <x:c r="M447" t="n">
        <x:v>13104</x:v>
      </x:c>
      <x:c r="N447" t="n">
        <x:f>L447*M447</x:f>
        <x:v>78</x:v>
      </x:c>
      <x:c r="O447"/>
      <x:c r="P447"/>
      <x:c r="Q447"/>
      <x:c r="R447"/>
      <x:c r="S447" s="52"/>
      <x:c r="T447" t="str">
        <x:v>OK</x:v>
      </x:c>
      <x:c r="U447" t="str">
        <x:f>IF(AND(ISNUMBER(L447),L447&gt;=0,L447&lt;=1),"OK","CHECK")</x:f>
        <x:v>OK</x:v>
      </x:c>
      <x:c r="V447" t="str">
        <x:f>IF(AND(ISNUMBER(N447),N447&gt;=0),"OK","CHECK")</x:f>
        <x:v>OK</x:v>
      </x:c>
      <x:c r="W447" t="str">
        <x:f>IF(AND(T447="OK",U447="OK",V447="OK"),"OK","CHECK")</x:f>
        <x:v>OK</x:v>
      </x:c>
      <x:c r="X447" t="str">
        <x:f>IF(W447="OK","LOAD","QUARANTINE")</x:f>
        <x:v>LOAD</x:v>
      </x:c>
      <x:c r="Y447" t="str">
        <x:v>03_Process_Losses(6).xlsx</x:v>
      </x:c>
      <x:c r="Z447" t="str">
        <x:v>ENH-20260830-01</x:v>
      </x:c>
      <x:c r="AA447" t="str">
        <x:f>IF(X447="LOAD","Active","Quarantine")</x:f>
        <x:v>Active</x:v>
      </x:c>
      <x:c r="AB447"/>
      <x:c r="AC447"/>
      <x:c r="AD447"/>
      <x:c r="AE447"/>
    </x:row>
    <x:row r="448">
      <x:c r="A448" t="str">
        <x:v>PLD-000444</x:v>
      </x:c>
      <x:c r="B448" t="str">
        <x:v>LOSS-KG01-L23-20251026-AM-ORD-2025-00094</x:v>
      </x:c>
      <x:c r="C448" t="str">
        <x:v>PE-KG01-L23-20251026-AM-ORD-2025-00094</x:v>
      </x:c>
      <x:c r="D448" t="str">
        <x:v>KG01</x:v>
      </x:c>
      <x:c r="E448" t="n">
        <x:v>23</x:v>
      </x:c>
      <x:c r="F448" s="52" t="n">
        <x:v>45956</x:v>
      </x:c>
      <x:c r="G448" t="str">
        <x:v>AM</x:v>
      </x:c>
      <x:c r="H448" t="str">
        <x:v>ORD-2025-00094</x:v>
      </x:c>
      <x:c r="I448" t="str">
        <x:v>Trial</x:v>
      </x:c>
      <x:c r="J448" t="str">
        <x:v>PROC_STUCKDOWN</x:v>
      </x:c>
      <x:c r="K448" t="str">
        <x:v>Forming</x:v>
      </x:c>
      <x:c r="L448" s="54" t="n">
        <x:v>0.002670940170940171</x:v>
      </x:c>
      <x:c r="M448" t="n">
        <x:v>13104</x:v>
      </x:c>
      <x:c r="N448" t="n">
        <x:f>L448*M448</x:f>
        <x:v>35</x:v>
      </x:c>
      <x:c r="O448"/>
      <x:c r="P448"/>
      <x:c r="Q448"/>
      <x:c r="R448"/>
      <x:c r="S448" s="52"/>
      <x:c r="T448" t="str">
        <x:v>OK</x:v>
      </x:c>
      <x:c r="U448" t="str">
        <x:f>IF(AND(ISNUMBER(L448),L448&gt;=0,L448&lt;=1),"OK","CHECK")</x:f>
        <x:v>OK</x:v>
      </x:c>
      <x:c r="V448" t="str">
        <x:f>IF(AND(ISNUMBER(N448),N448&gt;=0),"OK","CHECK")</x:f>
        <x:v>OK</x:v>
      </x:c>
      <x:c r="W448" t="str">
        <x:f>IF(AND(T448="OK",U448="OK",V448="OK"),"OK","CHECK")</x:f>
        <x:v>OK</x:v>
      </x:c>
      <x:c r="X448" t="str">
        <x:f>IF(W448="OK","LOAD","QUARANTINE")</x:f>
        <x:v>LOAD</x:v>
      </x:c>
      <x:c r="Y448" t="str">
        <x:v>03_Process_Losses(6).xlsx</x:v>
      </x:c>
      <x:c r="Z448" t="str">
        <x:v>ENH-20260830-01</x:v>
      </x:c>
      <x:c r="AA448" t="str">
        <x:f>IF(X448="LOAD","Active","Quarantine")</x:f>
        <x:v>Active</x:v>
      </x:c>
      <x:c r="AB448"/>
      <x:c r="AC448"/>
      <x:c r="AD448"/>
      <x:c r="AE448"/>
    </x:row>
    <x:row r="449">
      <x:c r="A449" t="str">
        <x:v>PLD-000445</x:v>
      </x:c>
      <x:c r="B449" t="str">
        <x:v>LOSS-KG01-L23-20251026-AM-ORD-2025-00094</x:v>
      </x:c>
      <x:c r="C449" t="str">
        <x:v>PE-KG01-L23-20251026-AM-ORD-2025-00094</x:v>
      </x:c>
      <x:c r="D449" t="str">
        <x:v>KG01</x:v>
      </x:c>
      <x:c r="E449" t="n">
        <x:v>23</x:v>
      </x:c>
      <x:c r="F449" s="52" t="n">
        <x:v>45956</x:v>
      </x:c>
      <x:c r="G449" t="str">
        <x:v>AM</x:v>
      </x:c>
      <x:c r="H449" t="str">
        <x:v>ORD-2025-00094</x:v>
      </x:c>
      <x:c r="I449" t="str">
        <x:v>Trial</x:v>
      </x:c>
      <x:c r="J449" t="str">
        <x:v>PROC_LEHR</x:v>
      </x:c>
      <x:c r="K449" t="str">
        <x:v>Lehr</x:v>
      </x:c>
      <x:c r="L449" s="54" t="n">
        <x:v>0.008318070818070818</x:v>
      </x:c>
      <x:c r="M449" t="n">
        <x:v>13104</x:v>
      </x:c>
      <x:c r="N449" t="n">
        <x:f>L449*M449</x:f>
        <x:v>109</x:v>
      </x:c>
      <x:c r="O449"/>
      <x:c r="P449"/>
      <x:c r="Q449"/>
      <x:c r="R449"/>
      <x:c r="S449" s="52"/>
      <x:c r="T449" t="str">
        <x:v>OK</x:v>
      </x:c>
      <x:c r="U449" t="str">
        <x:f>IF(AND(ISNUMBER(L449),L449&gt;=0,L449&lt;=1),"OK","CHECK")</x:f>
        <x:v>OK</x:v>
      </x:c>
      <x:c r="V449" t="str">
        <x:f>IF(AND(ISNUMBER(N449),N449&gt;=0),"OK","CHECK")</x:f>
        <x:v>OK</x:v>
      </x:c>
      <x:c r="W449" t="str">
        <x:f>IF(AND(T449="OK",U449="OK",V449="OK"),"OK","CHECK")</x:f>
        <x:v>OK</x:v>
      </x:c>
      <x:c r="X449" t="str">
        <x:f>IF(W449="OK","LOAD","QUARANTINE")</x:f>
        <x:v>LOAD</x:v>
      </x:c>
      <x:c r="Y449" t="str">
        <x:v>03_Process_Losses(6).xlsx</x:v>
      </x:c>
      <x:c r="Z449" t="str">
        <x:v>ENH-20260830-01</x:v>
      </x:c>
      <x:c r="AA449" t="str">
        <x:f>IF(X449="LOAD","Active","Quarantine")</x:f>
        <x:v>Active</x:v>
      </x:c>
      <x:c r="AB449"/>
      <x:c r="AC449"/>
      <x:c r="AD449"/>
      <x:c r="AE449"/>
    </x:row>
    <x:row r="450">
      <x:c r="A450" t="str">
        <x:v>PLD-000446</x:v>
      </x:c>
      <x:c r="B450" t="str">
        <x:v>LOSS-KG01-L23-20251026-AM-ORD-2025-00094</x:v>
      </x:c>
      <x:c r="C450" t="str">
        <x:v>PE-KG01-L23-20251026-AM-ORD-2025-00094</x:v>
      </x:c>
      <x:c r="D450" t="str">
        <x:v>KG01</x:v>
      </x:c>
      <x:c r="E450" t="n">
        <x:v>23</x:v>
      </x:c>
      <x:c r="F450" s="52" t="n">
        <x:v>45956</x:v>
      </x:c>
      <x:c r="G450" t="str">
        <x:v>AM</x:v>
      </x:c>
      <x:c r="H450" t="str">
        <x:v>ORD-2025-00094</x:v>
      </x:c>
      <x:c r="I450" t="str">
        <x:v>Trial</x:v>
      </x:c>
      <x:c r="J450" t="str">
        <x:v>PROC_EVO16</x:v>
      </x:c>
      <x:c r="K450" t="str">
        <x:v>Inspection</x:v>
      </x:c>
      <x:c r="L450" s="54" t="n">
        <x:v>0.009081196581196582</x:v>
      </x:c>
      <x:c r="M450" t="n">
        <x:v>13104</x:v>
      </x:c>
      <x:c r="N450" t="n">
        <x:f>L450*M450</x:f>
        <x:v>119.00000000000001</x:v>
      </x:c>
      <x:c r="O450"/>
      <x:c r="P450"/>
      <x:c r="Q450"/>
      <x:c r="R450"/>
      <x:c r="S450" s="52"/>
      <x:c r="T450" t="str">
        <x:v>OK</x:v>
      </x:c>
      <x:c r="U450" t="str">
        <x:f>IF(AND(ISNUMBER(L450),L450&gt;=0,L450&lt;=1),"OK","CHECK")</x:f>
        <x:v>OK</x:v>
      </x:c>
      <x:c r="V450" t="str">
        <x:f>IF(AND(ISNUMBER(N450),N450&gt;=0),"OK","CHECK")</x:f>
        <x:v>OK</x:v>
      </x:c>
      <x:c r="W450" t="str">
        <x:f>IF(AND(T450="OK",U450="OK",V450="OK"),"OK","CHECK")</x:f>
        <x:v>OK</x:v>
      </x:c>
      <x:c r="X450" t="str">
        <x:f>IF(W450="OK","LOAD","QUARANTINE")</x:f>
        <x:v>LOAD</x:v>
      </x:c>
      <x:c r="Y450" t="str">
        <x:v>03_Process_Losses(6).xlsx</x:v>
      </x:c>
      <x:c r="Z450" t="str">
        <x:v>ENH-20260830-01</x:v>
      </x:c>
      <x:c r="AA450" t="str">
        <x:f>IF(X450="LOAD","Active","Quarantine")</x:f>
        <x:v>Active</x:v>
      </x:c>
      <x:c r="AB450"/>
      <x:c r="AC450"/>
      <x:c r="AD450"/>
      <x:c r="AE450"/>
    </x:row>
    <x:row r="451">
      <x:c r="A451" t="str">
        <x:v>PLD-000447</x:v>
      </x:c>
      <x:c r="B451" t="str">
        <x:v>LOSS-KG01-L23-20251026-AM-ORD-2025-00094</x:v>
      </x:c>
      <x:c r="C451" t="str">
        <x:v>PE-KG01-L23-20251026-AM-ORD-2025-00094</x:v>
      </x:c>
      <x:c r="D451" t="str">
        <x:v>KG01</x:v>
      </x:c>
      <x:c r="E451" t="n">
        <x:v>23</x:v>
      </x:c>
      <x:c r="F451" s="52" t="n">
        <x:v>45956</x:v>
      </x:c>
      <x:c r="G451" t="str">
        <x:v>AM</x:v>
      </x:c>
      <x:c r="H451" t="str">
        <x:v>ORD-2025-00094</x:v>
      </x:c>
      <x:c r="I451" t="str">
        <x:v>Trial</x:v>
      </x:c>
      <x:c r="J451" t="str">
        <x:v>PROC_EVO12</x:v>
      </x:c>
      <x:c r="K451" t="str">
        <x:v>Inspection</x:v>
      </x:c>
      <x:c r="L451" s="54" t="n">
        <x:v>0.00434981684981685</x:v>
      </x:c>
      <x:c r="M451" t="n">
        <x:v>13104</x:v>
      </x:c>
      <x:c r="N451" t="n">
        <x:f>L451*M451</x:f>
        <x:v>57</x:v>
      </x:c>
      <x:c r="O451"/>
      <x:c r="P451"/>
      <x:c r="Q451"/>
      <x:c r="R451"/>
      <x:c r="S451" s="52"/>
      <x:c r="T451" t="str">
        <x:v>OK</x:v>
      </x:c>
      <x:c r="U451" t="str">
        <x:f>IF(AND(ISNUMBER(L451),L451&gt;=0,L451&lt;=1),"OK","CHECK")</x:f>
        <x:v>OK</x:v>
      </x:c>
      <x:c r="V451" t="str">
        <x:f>IF(AND(ISNUMBER(N451),N451&gt;=0),"OK","CHECK")</x:f>
        <x:v>OK</x:v>
      </x:c>
      <x:c r="W451" t="str">
        <x:f>IF(AND(T451="OK",U451="OK",V451="OK"),"OK","CHECK")</x:f>
        <x:v>OK</x:v>
      </x:c>
      <x:c r="X451" t="str">
        <x:f>IF(W451="OK","LOAD","QUARANTINE")</x:f>
        <x:v>LOAD</x:v>
      </x:c>
      <x:c r="Y451" t="str">
        <x:v>03_Process_Losses(6).xlsx</x:v>
      </x:c>
      <x:c r="Z451" t="str">
        <x:v>ENH-20260830-01</x:v>
      </x:c>
      <x:c r="AA451" t="str">
        <x:f>IF(X451="LOAD","Active","Quarantine")</x:f>
        <x:v>Active</x:v>
      </x:c>
      <x:c r="AB451"/>
      <x:c r="AC451"/>
      <x:c r="AD451"/>
      <x:c r="AE451"/>
    </x:row>
    <x:row r="452">
      <x:c r="A452" t="str">
        <x:v>PLD-000448</x:v>
      </x:c>
      <x:c r="B452" t="str">
        <x:v>LOSS-KG01-L23-20251026-AM-ORD-2025-00094</x:v>
      </x:c>
      <x:c r="C452" t="str">
        <x:v>PE-KG01-L23-20251026-AM-ORD-2025-00094</x:v>
      </x:c>
      <x:c r="D452" t="str">
        <x:v>KG01</x:v>
      </x:c>
      <x:c r="E452" t="n">
        <x:v>23</x:v>
      </x:c>
      <x:c r="F452" s="52" t="n">
        <x:v>45956</x:v>
      </x:c>
      <x:c r="G452" t="str">
        <x:v>AM</x:v>
      </x:c>
      <x:c r="H452" t="str">
        <x:v>ORD-2025-00094</x:v>
      </x:c>
      <x:c r="I452" t="str">
        <x:v>Trial</x:v>
      </x:c>
      <x:c r="J452" t="str">
        <x:v>PROC_EVO5</x:v>
      </x:c>
      <x:c r="K452" t="str">
        <x:v>Inspection</x:v>
      </x:c>
      <x:c r="L452" s="54" t="n">
        <x:v>0.007097069597069597</x:v>
      </x:c>
      <x:c r="M452" t="n">
        <x:v>13104</x:v>
      </x:c>
      <x:c r="N452" t="n">
        <x:f>L452*M452</x:f>
        <x:v>93</x:v>
      </x:c>
      <x:c r="O452"/>
      <x:c r="P452"/>
      <x:c r="Q452"/>
      <x:c r="R452"/>
      <x:c r="S452" s="52"/>
      <x:c r="T452" t="str">
        <x:v>OK</x:v>
      </x:c>
      <x:c r="U452" t="str">
        <x:f>IF(AND(ISNUMBER(L452),L452&gt;=0,L452&lt;=1),"OK","CHECK")</x:f>
        <x:v>OK</x:v>
      </x:c>
      <x:c r="V452" t="str">
        <x:f>IF(AND(ISNUMBER(N452),N452&gt;=0),"OK","CHECK")</x:f>
        <x:v>OK</x:v>
      </x:c>
      <x:c r="W452" t="str">
        <x:f>IF(AND(T452="OK",U452="OK",V452="OK"),"OK","CHECK")</x:f>
        <x:v>OK</x:v>
      </x:c>
      <x:c r="X452" t="str">
        <x:f>IF(W452="OK","LOAD","QUARANTINE")</x:f>
        <x:v>LOAD</x:v>
      </x:c>
      <x:c r="Y452" t="str">
        <x:v>03_Process_Losses(6).xlsx</x:v>
      </x:c>
      <x:c r="Z452" t="str">
        <x:v>ENH-20260830-01</x:v>
      </x:c>
      <x:c r="AA452" t="str">
        <x:f>IF(X452="LOAD","Active","Quarantine")</x:f>
        <x:v>Active</x:v>
      </x:c>
      <x:c r="AB452"/>
      <x:c r="AC452"/>
      <x:c r="AD452"/>
      <x:c r="AE452"/>
    </x:row>
    <x:row r="453">
      <x:c r="A453" t="str">
        <x:v>PLD-000449</x:v>
      </x:c>
      <x:c r="B453" t="str">
        <x:v>LOSS-KG01-L23-20251026-AM-ORD-2025-00094</x:v>
      </x:c>
      <x:c r="C453" t="str">
        <x:v>PE-KG01-L23-20251026-AM-ORD-2025-00094</x:v>
      </x:c>
      <x:c r="D453" t="str">
        <x:v>KG01</x:v>
      </x:c>
      <x:c r="E453" t="n">
        <x:v>23</x:v>
      </x:c>
      <x:c r="F453" s="52" t="n">
        <x:v>45956</x:v>
      </x:c>
      <x:c r="G453" t="str">
        <x:v>AM</x:v>
      </x:c>
      <x:c r="H453" t="str">
        <x:v>ORD-2025-00094</x:v>
      </x:c>
      <x:c r="I453" t="str">
        <x:v>Trial</x:v>
      </x:c>
      <x:c r="J453" t="str">
        <x:v>PROC_SANLI</x:v>
      </x:c>
      <x:c r="K453" t="str">
        <x:v>Inspection</x:v>
      </x:c>
      <x:c r="L453" s="54" t="n">
        <x:v>0.004731379731379731</x:v>
      </x:c>
      <x:c r="M453" t="n">
        <x:v>13104</x:v>
      </x:c>
      <x:c r="N453" t="n">
        <x:f>L453*M453</x:f>
        <x:v>61.99999999999999</x:v>
      </x:c>
      <x:c r="O453"/>
      <x:c r="P453"/>
      <x:c r="Q453"/>
      <x:c r="R453"/>
      <x:c r="S453" s="52"/>
      <x:c r="T453" t="str">
        <x:v>OK</x:v>
      </x:c>
      <x:c r="U453" t="str">
        <x:f>IF(AND(ISNUMBER(L453),L453&gt;=0,L453&lt;=1),"OK","CHECK")</x:f>
        <x:v>OK</x:v>
      </x:c>
      <x:c r="V453" t="str">
        <x:f>IF(AND(ISNUMBER(N453),N453&gt;=0),"OK","CHECK")</x:f>
        <x:v>OK</x:v>
      </x:c>
      <x:c r="W453" t="str">
        <x:f>IF(AND(T453="OK",U453="OK",V453="OK"),"OK","CHECK")</x:f>
        <x:v>OK</x:v>
      </x:c>
      <x:c r="X453" t="str">
        <x:f>IF(W453="OK","LOAD","QUARANTINE")</x:f>
        <x:v>LOAD</x:v>
      </x:c>
      <x:c r="Y453" t="str">
        <x:v>03_Process_Losses(6).xlsx</x:v>
      </x:c>
      <x:c r="Z453" t="str">
        <x:v>ENH-20260830-01</x:v>
      </x:c>
      <x:c r="AA453" t="str">
        <x:f>IF(X453="LOAD","Active","Quarantine")</x:f>
        <x:v>Active</x:v>
      </x:c>
      <x:c r="AB453"/>
      <x:c r="AC453"/>
      <x:c r="AD453"/>
      <x:c r="AE453"/>
    </x:row>
    <x:row r="454">
      <x:c r="A454" t="str">
        <x:v>PLD-000450</x:v>
      </x:c>
      <x:c r="B454" t="str">
        <x:v>LOSS-KG01-L23-20251026-AM-ORD-2025-00094</x:v>
      </x:c>
      <x:c r="C454" t="str">
        <x:v>PE-KG01-L23-20251026-AM-ORD-2025-00094</x:v>
      </x:c>
      <x:c r="D454" t="str">
        <x:v>KG01</x:v>
      </x:c>
      <x:c r="E454" t="n">
        <x:v>23</x:v>
      </x:c>
      <x:c r="F454" s="52" t="n">
        <x:v>45956</x:v>
      </x:c>
      <x:c r="G454" t="str">
        <x:v>AM</x:v>
      </x:c>
      <x:c r="H454" t="str">
        <x:v>ORD-2025-00094</x:v>
      </x:c>
      <x:c r="I454" t="str">
        <x:v>Trial</x:v>
      </x:c>
      <x:c r="J454" t="str">
        <x:v>PROC_VISUAL</x:v>
      </x:c>
      <x:c r="K454" t="str">
        <x:v>Inspection</x:v>
      </x:c>
      <x:c r="L454" s="54" t="n">
        <x:v>0.006105006105006105</x:v>
      </x:c>
      <x:c r="M454" t="n">
        <x:v>13104</x:v>
      </x:c>
      <x:c r="N454" t="n">
        <x:f>L454*M454</x:f>
        <x:v>80</x:v>
      </x:c>
      <x:c r="O454"/>
      <x:c r="P454"/>
      <x:c r="Q454"/>
      <x:c r="R454"/>
      <x:c r="S454" s="52"/>
      <x:c r="T454" t="str">
        <x:v>OK</x:v>
      </x:c>
      <x:c r="U454" t="str">
        <x:f>IF(AND(ISNUMBER(L454),L454&gt;=0,L454&lt;=1),"OK","CHECK")</x:f>
        <x:v>OK</x:v>
      </x:c>
      <x:c r="V454" t="str">
        <x:f>IF(AND(ISNUMBER(N454),N454&gt;=0),"OK","CHECK")</x:f>
        <x:v>OK</x:v>
      </x:c>
      <x:c r="W454" t="str">
        <x:f>IF(AND(T454="OK",U454="OK",V454="OK"),"OK","CHECK")</x:f>
        <x:v>OK</x:v>
      </x:c>
      <x:c r="X454" t="str">
        <x:f>IF(W454="OK","LOAD","QUARANTINE")</x:f>
        <x:v>LOAD</x:v>
      </x:c>
      <x:c r="Y454" t="str">
        <x:v>03_Process_Losses(6).xlsx</x:v>
      </x:c>
      <x:c r="Z454" t="str">
        <x:v>ENH-20260830-01</x:v>
      </x:c>
      <x:c r="AA454" t="str">
        <x:f>IF(X454="LOAD","Active","Quarantine")</x:f>
        <x:v>Active</x:v>
      </x:c>
      <x:c r="AB454"/>
      <x:c r="AC454"/>
      <x:c r="AD454"/>
      <x:c r="AE454"/>
    </x:row>
    <x:row r="455">
      <x:c r="A455" t="str">
        <x:v>PLD-000451</x:v>
      </x:c>
      <x:c r="B455" t="str">
        <x:v>LOSS-KG01-L23-20251026-AM-ORD-2025-00094</x:v>
      </x:c>
      <x:c r="C455" t="str">
        <x:v>PE-KG01-L23-20251026-AM-ORD-2025-00094</x:v>
      </x:c>
      <x:c r="D455" t="str">
        <x:v>KG01</x:v>
      </x:c>
      <x:c r="E455" t="n">
        <x:v>23</x:v>
      </x:c>
      <x:c r="F455" s="52" t="n">
        <x:v>45956</x:v>
      </x:c>
      <x:c r="G455" t="str">
        <x:v>AM</x:v>
      </x:c>
      <x:c r="H455" t="str">
        <x:v>ORD-2025-00094</x:v>
      </x:c>
      <x:c r="I455" t="str">
        <x:v>Trial</x:v>
      </x:c>
      <x:c r="J455" t="str">
        <x:v>PROC_PALLETIZER</x:v>
      </x:c>
      <x:c r="K455" t="str">
        <x:v>Palletizer</x:v>
      </x:c>
      <x:c r="L455" s="54" t="n">
        <x:v>0.009233821733821734</x:v>
      </x:c>
      <x:c r="M455" t="n">
        <x:v>13104</x:v>
      </x:c>
      <x:c r="N455" t="n">
        <x:f>L455*M455</x:f>
        <x:v>121</x:v>
      </x:c>
      <x:c r="O455"/>
      <x:c r="P455"/>
      <x:c r="Q455"/>
      <x:c r="R455"/>
      <x:c r="S455" s="52"/>
      <x:c r="T455" t="str">
        <x:v>OK</x:v>
      </x:c>
      <x:c r="U455" t="str">
        <x:f>IF(AND(ISNUMBER(L455),L455&gt;=0,L455&lt;=1),"OK","CHECK")</x:f>
        <x:v>OK</x:v>
      </x:c>
      <x:c r="V455" t="str">
        <x:f>IF(AND(ISNUMBER(N455),N455&gt;=0),"OK","CHECK")</x:f>
        <x:v>OK</x:v>
      </x:c>
      <x:c r="W455" t="str">
        <x:f>IF(AND(T455="OK",U455="OK",V455="OK"),"OK","CHECK")</x:f>
        <x:v>OK</x:v>
      </x:c>
      <x:c r="X455" t="str">
        <x:f>IF(W455="OK","LOAD","QUARANTINE")</x:f>
        <x:v>LOAD</x:v>
      </x:c>
      <x:c r="Y455" t="str">
        <x:v>03_Process_Losses(6).xlsx</x:v>
      </x:c>
      <x:c r="Z455" t="str">
        <x:v>ENH-20260830-01</x:v>
      </x:c>
      <x:c r="AA455" t="str">
        <x:f>IF(X455="LOAD","Active","Quarantine")</x:f>
        <x:v>Active</x:v>
      </x:c>
      <x:c r="AB455"/>
      <x:c r="AC455"/>
      <x:c r="AD455"/>
      <x:c r="AE455"/>
    </x:row>
    <x:row r="456">
      <x:c r="A456" t="str">
        <x:v>PLD-000452</x:v>
      </x:c>
      <x:c r="B456" t="str">
        <x:v>LOSS-KG01-L23-20251026-PM-ORD-2025-00094</x:v>
      </x:c>
      <x:c r="C456" t="str">
        <x:v>PE-KG01-L23-20251026-PM-ORD-2025-00094</x:v>
      </x:c>
      <x:c r="D456" t="str">
        <x:v>KG01</x:v>
      </x:c>
      <x:c r="E456" t="n">
        <x:v>23</x:v>
      </x:c>
      <x:c r="F456" s="52" t="n">
        <x:v>45956</x:v>
      </x:c>
      <x:c r="G456" t="str">
        <x:v>PM</x:v>
      </x:c>
      <x:c r="H456" t="str">
        <x:v>ORD-2025-00094</x:v>
      </x:c>
      <x:c r="I456" t="str">
        <x:v>Normal</x:v>
      </x:c>
      <x:c r="J456" t="str">
        <x:v>PROC_FIXED</x:v>
      </x:c>
      <x:c r="K456" t="str">
        <x:v>Fixed Losses</x:v>
      </x:c>
      <x:c r="L456" s="54" t="n">
        <x:v>0.00954348681621409</x:v>
      </x:c>
      <x:c r="M456" t="n">
        <x:v>182952</x:v>
      </x:c>
      <x:c r="N456" t="n">
        <x:f>L456*M456</x:f>
        <x:v>1746.0000000000002</x:v>
      </x:c>
      <x:c r="O456"/>
      <x:c r="P456"/>
      <x:c r="Q456"/>
      <x:c r="R456"/>
      <x:c r="S456" s="52"/>
      <x:c r="T456" t="str">
        <x:v>OK</x:v>
      </x:c>
      <x:c r="U456" t="str">
        <x:f>IF(AND(ISNUMBER(L456),L456&gt;=0,L456&lt;=1),"OK","CHECK")</x:f>
        <x:v>OK</x:v>
      </x:c>
      <x:c r="V456" t="str">
        <x:f>IF(AND(ISNUMBER(N456),N456&gt;=0),"OK","CHECK")</x:f>
        <x:v>OK</x:v>
      </x:c>
      <x:c r="W456" t="str">
        <x:f>IF(AND(T456="OK",U456="OK",V456="OK"),"OK","CHECK")</x:f>
        <x:v>OK</x:v>
      </x:c>
      <x:c r="X456" t="str">
        <x:f>IF(W456="OK","LOAD","QUARANTINE")</x:f>
        <x:v>LOAD</x:v>
      </x:c>
      <x:c r="Y456" t="str">
        <x:v>03_Process_Losses(6).xlsx</x:v>
      </x:c>
      <x:c r="Z456" t="str">
        <x:v>ENH-20260830-01</x:v>
      </x:c>
      <x:c r="AA456" t="str">
        <x:f>IF(X456="LOAD","Active","Quarantine")</x:f>
        <x:v>Active</x:v>
      </x:c>
      <x:c r="AB456"/>
      <x:c r="AC456"/>
      <x:c r="AD456"/>
      <x:c r="AE456"/>
    </x:row>
    <x:row r="457">
      <x:c r="A457" t="str">
        <x:v>PLD-000453</x:v>
      </x:c>
      <x:c r="B457" t="str">
        <x:v>LOSS-KG01-L23-20251026-PM-ORD-2025-00094</x:v>
      </x:c>
      <x:c r="C457" t="str">
        <x:v>PE-KG01-L23-20251026-PM-ORD-2025-00094</x:v>
      </x:c>
      <x:c r="D457" t="str">
        <x:v>KG01</x:v>
      </x:c>
      <x:c r="E457" t="n">
        <x:v>23</x:v>
      </x:c>
      <x:c r="F457" s="52" t="n">
        <x:v>45956</x:v>
      </x:c>
      <x:c r="G457" t="str">
        <x:v>PM</x:v>
      </x:c>
      <x:c r="H457" t="str">
        <x:v>ORD-2025-00094</x:v>
      </x:c>
      <x:c r="I457" t="str">
        <x:v>Normal</x:v>
      </x:c>
      <x:c r="J457" t="str">
        <x:v>PROC_IS</x:v>
      </x:c>
      <x:c r="K457" t="str">
        <x:v>IS Machine</x:v>
      </x:c>
      <x:c r="L457" s="54" t="n">
        <x:v>0.016386811841357297</x:v>
      </x:c>
      <x:c r="M457" t="n">
        <x:v>182952</x:v>
      </x:c>
      <x:c r="N457" t="n">
        <x:f>L457*M457</x:f>
        <x:v>2998.0000000000005</x:v>
      </x:c>
      <x:c r="O457"/>
      <x:c r="P457"/>
      <x:c r="Q457"/>
      <x:c r="R457"/>
      <x:c r="S457" s="52"/>
      <x:c r="T457" t="str">
        <x:v>OK</x:v>
      </x:c>
      <x:c r="U457" t="str">
        <x:f>IF(AND(ISNUMBER(L457),L457&gt;=0,L457&lt;=1),"OK","CHECK")</x:f>
        <x:v>OK</x:v>
      </x:c>
      <x:c r="V457" t="str">
        <x:f>IF(AND(ISNUMBER(N457),N457&gt;=0),"OK","CHECK")</x:f>
        <x:v>OK</x:v>
      </x:c>
      <x:c r="W457" t="str">
        <x:f>IF(AND(T457="OK",U457="OK",V457="OK"),"OK","CHECK")</x:f>
        <x:v>OK</x:v>
      </x:c>
      <x:c r="X457" t="str">
        <x:f>IF(W457="OK","LOAD","QUARANTINE")</x:f>
        <x:v>LOAD</x:v>
      </x:c>
      <x:c r="Y457" t="str">
        <x:v>03_Process_Losses(6).xlsx</x:v>
      </x:c>
      <x:c r="Z457" t="str">
        <x:v>ENH-20260830-01</x:v>
      </x:c>
      <x:c r="AA457" t="str">
        <x:f>IF(X457="LOAD","Active","Quarantine")</x:f>
        <x:v>Active</x:v>
      </x:c>
      <x:c r="AB457"/>
      <x:c r="AC457"/>
      <x:c r="AD457"/>
      <x:c r="AE457"/>
    </x:row>
    <x:row r="458">
      <x:c r="A458" t="str">
        <x:v>PLD-000454</x:v>
      </x:c>
      <x:c r="B458" t="str">
        <x:v>LOSS-KG01-L23-20251026-PM-ORD-2025-00094</x:v>
      </x:c>
      <x:c r="C458" t="str">
        <x:v>PE-KG01-L23-20251026-PM-ORD-2025-00094</x:v>
      </x:c>
      <x:c r="D458" t="str">
        <x:v>KG01</x:v>
      </x:c>
      <x:c r="E458" t="n">
        <x:v>23</x:v>
      </x:c>
      <x:c r="F458" s="52" t="n">
        <x:v>45956</x:v>
      </x:c>
      <x:c r="G458" t="str">
        <x:v>PM</x:v>
      </x:c>
      <x:c r="H458" t="str">
        <x:v>ORD-2025-00094</x:v>
      </x:c>
      <x:c r="I458" t="str">
        <x:v>Normal</x:v>
      </x:c>
      <x:c r="J458" t="str">
        <x:v>PROC_HE_CONVEYER</x:v>
      </x:c>
      <x:c r="K458" t="str">
        <x:v>Hot End</x:v>
      </x:c>
      <x:c r="L458" s="54" t="n">
        <x:v>0.006050767414403778</x:v>
      </x:c>
      <x:c r="M458" t="n">
        <x:v>182952</x:v>
      </x:c>
      <x:c r="N458" t="n">
        <x:f>L458*M458</x:f>
        <x:v>1107</x:v>
      </x:c>
      <x:c r="O458"/>
      <x:c r="P458"/>
      <x:c r="Q458"/>
      <x:c r="R458"/>
      <x:c r="S458" s="52"/>
      <x:c r="T458" t="str">
        <x:v>OK</x:v>
      </x:c>
      <x:c r="U458" t="str">
        <x:f>IF(AND(ISNUMBER(L458),L458&gt;=0,L458&lt;=1),"OK","CHECK")</x:f>
        <x:v>OK</x:v>
      </x:c>
      <x:c r="V458" t="str">
        <x:f>IF(AND(ISNUMBER(N458),N458&gt;=0),"OK","CHECK")</x:f>
        <x:v>OK</x:v>
      </x:c>
      <x:c r="W458" t="str">
        <x:f>IF(AND(T458="OK",U458="OK",V458="OK"),"OK","CHECK")</x:f>
        <x:v>OK</x:v>
      </x:c>
      <x:c r="X458" t="str">
        <x:f>IF(W458="OK","LOAD","QUARANTINE")</x:f>
        <x:v>LOAD</x:v>
      </x:c>
      <x:c r="Y458" t="str">
        <x:v>03_Process_Losses(6).xlsx</x:v>
      </x:c>
      <x:c r="Z458" t="str">
        <x:v>ENH-20260830-01</x:v>
      </x:c>
      <x:c r="AA458" t="str">
        <x:f>IF(X458="LOAD","Active","Quarantine")</x:f>
        <x:v>Active</x:v>
      </x:c>
      <x:c r="AB458"/>
      <x:c r="AC458"/>
      <x:c r="AD458"/>
      <x:c r="AE458"/>
    </x:row>
    <x:row r="459">
      <x:c r="A459" t="str">
        <x:v>PLD-000455</x:v>
      </x:c>
      <x:c r="B459" t="str">
        <x:v>LOSS-KG01-L23-20251026-PM-ORD-2025-00094</x:v>
      </x:c>
      <x:c r="C459" t="str">
        <x:v>PE-KG01-L23-20251026-PM-ORD-2025-00094</x:v>
      </x:c>
      <x:c r="D459" t="str">
        <x:v>KG01</x:v>
      </x:c>
      <x:c r="E459" t="n">
        <x:v>23</x:v>
      </x:c>
      <x:c r="F459" s="52" t="n">
        <x:v>45956</x:v>
      </x:c>
      <x:c r="G459" t="str">
        <x:v>PM</x:v>
      </x:c>
      <x:c r="H459" t="str">
        <x:v>ORD-2025-00094</x:v>
      </x:c>
      <x:c r="I459" t="str">
        <x:v>Normal</x:v>
      </x:c>
      <x:c r="J459" t="str">
        <x:v>PROC_STUCKDOWN</x:v>
      </x:c>
      <x:c r="K459" t="str">
        <x:v>Forming</x:v>
      </x:c>
      <x:c r="L459" s="54" t="n">
        <x:v>0.0014976605885696794</x:v>
      </x:c>
      <x:c r="M459" t="n">
        <x:v>182952</x:v>
      </x:c>
      <x:c r="N459" t="n">
        <x:f>L459*M459</x:f>
        <x:v>274</x:v>
      </x:c>
      <x:c r="O459"/>
      <x:c r="P459"/>
      <x:c r="Q459"/>
      <x:c r="R459"/>
      <x:c r="S459" s="52"/>
      <x:c r="T459" t="str">
        <x:v>OK</x:v>
      </x:c>
      <x:c r="U459" t="str">
        <x:f>IF(AND(ISNUMBER(L459),L459&gt;=0,L459&lt;=1),"OK","CHECK")</x:f>
        <x:v>OK</x:v>
      </x:c>
      <x:c r="V459" t="str">
        <x:f>IF(AND(ISNUMBER(N459),N459&gt;=0),"OK","CHECK")</x:f>
        <x:v>OK</x:v>
      </x:c>
      <x:c r="W459" t="str">
        <x:f>IF(AND(T459="OK",U459="OK",V459="OK"),"OK","CHECK")</x:f>
        <x:v>OK</x:v>
      </x:c>
      <x:c r="X459" t="str">
        <x:f>IF(W459="OK","LOAD","QUARANTINE")</x:f>
        <x:v>LOAD</x:v>
      </x:c>
      <x:c r="Y459" t="str">
        <x:v>03_Process_Losses(6).xlsx</x:v>
      </x:c>
      <x:c r="Z459" t="str">
        <x:v>ENH-20260830-01</x:v>
      </x:c>
      <x:c r="AA459" t="str">
        <x:f>IF(X459="LOAD","Active","Quarantine")</x:f>
        <x:v>Active</x:v>
      </x:c>
      <x:c r="AB459"/>
      <x:c r="AC459"/>
      <x:c r="AD459"/>
      <x:c r="AE459"/>
    </x:row>
    <x:row r="460">
      <x:c r="A460" t="str">
        <x:v>PLD-000456</x:v>
      </x:c>
      <x:c r="B460" t="str">
        <x:v>LOSS-KG01-L23-20251026-PM-ORD-2025-00094</x:v>
      </x:c>
      <x:c r="C460" t="str">
        <x:v>PE-KG01-L23-20251026-PM-ORD-2025-00094</x:v>
      </x:c>
      <x:c r="D460" t="str">
        <x:v>KG01</x:v>
      </x:c>
      <x:c r="E460" t="n">
        <x:v>23</x:v>
      </x:c>
      <x:c r="F460" s="52" t="n">
        <x:v>45956</x:v>
      </x:c>
      <x:c r="G460" t="str">
        <x:v>PM</x:v>
      </x:c>
      <x:c r="H460" t="str">
        <x:v>ORD-2025-00094</x:v>
      </x:c>
      <x:c r="I460" t="str">
        <x:v>Normal</x:v>
      </x:c>
      <x:c r="J460" t="str">
        <x:v>PROC_LEHR</x:v>
      </x:c>
      <x:c r="K460" t="str">
        <x:v>Lehr</x:v>
      </x:c>
      <x:c r="L460" s="54" t="n">
        <x:v>0.006280335825790372</x:v>
      </x:c>
      <x:c r="M460" t="n">
        <x:v>182952</x:v>
      </x:c>
      <x:c r="N460" t="n">
        <x:f>L460*M460</x:f>
        <x:v>1149</x:v>
      </x:c>
      <x:c r="O460"/>
      <x:c r="P460"/>
      <x:c r="Q460"/>
      <x:c r="R460"/>
      <x:c r="S460" s="52"/>
      <x:c r="T460" t="str">
        <x:v>OK</x:v>
      </x:c>
      <x:c r="U460" t="str">
        <x:f>IF(AND(ISNUMBER(L460),L460&gt;=0,L460&lt;=1),"OK","CHECK")</x:f>
        <x:v>OK</x:v>
      </x:c>
      <x:c r="V460" t="str">
        <x:f>IF(AND(ISNUMBER(N460),N460&gt;=0),"OK","CHECK")</x:f>
        <x:v>OK</x:v>
      </x:c>
      <x:c r="W460" t="str">
        <x:f>IF(AND(T460="OK",U460="OK",V460="OK"),"OK","CHECK")</x:f>
        <x:v>OK</x:v>
      </x:c>
      <x:c r="X460" t="str">
        <x:f>IF(W460="OK","LOAD","QUARANTINE")</x:f>
        <x:v>LOAD</x:v>
      </x:c>
      <x:c r="Y460" t="str">
        <x:v>03_Process_Losses(6).xlsx</x:v>
      </x:c>
      <x:c r="Z460" t="str">
        <x:v>ENH-20260830-01</x:v>
      </x:c>
      <x:c r="AA460" t="str">
        <x:f>IF(X460="LOAD","Active","Quarantine")</x:f>
        <x:v>Active</x:v>
      </x:c>
      <x:c r="AB460"/>
      <x:c r="AC460"/>
      <x:c r="AD460"/>
      <x:c r="AE460"/>
    </x:row>
    <x:row r="461">
      <x:c r="A461" t="str">
        <x:v>PLD-000457</x:v>
      </x:c>
      <x:c r="B461" t="str">
        <x:v>LOSS-KG01-L23-20251026-PM-ORD-2025-00094</x:v>
      </x:c>
      <x:c r="C461" t="str">
        <x:v>PE-KG01-L23-20251026-PM-ORD-2025-00094</x:v>
      </x:c>
      <x:c r="D461" t="str">
        <x:v>KG01</x:v>
      </x:c>
      <x:c r="E461" t="n">
        <x:v>23</x:v>
      </x:c>
      <x:c r="F461" s="52" t="n">
        <x:v>45956</x:v>
      </x:c>
      <x:c r="G461" t="str">
        <x:v>PM</x:v>
      </x:c>
      <x:c r="H461" t="str">
        <x:v>ORD-2025-00094</x:v>
      </x:c>
      <x:c r="I461" t="str">
        <x:v>Normal</x:v>
      </x:c>
      <x:c r="J461" t="str">
        <x:v>PROC_EVO16</x:v>
      </x:c>
      <x:c r="K461" t="str">
        <x:v>Inspection</x:v>
      </x:c>
      <x:c r="L461" s="54" t="n">
        <x:v>0.006821461366915913</x:v>
      </x:c>
      <x:c r="M461" t="n">
        <x:v>182952</x:v>
      </x:c>
      <x:c r="N461" t="n">
        <x:f>L461*M461</x:f>
        <x:v>1248</x:v>
      </x:c>
      <x:c r="O461"/>
      <x:c r="P461"/>
      <x:c r="Q461"/>
      <x:c r="R461"/>
      <x:c r="S461" s="52"/>
      <x:c r="T461" t="str">
        <x:v>OK</x:v>
      </x:c>
      <x:c r="U461" t="str">
        <x:f>IF(AND(ISNUMBER(L461),L461&gt;=0,L461&lt;=1),"OK","CHECK")</x:f>
        <x:v>OK</x:v>
      </x:c>
      <x:c r="V461" t="str">
        <x:f>IF(AND(ISNUMBER(N461),N461&gt;=0),"OK","CHECK")</x:f>
        <x:v>OK</x:v>
      </x:c>
      <x:c r="W461" t="str">
        <x:f>IF(AND(T461="OK",U461="OK",V461="OK"),"OK","CHECK")</x:f>
        <x:v>OK</x:v>
      </x:c>
      <x:c r="X461" t="str">
        <x:f>IF(W461="OK","LOAD","QUARANTINE")</x:f>
        <x:v>LOAD</x:v>
      </x:c>
      <x:c r="Y461" t="str">
        <x:v>03_Process_Losses(6).xlsx</x:v>
      </x:c>
      <x:c r="Z461" t="str">
        <x:v>ENH-20260830-01</x:v>
      </x:c>
      <x:c r="AA461" t="str">
        <x:f>IF(X461="LOAD","Active","Quarantine")</x:f>
        <x:v>Active</x:v>
      </x:c>
      <x:c r="AB461"/>
      <x:c r="AC461"/>
      <x:c r="AD461"/>
      <x:c r="AE461"/>
    </x:row>
    <x:row r="462">
      <x:c r="A462" t="str">
        <x:v>PLD-000458</x:v>
      </x:c>
      <x:c r="B462" t="str">
        <x:v>LOSS-KG01-L23-20251026-PM-ORD-2025-00094</x:v>
      </x:c>
      <x:c r="C462" t="str">
        <x:v>PE-KG01-L23-20251026-PM-ORD-2025-00094</x:v>
      </x:c>
      <x:c r="D462" t="str">
        <x:v>KG01</x:v>
      </x:c>
      <x:c r="E462" t="n">
        <x:v>23</x:v>
      </x:c>
      <x:c r="F462" s="52" t="n">
        <x:v>45956</x:v>
      </x:c>
      <x:c r="G462" t="str">
        <x:v>PM</x:v>
      </x:c>
      <x:c r="H462" t="str">
        <x:v>ORD-2025-00094</x:v>
      </x:c>
      <x:c r="I462" t="str">
        <x:v>Normal</x:v>
      </x:c>
      <x:c r="J462" t="str">
        <x:v>PROC_EVO12</x:v>
      </x:c>
      <x:c r="K462" t="str">
        <x:v>Inspection</x:v>
      </x:c>
      <x:c r="L462" s="54" t="n">
        <x:v>0.0003662162753071844</x:v>
      </x:c>
      <x:c r="M462" t="n">
        <x:v>182952</x:v>
      </x:c>
      <x:c r="N462" t="n">
        <x:f>L462*M462</x:f>
        <x:v>67</x:v>
      </x:c>
      <x:c r="O462"/>
      <x:c r="P462"/>
      <x:c r="Q462"/>
      <x:c r="R462"/>
      <x:c r="S462" s="52"/>
      <x:c r="T462" t="str">
        <x:v>OK</x:v>
      </x:c>
      <x:c r="U462" t="str">
        <x:f>IF(AND(ISNUMBER(L462),L462&gt;=0,L462&lt;=1),"OK","CHECK")</x:f>
        <x:v>OK</x:v>
      </x:c>
      <x:c r="V462" t="str">
        <x:f>IF(AND(ISNUMBER(N462),N462&gt;=0),"OK","CHECK")</x:f>
        <x:v>OK</x:v>
      </x:c>
      <x:c r="W462" t="str">
        <x:f>IF(AND(T462="OK",U462="OK",V462="OK"),"OK","CHECK")</x:f>
        <x:v>OK</x:v>
      </x:c>
      <x:c r="X462" t="str">
        <x:f>IF(W462="OK","LOAD","QUARANTINE")</x:f>
        <x:v>LOAD</x:v>
      </x:c>
      <x:c r="Y462" t="str">
        <x:v>03_Process_Losses(6).xlsx</x:v>
      </x:c>
      <x:c r="Z462" t="str">
        <x:v>ENH-20260830-01</x:v>
      </x:c>
      <x:c r="AA462" t="str">
        <x:f>IF(X462="LOAD","Active","Quarantine")</x:f>
        <x:v>Active</x:v>
      </x:c>
      <x:c r="AB462"/>
      <x:c r="AC462"/>
      <x:c r="AD462"/>
      <x:c r="AE462"/>
    </x:row>
    <x:row r="463">
      <x:c r="A463" t="str">
        <x:v>PLD-000459</x:v>
      </x:c>
      <x:c r="B463" t="str">
        <x:v>LOSS-KG01-L23-20251026-PM-ORD-2025-00094</x:v>
      </x:c>
      <x:c r="C463" t="str">
        <x:v>PE-KG01-L23-20251026-PM-ORD-2025-00094</x:v>
      </x:c>
      <x:c r="D463" t="str">
        <x:v>KG01</x:v>
      </x:c>
      <x:c r="E463" t="n">
        <x:v>23</x:v>
      </x:c>
      <x:c r="F463" s="52" t="n">
        <x:v>45956</x:v>
      </x:c>
      <x:c r="G463" t="str">
        <x:v>PM</x:v>
      </x:c>
      <x:c r="H463" t="str">
        <x:v>ORD-2025-00094</x:v>
      </x:c>
      <x:c r="I463" t="str">
        <x:v>Normal</x:v>
      </x:c>
      <x:c r="J463" t="str">
        <x:v>PROC_EVO5</x:v>
      </x:c>
      <x:c r="K463" t="str">
        <x:v>Inspection</x:v>
      </x:c>
      <x:c r="L463" s="54" t="n">
        <x:v>0.002918798373343828</x:v>
      </x:c>
      <x:c r="M463" t="n">
        <x:v>182952</x:v>
      </x:c>
      <x:c r="N463" t="n">
        <x:f>L463*M463</x:f>
        <x:v>534</x:v>
      </x:c>
      <x:c r="O463"/>
      <x:c r="P463"/>
      <x:c r="Q463"/>
      <x:c r="R463"/>
      <x:c r="S463" s="52"/>
      <x:c r="T463" t="str">
        <x:v>OK</x:v>
      </x:c>
      <x:c r="U463" t="str">
        <x:f>IF(AND(ISNUMBER(L463),L463&gt;=0,L463&lt;=1),"OK","CHECK")</x:f>
        <x:v>OK</x:v>
      </x:c>
      <x:c r="V463" t="str">
        <x:f>IF(AND(ISNUMBER(N463),N463&gt;=0),"OK","CHECK")</x:f>
        <x:v>OK</x:v>
      </x:c>
      <x:c r="W463" t="str">
        <x:f>IF(AND(T463="OK",U463="OK",V463="OK"),"OK","CHECK")</x:f>
        <x:v>OK</x:v>
      </x:c>
      <x:c r="X463" t="str">
        <x:f>IF(W463="OK","LOAD","QUARANTINE")</x:f>
        <x:v>LOAD</x:v>
      </x:c>
      <x:c r="Y463" t="str">
        <x:v>03_Process_Losses(6).xlsx</x:v>
      </x:c>
      <x:c r="Z463" t="str">
        <x:v>ENH-20260830-01</x:v>
      </x:c>
      <x:c r="AA463" t="str">
        <x:f>IF(X463="LOAD","Active","Quarantine")</x:f>
        <x:v>Active</x:v>
      </x:c>
      <x:c r="AB463"/>
      <x:c r="AC463"/>
      <x:c r="AD463"/>
      <x:c r="AE463"/>
    </x:row>
    <x:row r="464">
      <x:c r="A464" t="str">
        <x:v>PLD-000460</x:v>
      </x:c>
      <x:c r="B464" t="str">
        <x:v>LOSS-KG01-L23-20251026-PM-ORD-2025-00094</x:v>
      </x:c>
      <x:c r="C464" t="str">
        <x:v>PE-KG01-L23-20251026-PM-ORD-2025-00094</x:v>
      </x:c>
      <x:c r="D464" t="str">
        <x:v>KG01</x:v>
      </x:c>
      <x:c r="E464" t="n">
        <x:v>23</x:v>
      </x:c>
      <x:c r="F464" s="52" t="n">
        <x:v>45956</x:v>
      </x:c>
      <x:c r="G464" t="str">
        <x:v>PM</x:v>
      </x:c>
      <x:c r="H464" t="str">
        <x:v>ORD-2025-00094</x:v>
      </x:c>
      <x:c r="I464" t="str">
        <x:v>Normal</x:v>
      </x:c>
      <x:c r="J464" t="str">
        <x:v>PROC_SANLI</x:v>
      </x:c>
      <x:c r="K464" t="str">
        <x:v>Inspection</x:v>
      </x:c>
      <x:c r="L464" s="54" t="n">
        <x:v>0.0047389479207661026</x:v>
      </x:c>
      <x:c r="M464" t="n">
        <x:v>182952</x:v>
      </x:c>
      <x:c r="N464" t="n">
        <x:f>L464*M464</x:f>
        <x:v>867</x:v>
      </x:c>
      <x:c r="O464"/>
      <x:c r="P464"/>
      <x:c r="Q464"/>
      <x:c r="R464"/>
      <x:c r="S464" s="52"/>
      <x:c r="T464" t="str">
        <x:v>OK</x:v>
      </x:c>
      <x:c r="U464" t="str">
        <x:f>IF(AND(ISNUMBER(L464),L464&gt;=0,L464&lt;=1),"OK","CHECK")</x:f>
        <x:v>OK</x:v>
      </x:c>
      <x:c r="V464" t="str">
        <x:f>IF(AND(ISNUMBER(N464),N464&gt;=0),"OK","CHECK")</x:f>
        <x:v>OK</x:v>
      </x:c>
      <x:c r="W464" t="str">
        <x:f>IF(AND(T464="OK",U464="OK",V464="OK"),"OK","CHECK")</x:f>
        <x:v>OK</x:v>
      </x:c>
      <x:c r="X464" t="str">
        <x:f>IF(W464="OK","LOAD","QUARANTINE")</x:f>
        <x:v>LOAD</x:v>
      </x:c>
      <x:c r="Y464" t="str">
        <x:v>03_Process_Losses(6).xlsx</x:v>
      </x:c>
      <x:c r="Z464" t="str">
        <x:v>ENH-20260830-01</x:v>
      </x:c>
      <x:c r="AA464" t="str">
        <x:f>IF(X464="LOAD","Active","Quarantine")</x:f>
        <x:v>Active</x:v>
      </x:c>
      <x:c r="AB464"/>
      <x:c r="AC464"/>
      <x:c r="AD464"/>
      <x:c r="AE464"/>
    </x:row>
    <x:row r="465">
      <x:c r="A465" t="str">
        <x:v>PLD-000461</x:v>
      </x:c>
      <x:c r="B465" t="str">
        <x:v>LOSS-KG01-L23-20251026-PM-ORD-2025-00094</x:v>
      </x:c>
      <x:c r="C465" t="str">
        <x:v>PE-KG01-L23-20251026-PM-ORD-2025-00094</x:v>
      </x:c>
      <x:c r="D465" t="str">
        <x:v>KG01</x:v>
      </x:c>
      <x:c r="E465" t="n">
        <x:v>23</x:v>
      </x:c>
      <x:c r="F465" s="52" t="n">
        <x:v>45956</x:v>
      </x:c>
      <x:c r="G465" t="str">
        <x:v>PM</x:v>
      </x:c>
      <x:c r="H465" t="str">
        <x:v>ORD-2025-00094</x:v>
      </x:c>
      <x:c r="I465" t="str">
        <x:v>Normal</x:v>
      </x:c>
      <x:c r="J465" t="str">
        <x:v>PROC_VISUAL</x:v>
      </x:c>
      <x:c r="K465" t="str">
        <x:v>Inspection</x:v>
      </x:c>
      <x:c r="L465" s="54" t="n">
        <x:v>0.0069963706327342695</x:v>
      </x:c>
      <x:c r="M465" t="n">
        <x:v>182952</x:v>
      </x:c>
      <x:c r="N465" t="n">
        <x:f>L465*M465</x:f>
        <x:v>1280</x:v>
      </x:c>
      <x:c r="O465"/>
      <x:c r="P465"/>
      <x:c r="Q465"/>
      <x:c r="R465"/>
      <x:c r="S465" s="52"/>
      <x:c r="T465" t="str">
        <x:v>OK</x:v>
      </x:c>
      <x:c r="U465" t="str">
        <x:f>IF(AND(ISNUMBER(L465),L465&gt;=0,L465&lt;=1),"OK","CHECK")</x:f>
        <x:v>OK</x:v>
      </x:c>
      <x:c r="V465" t="str">
        <x:f>IF(AND(ISNUMBER(N465),N465&gt;=0),"OK","CHECK")</x:f>
        <x:v>OK</x:v>
      </x:c>
      <x:c r="W465" t="str">
        <x:f>IF(AND(T465="OK",U465="OK",V465="OK"),"OK","CHECK")</x:f>
        <x:v>OK</x:v>
      </x:c>
      <x:c r="X465" t="str">
        <x:f>IF(W465="OK","LOAD","QUARANTINE")</x:f>
        <x:v>LOAD</x:v>
      </x:c>
      <x:c r="Y465" t="str">
        <x:v>03_Process_Losses(6).xlsx</x:v>
      </x:c>
      <x:c r="Z465" t="str">
        <x:v>ENH-20260830-01</x:v>
      </x:c>
      <x:c r="AA465" t="str">
        <x:f>IF(X465="LOAD","Active","Quarantine")</x:f>
        <x:v>Active</x:v>
      </x:c>
      <x:c r="AB465"/>
      <x:c r="AC465"/>
      <x:c r="AD465"/>
      <x:c r="AE465"/>
    </x:row>
    <x:row r="466">
      <x:c r="A466" t="str">
        <x:v>PLD-000462</x:v>
      </x:c>
      <x:c r="B466" t="str">
        <x:v>LOSS-KG01-L23-20251026-PM-ORD-2025-00094</x:v>
      </x:c>
      <x:c r="C466" t="str">
        <x:v>PE-KG01-L23-20251026-PM-ORD-2025-00094</x:v>
      </x:c>
      <x:c r="D466" t="str">
        <x:v>KG01</x:v>
      </x:c>
      <x:c r="E466" t="n">
        <x:v>23</x:v>
      </x:c>
      <x:c r="F466" s="52" t="n">
        <x:v>45956</x:v>
      </x:c>
      <x:c r="G466" t="str">
        <x:v>PM</x:v>
      </x:c>
      <x:c r="H466" t="str">
        <x:v>ORD-2025-00094</x:v>
      </x:c>
      <x:c r="I466" t="str">
        <x:v>Normal</x:v>
      </x:c>
      <x:c r="J466" t="str">
        <x:v>PROC_PALLETIZER</x:v>
      </x:c>
      <x:c r="K466" t="str">
        <x:v>Palletizer</x:v>
      </x:c>
      <x:c r="L466" s="54" t="n">
        <x:v>0.0032522191613100705</x:v>
      </x:c>
      <x:c r="M466" t="n">
        <x:v>182952</x:v>
      </x:c>
      <x:c r="N466" t="n">
        <x:f>L466*M466</x:f>
        <x:v>595</x:v>
      </x:c>
      <x:c r="O466"/>
      <x:c r="P466"/>
      <x:c r="Q466"/>
      <x:c r="R466"/>
      <x:c r="S466" s="52"/>
      <x:c r="T466" t="str">
        <x:v>OK</x:v>
      </x:c>
      <x:c r="U466" t="str">
        <x:f>IF(AND(ISNUMBER(L466),L466&gt;=0,L466&lt;=1),"OK","CHECK")</x:f>
        <x:v>OK</x:v>
      </x:c>
      <x:c r="V466" t="str">
        <x:f>IF(AND(ISNUMBER(N466),N466&gt;=0),"OK","CHECK")</x:f>
        <x:v>OK</x:v>
      </x:c>
      <x:c r="W466" t="str">
        <x:f>IF(AND(T466="OK",U466="OK",V466="OK"),"OK","CHECK")</x:f>
        <x:v>OK</x:v>
      </x:c>
      <x:c r="X466" t="str">
        <x:f>IF(W466="OK","LOAD","QUARANTINE")</x:f>
        <x:v>LOAD</x:v>
      </x:c>
      <x:c r="Y466" t="str">
        <x:v>03_Process_Losses(6).xlsx</x:v>
      </x:c>
      <x:c r="Z466" t="str">
        <x:v>ENH-20260830-01</x:v>
      </x:c>
      <x:c r="AA466" t="str">
        <x:f>IF(X466="LOAD","Active","Quarantine")</x:f>
        <x:v>Active</x:v>
      </x:c>
      <x:c r="AB466"/>
      <x:c r="AC466"/>
      <x:c r="AD466"/>
      <x:c r="AE466"/>
    </x:row>
    <x:row r="467">
      <x:c r="A467" t="str">
        <x:v>PLD-000463</x:v>
      </x:c>
      <x:c r="B467" t="str">
        <x:v>LOSS-KG01-L24-20251020-AM-ORD-2025-00124</x:v>
      </x:c>
      <x:c r="C467" t="str">
        <x:v>PE-KG01-L24-20251020-AM-ORD-2025-00124</x:v>
      </x:c>
      <x:c r="D467" t="str">
        <x:v>KG01</x:v>
      </x:c>
      <x:c r="E467" t="n">
        <x:v>24</x:v>
      </x:c>
      <x:c r="F467" s="52" t="n">
        <x:v>45950</x:v>
      </x:c>
      <x:c r="G467" t="str">
        <x:v>AM</x:v>
      </x:c>
      <x:c r="H467" t="str">
        <x:v>ORD-2025-00124</x:v>
      </x:c>
      <x:c r="I467" t="str">
        <x:v>Normal</x:v>
      </x:c>
      <x:c r="J467" t="str">
        <x:v>PROC_FIXED</x:v>
      </x:c>
      <x:c r="K467" t="str">
        <x:v>Fixed Losses</x:v>
      </x:c>
      <x:c r="L467" s="54" t="n">
        <x:v>0.003585397653194263</x:v>
      </x:c>
      <x:c r="M467" t="n">
        <x:v>441792</x:v>
      </x:c>
      <x:c r="N467" t="n">
        <x:f>L467*M467</x:f>
        <x:v>1584</x:v>
      </x:c>
      <x:c r="O467"/>
      <x:c r="P467"/>
      <x:c r="Q467"/>
      <x:c r="R467"/>
      <x:c r="S467" s="52"/>
      <x:c r="T467" t="str">
        <x:v>OK</x:v>
      </x:c>
      <x:c r="U467" t="str">
        <x:f>IF(AND(ISNUMBER(L467),L467&gt;=0,L467&lt;=1),"OK","CHECK")</x:f>
        <x:v>OK</x:v>
      </x:c>
      <x:c r="V467" t="str">
        <x:f>IF(AND(ISNUMBER(N467),N467&gt;=0),"OK","CHECK")</x:f>
        <x:v>OK</x:v>
      </x:c>
      <x:c r="W467" t="str">
        <x:f>IF(AND(T467="OK",U467="OK",V467="OK"),"OK","CHECK")</x:f>
        <x:v>OK</x:v>
      </x:c>
      <x:c r="X467" t="str">
        <x:f>IF(W467="OK","LOAD","QUARANTINE")</x:f>
        <x:v>LOAD</x:v>
      </x:c>
      <x:c r="Y467" t="str">
        <x:v>03_Process_Losses(6).xlsx</x:v>
      </x:c>
      <x:c r="Z467" t="str">
        <x:v>ENH-20260830-01</x:v>
      </x:c>
      <x:c r="AA467" t="str">
        <x:f>IF(X467="LOAD","Active","Quarantine")</x:f>
        <x:v>Active</x:v>
      </x:c>
      <x:c r="AB467"/>
      <x:c r="AC467"/>
      <x:c r="AD467"/>
      <x:c r="AE467"/>
    </x:row>
    <x:row r="468">
      <x:c r="A468" t="str">
        <x:v>PLD-000464</x:v>
      </x:c>
      <x:c r="B468" t="str">
        <x:v>LOSS-KG01-L24-20251020-AM-ORD-2025-00124</x:v>
      </x:c>
      <x:c r="C468" t="str">
        <x:v>PE-KG01-L24-20251020-AM-ORD-2025-00124</x:v>
      </x:c>
      <x:c r="D468" t="str">
        <x:v>KG01</x:v>
      </x:c>
      <x:c r="E468" t="n">
        <x:v>24</x:v>
      </x:c>
      <x:c r="F468" s="52" t="n">
        <x:v>45950</x:v>
      </x:c>
      <x:c r="G468" t="str">
        <x:v>AM</x:v>
      </x:c>
      <x:c r="H468" t="str">
        <x:v>ORD-2025-00124</x:v>
      </x:c>
      <x:c r="I468" t="str">
        <x:v>Normal</x:v>
      </x:c>
      <x:c r="J468" t="str">
        <x:v>PROC_IS</x:v>
      </x:c>
      <x:c r="K468" t="str">
        <x:v>IS Machine</x:v>
      </x:c>
      <x:c r="L468" s="54" t="n">
        <x:v>0.0063830943068231205</x:v>
      </x:c>
      <x:c r="M468" t="n">
        <x:v>441792</x:v>
      </x:c>
      <x:c r="N468" t="n">
        <x:f>L468*M468</x:f>
        <x:v>2820</x:v>
      </x:c>
      <x:c r="O468"/>
      <x:c r="P468"/>
      <x:c r="Q468"/>
      <x:c r="R468"/>
      <x:c r="S468" s="52"/>
      <x:c r="T468" t="str">
        <x:v>OK</x:v>
      </x:c>
      <x:c r="U468" t="str">
        <x:f>IF(AND(ISNUMBER(L468),L468&gt;=0,L468&lt;=1),"OK","CHECK")</x:f>
        <x:v>OK</x:v>
      </x:c>
      <x:c r="V468" t="str">
        <x:f>IF(AND(ISNUMBER(N468),N468&gt;=0),"OK","CHECK")</x:f>
        <x:v>OK</x:v>
      </x:c>
      <x:c r="W468" t="str">
        <x:f>IF(AND(T468="OK",U468="OK",V468="OK"),"OK","CHECK")</x:f>
        <x:v>OK</x:v>
      </x:c>
      <x:c r="X468" t="str">
        <x:f>IF(W468="OK","LOAD","QUARANTINE")</x:f>
        <x:v>LOAD</x:v>
      </x:c>
      <x:c r="Y468" t="str">
        <x:v>03_Process_Losses(6).xlsx</x:v>
      </x:c>
      <x:c r="Z468" t="str">
        <x:v>ENH-20260830-01</x:v>
      </x:c>
      <x:c r="AA468" t="str">
        <x:f>IF(X468="LOAD","Active","Quarantine")</x:f>
        <x:v>Active</x:v>
      </x:c>
      <x:c r="AB468"/>
      <x:c r="AC468"/>
      <x:c r="AD468"/>
      <x:c r="AE468"/>
    </x:row>
    <x:row r="469">
      <x:c r="A469" t="str">
        <x:v>PLD-000465</x:v>
      </x:c>
      <x:c r="B469" t="str">
        <x:v>LOSS-KG01-L24-20251020-AM-ORD-2025-00124</x:v>
      </x:c>
      <x:c r="C469" t="str">
        <x:v>PE-KG01-L24-20251020-AM-ORD-2025-00124</x:v>
      </x:c>
      <x:c r="D469" t="str">
        <x:v>KG01</x:v>
      </x:c>
      <x:c r="E469" t="n">
        <x:v>24</x:v>
      </x:c>
      <x:c r="F469" s="52" t="n">
        <x:v>45950</x:v>
      </x:c>
      <x:c r="G469" t="str">
        <x:v>AM</x:v>
      </x:c>
      <x:c r="H469" t="str">
        <x:v>ORD-2025-00124</x:v>
      </x:c>
      <x:c r="I469" t="str">
        <x:v>Normal</x:v>
      </x:c>
      <x:c r="J469" t="str">
        <x:v>PROC_HE_CONVEYER</x:v>
      </x:c>
      <x:c r="K469" t="str">
        <x:v>Hot End</x:v>
      </x:c>
      <x:c r="L469" s="54" t="n">
        <x:v>0.0030896892655367233</x:v>
      </x:c>
      <x:c r="M469" t="n">
        <x:v>441792</x:v>
      </x:c>
      <x:c r="N469" t="n">
        <x:f>L469*M469</x:f>
        <x:v>1365</x:v>
      </x:c>
      <x:c r="O469"/>
      <x:c r="P469"/>
      <x:c r="Q469"/>
      <x:c r="R469"/>
      <x:c r="S469" s="52"/>
      <x:c r="T469" t="str">
        <x:v>OK</x:v>
      </x:c>
      <x:c r="U469" t="str">
        <x:f>IF(AND(ISNUMBER(L469),L469&gt;=0,L469&lt;=1),"OK","CHECK")</x:f>
        <x:v>OK</x:v>
      </x:c>
      <x:c r="V469" t="str">
        <x:f>IF(AND(ISNUMBER(N469),N469&gt;=0),"OK","CHECK")</x:f>
        <x:v>OK</x:v>
      </x:c>
      <x:c r="W469" t="str">
        <x:f>IF(AND(T469="OK",U469="OK",V469="OK"),"OK","CHECK")</x:f>
        <x:v>OK</x:v>
      </x:c>
      <x:c r="X469" t="str">
        <x:f>IF(W469="OK","LOAD","QUARANTINE")</x:f>
        <x:v>LOAD</x:v>
      </x:c>
      <x:c r="Y469" t="str">
        <x:v>03_Process_Losses(6).xlsx</x:v>
      </x:c>
      <x:c r="Z469" t="str">
        <x:v>ENH-20260830-01</x:v>
      </x:c>
      <x:c r="AA469" t="str">
        <x:f>IF(X469="LOAD","Active","Quarantine")</x:f>
        <x:v>Active</x:v>
      </x:c>
      <x:c r="AB469"/>
      <x:c r="AC469"/>
      <x:c r="AD469"/>
      <x:c r="AE469"/>
    </x:row>
    <x:row r="470">
      <x:c r="A470" t="str">
        <x:v>PLD-000466</x:v>
      </x:c>
      <x:c r="B470" t="str">
        <x:v>LOSS-KG01-L24-20251020-AM-ORD-2025-00124</x:v>
      </x:c>
      <x:c r="C470" t="str">
        <x:v>PE-KG01-L24-20251020-AM-ORD-2025-00124</x:v>
      </x:c>
      <x:c r="D470" t="str">
        <x:v>KG01</x:v>
      </x:c>
      <x:c r="E470" t="n">
        <x:v>24</x:v>
      </x:c>
      <x:c r="F470" s="52" t="n">
        <x:v>45950</x:v>
      </x:c>
      <x:c r="G470" t="str">
        <x:v>AM</x:v>
      </x:c>
      <x:c r="H470" t="str">
        <x:v>ORD-2025-00124</x:v>
      </x:c>
      <x:c r="I470" t="str">
        <x:v>Normal</x:v>
      </x:c>
      <x:c r="J470" t="str">
        <x:v>PROC_STUCKDOWN</x:v>
      </x:c>
      <x:c r="K470" t="str">
        <x:v>Forming</x:v>
      </x:c>
      <x:c r="L470" s="54" t="n">
        <x:v>0.0018832391713747645</x:v>
      </x:c>
      <x:c r="M470" t="n">
        <x:v>441792</x:v>
      </x:c>
      <x:c r="N470" t="n">
        <x:f>L470*M470</x:f>
        <x:v>832</x:v>
      </x:c>
      <x:c r="O470"/>
      <x:c r="P470"/>
      <x:c r="Q470"/>
      <x:c r="R470"/>
      <x:c r="S470" s="52"/>
      <x:c r="T470" t="str">
        <x:v>OK</x:v>
      </x:c>
      <x:c r="U470" t="str">
        <x:f>IF(AND(ISNUMBER(L470),L470&gt;=0,L470&lt;=1),"OK","CHECK")</x:f>
        <x:v>OK</x:v>
      </x:c>
      <x:c r="V470" t="str">
        <x:f>IF(AND(ISNUMBER(N470),N470&gt;=0),"OK","CHECK")</x:f>
        <x:v>OK</x:v>
      </x:c>
      <x:c r="W470" t="str">
        <x:f>IF(AND(T470="OK",U470="OK",V470="OK"),"OK","CHECK")</x:f>
        <x:v>OK</x:v>
      </x:c>
      <x:c r="X470" t="str">
        <x:f>IF(W470="OK","LOAD","QUARANTINE")</x:f>
        <x:v>LOAD</x:v>
      </x:c>
      <x:c r="Y470" t="str">
        <x:v>03_Process_Losses(6).xlsx</x:v>
      </x:c>
      <x:c r="Z470" t="str">
        <x:v>ENH-20260830-01</x:v>
      </x:c>
      <x:c r="AA470" t="str">
        <x:f>IF(X470="LOAD","Active","Quarantine")</x:f>
        <x:v>Active</x:v>
      </x:c>
      <x:c r="AB470"/>
      <x:c r="AC470"/>
      <x:c r="AD470"/>
      <x:c r="AE470"/>
    </x:row>
    <x:row r="471">
      <x:c r="A471" t="str">
        <x:v>PLD-000467</x:v>
      </x:c>
      <x:c r="B471" t="str">
        <x:v>LOSS-KG01-L24-20251020-AM-ORD-2025-00124</x:v>
      </x:c>
      <x:c r="C471" t="str">
        <x:v>PE-KG01-L24-20251020-AM-ORD-2025-00124</x:v>
      </x:c>
      <x:c r="D471" t="str">
        <x:v>KG01</x:v>
      </x:c>
      <x:c r="E471" t="n">
        <x:v>24</x:v>
      </x:c>
      <x:c r="F471" s="52" t="n">
        <x:v>45950</x:v>
      </x:c>
      <x:c r="G471" t="str">
        <x:v>AM</x:v>
      </x:c>
      <x:c r="H471" t="str">
        <x:v>ORD-2025-00124</x:v>
      </x:c>
      <x:c r="I471" t="str">
        <x:v>Normal</x:v>
      </x:c>
      <x:c r="J471" t="str">
        <x:v>PROC_LEHR</x:v>
      </x:c>
      <x:c r="K471" t="str">
        <x:v>Lehr</x:v>
      </x:c>
      <x:c r="L471" s="54" t="n">
        <x:v>0.0024355352745183256</x:v>
      </x:c>
      <x:c r="M471" t="n">
        <x:v>441792</x:v>
      </x:c>
      <x:c r="N471" t="n">
        <x:f>L471*M471</x:f>
        <x:v>1076</x:v>
      </x:c>
      <x:c r="O471"/>
      <x:c r="P471"/>
      <x:c r="Q471"/>
      <x:c r="R471"/>
      <x:c r="S471" s="52"/>
      <x:c r="T471" t="str">
        <x:v>OK</x:v>
      </x:c>
      <x:c r="U471" t="str">
        <x:f>IF(AND(ISNUMBER(L471),L471&gt;=0,L471&lt;=1),"OK","CHECK")</x:f>
        <x:v>OK</x:v>
      </x:c>
      <x:c r="V471" t="str">
        <x:f>IF(AND(ISNUMBER(N471),N471&gt;=0),"OK","CHECK")</x:f>
        <x:v>OK</x:v>
      </x:c>
      <x:c r="W471" t="str">
        <x:f>IF(AND(T471="OK",U471="OK",V471="OK"),"OK","CHECK")</x:f>
        <x:v>OK</x:v>
      </x:c>
      <x:c r="X471" t="str">
        <x:f>IF(W471="OK","LOAD","QUARANTINE")</x:f>
        <x:v>LOAD</x:v>
      </x:c>
      <x:c r="Y471" t="str">
        <x:v>03_Process_Losses(6).xlsx</x:v>
      </x:c>
      <x:c r="Z471" t="str">
        <x:v>ENH-20260830-01</x:v>
      </x:c>
      <x:c r="AA471" t="str">
        <x:f>IF(X471="LOAD","Active","Quarantine")</x:f>
        <x:v>Active</x:v>
      </x:c>
      <x:c r="AB471"/>
      <x:c r="AC471"/>
      <x:c r="AD471"/>
      <x:c r="AE471"/>
    </x:row>
    <x:row r="472">
      <x:c r="A472" t="str">
        <x:v>PLD-000468</x:v>
      </x:c>
      <x:c r="B472" t="str">
        <x:v>LOSS-KG01-L24-20251020-AM-ORD-2025-00124</x:v>
      </x:c>
      <x:c r="C472" t="str">
        <x:v>PE-KG01-L24-20251020-AM-ORD-2025-00124</x:v>
      </x:c>
      <x:c r="D472" t="str">
        <x:v>KG01</x:v>
      </x:c>
      <x:c r="E472" t="n">
        <x:v>24</x:v>
      </x:c>
      <x:c r="F472" s="52" t="n">
        <x:v>45950</x:v>
      </x:c>
      <x:c r="G472" t="str">
        <x:v>AM</x:v>
      </x:c>
      <x:c r="H472" t="str">
        <x:v>ORD-2025-00124</x:v>
      </x:c>
      <x:c r="I472" t="str">
        <x:v>Normal</x:v>
      </x:c>
      <x:c r="J472" t="str">
        <x:v>PROC_EVO16</x:v>
      </x:c>
      <x:c r="K472" t="str">
        <x:v>Inspection</x:v>
      </x:c>
      <x:c r="L472" s="54" t="n">
        <x:v>0.0024310082572794435</x:v>
      </x:c>
      <x:c r="M472" t="n">
        <x:v>441792</x:v>
      </x:c>
      <x:c r="N472" t="n">
        <x:f>L472*M472</x:f>
        <x:v>1074</x:v>
      </x:c>
      <x:c r="O472"/>
      <x:c r="P472"/>
      <x:c r="Q472"/>
      <x:c r="R472"/>
      <x:c r="S472" s="52"/>
      <x:c r="T472" t="str">
        <x:v>OK</x:v>
      </x:c>
      <x:c r="U472" t="str">
        <x:f>IF(AND(ISNUMBER(L472),L472&gt;=0,L472&lt;=1),"OK","CHECK")</x:f>
        <x:v>OK</x:v>
      </x:c>
      <x:c r="V472" t="str">
        <x:f>IF(AND(ISNUMBER(N472),N472&gt;=0),"OK","CHECK")</x:f>
        <x:v>OK</x:v>
      </x:c>
      <x:c r="W472" t="str">
        <x:f>IF(AND(T472="OK",U472="OK",V472="OK"),"OK","CHECK")</x:f>
        <x:v>OK</x:v>
      </x:c>
      <x:c r="X472" t="str">
        <x:f>IF(W472="OK","LOAD","QUARANTINE")</x:f>
        <x:v>LOAD</x:v>
      </x:c>
      <x:c r="Y472" t="str">
        <x:v>03_Process_Losses(6).xlsx</x:v>
      </x:c>
      <x:c r="Z472" t="str">
        <x:v>ENH-20260830-01</x:v>
      </x:c>
      <x:c r="AA472" t="str">
        <x:f>IF(X472="LOAD","Active","Quarantine")</x:f>
        <x:v>Active</x:v>
      </x:c>
      <x:c r="AB472"/>
      <x:c r="AC472"/>
      <x:c r="AD472"/>
      <x:c r="AE472"/>
    </x:row>
    <x:row r="473">
      <x:c r="A473" t="str">
        <x:v>PLD-000469</x:v>
      </x:c>
      <x:c r="B473" t="str">
        <x:v>LOSS-KG01-L24-20251020-AM-ORD-2025-00124</x:v>
      </x:c>
      <x:c r="C473" t="str">
        <x:v>PE-KG01-L24-20251020-AM-ORD-2025-00124</x:v>
      </x:c>
      <x:c r="D473" t="str">
        <x:v>KG01</x:v>
      </x:c>
      <x:c r="E473" t="n">
        <x:v>24</x:v>
      </x:c>
      <x:c r="F473" s="52" t="n">
        <x:v>45950</x:v>
      </x:c>
      <x:c r="G473" t="str">
        <x:v>AM</x:v>
      </x:c>
      <x:c r="H473" t="str">
        <x:v>ORD-2025-00124</x:v>
      </x:c>
      <x:c r="I473" t="str">
        <x:v>Normal</x:v>
      </x:c>
      <x:c r="J473" t="str">
        <x:v>PROC_EVO12</x:v>
      </x:c>
      <x:c r="K473" t="str">
        <x:v>Inspection</x:v>
      </x:c>
      <x:c r="L473" s="54" t="n">
        <x:v>0.0003168912067217152</x:v>
      </x:c>
      <x:c r="M473" t="n">
        <x:v>441792</x:v>
      </x:c>
      <x:c r="N473" t="n">
        <x:f>L473*M473</x:f>
        <x:v>140</x:v>
      </x:c>
      <x:c r="O473"/>
      <x:c r="P473"/>
      <x:c r="Q473"/>
      <x:c r="R473"/>
      <x:c r="S473" s="52"/>
      <x:c r="T473" t="str">
        <x:v>OK</x:v>
      </x:c>
      <x:c r="U473" t="str">
        <x:f>IF(AND(ISNUMBER(L473),L473&gt;=0,L473&lt;=1),"OK","CHECK")</x:f>
        <x:v>OK</x:v>
      </x:c>
      <x:c r="V473" t="str">
        <x:f>IF(AND(ISNUMBER(N473),N473&gt;=0),"OK","CHECK")</x:f>
        <x:v>OK</x:v>
      </x:c>
      <x:c r="W473" t="str">
        <x:f>IF(AND(T473="OK",U473="OK",V473="OK"),"OK","CHECK")</x:f>
        <x:v>OK</x:v>
      </x:c>
      <x:c r="X473" t="str">
        <x:f>IF(W473="OK","LOAD","QUARANTINE")</x:f>
        <x:v>LOAD</x:v>
      </x:c>
      <x:c r="Y473" t="str">
        <x:v>03_Process_Losses(6).xlsx</x:v>
      </x:c>
      <x:c r="Z473" t="str">
        <x:v>ENH-20260830-01</x:v>
      </x:c>
      <x:c r="AA473" t="str">
        <x:f>IF(X473="LOAD","Active","Quarantine")</x:f>
        <x:v>Active</x:v>
      </x:c>
      <x:c r="AB473"/>
      <x:c r="AC473"/>
      <x:c r="AD473"/>
      <x:c r="AE473"/>
    </x:row>
    <x:row r="474">
      <x:c r="A474" t="str">
        <x:v>PLD-000470</x:v>
      </x:c>
      <x:c r="B474" t="str">
        <x:v>LOSS-KG01-L24-20251020-AM-ORD-2025-00124</x:v>
      </x:c>
      <x:c r="C474" t="str">
        <x:v>PE-KG01-L24-20251020-AM-ORD-2025-00124</x:v>
      </x:c>
      <x:c r="D474" t="str">
        <x:v>KG01</x:v>
      </x:c>
      <x:c r="E474" t="n">
        <x:v>24</x:v>
      </x:c>
      <x:c r="F474" s="52" t="n">
        <x:v>45950</x:v>
      </x:c>
      <x:c r="G474" t="str">
        <x:v>AM</x:v>
      </x:c>
      <x:c r="H474" t="str">
        <x:v>ORD-2025-00124</x:v>
      </x:c>
      <x:c r="I474" t="str">
        <x:v>Normal</x:v>
      </x:c>
      <x:c r="J474" t="str">
        <x:v>PROC_EVO5</x:v>
      </x:c>
      <x:c r="K474" t="str">
        <x:v>Inspection</x:v>
      </x:c>
      <x:c r="L474" s="54" t="n">
        <x:v>0.002349521946979574</x:v>
      </x:c>
      <x:c r="M474" t="n">
        <x:v>441792</x:v>
      </x:c>
      <x:c r="N474" t="n">
        <x:f>L474*M474</x:f>
        <x:v>1038</x:v>
      </x:c>
      <x:c r="O474"/>
      <x:c r="P474"/>
      <x:c r="Q474"/>
      <x:c r="R474"/>
      <x:c r="S474" s="52"/>
      <x:c r="T474" t="str">
        <x:v>OK</x:v>
      </x:c>
      <x:c r="U474" t="str">
        <x:f>IF(AND(ISNUMBER(L474),L474&gt;=0,L474&lt;=1),"OK","CHECK")</x:f>
        <x:v>OK</x:v>
      </x:c>
      <x:c r="V474" t="str">
        <x:f>IF(AND(ISNUMBER(N474),N474&gt;=0),"OK","CHECK")</x:f>
        <x:v>OK</x:v>
      </x:c>
      <x:c r="W474" t="str">
        <x:f>IF(AND(T474="OK",U474="OK",V474="OK"),"OK","CHECK")</x:f>
        <x:v>OK</x:v>
      </x:c>
      <x:c r="X474" t="str">
        <x:f>IF(W474="OK","LOAD","QUARANTINE")</x:f>
        <x:v>LOAD</x:v>
      </x:c>
      <x:c r="Y474" t="str">
        <x:v>03_Process_Losses(6).xlsx</x:v>
      </x:c>
      <x:c r="Z474" t="str">
        <x:v>ENH-20260830-01</x:v>
      </x:c>
      <x:c r="AA474" t="str">
        <x:f>IF(X474="LOAD","Active","Quarantine")</x:f>
        <x:v>Active</x:v>
      </x:c>
      <x:c r="AB474"/>
      <x:c r="AC474"/>
      <x:c r="AD474"/>
      <x:c r="AE474"/>
    </x:row>
    <x:row r="475">
      <x:c r="A475" t="str">
        <x:v>PLD-000471</x:v>
      </x:c>
      <x:c r="B475" t="str">
        <x:v>LOSS-KG01-L24-20251020-AM-ORD-2025-00124</x:v>
      </x:c>
      <x:c r="C475" t="str">
        <x:v>PE-KG01-L24-20251020-AM-ORD-2025-00124</x:v>
      </x:c>
      <x:c r="D475" t="str">
        <x:v>KG01</x:v>
      </x:c>
      <x:c r="E475" t="n">
        <x:v>24</x:v>
      </x:c>
      <x:c r="F475" s="52" t="n">
        <x:v>45950</x:v>
      </x:c>
      <x:c r="G475" t="str">
        <x:v>AM</x:v>
      </x:c>
      <x:c r="H475" t="str">
        <x:v>ORD-2025-00124</x:v>
      </x:c>
      <x:c r="I475" t="str">
        <x:v>Normal</x:v>
      </x:c>
      <x:c r="J475" t="str">
        <x:v>PROC_SANLI</x:v>
      </x:c>
      <x:c r="K475" t="str">
        <x:v>Inspection</x:v>
      </x:c>
      <x:c r="L475" s="54" t="n">
        <x:v>0.0009868897580761987</x:v>
      </x:c>
      <x:c r="M475" t="n">
        <x:v>441792</x:v>
      </x:c>
      <x:c r="N475" t="n">
        <x:f>L475*M475</x:f>
        <x:v>436</x:v>
      </x:c>
      <x:c r="O475"/>
      <x:c r="P475"/>
      <x:c r="Q475"/>
      <x:c r="R475"/>
      <x:c r="S475" s="52"/>
      <x:c r="T475" t="str">
        <x:v>OK</x:v>
      </x:c>
      <x:c r="U475" t="str">
        <x:f>IF(AND(ISNUMBER(L475),L475&gt;=0,L475&lt;=1),"OK","CHECK")</x:f>
        <x:v>OK</x:v>
      </x:c>
      <x:c r="V475" t="str">
        <x:f>IF(AND(ISNUMBER(N475),N475&gt;=0),"OK","CHECK")</x:f>
        <x:v>OK</x:v>
      </x:c>
      <x:c r="W475" t="str">
        <x:f>IF(AND(T475="OK",U475="OK",V475="OK"),"OK","CHECK")</x:f>
        <x:v>OK</x:v>
      </x:c>
      <x:c r="X475" t="str">
        <x:f>IF(W475="OK","LOAD","QUARANTINE")</x:f>
        <x:v>LOAD</x:v>
      </x:c>
      <x:c r="Y475" t="str">
        <x:v>03_Process_Losses(6).xlsx</x:v>
      </x:c>
      <x:c r="Z475" t="str">
        <x:v>ENH-20260830-01</x:v>
      </x:c>
      <x:c r="AA475" t="str">
        <x:f>IF(X475="LOAD","Active","Quarantine")</x:f>
        <x:v>Active</x:v>
      </x:c>
      <x:c r="AB475"/>
      <x:c r="AC475"/>
      <x:c r="AD475"/>
      <x:c r="AE475"/>
    </x:row>
    <x:row r="476">
      <x:c r="A476" t="str">
        <x:v>PLD-000472</x:v>
      </x:c>
      <x:c r="B476" t="str">
        <x:v>LOSS-KG01-L24-20251020-AM-ORD-2025-00124</x:v>
      </x:c>
      <x:c r="C476" t="str">
        <x:v>PE-KG01-L24-20251020-AM-ORD-2025-00124</x:v>
      </x:c>
      <x:c r="D476" t="str">
        <x:v>KG01</x:v>
      </x:c>
      <x:c r="E476" t="n">
        <x:v>24</x:v>
      </x:c>
      <x:c r="F476" s="52" t="n">
        <x:v>45950</x:v>
      </x:c>
      <x:c r="G476" t="str">
        <x:v>AM</x:v>
      </x:c>
      <x:c r="H476" t="str">
        <x:v>ORD-2025-00124</x:v>
      </x:c>
      <x:c r="I476" t="str">
        <x:v>Normal</x:v>
      </x:c>
      <x:c r="J476" t="str">
        <x:v>PROC_VISUAL</x:v>
      </x:c>
      <x:c r="K476" t="str">
        <x:v>Inspection</x:v>
      </x:c>
      <x:c r="L476" s="54" t="n">
        <x:v>0.003718944661741272</x:v>
      </x:c>
      <x:c r="M476" t="n">
        <x:v>441792</x:v>
      </x:c>
      <x:c r="N476" t="n">
        <x:f>L476*M476</x:f>
        <x:v>1643</x:v>
      </x:c>
      <x:c r="O476"/>
      <x:c r="P476"/>
      <x:c r="Q476"/>
      <x:c r="R476"/>
      <x:c r="S476" s="52"/>
      <x:c r="T476" t="str">
        <x:v>OK</x:v>
      </x:c>
      <x:c r="U476" t="str">
        <x:f>IF(AND(ISNUMBER(L476),L476&gt;=0,L476&lt;=1),"OK","CHECK")</x:f>
        <x:v>OK</x:v>
      </x:c>
      <x:c r="V476" t="str">
        <x:f>IF(AND(ISNUMBER(N476),N476&gt;=0),"OK","CHECK")</x:f>
        <x:v>OK</x:v>
      </x:c>
      <x:c r="W476" t="str">
        <x:f>IF(AND(T476="OK",U476="OK",V476="OK"),"OK","CHECK")</x:f>
        <x:v>OK</x:v>
      </x:c>
      <x:c r="X476" t="str">
        <x:f>IF(W476="OK","LOAD","QUARANTINE")</x:f>
        <x:v>LOAD</x:v>
      </x:c>
      <x:c r="Y476" t="str">
        <x:v>03_Process_Losses(6).xlsx</x:v>
      </x:c>
      <x:c r="Z476" t="str">
        <x:v>ENH-20260830-01</x:v>
      </x:c>
      <x:c r="AA476" t="str">
        <x:f>IF(X476="LOAD","Active","Quarantine")</x:f>
        <x:v>Active</x:v>
      </x:c>
      <x:c r="AB476"/>
      <x:c r="AC476"/>
      <x:c r="AD476"/>
      <x:c r="AE476"/>
    </x:row>
    <x:row r="477">
      <x:c r="A477" t="str">
        <x:v>PLD-000473</x:v>
      </x:c>
      <x:c r="B477" t="str">
        <x:v>LOSS-KG01-L24-20251020-AM-ORD-2025-00124</x:v>
      </x:c>
      <x:c r="C477" t="str">
        <x:v>PE-KG01-L24-20251020-AM-ORD-2025-00124</x:v>
      </x:c>
      <x:c r="D477" t="str">
        <x:v>KG01</x:v>
      </x:c>
      <x:c r="E477" t="n">
        <x:v>24</x:v>
      </x:c>
      <x:c r="F477" s="52" t="n">
        <x:v>45950</x:v>
      </x:c>
      <x:c r="G477" t="str">
        <x:v>AM</x:v>
      </x:c>
      <x:c r="H477" t="str">
        <x:v>ORD-2025-00124</x:v>
      </x:c>
      <x:c r="I477" t="str">
        <x:v>Normal</x:v>
      </x:c>
      <x:c r="J477" t="str">
        <x:v>PROC_PALLETIZER</x:v>
      </x:c>
      <x:c r="K477" t="str">
        <x:v>Palletizer</x:v>
      </x:c>
      <x:c r="L477" s="54" t="n">
        <x:v>0.005409785600463566</x:v>
      </x:c>
      <x:c r="M477" t="n">
        <x:v>441792</x:v>
      </x:c>
      <x:c r="N477" t="n">
        <x:f>L477*M477</x:f>
        <x:v>2390</x:v>
      </x:c>
      <x:c r="O477"/>
      <x:c r="P477"/>
      <x:c r="Q477"/>
      <x:c r="R477"/>
      <x:c r="S477" s="52"/>
      <x:c r="T477" t="str">
        <x:v>OK</x:v>
      </x:c>
      <x:c r="U477" t="str">
        <x:f>IF(AND(ISNUMBER(L477),L477&gt;=0,L477&lt;=1),"OK","CHECK")</x:f>
        <x:v>OK</x:v>
      </x:c>
      <x:c r="V477" t="str">
        <x:f>IF(AND(ISNUMBER(N477),N477&gt;=0),"OK","CHECK")</x:f>
        <x:v>OK</x:v>
      </x:c>
      <x:c r="W477" t="str">
        <x:f>IF(AND(T477="OK",U477="OK",V477="OK"),"OK","CHECK")</x:f>
        <x:v>OK</x:v>
      </x:c>
      <x:c r="X477" t="str">
        <x:f>IF(W477="OK","LOAD","QUARANTINE")</x:f>
        <x:v>LOAD</x:v>
      </x:c>
      <x:c r="Y477" t="str">
        <x:v>03_Process_Losses(6).xlsx</x:v>
      </x:c>
      <x:c r="Z477" t="str">
        <x:v>ENH-20260830-01</x:v>
      </x:c>
      <x:c r="AA477" t="str">
        <x:f>IF(X477="LOAD","Active","Quarantine")</x:f>
        <x:v>Active</x:v>
      </x:c>
      <x:c r="AB477"/>
      <x:c r="AC477"/>
      <x:c r="AD477"/>
      <x:c r="AE477"/>
    </x:row>
    <x:row r="478">
      <x:c r="A478" t="str">
        <x:v>PLD-000474</x:v>
      </x:c>
      <x:c r="B478" t="str">
        <x:v>LOSS-KG01-L24-20251020-PM-ORD-2025-00124</x:v>
      </x:c>
      <x:c r="C478" t="str">
        <x:v>PE-KG01-L24-20251020-PM-ORD-2025-00124</x:v>
      </x:c>
      <x:c r="D478" t="str">
        <x:v>KG01</x:v>
      </x:c>
      <x:c r="E478" t="n">
        <x:v>24</x:v>
      </x:c>
      <x:c r="F478" s="52" t="n">
        <x:v>45950</x:v>
      </x:c>
      <x:c r="G478" t="str">
        <x:v>PM</x:v>
      </x:c>
      <x:c r="H478" t="str">
        <x:v>ORD-2025-00124</x:v>
      </x:c>
      <x:c r="I478" t="str">
        <x:v>Normal</x:v>
      </x:c>
      <x:c r="J478" t="str">
        <x:v>PROC_FIXED</x:v>
      </x:c>
      <x:c r="K478" t="str">
        <x:v>Fixed Losses</x:v>
      </x:c>
      <x:c r="L478" s="54" t="n">
        <x:v>0.005425919953485626</x:v>
      </x:c>
      <x:c r="M478" t="n">
        <x:v>440294</x:v>
      </x:c>
      <x:c r="N478" t="n">
        <x:f>L478*M478</x:f>
        <x:v>2389</x:v>
      </x:c>
      <x:c r="O478"/>
      <x:c r="P478"/>
      <x:c r="Q478"/>
      <x:c r="R478"/>
      <x:c r="S478" s="52"/>
      <x:c r="T478" t="str">
        <x:v>OK</x:v>
      </x:c>
      <x:c r="U478" t="str">
        <x:f>IF(AND(ISNUMBER(L478),L478&gt;=0,L478&lt;=1),"OK","CHECK")</x:f>
        <x:v>OK</x:v>
      </x:c>
      <x:c r="V478" t="str">
        <x:f>IF(AND(ISNUMBER(N478),N478&gt;=0),"OK","CHECK")</x:f>
        <x:v>OK</x:v>
      </x:c>
      <x:c r="W478" t="str">
        <x:f>IF(AND(T478="OK",U478="OK",V478="OK"),"OK","CHECK")</x:f>
        <x:v>OK</x:v>
      </x:c>
      <x:c r="X478" t="str">
        <x:f>IF(W478="OK","LOAD","QUARANTINE")</x:f>
        <x:v>LOAD</x:v>
      </x:c>
      <x:c r="Y478" t="str">
        <x:v>03_Process_Losses(6).xlsx</x:v>
      </x:c>
      <x:c r="Z478" t="str">
        <x:v>ENH-20260830-01</x:v>
      </x:c>
      <x:c r="AA478" t="str">
        <x:f>IF(X478="LOAD","Active","Quarantine")</x:f>
        <x:v>Active</x:v>
      </x:c>
      <x:c r="AB478"/>
      <x:c r="AC478"/>
      <x:c r="AD478"/>
      <x:c r="AE478"/>
    </x:row>
    <x:row r="479">
      <x:c r="A479" t="str">
        <x:v>PLD-000475</x:v>
      </x:c>
      <x:c r="B479" t="str">
        <x:v>LOSS-KG01-L24-20251020-PM-ORD-2025-00124</x:v>
      </x:c>
      <x:c r="C479" t="str">
        <x:v>PE-KG01-L24-20251020-PM-ORD-2025-00124</x:v>
      </x:c>
      <x:c r="D479" t="str">
        <x:v>KG01</x:v>
      </x:c>
      <x:c r="E479" t="n">
        <x:v>24</x:v>
      </x:c>
      <x:c r="F479" s="52" t="n">
        <x:v>45950</x:v>
      </x:c>
      <x:c r="G479" t="str">
        <x:v>PM</x:v>
      </x:c>
      <x:c r="H479" t="str">
        <x:v>ORD-2025-00124</x:v>
      </x:c>
      <x:c r="I479" t="str">
        <x:v>Normal</x:v>
      </x:c>
      <x:c r="J479" t="str">
        <x:v>PROC_IS</x:v>
      </x:c>
      <x:c r="K479" t="str">
        <x:v>IS Machine</x:v>
      </x:c>
      <x:c r="L479" s="54" t="n">
        <x:v>0.013702208070062276</x:v>
      </x:c>
      <x:c r="M479" t="n">
        <x:v>440294</x:v>
      </x:c>
      <x:c r="N479" t="n">
        <x:f>L479*M479</x:f>
        <x:v>6033</x:v>
      </x:c>
      <x:c r="O479"/>
      <x:c r="P479"/>
      <x:c r="Q479"/>
      <x:c r="R479"/>
      <x:c r="S479" s="52"/>
      <x:c r="T479" t="str">
        <x:v>OK</x:v>
      </x:c>
      <x:c r="U479" t="str">
        <x:f>IF(AND(ISNUMBER(L479),L479&gt;=0,L479&lt;=1),"OK","CHECK")</x:f>
        <x:v>OK</x:v>
      </x:c>
      <x:c r="V479" t="str">
        <x:f>IF(AND(ISNUMBER(N479),N479&gt;=0),"OK","CHECK")</x:f>
        <x:v>OK</x:v>
      </x:c>
      <x:c r="W479" t="str">
        <x:f>IF(AND(T479="OK",U479="OK",V479="OK"),"OK","CHECK")</x:f>
        <x:v>OK</x:v>
      </x:c>
      <x:c r="X479" t="str">
        <x:f>IF(W479="OK","LOAD","QUARANTINE")</x:f>
        <x:v>LOAD</x:v>
      </x:c>
      <x:c r="Y479" t="str">
        <x:v>03_Process_Losses(6).xlsx</x:v>
      </x:c>
      <x:c r="Z479" t="str">
        <x:v>ENH-20260830-01</x:v>
      </x:c>
      <x:c r="AA479" t="str">
        <x:f>IF(X479="LOAD","Active","Quarantine")</x:f>
        <x:v>Active</x:v>
      </x:c>
      <x:c r="AB479"/>
      <x:c r="AC479"/>
      <x:c r="AD479"/>
      <x:c r="AE479"/>
    </x:row>
    <x:row r="480">
      <x:c r="A480" t="str">
        <x:v>PLD-000476</x:v>
      </x:c>
      <x:c r="B480" t="str">
        <x:v>LOSS-KG01-L24-20251020-PM-ORD-2025-00124</x:v>
      </x:c>
      <x:c r="C480" t="str">
        <x:v>PE-KG01-L24-20251020-PM-ORD-2025-00124</x:v>
      </x:c>
      <x:c r="D480" t="str">
        <x:v>KG01</x:v>
      </x:c>
      <x:c r="E480" t="n">
        <x:v>24</x:v>
      </x:c>
      <x:c r="F480" s="52" t="n">
        <x:v>45950</x:v>
      </x:c>
      <x:c r="G480" t="str">
        <x:v>PM</x:v>
      </x:c>
      <x:c r="H480" t="str">
        <x:v>ORD-2025-00124</x:v>
      </x:c>
      <x:c r="I480" t="str">
        <x:v>Normal</x:v>
      </x:c>
      <x:c r="J480" t="str">
        <x:v>PROC_HE_CONVEYER</x:v>
      </x:c>
      <x:c r="K480" t="str">
        <x:v>Hot End</x:v>
      </x:c>
      <x:c r="L480" s="54" t="n">
        <x:v>0.0016398133974117293</x:v>
      </x:c>
      <x:c r="M480" t="n">
        <x:v>440294</x:v>
      </x:c>
      <x:c r="N480" t="n">
        <x:f>L480*M480</x:f>
        <x:v>722</x:v>
      </x:c>
      <x:c r="O480"/>
      <x:c r="P480"/>
      <x:c r="Q480"/>
      <x:c r="R480"/>
      <x:c r="S480" s="52"/>
      <x:c r="T480" t="str">
        <x:v>OK</x:v>
      </x:c>
      <x:c r="U480" t="str">
        <x:f>IF(AND(ISNUMBER(L480),L480&gt;=0,L480&lt;=1),"OK","CHECK")</x:f>
        <x:v>OK</x:v>
      </x:c>
      <x:c r="V480" t="str">
        <x:f>IF(AND(ISNUMBER(N480),N480&gt;=0),"OK","CHECK")</x:f>
        <x:v>OK</x:v>
      </x:c>
      <x:c r="W480" t="str">
        <x:f>IF(AND(T480="OK",U480="OK",V480="OK"),"OK","CHECK")</x:f>
        <x:v>OK</x:v>
      </x:c>
      <x:c r="X480" t="str">
        <x:f>IF(W480="OK","LOAD","QUARANTINE")</x:f>
        <x:v>LOAD</x:v>
      </x:c>
      <x:c r="Y480" t="str">
        <x:v>03_Process_Losses(6).xlsx</x:v>
      </x:c>
      <x:c r="Z480" t="str">
        <x:v>ENH-20260830-01</x:v>
      </x:c>
      <x:c r="AA480" t="str">
        <x:f>IF(X480="LOAD","Active","Quarantine")</x:f>
        <x:v>Active</x:v>
      </x:c>
      <x:c r="AB480"/>
      <x:c r="AC480"/>
      <x:c r="AD480"/>
      <x:c r="AE480"/>
    </x:row>
    <x:row r="481">
      <x:c r="A481" t="str">
        <x:v>PLD-000477</x:v>
      </x:c>
      <x:c r="B481" t="str">
        <x:v>LOSS-KG01-L24-20251020-PM-ORD-2025-00124</x:v>
      </x:c>
      <x:c r="C481" t="str">
        <x:v>PE-KG01-L24-20251020-PM-ORD-2025-00124</x:v>
      </x:c>
      <x:c r="D481" t="str">
        <x:v>KG01</x:v>
      </x:c>
      <x:c r="E481" t="n">
        <x:v>24</x:v>
      </x:c>
      <x:c r="F481" s="52" t="n">
        <x:v>45950</x:v>
      </x:c>
      <x:c r="G481" t="str">
        <x:v>PM</x:v>
      </x:c>
      <x:c r="H481" t="str">
        <x:v>ORD-2025-00124</x:v>
      </x:c>
      <x:c r="I481" t="str">
        <x:v>Normal</x:v>
      </x:c>
      <x:c r="J481" t="str">
        <x:v>PROC_STUCKDOWN</x:v>
      </x:c>
      <x:c r="K481" t="str">
        <x:v>Forming</x:v>
      </x:c>
      <x:c r="L481" s="54" t="n">
        <x:v>0.004058651719078616</x:v>
      </x:c>
      <x:c r="M481" t="n">
        <x:v>440294</x:v>
      </x:c>
      <x:c r="N481" t="n">
        <x:f>L481*M481</x:f>
        <x:v>1787.0000000000002</x:v>
      </x:c>
      <x:c r="O481"/>
      <x:c r="P481"/>
      <x:c r="Q481"/>
      <x:c r="R481"/>
      <x:c r="S481" s="52"/>
      <x:c r="T481" t="str">
        <x:v>OK</x:v>
      </x:c>
      <x:c r="U481" t="str">
        <x:f>IF(AND(ISNUMBER(L481),L481&gt;=0,L481&lt;=1),"OK","CHECK")</x:f>
        <x:v>OK</x:v>
      </x:c>
      <x:c r="V481" t="str">
        <x:f>IF(AND(ISNUMBER(N481),N481&gt;=0),"OK","CHECK")</x:f>
        <x:v>OK</x:v>
      </x:c>
      <x:c r="W481" t="str">
        <x:f>IF(AND(T481="OK",U481="OK",V481="OK"),"OK","CHECK")</x:f>
        <x:v>OK</x:v>
      </x:c>
      <x:c r="X481" t="str">
        <x:f>IF(W481="OK","LOAD","QUARANTINE")</x:f>
        <x:v>LOAD</x:v>
      </x:c>
      <x:c r="Y481" t="str">
        <x:v>03_Process_Losses(6).xlsx</x:v>
      </x:c>
      <x:c r="Z481" t="str">
        <x:v>ENH-20260830-01</x:v>
      </x:c>
      <x:c r="AA481" t="str">
        <x:f>IF(X481="LOAD","Active","Quarantine")</x:f>
        <x:v>Active</x:v>
      </x:c>
      <x:c r="AB481"/>
      <x:c r="AC481"/>
      <x:c r="AD481"/>
      <x:c r="AE481"/>
    </x:row>
    <x:row r="482">
      <x:c r="A482" t="str">
        <x:v>PLD-000478</x:v>
      </x:c>
      <x:c r="B482" t="str">
        <x:v>LOSS-KG01-L24-20251020-PM-ORD-2025-00124</x:v>
      </x:c>
      <x:c r="C482" t="str">
        <x:v>PE-KG01-L24-20251020-PM-ORD-2025-00124</x:v>
      </x:c>
      <x:c r="D482" t="str">
        <x:v>KG01</x:v>
      </x:c>
      <x:c r="E482" t="n">
        <x:v>24</x:v>
      </x:c>
      <x:c r="F482" s="52" t="n">
        <x:v>45950</x:v>
      </x:c>
      <x:c r="G482" t="str">
        <x:v>PM</x:v>
      </x:c>
      <x:c r="H482" t="str">
        <x:v>ORD-2025-00124</x:v>
      </x:c>
      <x:c r="I482" t="str">
        <x:v>Normal</x:v>
      </x:c>
      <x:c r="J482" t="str">
        <x:v>PROC_LEHR</x:v>
      </x:c>
      <x:c r="K482" t="str">
        <x:v>Lehr</x:v>
      </x:c>
      <x:c r="L482" s="54" t="n">
        <x:v>0.0022939217886230566</x:v>
      </x:c>
      <x:c r="M482" t="n">
        <x:v>440294</x:v>
      </x:c>
      <x:c r="N482" t="n">
        <x:f>L482*M482</x:f>
        <x:v>1010.0000000000001</x:v>
      </x:c>
      <x:c r="O482"/>
      <x:c r="P482"/>
      <x:c r="Q482"/>
      <x:c r="R482"/>
      <x:c r="S482" s="52"/>
      <x:c r="T482" t="str">
        <x:v>OK</x:v>
      </x:c>
      <x:c r="U482" t="str">
        <x:f>IF(AND(ISNUMBER(L482),L482&gt;=0,L482&lt;=1),"OK","CHECK")</x:f>
        <x:v>OK</x:v>
      </x:c>
      <x:c r="V482" t="str">
        <x:f>IF(AND(ISNUMBER(N482),N482&gt;=0),"OK","CHECK")</x:f>
        <x:v>OK</x:v>
      </x:c>
      <x:c r="W482" t="str">
        <x:f>IF(AND(T482="OK",U482="OK",V482="OK"),"OK","CHECK")</x:f>
        <x:v>OK</x:v>
      </x:c>
      <x:c r="X482" t="str">
        <x:f>IF(W482="OK","LOAD","QUARANTINE")</x:f>
        <x:v>LOAD</x:v>
      </x:c>
      <x:c r="Y482" t="str">
        <x:v>03_Process_Losses(6).xlsx</x:v>
      </x:c>
      <x:c r="Z482" t="str">
        <x:v>ENH-20260830-01</x:v>
      </x:c>
      <x:c r="AA482" t="str">
        <x:f>IF(X482="LOAD","Active","Quarantine")</x:f>
        <x:v>Active</x:v>
      </x:c>
      <x:c r="AB482"/>
      <x:c r="AC482"/>
      <x:c r="AD482"/>
      <x:c r="AE482"/>
    </x:row>
    <x:row r="483">
      <x:c r="A483" t="str">
        <x:v>PLD-000479</x:v>
      </x:c>
      <x:c r="B483" t="str">
        <x:v>LOSS-KG01-L24-20251020-PM-ORD-2025-00124</x:v>
      </x:c>
      <x:c r="C483" t="str">
        <x:v>PE-KG01-L24-20251020-PM-ORD-2025-00124</x:v>
      </x:c>
      <x:c r="D483" t="str">
        <x:v>KG01</x:v>
      </x:c>
      <x:c r="E483" t="n">
        <x:v>24</x:v>
      </x:c>
      <x:c r="F483" s="52" t="n">
        <x:v>45950</x:v>
      </x:c>
      <x:c r="G483" t="str">
        <x:v>PM</x:v>
      </x:c>
      <x:c r="H483" t="str">
        <x:v>ORD-2025-00124</x:v>
      </x:c>
      <x:c r="I483" t="str">
        <x:v>Normal</x:v>
      </x:c>
      <x:c r="J483" t="str">
        <x:v>PROC_EVO16</x:v>
      </x:c>
      <x:c r="K483" t="str">
        <x:v>Inspection</x:v>
      </x:c>
      <x:c r="L483" s="54" t="n">
        <x:v>0.0011537745233866463</x:v>
      </x:c>
      <x:c r="M483" t="n">
        <x:v>440294</x:v>
      </x:c>
      <x:c r="N483" t="n">
        <x:f>L483*M483</x:f>
        <x:v>508.00000000000006</x:v>
      </x:c>
      <x:c r="O483"/>
      <x:c r="P483"/>
      <x:c r="Q483"/>
      <x:c r="R483"/>
      <x:c r="S483" s="52"/>
      <x:c r="T483" t="str">
        <x:v>OK</x:v>
      </x:c>
      <x:c r="U483" t="str">
        <x:f>IF(AND(ISNUMBER(L483),L483&gt;=0,L483&lt;=1),"OK","CHECK")</x:f>
        <x:v>OK</x:v>
      </x:c>
      <x:c r="V483" t="str">
        <x:f>IF(AND(ISNUMBER(N483),N483&gt;=0),"OK","CHECK")</x:f>
        <x:v>OK</x:v>
      </x:c>
      <x:c r="W483" t="str">
        <x:f>IF(AND(T483="OK",U483="OK",V483="OK"),"OK","CHECK")</x:f>
        <x:v>OK</x:v>
      </x:c>
      <x:c r="X483" t="str">
        <x:f>IF(W483="OK","LOAD","QUARANTINE")</x:f>
        <x:v>LOAD</x:v>
      </x:c>
      <x:c r="Y483" t="str">
        <x:v>03_Process_Losses(6).xlsx</x:v>
      </x:c>
      <x:c r="Z483" t="str">
        <x:v>ENH-20260830-01</x:v>
      </x:c>
      <x:c r="AA483" t="str">
        <x:f>IF(X483="LOAD","Active","Quarantine")</x:f>
        <x:v>Active</x:v>
      </x:c>
      <x:c r="AB483"/>
      <x:c r="AC483"/>
      <x:c r="AD483"/>
      <x:c r="AE483"/>
    </x:row>
    <x:row r="484">
      <x:c r="A484" t="str">
        <x:v>PLD-000480</x:v>
      </x:c>
      <x:c r="B484" t="str">
        <x:v>LOSS-KG01-L24-20251020-PM-ORD-2025-00124</x:v>
      </x:c>
      <x:c r="C484" t="str">
        <x:v>PE-KG01-L24-20251020-PM-ORD-2025-00124</x:v>
      </x:c>
      <x:c r="D484" t="str">
        <x:v>KG01</x:v>
      </x:c>
      <x:c r="E484" t="n">
        <x:v>24</x:v>
      </x:c>
      <x:c r="F484" s="52" t="n">
        <x:v>45950</x:v>
      </x:c>
      <x:c r="G484" t="str">
        <x:v>PM</x:v>
      </x:c>
      <x:c r="H484" t="str">
        <x:v>ORD-2025-00124</x:v>
      </x:c>
      <x:c r="I484" t="str">
        <x:v>Normal</x:v>
      </x:c>
      <x:c r="J484" t="str">
        <x:v>PROC_EVO12</x:v>
      </x:c>
      <x:c r="K484" t="str">
        <x:v>Inspection</x:v>
      </x:c>
      <x:c r="L484" s="54" t="n">
        <x:v>0.0028889787278500276</x:v>
      </x:c>
      <x:c r="M484" t="n">
        <x:v>440294</x:v>
      </x:c>
      <x:c r="N484" t="n">
        <x:f>L484*M484</x:f>
        <x:v>1272</x:v>
      </x:c>
      <x:c r="O484"/>
      <x:c r="P484"/>
      <x:c r="Q484"/>
      <x:c r="R484"/>
      <x:c r="S484" s="52"/>
      <x:c r="T484" t="str">
        <x:v>OK</x:v>
      </x:c>
      <x:c r="U484" t="str">
        <x:f>IF(AND(ISNUMBER(L484),L484&gt;=0,L484&lt;=1),"OK","CHECK")</x:f>
        <x:v>OK</x:v>
      </x:c>
      <x:c r="V484" t="str">
        <x:f>IF(AND(ISNUMBER(N484),N484&gt;=0),"OK","CHECK")</x:f>
        <x:v>OK</x:v>
      </x:c>
      <x:c r="W484" t="str">
        <x:f>IF(AND(T484="OK",U484="OK",V484="OK"),"OK","CHECK")</x:f>
        <x:v>OK</x:v>
      </x:c>
      <x:c r="X484" t="str">
        <x:f>IF(W484="OK","LOAD","QUARANTINE")</x:f>
        <x:v>LOAD</x:v>
      </x:c>
      <x:c r="Y484" t="str">
        <x:v>03_Process_Losses(6).xlsx</x:v>
      </x:c>
      <x:c r="Z484" t="str">
        <x:v>ENH-20260830-01</x:v>
      </x:c>
      <x:c r="AA484" t="str">
        <x:f>IF(X484="LOAD","Active","Quarantine")</x:f>
        <x:v>Active</x:v>
      </x:c>
      <x:c r="AB484"/>
      <x:c r="AC484"/>
      <x:c r="AD484"/>
      <x:c r="AE484"/>
    </x:row>
    <x:row r="485">
      <x:c r="A485" t="str">
        <x:v>PLD-000481</x:v>
      </x:c>
      <x:c r="B485" t="str">
        <x:v>LOSS-KG01-L24-20251020-PM-ORD-2025-00124</x:v>
      </x:c>
      <x:c r="C485" t="str">
        <x:v>PE-KG01-L24-20251020-PM-ORD-2025-00124</x:v>
      </x:c>
      <x:c r="D485" t="str">
        <x:v>KG01</x:v>
      </x:c>
      <x:c r="E485" t="n">
        <x:v>24</x:v>
      </x:c>
      <x:c r="F485" s="52" t="n">
        <x:v>45950</x:v>
      </x:c>
      <x:c r="G485" t="str">
        <x:v>PM</x:v>
      </x:c>
      <x:c r="H485" t="str">
        <x:v>ORD-2025-00124</x:v>
      </x:c>
      <x:c r="I485" t="str">
        <x:v>Normal</x:v>
      </x:c>
      <x:c r="J485" t="str">
        <x:v>PROC_EVO5</x:v>
      </x:c>
      <x:c r="K485" t="str">
        <x:v>Inspection</x:v>
      </x:c>
      <x:c r="L485" s="54" t="n">
        <x:v>0.0012105547656792962</x:v>
      </x:c>
      <x:c r="M485" t="n">
        <x:v>440294</x:v>
      </x:c>
      <x:c r="N485" t="n">
        <x:f>L485*M485</x:f>
        <x:v>533</x:v>
      </x:c>
      <x:c r="O485"/>
      <x:c r="P485"/>
      <x:c r="Q485"/>
      <x:c r="R485"/>
      <x:c r="S485" s="52"/>
      <x:c r="T485" t="str">
        <x:v>OK</x:v>
      </x:c>
      <x:c r="U485" t="str">
        <x:f>IF(AND(ISNUMBER(L485),L485&gt;=0,L485&lt;=1),"OK","CHECK")</x:f>
        <x:v>OK</x:v>
      </x:c>
      <x:c r="V485" t="str">
        <x:f>IF(AND(ISNUMBER(N485),N485&gt;=0),"OK","CHECK")</x:f>
        <x:v>OK</x:v>
      </x:c>
      <x:c r="W485" t="str">
        <x:f>IF(AND(T485="OK",U485="OK",V485="OK"),"OK","CHECK")</x:f>
        <x:v>OK</x:v>
      </x:c>
      <x:c r="X485" t="str">
        <x:f>IF(W485="OK","LOAD","QUARANTINE")</x:f>
        <x:v>LOAD</x:v>
      </x:c>
      <x:c r="Y485" t="str">
        <x:v>03_Process_Losses(6).xlsx</x:v>
      </x:c>
      <x:c r="Z485" t="str">
        <x:v>ENH-20260830-01</x:v>
      </x:c>
      <x:c r="AA485" t="str">
        <x:f>IF(X485="LOAD","Active","Quarantine")</x:f>
        <x:v>Active</x:v>
      </x:c>
      <x:c r="AB485"/>
      <x:c r="AC485"/>
      <x:c r="AD485"/>
      <x:c r="AE485"/>
    </x:row>
    <x:row r="486">
      <x:c r="A486" t="str">
        <x:v>PLD-000482</x:v>
      </x:c>
      <x:c r="B486" t="str">
        <x:v>LOSS-KG01-L24-20251020-PM-ORD-2025-00124</x:v>
      </x:c>
      <x:c r="C486" t="str">
        <x:v>PE-KG01-L24-20251020-PM-ORD-2025-00124</x:v>
      </x:c>
      <x:c r="D486" t="str">
        <x:v>KG01</x:v>
      </x:c>
      <x:c r="E486" t="n">
        <x:v>24</x:v>
      </x:c>
      <x:c r="F486" s="52" t="n">
        <x:v>45950</x:v>
      </x:c>
      <x:c r="G486" t="str">
        <x:v>PM</x:v>
      </x:c>
      <x:c r="H486" t="str">
        <x:v>ORD-2025-00124</x:v>
      </x:c>
      <x:c r="I486" t="str">
        <x:v>Normal</x:v>
      </x:c>
      <x:c r="J486" t="str">
        <x:v>PROC_SANLI</x:v>
      </x:c>
      <x:c r="K486" t="str">
        <x:v>Inspection</x:v>
      </x:c>
      <x:c r="L486" s="54" t="n">
        <x:v>0.0018533071084320932</x:v>
      </x:c>
      <x:c r="M486" t="n">
        <x:v>440294</x:v>
      </x:c>
      <x:c r="N486" t="n">
        <x:f>L486*M486</x:f>
        <x:v>816</x:v>
      </x:c>
      <x:c r="O486"/>
      <x:c r="P486"/>
      <x:c r="Q486"/>
      <x:c r="R486"/>
      <x:c r="S486" s="52"/>
      <x:c r="T486" t="str">
        <x:v>OK</x:v>
      </x:c>
      <x:c r="U486" t="str">
        <x:f>IF(AND(ISNUMBER(L486),L486&gt;=0,L486&lt;=1),"OK","CHECK")</x:f>
        <x:v>OK</x:v>
      </x:c>
      <x:c r="V486" t="str">
        <x:f>IF(AND(ISNUMBER(N486),N486&gt;=0),"OK","CHECK")</x:f>
        <x:v>OK</x:v>
      </x:c>
      <x:c r="W486" t="str">
        <x:f>IF(AND(T486="OK",U486="OK",V486="OK"),"OK","CHECK")</x:f>
        <x:v>OK</x:v>
      </x:c>
      <x:c r="X486" t="str">
        <x:f>IF(W486="OK","LOAD","QUARANTINE")</x:f>
        <x:v>LOAD</x:v>
      </x:c>
      <x:c r="Y486" t="str">
        <x:v>03_Process_Losses(6).xlsx</x:v>
      </x:c>
      <x:c r="Z486" t="str">
        <x:v>ENH-20260830-01</x:v>
      </x:c>
      <x:c r="AA486" t="str">
        <x:f>IF(X486="LOAD","Active","Quarantine")</x:f>
        <x:v>Active</x:v>
      </x:c>
      <x:c r="AB486"/>
      <x:c r="AC486"/>
      <x:c r="AD486"/>
      <x:c r="AE486"/>
    </x:row>
    <x:row r="487">
      <x:c r="A487" t="str">
        <x:v>PLD-000483</x:v>
      </x:c>
      <x:c r="B487" t="str">
        <x:v>LOSS-KG01-L24-20251020-PM-ORD-2025-00124</x:v>
      </x:c>
      <x:c r="C487" t="str">
        <x:v>PE-KG01-L24-20251020-PM-ORD-2025-00124</x:v>
      </x:c>
      <x:c r="D487" t="str">
        <x:v>KG01</x:v>
      </x:c>
      <x:c r="E487" t="n">
        <x:v>24</x:v>
      </x:c>
      <x:c r="F487" s="52" t="n">
        <x:v>45950</x:v>
      </x:c>
      <x:c r="G487" t="str">
        <x:v>PM</x:v>
      </x:c>
      <x:c r="H487" t="str">
        <x:v>ORD-2025-00124</x:v>
      </x:c>
      <x:c r="I487" t="str">
        <x:v>Normal</x:v>
      </x:c>
      <x:c r="J487" t="str">
        <x:v>PROC_VISUAL</x:v>
      </x:c>
      <x:c r="K487" t="str">
        <x:v>Inspection</x:v>
      </x:c>
      <x:c r="L487" s="54" t="n">
        <x:v>0.00427214543009898</x:v>
      </x:c>
      <x:c r="M487" t="n">
        <x:v>440294</x:v>
      </x:c>
      <x:c r="N487" t="n">
        <x:f>L487*M487</x:f>
        <x:v>1881.0000000000002</x:v>
      </x:c>
      <x:c r="O487"/>
      <x:c r="P487"/>
      <x:c r="Q487"/>
      <x:c r="R487"/>
      <x:c r="S487" s="52"/>
      <x:c r="T487" t="str">
        <x:v>OK</x:v>
      </x:c>
      <x:c r="U487" t="str">
        <x:f>IF(AND(ISNUMBER(L487),L487&gt;=0,L487&lt;=1),"OK","CHECK")</x:f>
        <x:v>OK</x:v>
      </x:c>
      <x:c r="V487" t="str">
        <x:f>IF(AND(ISNUMBER(N487),N487&gt;=0),"OK","CHECK")</x:f>
        <x:v>OK</x:v>
      </x:c>
      <x:c r="W487" t="str">
        <x:f>IF(AND(T487="OK",U487="OK",V487="OK"),"OK","CHECK")</x:f>
        <x:v>OK</x:v>
      </x:c>
      <x:c r="X487" t="str">
        <x:f>IF(W487="OK","LOAD","QUARANTINE")</x:f>
        <x:v>LOAD</x:v>
      </x:c>
      <x:c r="Y487" t="str">
        <x:v>03_Process_Losses(6).xlsx</x:v>
      </x:c>
      <x:c r="Z487" t="str">
        <x:v>ENH-20260830-01</x:v>
      </x:c>
      <x:c r="AA487" t="str">
        <x:f>IF(X487="LOAD","Active","Quarantine")</x:f>
        <x:v>Active</x:v>
      </x:c>
      <x:c r="AB487"/>
      <x:c r="AC487"/>
      <x:c r="AD487"/>
      <x:c r="AE487"/>
    </x:row>
    <x:row r="488">
      <x:c r="A488" t="str">
        <x:v>PLD-000484</x:v>
      </x:c>
      <x:c r="B488" t="str">
        <x:v>LOSS-KG01-L24-20251020-PM-ORD-2025-00124</x:v>
      </x:c>
      <x:c r="C488" t="str">
        <x:v>PE-KG01-L24-20251020-PM-ORD-2025-00124</x:v>
      </x:c>
      <x:c r="D488" t="str">
        <x:v>KG01</x:v>
      </x:c>
      <x:c r="E488" t="n">
        <x:v>24</x:v>
      </x:c>
      <x:c r="F488" s="52" t="n">
        <x:v>45950</x:v>
      </x:c>
      <x:c r="G488" t="str">
        <x:v>PM</x:v>
      </x:c>
      <x:c r="H488" t="str">
        <x:v>ORD-2025-00124</x:v>
      </x:c>
      <x:c r="I488" t="str">
        <x:v>Normal</x:v>
      </x:c>
      <x:c r="J488" t="str">
        <x:v>PROC_PALLETIZER</x:v>
      </x:c>
      <x:c r="K488" t="str">
        <x:v>Palletizer</x:v>
      </x:c>
      <x:c r="L488" s="54" t="n">
        <x:v>0.001919172189491567</x:v>
      </x:c>
      <x:c r="M488" t="n">
        <x:v>440294</x:v>
      </x:c>
      <x:c r="N488" t="n">
        <x:f>L488*M488</x:f>
        <x:v>845</x:v>
      </x:c>
      <x:c r="O488"/>
      <x:c r="P488"/>
      <x:c r="Q488"/>
      <x:c r="R488"/>
      <x:c r="S488" s="52"/>
      <x:c r="T488" t="str">
        <x:v>OK</x:v>
      </x:c>
      <x:c r="U488" t="str">
        <x:f>IF(AND(ISNUMBER(L488),L488&gt;=0,L488&lt;=1),"OK","CHECK")</x:f>
        <x:v>OK</x:v>
      </x:c>
      <x:c r="V488" t="str">
        <x:f>IF(AND(ISNUMBER(N488),N488&gt;=0),"OK","CHECK")</x:f>
        <x:v>OK</x:v>
      </x:c>
      <x:c r="W488" t="str">
        <x:f>IF(AND(T488="OK",U488="OK",V488="OK"),"OK","CHECK")</x:f>
        <x:v>OK</x:v>
      </x:c>
      <x:c r="X488" t="str">
        <x:f>IF(W488="OK","LOAD","QUARANTINE")</x:f>
        <x:v>LOAD</x:v>
      </x:c>
      <x:c r="Y488" t="str">
        <x:v>03_Process_Losses(6).xlsx</x:v>
      </x:c>
      <x:c r="Z488" t="str">
        <x:v>ENH-20260830-01</x:v>
      </x:c>
      <x:c r="AA488" t="str">
        <x:f>IF(X488="LOAD","Active","Quarantine")</x:f>
        <x:v>Active</x:v>
      </x:c>
      <x:c r="AB488"/>
      <x:c r="AC488"/>
      <x:c r="AD488"/>
      <x:c r="AE488"/>
    </x:row>
    <x:row r="489">
      <x:c r="A489" t="str">
        <x:v>PLD-000485</x:v>
      </x:c>
      <x:c r="B489" t="str">
        <x:v>LOSS-KG01-L24-20251021-AM-ORD-2025-00125</x:v>
      </x:c>
      <x:c r="C489" t="str">
        <x:v>PE-KG01-L24-20251021-AM-ORD-2025-00125</x:v>
      </x:c>
      <x:c r="D489" t="str">
        <x:v>KG01</x:v>
      </x:c>
      <x:c r="E489" t="n">
        <x:v>24</x:v>
      </x:c>
      <x:c r="F489" s="52" t="n">
        <x:v>45951</x:v>
      </x:c>
      <x:c r="G489" t="str">
        <x:v>AM</x:v>
      </x:c>
      <x:c r="H489" t="str">
        <x:v>ORD-2025-00125</x:v>
      </x:c>
      <x:c r="I489" t="str">
        <x:v>Normal</x:v>
      </x:c>
      <x:c r="J489" t="str">
        <x:v>PROC_FIXED</x:v>
      </x:c>
      <x:c r="K489" t="str">
        <x:v>Fixed Losses</x:v>
      </x:c>
      <x:c r="L489" s="54" t="n">
        <x:v>0.004072997160215868</x:v>
      </x:c>
      <x:c r="M489" t="n">
        <x:v>176774</x:v>
      </x:c>
      <x:c r="N489" t="n">
        <x:f>L489*M489</x:f>
        <x:v>719.9999999999999</x:v>
      </x:c>
      <x:c r="O489"/>
      <x:c r="P489"/>
      <x:c r="Q489"/>
      <x:c r="R489"/>
      <x:c r="S489" s="52"/>
      <x:c r="T489" t="str">
        <x:v>OK</x:v>
      </x:c>
      <x:c r="U489" t="str">
        <x:f>IF(AND(ISNUMBER(L489),L489&gt;=0,L489&lt;=1),"OK","CHECK")</x:f>
        <x:v>OK</x:v>
      </x:c>
      <x:c r="V489" t="str">
        <x:f>IF(AND(ISNUMBER(N489),N489&gt;=0),"OK","CHECK")</x:f>
        <x:v>OK</x:v>
      </x:c>
      <x:c r="W489" t="str">
        <x:f>IF(AND(T489="OK",U489="OK",V489="OK"),"OK","CHECK")</x:f>
        <x:v>OK</x:v>
      </x:c>
      <x:c r="X489" t="str">
        <x:f>IF(W489="OK","LOAD","QUARANTINE")</x:f>
        <x:v>LOAD</x:v>
      </x:c>
      <x:c r="Y489" t="str">
        <x:v>03_Process_Losses(6).xlsx</x:v>
      </x:c>
      <x:c r="Z489" t="str">
        <x:v>ENH-20260830-01</x:v>
      </x:c>
      <x:c r="AA489" t="str">
        <x:f>IF(X489="LOAD","Active","Quarantine")</x:f>
        <x:v>Active</x:v>
      </x:c>
      <x:c r="AB489"/>
      <x:c r="AC489"/>
      <x:c r="AD489"/>
      <x:c r="AE489"/>
    </x:row>
    <x:row r="490">
      <x:c r="A490" t="str">
        <x:v>PLD-000486</x:v>
      </x:c>
      <x:c r="B490" t="str">
        <x:v>LOSS-KG01-L24-20251021-AM-ORD-2025-00125</x:v>
      </x:c>
      <x:c r="C490" t="str">
        <x:v>PE-KG01-L24-20251021-AM-ORD-2025-00125</x:v>
      </x:c>
      <x:c r="D490" t="str">
        <x:v>KG01</x:v>
      </x:c>
      <x:c r="E490" t="n">
        <x:v>24</x:v>
      </x:c>
      <x:c r="F490" s="52" t="n">
        <x:v>45951</x:v>
      </x:c>
      <x:c r="G490" t="str">
        <x:v>AM</x:v>
      </x:c>
      <x:c r="H490" t="str">
        <x:v>ORD-2025-00125</x:v>
      </x:c>
      <x:c r="I490" t="str">
        <x:v>Normal</x:v>
      </x:c>
      <x:c r="J490" t="str">
        <x:v>PROC_IS</x:v>
      </x:c>
      <x:c r="K490" t="str">
        <x:v>IS Machine</x:v>
      </x:c>
      <x:c r="L490" s="54" t="n">
        <x:v>0.011251654655096338</x:v>
      </x:c>
      <x:c r="M490" t="n">
        <x:v>176774</x:v>
      </x:c>
      <x:c r="N490" t="n">
        <x:f>L490*M490</x:f>
        <x:v>1989</x:v>
      </x:c>
      <x:c r="O490"/>
      <x:c r="P490"/>
      <x:c r="Q490"/>
      <x:c r="R490"/>
      <x:c r="S490" s="52"/>
      <x:c r="T490" t="str">
        <x:v>OK</x:v>
      </x:c>
      <x:c r="U490" t="str">
        <x:f>IF(AND(ISNUMBER(L490),L490&gt;=0,L490&lt;=1),"OK","CHECK")</x:f>
        <x:v>OK</x:v>
      </x:c>
      <x:c r="V490" t="str">
        <x:f>IF(AND(ISNUMBER(N490),N490&gt;=0),"OK","CHECK")</x:f>
        <x:v>OK</x:v>
      </x:c>
      <x:c r="W490" t="str">
        <x:f>IF(AND(T490="OK",U490="OK",V490="OK"),"OK","CHECK")</x:f>
        <x:v>OK</x:v>
      </x:c>
      <x:c r="X490" t="str">
        <x:f>IF(W490="OK","LOAD","QUARANTINE")</x:f>
        <x:v>LOAD</x:v>
      </x:c>
      <x:c r="Y490" t="str">
        <x:v>03_Process_Losses(6).xlsx</x:v>
      </x:c>
      <x:c r="Z490" t="str">
        <x:v>ENH-20260830-01</x:v>
      </x:c>
      <x:c r="AA490" t="str">
        <x:f>IF(X490="LOAD","Active","Quarantine")</x:f>
        <x:v>Active</x:v>
      </x:c>
      <x:c r="AB490"/>
      <x:c r="AC490"/>
      <x:c r="AD490"/>
      <x:c r="AE490"/>
    </x:row>
    <x:row r="491">
      <x:c r="A491" t="str">
        <x:v>PLD-000487</x:v>
      </x:c>
      <x:c r="B491" t="str">
        <x:v>LOSS-KG01-L24-20251021-AM-ORD-2025-00125</x:v>
      </x:c>
      <x:c r="C491" t="str">
        <x:v>PE-KG01-L24-20251021-AM-ORD-2025-00125</x:v>
      </x:c>
      <x:c r="D491" t="str">
        <x:v>KG01</x:v>
      </x:c>
      <x:c r="E491" t="n">
        <x:v>24</x:v>
      </x:c>
      <x:c r="F491" s="52" t="n">
        <x:v>45951</x:v>
      </x:c>
      <x:c r="G491" t="str">
        <x:v>AM</x:v>
      </x:c>
      <x:c r="H491" t="str">
        <x:v>ORD-2025-00125</x:v>
      </x:c>
      <x:c r="I491" t="str">
        <x:v>Normal</x:v>
      </x:c>
      <x:c r="J491" t="str">
        <x:v>PROC_HE_CONVEYER</x:v>
      </x:c>
      <x:c r="K491" t="str">
        <x:v>Hot End</x:v>
      </x:c>
      <x:c r="L491" s="54" t="n">
        <x:v>0.002613506511138516</x:v>
      </x:c>
      <x:c r="M491" t="n">
        <x:v>176774</x:v>
      </x:c>
      <x:c r="N491" t="n">
        <x:f>L491*M491</x:f>
        <x:v>462</x:v>
      </x:c>
      <x:c r="O491"/>
      <x:c r="P491"/>
      <x:c r="Q491"/>
      <x:c r="R491"/>
      <x:c r="S491" s="52"/>
      <x:c r="T491" t="str">
        <x:v>OK</x:v>
      </x:c>
      <x:c r="U491" t="str">
        <x:f>IF(AND(ISNUMBER(L491),L491&gt;=0,L491&lt;=1),"OK","CHECK")</x:f>
        <x:v>OK</x:v>
      </x:c>
      <x:c r="V491" t="str">
        <x:f>IF(AND(ISNUMBER(N491),N491&gt;=0),"OK","CHECK")</x:f>
        <x:v>OK</x:v>
      </x:c>
      <x:c r="W491" t="str">
        <x:f>IF(AND(T491="OK",U491="OK",V491="OK"),"OK","CHECK")</x:f>
        <x:v>OK</x:v>
      </x:c>
      <x:c r="X491" t="str">
        <x:f>IF(W491="OK","LOAD","QUARANTINE")</x:f>
        <x:v>LOAD</x:v>
      </x:c>
      <x:c r="Y491" t="str">
        <x:v>03_Process_Losses(6).xlsx</x:v>
      </x:c>
      <x:c r="Z491" t="str">
        <x:v>ENH-20260830-01</x:v>
      </x:c>
      <x:c r="AA491" t="str">
        <x:f>IF(X491="LOAD","Active","Quarantine")</x:f>
        <x:v>Active</x:v>
      </x:c>
      <x:c r="AB491"/>
      <x:c r="AC491"/>
      <x:c r="AD491"/>
      <x:c r="AE491"/>
    </x:row>
    <x:row r="492">
      <x:c r="A492" t="str">
        <x:v>PLD-000488</x:v>
      </x:c>
      <x:c r="B492" t="str">
        <x:v>LOSS-KG01-L24-20251021-AM-ORD-2025-00125</x:v>
      </x:c>
      <x:c r="C492" t="str">
        <x:v>PE-KG01-L24-20251021-AM-ORD-2025-00125</x:v>
      </x:c>
      <x:c r="D492" t="str">
        <x:v>KG01</x:v>
      </x:c>
      <x:c r="E492" t="n">
        <x:v>24</x:v>
      </x:c>
      <x:c r="F492" s="52" t="n">
        <x:v>45951</x:v>
      </x:c>
      <x:c r="G492" t="str">
        <x:v>AM</x:v>
      </x:c>
      <x:c r="H492" t="str">
        <x:v>ORD-2025-00125</x:v>
      </x:c>
      <x:c r="I492" t="str">
        <x:v>Normal</x:v>
      </x:c>
      <x:c r="J492" t="str">
        <x:v>PROC_STUCKDOWN</x:v>
      </x:c>
      <x:c r="K492" t="str">
        <x:v>Forming</x:v>
      </x:c>
      <x:c r="L492" s="54" t="n">
        <x:v>0.0028058424881487096</x:v>
      </x:c>
      <x:c r="M492" t="n">
        <x:v>176774</x:v>
      </x:c>
      <x:c r="N492" t="n">
        <x:f>L492*M492</x:f>
        <x:v>496</x:v>
      </x:c>
      <x:c r="O492"/>
      <x:c r="P492"/>
      <x:c r="Q492"/>
      <x:c r="R492"/>
      <x:c r="S492" s="52"/>
      <x:c r="T492" t="str">
        <x:v>OK</x:v>
      </x:c>
      <x:c r="U492" t="str">
        <x:f>IF(AND(ISNUMBER(L492),L492&gt;=0,L492&lt;=1),"OK","CHECK")</x:f>
        <x:v>OK</x:v>
      </x:c>
      <x:c r="V492" t="str">
        <x:f>IF(AND(ISNUMBER(N492),N492&gt;=0),"OK","CHECK")</x:f>
        <x:v>OK</x:v>
      </x:c>
      <x:c r="W492" t="str">
        <x:f>IF(AND(T492="OK",U492="OK",V492="OK"),"OK","CHECK")</x:f>
        <x:v>OK</x:v>
      </x:c>
      <x:c r="X492" t="str">
        <x:f>IF(W492="OK","LOAD","QUARANTINE")</x:f>
        <x:v>LOAD</x:v>
      </x:c>
      <x:c r="Y492" t="str">
        <x:v>03_Process_Losses(6).xlsx</x:v>
      </x:c>
      <x:c r="Z492" t="str">
        <x:v>ENH-20260830-01</x:v>
      </x:c>
      <x:c r="AA492" t="str">
        <x:f>IF(X492="LOAD","Active","Quarantine")</x:f>
        <x:v>Active</x:v>
      </x:c>
      <x:c r="AB492"/>
      <x:c r="AC492"/>
      <x:c r="AD492"/>
      <x:c r="AE492"/>
    </x:row>
    <x:row r="493">
      <x:c r="A493" t="str">
        <x:v>PLD-000489</x:v>
      </x:c>
      <x:c r="B493" t="str">
        <x:v>LOSS-KG01-L24-20251021-AM-ORD-2025-00125</x:v>
      </x:c>
      <x:c r="C493" t="str">
        <x:v>PE-KG01-L24-20251021-AM-ORD-2025-00125</x:v>
      </x:c>
      <x:c r="D493" t="str">
        <x:v>KG01</x:v>
      </x:c>
      <x:c r="E493" t="n">
        <x:v>24</x:v>
      </x:c>
      <x:c r="F493" s="52" t="n">
        <x:v>45951</x:v>
      </x:c>
      <x:c r="G493" t="str">
        <x:v>AM</x:v>
      </x:c>
      <x:c r="H493" t="str">
        <x:v>ORD-2025-00125</x:v>
      </x:c>
      <x:c r="I493" t="str">
        <x:v>Normal</x:v>
      </x:c>
      <x:c r="J493" t="str">
        <x:v>PROC_LEHR</x:v>
      </x:c>
      <x:c r="K493" t="str">
        <x:v>Lehr</x:v>
      </x:c>
      <x:c r="L493" s="54" t="n">
        <x:v>0.002664418975641214</x:v>
      </x:c>
      <x:c r="M493" t="n">
        <x:v>176774</x:v>
      </x:c>
      <x:c r="N493" t="n">
        <x:f>L493*M493</x:f>
        <x:v>471</x:v>
      </x:c>
      <x:c r="O493"/>
      <x:c r="P493"/>
      <x:c r="Q493"/>
      <x:c r="R493"/>
      <x:c r="S493" s="52"/>
      <x:c r="T493" t="str">
        <x:v>OK</x:v>
      </x:c>
      <x:c r="U493" t="str">
        <x:f>IF(AND(ISNUMBER(L493),L493&gt;=0,L493&lt;=1),"OK","CHECK")</x:f>
        <x:v>OK</x:v>
      </x:c>
      <x:c r="V493" t="str">
        <x:f>IF(AND(ISNUMBER(N493),N493&gt;=0),"OK","CHECK")</x:f>
        <x:v>OK</x:v>
      </x:c>
      <x:c r="W493" t="str">
        <x:f>IF(AND(T493="OK",U493="OK",V493="OK"),"OK","CHECK")</x:f>
        <x:v>OK</x:v>
      </x:c>
      <x:c r="X493" t="str">
        <x:f>IF(W493="OK","LOAD","QUARANTINE")</x:f>
        <x:v>LOAD</x:v>
      </x:c>
      <x:c r="Y493" t="str">
        <x:v>03_Process_Losses(6).xlsx</x:v>
      </x:c>
      <x:c r="Z493" t="str">
        <x:v>ENH-20260830-01</x:v>
      </x:c>
      <x:c r="AA493" t="str">
        <x:f>IF(X493="LOAD","Active","Quarantine")</x:f>
        <x:v>Active</x:v>
      </x:c>
      <x:c r="AB493"/>
      <x:c r="AC493"/>
      <x:c r="AD493"/>
      <x:c r="AE493"/>
    </x:row>
    <x:row r="494">
      <x:c r="A494" t="str">
        <x:v>PLD-000490</x:v>
      </x:c>
      <x:c r="B494" t="str">
        <x:v>LOSS-KG01-L24-20251021-AM-ORD-2025-00125</x:v>
      </x:c>
      <x:c r="C494" t="str">
        <x:v>PE-KG01-L24-20251021-AM-ORD-2025-00125</x:v>
      </x:c>
      <x:c r="D494" t="str">
        <x:v>KG01</x:v>
      </x:c>
      <x:c r="E494" t="n">
        <x:v>24</x:v>
      </x:c>
      <x:c r="F494" s="52" t="n">
        <x:v>45951</x:v>
      </x:c>
      <x:c r="G494" t="str">
        <x:v>AM</x:v>
      </x:c>
      <x:c r="H494" t="str">
        <x:v>ORD-2025-00125</x:v>
      </x:c>
      <x:c r="I494" t="str">
        <x:v>Normal</x:v>
      </x:c>
      <x:c r="J494" t="str">
        <x:v>PROC_EVO16</x:v>
      </x:c>
      <x:c r="K494" t="str">
        <x:v>Inspection</x:v>
      </x:c>
      <x:c r="L494" s="54" t="n">
        <x:v>0.0029925215246586036</x:v>
      </x:c>
      <x:c r="M494" t="n">
        <x:v>176774</x:v>
      </x:c>
      <x:c r="N494" t="n">
        <x:f>L494*M494</x:f>
        <x:v>529</x:v>
      </x:c>
      <x:c r="O494"/>
      <x:c r="P494"/>
      <x:c r="Q494"/>
      <x:c r="R494"/>
      <x:c r="S494" s="52"/>
      <x:c r="T494" t="str">
        <x:v>OK</x:v>
      </x:c>
      <x:c r="U494" t="str">
        <x:f>IF(AND(ISNUMBER(L494),L494&gt;=0,L494&lt;=1),"OK","CHECK")</x:f>
        <x:v>OK</x:v>
      </x:c>
      <x:c r="V494" t="str">
        <x:f>IF(AND(ISNUMBER(N494),N494&gt;=0),"OK","CHECK")</x:f>
        <x:v>OK</x:v>
      </x:c>
      <x:c r="W494" t="str">
        <x:f>IF(AND(T494="OK",U494="OK",V494="OK"),"OK","CHECK")</x:f>
        <x:v>OK</x:v>
      </x:c>
      <x:c r="X494" t="str">
        <x:f>IF(W494="OK","LOAD","QUARANTINE")</x:f>
        <x:v>LOAD</x:v>
      </x:c>
      <x:c r="Y494" t="str">
        <x:v>03_Process_Losses(6).xlsx</x:v>
      </x:c>
      <x:c r="Z494" t="str">
        <x:v>ENH-20260830-01</x:v>
      </x:c>
      <x:c r="AA494" t="str">
        <x:f>IF(X494="LOAD","Active","Quarantine")</x:f>
        <x:v>Active</x:v>
      </x:c>
      <x:c r="AB494"/>
      <x:c r="AC494"/>
      <x:c r="AD494"/>
      <x:c r="AE494"/>
    </x:row>
    <x:row r="495">
      <x:c r="A495" t="str">
        <x:v>PLD-000491</x:v>
      </x:c>
      <x:c r="B495" t="str">
        <x:v>LOSS-KG01-L24-20251021-AM-ORD-2025-00125</x:v>
      </x:c>
      <x:c r="C495" t="str">
        <x:v>PE-KG01-L24-20251021-AM-ORD-2025-00125</x:v>
      </x:c>
      <x:c r="D495" t="str">
        <x:v>KG01</x:v>
      </x:c>
      <x:c r="E495" t="n">
        <x:v>24</x:v>
      </x:c>
      <x:c r="F495" s="52" t="n">
        <x:v>45951</x:v>
      </x:c>
      <x:c r="G495" t="str">
        <x:v>AM</x:v>
      </x:c>
      <x:c r="H495" t="str">
        <x:v>ORD-2025-00125</x:v>
      </x:c>
      <x:c r="I495" t="str">
        <x:v>Normal</x:v>
      </x:c>
      <x:c r="J495" t="str">
        <x:v>PROC_EVO12</x:v>
      </x:c>
      <x:c r="K495" t="str">
        <x:v>Inspection</x:v>
      </x:c>
      <x:c r="L495" s="54" t="n">
        <x:v>0.0031226311561654996</x:v>
      </x:c>
      <x:c r="M495" t="n">
        <x:v>176774</x:v>
      </x:c>
      <x:c r="N495" t="n">
        <x:f>L495*M495</x:f>
        <x:v>552</x:v>
      </x:c>
      <x:c r="O495"/>
      <x:c r="P495"/>
      <x:c r="Q495"/>
      <x:c r="R495"/>
      <x:c r="S495" s="52"/>
      <x:c r="T495" t="str">
        <x:v>OK</x:v>
      </x:c>
      <x:c r="U495" t="str">
        <x:f>IF(AND(ISNUMBER(L495),L495&gt;=0,L495&lt;=1),"OK","CHECK")</x:f>
        <x:v>OK</x:v>
      </x:c>
      <x:c r="V495" t="str">
        <x:f>IF(AND(ISNUMBER(N495),N495&gt;=0),"OK","CHECK")</x:f>
        <x:v>OK</x:v>
      </x:c>
      <x:c r="W495" t="str">
        <x:f>IF(AND(T495="OK",U495="OK",V495="OK"),"OK","CHECK")</x:f>
        <x:v>OK</x:v>
      </x:c>
      <x:c r="X495" t="str">
        <x:f>IF(W495="OK","LOAD","QUARANTINE")</x:f>
        <x:v>LOAD</x:v>
      </x:c>
      <x:c r="Y495" t="str">
        <x:v>03_Process_Losses(6).xlsx</x:v>
      </x:c>
      <x:c r="Z495" t="str">
        <x:v>ENH-20260830-01</x:v>
      </x:c>
      <x:c r="AA495" t="str">
        <x:f>IF(X495="LOAD","Active","Quarantine")</x:f>
        <x:v>Active</x:v>
      </x:c>
      <x:c r="AB495"/>
      <x:c r="AC495"/>
      <x:c r="AD495"/>
      <x:c r="AE495"/>
    </x:row>
    <x:row r="496">
      <x:c r="A496" t="str">
        <x:v>PLD-000492</x:v>
      </x:c>
      <x:c r="B496" t="str">
        <x:v>LOSS-KG01-L24-20251021-AM-ORD-2025-00125</x:v>
      </x:c>
      <x:c r="C496" t="str">
        <x:v>PE-KG01-L24-20251021-AM-ORD-2025-00125</x:v>
      </x:c>
      <x:c r="D496" t="str">
        <x:v>KG01</x:v>
      </x:c>
      <x:c r="E496" t="n">
        <x:v>24</x:v>
      </x:c>
      <x:c r="F496" s="52" t="n">
        <x:v>45951</x:v>
      </x:c>
      <x:c r="G496" t="str">
        <x:v>AM</x:v>
      </x:c>
      <x:c r="H496" t="str">
        <x:v>ORD-2025-00125</x:v>
      </x:c>
      <x:c r="I496" t="str">
        <x:v>Normal</x:v>
      </x:c>
      <x:c r="J496" t="str">
        <x:v>PROC_EVO5</x:v>
      </x:c>
      <x:c r="K496" t="str">
        <x:v>Inspection</x:v>
      </x:c>
      <x:c r="L496" s="54" t="n">
        <x:v>0.0010635048140563658</x:v>
      </x:c>
      <x:c r="M496" t="n">
        <x:v>176774</x:v>
      </x:c>
      <x:c r="N496" t="n">
        <x:f>L496*M496</x:f>
        <x:v>188</x:v>
      </x:c>
      <x:c r="O496"/>
      <x:c r="P496"/>
      <x:c r="Q496"/>
      <x:c r="R496"/>
      <x:c r="S496" s="52"/>
      <x:c r="T496" t="str">
        <x:v>OK</x:v>
      </x:c>
      <x:c r="U496" t="str">
        <x:f>IF(AND(ISNUMBER(L496),L496&gt;=0,L496&lt;=1),"OK","CHECK")</x:f>
        <x:v>OK</x:v>
      </x:c>
      <x:c r="V496" t="str">
        <x:f>IF(AND(ISNUMBER(N496),N496&gt;=0),"OK","CHECK")</x:f>
        <x:v>OK</x:v>
      </x:c>
      <x:c r="W496" t="str">
        <x:f>IF(AND(T496="OK",U496="OK",V496="OK"),"OK","CHECK")</x:f>
        <x:v>OK</x:v>
      </x:c>
      <x:c r="X496" t="str">
        <x:f>IF(W496="OK","LOAD","QUARANTINE")</x:f>
        <x:v>LOAD</x:v>
      </x:c>
      <x:c r="Y496" t="str">
        <x:v>03_Process_Losses(6).xlsx</x:v>
      </x:c>
      <x:c r="Z496" t="str">
        <x:v>ENH-20260830-01</x:v>
      </x:c>
      <x:c r="AA496" t="str">
        <x:f>IF(X496="LOAD","Active","Quarantine")</x:f>
        <x:v>Active</x:v>
      </x:c>
      <x:c r="AB496"/>
      <x:c r="AC496"/>
      <x:c r="AD496"/>
      <x:c r="AE496"/>
    </x:row>
    <x:row r="497">
      <x:c r="A497" t="str">
        <x:v>PLD-000493</x:v>
      </x:c>
      <x:c r="B497" t="str">
        <x:v>LOSS-KG01-L24-20251021-AM-ORD-2025-00125</x:v>
      </x:c>
      <x:c r="C497" t="str">
        <x:v>PE-KG01-L24-20251021-AM-ORD-2025-00125</x:v>
      </x:c>
      <x:c r="D497" t="str">
        <x:v>KG01</x:v>
      </x:c>
      <x:c r="E497" t="n">
        <x:v>24</x:v>
      </x:c>
      <x:c r="F497" s="52" t="n">
        <x:v>45951</x:v>
      </x:c>
      <x:c r="G497" t="str">
        <x:v>AM</x:v>
      </x:c>
      <x:c r="H497" t="str">
        <x:v>ORD-2025-00125</x:v>
      </x:c>
      <x:c r="I497" t="str">
        <x:v>Normal</x:v>
      </x:c>
      <x:c r="J497" t="str">
        <x:v>PROC_SANLI</x:v>
      </x:c>
      <x:c r="K497" t="str">
        <x:v>Inspection</x:v>
      </x:c>
      <x:c r="L497" s="54" t="n">
        <x:v>0.0009390521230497698</x:v>
      </x:c>
      <x:c r="M497" t="n">
        <x:v>176774</x:v>
      </x:c>
      <x:c r="N497" t="n">
        <x:f>L497*M497</x:f>
        <x:v>166</x:v>
      </x:c>
      <x:c r="O497"/>
      <x:c r="P497"/>
      <x:c r="Q497"/>
      <x:c r="R497"/>
      <x:c r="S497" s="52"/>
      <x:c r="T497" t="str">
        <x:v>OK</x:v>
      </x:c>
      <x:c r="U497" t="str">
        <x:f>IF(AND(ISNUMBER(L497),L497&gt;=0,L497&lt;=1),"OK","CHECK")</x:f>
        <x:v>OK</x:v>
      </x:c>
      <x:c r="V497" t="str">
        <x:f>IF(AND(ISNUMBER(N497),N497&gt;=0),"OK","CHECK")</x:f>
        <x:v>OK</x:v>
      </x:c>
      <x:c r="W497" t="str">
        <x:f>IF(AND(T497="OK",U497="OK",V497="OK"),"OK","CHECK")</x:f>
        <x:v>OK</x:v>
      </x:c>
      <x:c r="X497" t="str">
        <x:f>IF(W497="OK","LOAD","QUARANTINE")</x:f>
        <x:v>LOAD</x:v>
      </x:c>
      <x:c r="Y497" t="str">
        <x:v>03_Process_Losses(6).xlsx</x:v>
      </x:c>
      <x:c r="Z497" t="str">
        <x:v>ENH-20260830-01</x:v>
      </x:c>
      <x:c r="AA497" t="str">
        <x:f>IF(X497="LOAD","Active","Quarantine")</x:f>
        <x:v>Active</x:v>
      </x:c>
      <x:c r="AB497"/>
      <x:c r="AC497"/>
      <x:c r="AD497"/>
      <x:c r="AE497"/>
    </x:row>
    <x:row r="498">
      <x:c r="A498" t="str">
        <x:v>PLD-000494</x:v>
      </x:c>
      <x:c r="B498" t="str">
        <x:v>LOSS-KG01-L24-20251021-AM-ORD-2025-00125</x:v>
      </x:c>
      <x:c r="C498" t="str">
        <x:v>PE-KG01-L24-20251021-AM-ORD-2025-00125</x:v>
      </x:c>
      <x:c r="D498" t="str">
        <x:v>KG01</x:v>
      </x:c>
      <x:c r="E498" t="n">
        <x:v>24</x:v>
      </x:c>
      <x:c r="F498" s="52" t="n">
        <x:v>45951</x:v>
      </x:c>
      <x:c r="G498" t="str">
        <x:v>AM</x:v>
      </x:c>
      <x:c r="H498" t="str">
        <x:v>ORD-2025-00125</x:v>
      </x:c>
      <x:c r="I498" t="str">
        <x:v>Normal</x:v>
      </x:c>
      <x:c r="J498" t="str">
        <x:v>PROC_VISUAL</x:v>
      </x:c>
      <x:c r="K498" t="str">
        <x:v>Inspection</x:v>
      </x:c>
      <x:c r="L498" s="54" t="n">
        <x:v>0.0061321235023250025</x:v>
      </x:c>
      <x:c r="M498" t="n">
        <x:v>176774</x:v>
      </x:c>
      <x:c r="N498" t="n">
        <x:f>L498*M498</x:f>
        <x:v>1084</x:v>
      </x:c>
      <x:c r="O498"/>
      <x:c r="P498"/>
      <x:c r="Q498"/>
      <x:c r="R498"/>
      <x:c r="S498" s="52"/>
      <x:c r="T498" t="str">
        <x:v>OK</x:v>
      </x:c>
      <x:c r="U498" t="str">
        <x:f>IF(AND(ISNUMBER(L498),L498&gt;=0,L498&lt;=1),"OK","CHECK")</x:f>
        <x:v>OK</x:v>
      </x:c>
      <x:c r="V498" t="str">
        <x:f>IF(AND(ISNUMBER(N498),N498&gt;=0),"OK","CHECK")</x:f>
        <x:v>OK</x:v>
      </x:c>
      <x:c r="W498" t="str">
        <x:f>IF(AND(T498="OK",U498="OK",V498="OK"),"OK","CHECK")</x:f>
        <x:v>OK</x:v>
      </x:c>
      <x:c r="X498" t="str">
        <x:f>IF(W498="OK","LOAD","QUARANTINE")</x:f>
        <x:v>LOAD</x:v>
      </x:c>
      <x:c r="Y498" t="str">
        <x:v>03_Process_Losses(6).xlsx</x:v>
      </x:c>
      <x:c r="Z498" t="str">
        <x:v>ENH-20260830-01</x:v>
      </x:c>
      <x:c r="AA498" t="str">
        <x:f>IF(X498="LOAD","Active","Quarantine")</x:f>
        <x:v>Active</x:v>
      </x:c>
      <x:c r="AB498"/>
      <x:c r="AC498"/>
      <x:c r="AD498"/>
      <x:c r="AE498"/>
    </x:row>
    <x:row r="499">
      <x:c r="A499" t="str">
        <x:v>PLD-000495</x:v>
      </x:c>
      <x:c r="B499" t="str">
        <x:v>LOSS-KG01-L24-20251021-AM-ORD-2025-00125</x:v>
      </x:c>
      <x:c r="C499" t="str">
        <x:v>PE-KG01-L24-20251021-AM-ORD-2025-00125</x:v>
      </x:c>
      <x:c r="D499" t="str">
        <x:v>KG01</x:v>
      </x:c>
      <x:c r="E499" t="n">
        <x:v>24</x:v>
      </x:c>
      <x:c r="F499" s="52" t="n">
        <x:v>45951</x:v>
      </x:c>
      <x:c r="G499" t="str">
        <x:v>AM</x:v>
      </x:c>
      <x:c r="H499" t="str">
        <x:v>ORD-2025-00125</x:v>
      </x:c>
      <x:c r="I499" t="str">
        <x:v>Normal</x:v>
      </x:c>
      <x:c r="J499" t="str">
        <x:v>PROC_PALLETIZER</x:v>
      </x:c>
      <x:c r="K499" t="str">
        <x:v>Palletizer</x:v>
      </x:c>
      <x:c r="L499" s="54" t="n">
        <x:v>0.0015952572210845486</x:v>
      </x:c>
      <x:c r="M499" t="n">
        <x:v>176774</x:v>
      </x:c>
      <x:c r="N499" t="n">
        <x:f>L499*M499</x:f>
        <x:v>282</x:v>
      </x:c>
      <x:c r="O499"/>
      <x:c r="P499"/>
      <x:c r="Q499"/>
      <x:c r="R499"/>
      <x:c r="S499" s="52"/>
      <x:c r="T499" t="str">
        <x:v>OK</x:v>
      </x:c>
      <x:c r="U499" t="str">
        <x:f>IF(AND(ISNUMBER(L499),L499&gt;=0,L499&lt;=1),"OK","CHECK")</x:f>
        <x:v>OK</x:v>
      </x:c>
      <x:c r="V499" t="str">
        <x:f>IF(AND(ISNUMBER(N499),N499&gt;=0),"OK","CHECK")</x:f>
        <x:v>OK</x:v>
      </x:c>
      <x:c r="W499" t="str">
        <x:f>IF(AND(T499="OK",U499="OK",V499="OK"),"OK","CHECK")</x:f>
        <x:v>OK</x:v>
      </x:c>
      <x:c r="X499" t="str">
        <x:f>IF(W499="OK","LOAD","QUARANTINE")</x:f>
        <x:v>LOAD</x:v>
      </x:c>
      <x:c r="Y499" t="str">
        <x:v>03_Process_Losses(6).xlsx</x:v>
      </x:c>
      <x:c r="Z499" t="str">
        <x:v>ENH-20260830-01</x:v>
      </x:c>
      <x:c r="AA499" t="str">
        <x:f>IF(X499="LOAD","Active","Quarantine")</x:f>
        <x:v>Active</x:v>
      </x:c>
      <x:c r="AB499"/>
      <x:c r="AC499"/>
      <x:c r="AD499"/>
      <x:c r="AE499"/>
    </x:row>
    <x:row r="500">
      <x:c r="A500" t="str">
        <x:v>PLD-000496</x:v>
      </x:c>
      <x:c r="B500" t="str">
        <x:v>LOSS-KG01-L24-20251021-PM-ORD-2025-00125</x:v>
      </x:c>
      <x:c r="C500" t="str">
        <x:v>PE-KG01-L24-20251021-PM-ORD-2025-00125</x:v>
      </x:c>
      <x:c r="D500" t="str">
        <x:v>KG01</x:v>
      </x:c>
      <x:c r="E500" t="n">
        <x:v>24</x:v>
      </x:c>
      <x:c r="F500" s="52" t="n">
        <x:v>45951</x:v>
      </x:c>
      <x:c r="G500" t="str">
        <x:v>PM</x:v>
      </x:c>
      <x:c r="H500" t="str">
        <x:v>ORD-2025-00125</x:v>
      </x:c>
      <x:c r="I500" t="str">
        <x:v>Normal</x:v>
      </x:c>
      <x:c r="J500" t="str">
        <x:v>PROC_FIXED</x:v>
      </x:c>
      <x:c r="K500" t="str">
        <x:v>Fixed Losses</x:v>
      </x:c>
      <x:c r="L500" s="54" t="n">
        <x:v>0.004599321962421299</x:v>
      </x:c>
      <x:c r="M500" t="n">
        <x:v>303523</x:v>
      </x:c>
      <x:c r="N500" t="n">
        <x:f>L500*M500</x:f>
        <x:v>1396</x:v>
      </x:c>
      <x:c r="O500"/>
      <x:c r="P500"/>
      <x:c r="Q500"/>
      <x:c r="R500"/>
      <x:c r="S500" s="52"/>
      <x:c r="T500" t="str">
        <x:v>OK</x:v>
      </x:c>
      <x:c r="U500" t="str">
        <x:f>IF(AND(ISNUMBER(L500),L500&gt;=0,L500&lt;=1),"OK","CHECK")</x:f>
        <x:v>OK</x:v>
      </x:c>
      <x:c r="V500" t="str">
        <x:f>IF(AND(ISNUMBER(N500),N500&gt;=0),"OK","CHECK")</x:f>
        <x:v>OK</x:v>
      </x:c>
      <x:c r="W500" t="str">
        <x:f>IF(AND(T500="OK",U500="OK",V500="OK"),"OK","CHECK")</x:f>
        <x:v>OK</x:v>
      </x:c>
      <x:c r="X500" t="str">
        <x:f>IF(W500="OK","LOAD","QUARANTINE")</x:f>
        <x:v>LOAD</x:v>
      </x:c>
      <x:c r="Y500" t="str">
        <x:v>03_Process_Losses(6).xlsx</x:v>
      </x:c>
      <x:c r="Z500" t="str">
        <x:v>ENH-20260830-01</x:v>
      </x:c>
      <x:c r="AA500" t="str">
        <x:f>IF(X500="LOAD","Active","Quarantine")</x:f>
        <x:v>Active</x:v>
      </x:c>
      <x:c r="AB500"/>
      <x:c r="AC500"/>
      <x:c r="AD500"/>
      <x:c r="AE500"/>
    </x:row>
    <x:row r="501">
      <x:c r="A501" t="str">
        <x:v>PLD-000497</x:v>
      </x:c>
      <x:c r="B501" t="str">
        <x:v>LOSS-KG01-L24-20251021-PM-ORD-2025-00125</x:v>
      </x:c>
      <x:c r="C501" t="str">
        <x:v>PE-KG01-L24-20251021-PM-ORD-2025-00125</x:v>
      </x:c>
      <x:c r="D501" t="str">
        <x:v>KG01</x:v>
      </x:c>
      <x:c r="E501" t="n">
        <x:v>24</x:v>
      </x:c>
      <x:c r="F501" s="52" t="n">
        <x:v>45951</x:v>
      </x:c>
      <x:c r="G501" t="str">
        <x:v>PM</x:v>
      </x:c>
      <x:c r="H501" t="str">
        <x:v>ORD-2025-00125</x:v>
      </x:c>
      <x:c r="I501" t="str">
        <x:v>Normal</x:v>
      </x:c>
      <x:c r="J501" t="str">
        <x:v>PROC_IS</x:v>
      </x:c>
      <x:c r="K501" t="str">
        <x:v>IS Machine</x:v>
      </x:c>
      <x:c r="L501" s="54" t="n">
        <x:v>0.006187340003887679</x:v>
      </x:c>
      <x:c r="M501" t="n">
        <x:v>303523</x:v>
      </x:c>
      <x:c r="N501" t="n">
        <x:f>L501*M501</x:f>
        <x:v>1878</x:v>
      </x:c>
      <x:c r="O501"/>
      <x:c r="P501"/>
      <x:c r="Q501"/>
      <x:c r="R501"/>
      <x:c r="S501" s="52"/>
      <x:c r="T501" t="str">
        <x:v>OK</x:v>
      </x:c>
      <x:c r="U501" t="str">
        <x:f>IF(AND(ISNUMBER(L501),L501&gt;=0,L501&lt;=1),"OK","CHECK")</x:f>
        <x:v>OK</x:v>
      </x:c>
      <x:c r="V501" t="str">
        <x:f>IF(AND(ISNUMBER(N501),N501&gt;=0),"OK","CHECK")</x:f>
        <x:v>OK</x:v>
      </x:c>
      <x:c r="W501" t="str">
        <x:f>IF(AND(T501="OK",U501="OK",V501="OK"),"OK","CHECK")</x:f>
        <x:v>OK</x:v>
      </x:c>
      <x:c r="X501" t="str">
        <x:f>IF(W501="OK","LOAD","QUARANTINE")</x:f>
        <x:v>LOAD</x:v>
      </x:c>
      <x:c r="Y501" t="str">
        <x:v>03_Process_Losses(6).xlsx</x:v>
      </x:c>
      <x:c r="Z501" t="str">
        <x:v>ENH-20260830-01</x:v>
      </x:c>
      <x:c r="AA501" t="str">
        <x:f>IF(X501="LOAD","Active","Quarantine")</x:f>
        <x:v>Active</x:v>
      </x:c>
      <x:c r="AB501"/>
      <x:c r="AC501"/>
      <x:c r="AD501"/>
      <x:c r="AE501"/>
    </x:row>
    <x:row r="502">
      <x:c r="A502" t="str">
        <x:v>PLD-000498</x:v>
      </x:c>
      <x:c r="B502" t="str">
        <x:v>LOSS-KG01-L24-20251021-PM-ORD-2025-00125</x:v>
      </x:c>
      <x:c r="C502" t="str">
        <x:v>PE-KG01-L24-20251021-PM-ORD-2025-00125</x:v>
      </x:c>
      <x:c r="D502" t="str">
        <x:v>KG01</x:v>
      </x:c>
      <x:c r="E502" t="n">
        <x:v>24</x:v>
      </x:c>
      <x:c r="F502" s="52" t="n">
        <x:v>45951</x:v>
      </x:c>
      <x:c r="G502" t="str">
        <x:v>PM</x:v>
      </x:c>
      <x:c r="H502" t="str">
        <x:v>ORD-2025-00125</x:v>
      </x:c>
      <x:c r="I502" t="str">
        <x:v>Normal</x:v>
      </x:c>
      <x:c r="J502" t="str">
        <x:v>PROC_HE_CONVEYER</x:v>
      </x:c>
      <x:c r="K502" t="str">
        <x:v>Hot End</x:v>
      </x:c>
      <x:c r="L502" s="54" t="n">
        <x:v>0.0028894021210913176</x:v>
      </x:c>
      <x:c r="M502" t="n">
        <x:v>303523</x:v>
      </x:c>
      <x:c r="N502" t="n">
        <x:f>L502*M502</x:f>
        <x:v>877</x:v>
      </x:c>
      <x:c r="O502"/>
      <x:c r="P502"/>
      <x:c r="Q502"/>
      <x:c r="R502"/>
      <x:c r="S502" s="52"/>
      <x:c r="T502" t="str">
        <x:v>OK</x:v>
      </x:c>
      <x:c r="U502" t="str">
        <x:f>IF(AND(ISNUMBER(L502),L502&gt;=0,L502&lt;=1),"OK","CHECK")</x:f>
        <x:v>OK</x:v>
      </x:c>
      <x:c r="V502" t="str">
        <x:f>IF(AND(ISNUMBER(N502),N502&gt;=0),"OK","CHECK")</x:f>
        <x:v>OK</x:v>
      </x:c>
      <x:c r="W502" t="str">
        <x:f>IF(AND(T502="OK",U502="OK",V502="OK"),"OK","CHECK")</x:f>
        <x:v>OK</x:v>
      </x:c>
      <x:c r="X502" t="str">
        <x:f>IF(W502="OK","LOAD","QUARANTINE")</x:f>
        <x:v>LOAD</x:v>
      </x:c>
      <x:c r="Y502" t="str">
        <x:v>03_Process_Losses(6).xlsx</x:v>
      </x:c>
      <x:c r="Z502" t="str">
        <x:v>ENH-20260830-01</x:v>
      </x:c>
      <x:c r="AA502" t="str">
        <x:f>IF(X502="LOAD","Active","Quarantine")</x:f>
        <x:v>Active</x:v>
      </x:c>
      <x:c r="AB502"/>
      <x:c r="AC502"/>
      <x:c r="AD502"/>
      <x:c r="AE502"/>
    </x:row>
    <x:row r="503">
      <x:c r="A503" t="str">
        <x:v>PLD-000499</x:v>
      </x:c>
      <x:c r="B503" t="str">
        <x:v>LOSS-KG01-L24-20251021-PM-ORD-2025-00125</x:v>
      </x:c>
      <x:c r="C503" t="str">
        <x:v>PE-KG01-L24-20251021-PM-ORD-2025-00125</x:v>
      </x:c>
      <x:c r="D503" t="str">
        <x:v>KG01</x:v>
      </x:c>
      <x:c r="E503" t="n">
        <x:v>24</x:v>
      </x:c>
      <x:c r="F503" s="52" t="n">
        <x:v>45951</x:v>
      </x:c>
      <x:c r="G503" t="str">
        <x:v>PM</x:v>
      </x:c>
      <x:c r="H503" t="str">
        <x:v>ORD-2025-00125</x:v>
      </x:c>
      <x:c r="I503" t="str">
        <x:v>Normal</x:v>
      </x:c>
      <x:c r="J503" t="str">
        <x:v>PROC_STUCKDOWN</x:v>
      </x:c>
      <x:c r="K503" t="str">
        <x:v>Forming</x:v>
      </x:c>
      <x:c r="L503" s="54" t="n">
        <x:v>0.0029552949858824536</x:v>
      </x:c>
      <x:c r="M503" t="n">
        <x:v>303523</x:v>
      </x:c>
      <x:c r="N503" t="n">
        <x:f>L503*M503</x:f>
        <x:v>897</x:v>
      </x:c>
      <x:c r="O503"/>
      <x:c r="P503"/>
      <x:c r="Q503"/>
      <x:c r="R503"/>
      <x:c r="S503" s="52"/>
      <x:c r="T503" t="str">
        <x:v>OK</x:v>
      </x:c>
      <x:c r="U503" t="str">
        <x:f>IF(AND(ISNUMBER(L503),L503&gt;=0,L503&lt;=1),"OK","CHECK")</x:f>
        <x:v>OK</x:v>
      </x:c>
      <x:c r="V503" t="str">
        <x:f>IF(AND(ISNUMBER(N503),N503&gt;=0),"OK","CHECK")</x:f>
        <x:v>OK</x:v>
      </x:c>
      <x:c r="W503" t="str">
        <x:f>IF(AND(T503="OK",U503="OK",V503="OK"),"OK","CHECK")</x:f>
        <x:v>OK</x:v>
      </x:c>
      <x:c r="X503" t="str">
        <x:f>IF(W503="OK","LOAD","QUARANTINE")</x:f>
        <x:v>LOAD</x:v>
      </x:c>
      <x:c r="Y503" t="str">
        <x:v>03_Process_Losses(6).xlsx</x:v>
      </x:c>
      <x:c r="Z503" t="str">
        <x:v>ENH-20260830-01</x:v>
      </x:c>
      <x:c r="AA503" t="str">
        <x:f>IF(X503="LOAD","Active","Quarantine")</x:f>
        <x:v>Active</x:v>
      </x:c>
      <x:c r="AB503"/>
      <x:c r="AC503"/>
      <x:c r="AD503"/>
      <x:c r="AE503"/>
    </x:row>
    <x:row r="504">
      <x:c r="A504" t="str">
        <x:v>PLD-000500</x:v>
      </x:c>
      <x:c r="B504" t="str">
        <x:v>LOSS-KG01-L24-20251021-PM-ORD-2025-00125</x:v>
      </x:c>
      <x:c r="C504" t="str">
        <x:v>PE-KG01-L24-20251021-PM-ORD-2025-00125</x:v>
      </x:c>
      <x:c r="D504" t="str">
        <x:v>KG01</x:v>
      </x:c>
      <x:c r="E504" t="n">
        <x:v>24</x:v>
      </x:c>
      <x:c r="F504" s="52" t="n">
        <x:v>45951</x:v>
      </x:c>
      <x:c r="G504" t="str">
        <x:v>PM</x:v>
      </x:c>
      <x:c r="H504" t="str">
        <x:v>ORD-2025-00125</x:v>
      </x:c>
      <x:c r="I504" t="str">
        <x:v>Normal</x:v>
      </x:c>
      <x:c r="J504" t="str">
        <x:v>PROC_LEHR</x:v>
      </x:c>
      <x:c r="K504" t="str">
        <x:v>Lehr</x:v>
      </x:c>
      <x:c r="L504" s="54" t="n">
        <x:v>0.0027938574671441704</x:v>
      </x:c>
      <x:c r="M504" t="n">
        <x:v>303523</x:v>
      </x:c>
      <x:c r="N504" t="n">
        <x:f>L504*M504</x:f>
        <x:v>848</x:v>
      </x:c>
      <x:c r="O504"/>
      <x:c r="P504"/>
      <x:c r="Q504"/>
      <x:c r="R504"/>
      <x:c r="S504" s="52"/>
      <x:c r="T504" t="str">
        <x:v>OK</x:v>
      </x:c>
      <x:c r="U504" t="str">
        <x:f>IF(AND(ISNUMBER(L504),L504&gt;=0,L504&lt;=1),"OK","CHECK")</x:f>
        <x:v>OK</x:v>
      </x:c>
      <x:c r="V504" t="str">
        <x:f>IF(AND(ISNUMBER(N504),N504&gt;=0),"OK","CHECK")</x:f>
        <x:v>OK</x:v>
      </x:c>
      <x:c r="W504" t="str">
        <x:f>IF(AND(T504="OK",U504="OK",V504="OK"),"OK","CHECK")</x:f>
        <x:v>OK</x:v>
      </x:c>
      <x:c r="X504" t="str">
        <x:f>IF(W504="OK","LOAD","QUARANTINE")</x:f>
        <x:v>LOAD</x:v>
      </x:c>
      <x:c r="Y504" t="str">
        <x:v>03_Process_Losses(6).xlsx</x:v>
      </x:c>
      <x:c r="Z504" t="str">
        <x:v>ENH-20260830-01</x:v>
      </x:c>
      <x:c r="AA504" t="str">
        <x:f>IF(X504="LOAD","Active","Quarantine")</x:f>
        <x:v>Active</x:v>
      </x:c>
      <x:c r="AB504"/>
      <x:c r="AC504"/>
      <x:c r="AD504"/>
      <x:c r="AE504"/>
    </x:row>
    <x:row r="505">
      <x:c r="A505" t="str">
        <x:v>PLD-000501</x:v>
      </x:c>
      <x:c r="B505" t="str">
        <x:v>LOSS-KG01-L24-20251021-PM-ORD-2025-00125</x:v>
      </x:c>
      <x:c r="C505" t="str">
        <x:v>PE-KG01-L24-20251021-PM-ORD-2025-00125</x:v>
      </x:c>
      <x:c r="D505" t="str">
        <x:v>KG01</x:v>
      </x:c>
      <x:c r="E505" t="n">
        <x:v>24</x:v>
      </x:c>
      <x:c r="F505" s="52" t="n">
        <x:v>45951</x:v>
      </x:c>
      <x:c r="G505" t="str">
        <x:v>PM</x:v>
      </x:c>
      <x:c r="H505" t="str">
        <x:v>ORD-2025-00125</x:v>
      </x:c>
      <x:c r="I505" t="str">
        <x:v>Normal</x:v>
      </x:c>
      <x:c r="J505" t="str">
        <x:v>PROC_EVO16</x:v>
      </x:c>
      <x:c r="K505" t="str">
        <x:v>Inspection</x:v>
      </x:c>
      <x:c r="L505" s="54" t="n">
        <x:v>0.0029454110561637835</x:v>
      </x:c>
      <x:c r="M505" t="n">
        <x:v>303523</x:v>
      </x:c>
      <x:c r="N505" t="n">
        <x:f>L505*M505</x:f>
        <x:v>894</x:v>
      </x:c>
      <x:c r="O505"/>
      <x:c r="P505"/>
      <x:c r="Q505"/>
      <x:c r="R505"/>
      <x:c r="S505" s="52"/>
      <x:c r="T505" t="str">
        <x:v>OK</x:v>
      </x:c>
      <x:c r="U505" t="str">
        <x:f>IF(AND(ISNUMBER(L505),L505&gt;=0,L505&lt;=1),"OK","CHECK")</x:f>
        <x:v>OK</x:v>
      </x:c>
      <x:c r="V505" t="str">
        <x:f>IF(AND(ISNUMBER(N505),N505&gt;=0),"OK","CHECK")</x:f>
        <x:v>OK</x:v>
      </x:c>
      <x:c r="W505" t="str">
        <x:f>IF(AND(T505="OK",U505="OK",V505="OK"),"OK","CHECK")</x:f>
        <x:v>OK</x:v>
      </x:c>
      <x:c r="X505" t="str">
        <x:f>IF(W505="OK","LOAD","QUARANTINE")</x:f>
        <x:v>LOAD</x:v>
      </x:c>
      <x:c r="Y505" t="str">
        <x:v>03_Process_Losses(6).xlsx</x:v>
      </x:c>
      <x:c r="Z505" t="str">
        <x:v>ENH-20260830-01</x:v>
      </x:c>
      <x:c r="AA505" t="str">
        <x:f>IF(X505="LOAD","Active","Quarantine")</x:f>
        <x:v>Active</x:v>
      </x:c>
      <x:c r="AB505"/>
      <x:c r="AC505"/>
      <x:c r="AD505"/>
      <x:c r="AE505"/>
    </x:row>
    <x:row r="506">
      <x:c r="A506" t="str">
        <x:v>PLD-000502</x:v>
      </x:c>
      <x:c r="B506" t="str">
        <x:v>LOSS-KG01-L24-20251021-PM-ORD-2025-00125</x:v>
      </x:c>
      <x:c r="C506" t="str">
        <x:v>PE-KG01-L24-20251021-PM-ORD-2025-00125</x:v>
      </x:c>
      <x:c r="D506" t="str">
        <x:v>KG01</x:v>
      </x:c>
      <x:c r="E506" t="n">
        <x:v>24</x:v>
      </x:c>
      <x:c r="F506" s="52" t="n">
        <x:v>45951</x:v>
      </x:c>
      <x:c r="G506" t="str">
        <x:v>PM</x:v>
      </x:c>
      <x:c r="H506" t="str">
        <x:v>ORD-2025-00125</x:v>
      </x:c>
      <x:c r="I506" t="str">
        <x:v>Normal</x:v>
      </x:c>
      <x:c r="J506" t="str">
        <x:v>PROC_EVO12</x:v>
      </x:c>
      <x:c r="K506" t="str">
        <x:v>Inspection</x:v>
      </x:c>
      <x:c r="L506" s="54" t="n">
        <x:v>0.000843428669326542</x:v>
      </x:c>
      <x:c r="M506" t="n">
        <x:v>303523</x:v>
      </x:c>
      <x:c r="N506" t="n">
        <x:f>L506*M506</x:f>
        <x:v>256</x:v>
      </x:c>
      <x:c r="O506"/>
      <x:c r="P506"/>
      <x:c r="Q506"/>
      <x:c r="R506"/>
      <x:c r="S506" s="52"/>
      <x:c r="T506" t="str">
        <x:v>OK</x:v>
      </x:c>
      <x:c r="U506" t="str">
        <x:f>IF(AND(ISNUMBER(L506),L506&gt;=0,L506&lt;=1),"OK","CHECK")</x:f>
        <x:v>OK</x:v>
      </x:c>
      <x:c r="V506" t="str">
        <x:f>IF(AND(ISNUMBER(N506),N506&gt;=0),"OK","CHECK")</x:f>
        <x:v>OK</x:v>
      </x:c>
      <x:c r="W506" t="str">
        <x:f>IF(AND(T506="OK",U506="OK",V506="OK"),"OK","CHECK")</x:f>
        <x:v>OK</x:v>
      </x:c>
      <x:c r="X506" t="str">
        <x:f>IF(W506="OK","LOAD","QUARANTINE")</x:f>
        <x:v>LOAD</x:v>
      </x:c>
      <x:c r="Y506" t="str">
        <x:v>03_Process_Losses(6).xlsx</x:v>
      </x:c>
      <x:c r="Z506" t="str">
        <x:v>ENH-20260830-01</x:v>
      </x:c>
      <x:c r="AA506" t="str">
        <x:f>IF(X506="LOAD","Active","Quarantine")</x:f>
        <x:v>Active</x:v>
      </x:c>
      <x:c r="AB506"/>
      <x:c r="AC506"/>
      <x:c r="AD506"/>
      <x:c r="AE506"/>
    </x:row>
    <x:row r="507">
      <x:c r="A507" t="str">
        <x:v>PLD-000503</x:v>
      </x:c>
      <x:c r="B507" t="str">
        <x:v>LOSS-KG01-L24-20251021-PM-ORD-2025-00125</x:v>
      </x:c>
      <x:c r="C507" t="str">
        <x:v>PE-KG01-L24-20251021-PM-ORD-2025-00125</x:v>
      </x:c>
      <x:c r="D507" t="str">
        <x:v>KG01</x:v>
      </x:c>
      <x:c r="E507" t="n">
        <x:v>24</x:v>
      </x:c>
      <x:c r="F507" s="52" t="n">
        <x:v>45951</x:v>
      </x:c>
      <x:c r="G507" t="str">
        <x:v>PM</x:v>
      </x:c>
      <x:c r="H507" t="str">
        <x:v>ORD-2025-00125</x:v>
      </x:c>
      <x:c r="I507" t="str">
        <x:v>Normal</x:v>
      </x:c>
      <x:c r="J507" t="str">
        <x:v>PROC_EVO5</x:v>
      </x:c>
      <x:c r="K507" t="str">
        <x:v>Inspection</x:v>
      </x:c>
      <x:c r="L507" s="54" t="n">
        <x:v>0.0012915001499062674</x:v>
      </x:c>
      <x:c r="M507" t="n">
        <x:v>303523</x:v>
      </x:c>
      <x:c r="N507" t="n">
        <x:f>L507*M507</x:f>
        <x:v>392</x:v>
      </x:c>
      <x:c r="O507"/>
      <x:c r="P507"/>
      <x:c r="Q507"/>
      <x:c r="R507"/>
      <x:c r="S507" s="52"/>
      <x:c r="T507" t="str">
        <x:v>OK</x:v>
      </x:c>
      <x:c r="U507" t="str">
        <x:f>IF(AND(ISNUMBER(L507),L507&gt;=0,L507&lt;=1),"OK","CHECK")</x:f>
        <x:v>OK</x:v>
      </x:c>
      <x:c r="V507" t="str">
        <x:f>IF(AND(ISNUMBER(N507),N507&gt;=0),"OK","CHECK")</x:f>
        <x:v>OK</x:v>
      </x:c>
      <x:c r="W507" t="str">
        <x:f>IF(AND(T507="OK",U507="OK",V507="OK"),"OK","CHECK")</x:f>
        <x:v>OK</x:v>
      </x:c>
      <x:c r="X507" t="str">
        <x:f>IF(W507="OK","LOAD","QUARANTINE")</x:f>
        <x:v>LOAD</x:v>
      </x:c>
      <x:c r="Y507" t="str">
        <x:v>03_Process_Losses(6).xlsx</x:v>
      </x:c>
      <x:c r="Z507" t="str">
        <x:v>ENH-20260830-01</x:v>
      </x:c>
      <x:c r="AA507" t="str">
        <x:f>IF(X507="LOAD","Active","Quarantine")</x:f>
        <x:v>Active</x:v>
      </x:c>
      <x:c r="AB507"/>
      <x:c r="AC507"/>
      <x:c r="AD507"/>
      <x:c r="AE507"/>
    </x:row>
    <x:row r="508">
      <x:c r="A508" t="str">
        <x:v>PLD-000504</x:v>
      </x:c>
      <x:c r="B508" t="str">
        <x:v>LOSS-KG01-L24-20251021-PM-ORD-2025-00125</x:v>
      </x:c>
      <x:c r="C508" t="str">
        <x:v>PE-KG01-L24-20251021-PM-ORD-2025-00125</x:v>
      </x:c>
      <x:c r="D508" t="str">
        <x:v>KG01</x:v>
      </x:c>
      <x:c r="E508" t="n">
        <x:v>24</x:v>
      </x:c>
      <x:c r="F508" s="52" t="n">
        <x:v>45951</x:v>
      </x:c>
      <x:c r="G508" t="str">
        <x:v>PM</x:v>
      </x:c>
      <x:c r="H508" t="str">
        <x:v>ORD-2025-00125</x:v>
      </x:c>
      <x:c r="I508" t="str">
        <x:v>Normal</x:v>
      </x:c>
      <x:c r="J508" t="str">
        <x:v>PROC_SANLI</x:v>
      </x:c>
      <x:c r="K508" t="str">
        <x:v>Inspection</x:v>
      </x:c>
      <x:c r="L508" s="54" t="n">
        <x:v>0.002003143089650537</x:v>
      </x:c>
      <x:c r="M508" t="n">
        <x:v>303523</x:v>
      </x:c>
      <x:c r="N508" t="n">
        <x:f>L508*M508</x:f>
        <x:v>608</x:v>
      </x:c>
      <x:c r="O508"/>
      <x:c r="P508"/>
      <x:c r="Q508"/>
      <x:c r="R508"/>
      <x:c r="S508" s="52"/>
      <x:c r="T508" t="str">
        <x:v>OK</x:v>
      </x:c>
      <x:c r="U508" t="str">
        <x:f>IF(AND(ISNUMBER(L508),L508&gt;=0,L508&lt;=1),"OK","CHECK")</x:f>
        <x:v>OK</x:v>
      </x:c>
      <x:c r="V508" t="str">
        <x:f>IF(AND(ISNUMBER(N508),N508&gt;=0),"OK","CHECK")</x:f>
        <x:v>OK</x:v>
      </x:c>
      <x:c r="W508" t="str">
        <x:f>IF(AND(T508="OK",U508="OK",V508="OK"),"OK","CHECK")</x:f>
        <x:v>OK</x:v>
      </x:c>
      <x:c r="X508" t="str">
        <x:f>IF(W508="OK","LOAD","QUARANTINE")</x:f>
        <x:v>LOAD</x:v>
      </x:c>
      <x:c r="Y508" t="str">
        <x:v>03_Process_Losses(6).xlsx</x:v>
      </x:c>
      <x:c r="Z508" t="str">
        <x:v>ENH-20260830-01</x:v>
      </x:c>
      <x:c r="AA508" t="str">
        <x:f>IF(X508="LOAD","Active","Quarantine")</x:f>
        <x:v>Active</x:v>
      </x:c>
      <x:c r="AB508"/>
      <x:c r="AC508"/>
      <x:c r="AD508"/>
      <x:c r="AE508"/>
    </x:row>
    <x:row r="509">
      <x:c r="A509" t="str">
        <x:v>PLD-000505</x:v>
      </x:c>
      <x:c r="B509" t="str">
        <x:v>LOSS-KG01-L24-20251021-PM-ORD-2025-00125</x:v>
      </x:c>
      <x:c r="C509" t="str">
        <x:v>PE-KG01-L24-20251021-PM-ORD-2025-00125</x:v>
      </x:c>
      <x:c r="D509" t="str">
        <x:v>KG01</x:v>
      </x:c>
      <x:c r="E509" t="n">
        <x:v>24</x:v>
      </x:c>
      <x:c r="F509" s="52" t="n">
        <x:v>45951</x:v>
      </x:c>
      <x:c r="G509" t="str">
        <x:v>PM</x:v>
      </x:c>
      <x:c r="H509" t="str">
        <x:v>ORD-2025-00125</x:v>
      </x:c>
      <x:c r="I509" t="str">
        <x:v>Normal</x:v>
      </x:c>
      <x:c r="J509" t="str">
        <x:v>PROC_VISUAL</x:v>
      </x:c>
      <x:c r="K509" t="str">
        <x:v>Inspection</x:v>
      </x:c>
      <x:c r="L509" s="54" t="n">
        <x:v>0.007949974137050569</x:v>
      </x:c>
      <x:c r="M509" t="n">
        <x:v>303523</x:v>
      </x:c>
      <x:c r="N509" t="n">
        <x:f>L509*M509</x:f>
        <x:v>2413</x:v>
      </x:c>
      <x:c r="O509"/>
      <x:c r="P509"/>
      <x:c r="Q509"/>
      <x:c r="R509"/>
      <x:c r="S509" s="52"/>
      <x:c r="T509" t="str">
        <x:v>OK</x:v>
      </x:c>
      <x:c r="U509" t="str">
        <x:f>IF(AND(ISNUMBER(L509),L509&gt;=0,L509&lt;=1),"OK","CHECK")</x:f>
        <x:v>OK</x:v>
      </x:c>
      <x:c r="V509" t="str">
        <x:f>IF(AND(ISNUMBER(N509),N509&gt;=0),"OK","CHECK")</x:f>
        <x:v>OK</x:v>
      </x:c>
      <x:c r="W509" t="str">
        <x:f>IF(AND(T509="OK",U509="OK",V509="OK"),"OK","CHECK")</x:f>
        <x:v>OK</x:v>
      </x:c>
      <x:c r="X509" t="str">
        <x:f>IF(W509="OK","LOAD","QUARANTINE")</x:f>
        <x:v>LOAD</x:v>
      </x:c>
      <x:c r="Y509" t="str">
        <x:v>03_Process_Losses(6).xlsx</x:v>
      </x:c>
      <x:c r="Z509" t="str">
        <x:v>ENH-20260830-01</x:v>
      </x:c>
      <x:c r="AA509" t="str">
        <x:f>IF(X509="LOAD","Active","Quarantine")</x:f>
        <x:v>Active</x:v>
      </x:c>
      <x:c r="AB509"/>
      <x:c r="AC509"/>
      <x:c r="AD509"/>
      <x:c r="AE509"/>
    </x:row>
    <x:row r="510">
      <x:c r="A510" t="str">
        <x:v>PLD-000506</x:v>
      </x:c>
      <x:c r="B510" t="str">
        <x:v>LOSS-KG01-L24-20251021-PM-ORD-2025-00125</x:v>
      </x:c>
      <x:c r="C510" t="str">
        <x:v>PE-KG01-L24-20251021-PM-ORD-2025-00125</x:v>
      </x:c>
      <x:c r="D510" t="str">
        <x:v>KG01</x:v>
      </x:c>
      <x:c r="E510" t="n">
        <x:v>24</x:v>
      </x:c>
      <x:c r="F510" s="52" t="n">
        <x:v>45951</x:v>
      </x:c>
      <x:c r="G510" t="str">
        <x:v>PM</x:v>
      </x:c>
      <x:c r="H510" t="str">
        <x:v>ORD-2025-00125</x:v>
      </x:c>
      <x:c r="I510" t="str">
        <x:v>Normal</x:v>
      </x:c>
      <x:c r="J510" t="str">
        <x:v>PROC_PALLETIZER</x:v>
      </x:c>
      <x:c r="K510" t="str">
        <x:v>Palletizer</x:v>
      </x:c>
      <x:c r="L510" s="54" t="n">
        <x:v>0.0025401699376982963</x:v>
      </x:c>
      <x:c r="M510" t="n">
        <x:v>303523</x:v>
      </x:c>
      <x:c r="N510" t="n">
        <x:f>L510*M510</x:f>
        <x:v>771</x:v>
      </x:c>
      <x:c r="O510"/>
      <x:c r="P510"/>
      <x:c r="Q510"/>
      <x:c r="R510"/>
      <x:c r="S510" s="52"/>
      <x:c r="T510" t="str">
        <x:v>OK</x:v>
      </x:c>
      <x:c r="U510" t="str">
        <x:f>IF(AND(ISNUMBER(L510),L510&gt;=0,L510&lt;=1),"OK","CHECK")</x:f>
        <x:v>OK</x:v>
      </x:c>
      <x:c r="V510" t="str">
        <x:f>IF(AND(ISNUMBER(N510),N510&gt;=0),"OK","CHECK")</x:f>
        <x:v>OK</x:v>
      </x:c>
      <x:c r="W510" t="str">
        <x:f>IF(AND(T510="OK",U510="OK",V510="OK"),"OK","CHECK")</x:f>
        <x:v>OK</x:v>
      </x:c>
      <x:c r="X510" t="str">
        <x:f>IF(W510="OK","LOAD","QUARANTINE")</x:f>
        <x:v>LOAD</x:v>
      </x:c>
      <x:c r="Y510" t="str">
        <x:v>03_Process_Losses(6).xlsx</x:v>
      </x:c>
      <x:c r="Z510" t="str">
        <x:v>ENH-20260830-01</x:v>
      </x:c>
      <x:c r="AA510" t="str">
        <x:f>IF(X510="LOAD","Active","Quarantine")</x:f>
        <x:v>Active</x:v>
      </x:c>
      <x:c r="AB510"/>
      <x:c r="AC510"/>
      <x:c r="AD510"/>
      <x:c r="AE510"/>
    </x:row>
    <x:row r="511">
      <x:c r="A511" t="str">
        <x:v>PLD-000507</x:v>
      </x:c>
      <x:c r="B511" t="str">
        <x:v>LOSS-KG01-L24-20251022-AM-ORD-2025-00125</x:v>
      </x:c>
      <x:c r="C511" t="str">
        <x:v>PE-KG01-L24-20251022-AM-ORD-2025-00125</x:v>
      </x:c>
      <x:c r="D511" t="str">
        <x:v>KG01</x:v>
      </x:c>
      <x:c r="E511" t="n">
        <x:v>24</x:v>
      </x:c>
      <x:c r="F511" s="52" t="n">
        <x:v>45952</x:v>
      </x:c>
      <x:c r="G511" t="str">
        <x:v>AM</x:v>
      </x:c>
      <x:c r="H511" t="str">
        <x:v>ORD-2025-00125</x:v>
      </x:c>
      <x:c r="I511" t="str">
        <x:v>Normal</x:v>
      </x:c>
      <x:c r="J511" t="str">
        <x:v>PROC_FIXED</x:v>
      </x:c>
      <x:c r="K511" t="str">
        <x:v>Fixed Losses</x:v>
      </x:c>
      <x:c r="L511" s="54" t="n">
        <x:v>0.0016322412155745489</x:v>
      </x:c>
      <x:c r="M511" t="n">
        <x:v>303264</x:v>
      </x:c>
      <x:c r="N511" t="n">
        <x:f>L511*M511</x:f>
        <x:v>495</x:v>
      </x:c>
      <x:c r="O511"/>
      <x:c r="P511"/>
      <x:c r="Q511"/>
      <x:c r="R511"/>
      <x:c r="S511" s="52"/>
      <x:c r="T511" t="str">
        <x:v>OK</x:v>
      </x:c>
      <x:c r="U511" t="str">
        <x:f>IF(AND(ISNUMBER(L511),L511&gt;=0,L511&lt;=1),"OK","CHECK")</x:f>
        <x:v>OK</x:v>
      </x:c>
      <x:c r="V511" t="str">
        <x:f>IF(AND(ISNUMBER(N511),N511&gt;=0),"OK","CHECK")</x:f>
        <x:v>OK</x:v>
      </x:c>
      <x:c r="W511" t="str">
        <x:f>IF(AND(T511="OK",U511="OK",V511="OK"),"OK","CHECK")</x:f>
        <x:v>OK</x:v>
      </x:c>
      <x:c r="X511" t="str">
        <x:f>IF(W511="OK","LOAD","QUARANTINE")</x:f>
        <x:v>LOAD</x:v>
      </x:c>
      <x:c r="Y511" t="str">
        <x:v>03_Process_Losses(6).xlsx</x:v>
      </x:c>
      <x:c r="Z511" t="str">
        <x:v>ENH-20260830-01</x:v>
      </x:c>
      <x:c r="AA511" t="str">
        <x:f>IF(X511="LOAD","Active","Quarantine")</x:f>
        <x:v>Active</x:v>
      </x:c>
      <x:c r="AB511"/>
      <x:c r="AC511"/>
      <x:c r="AD511"/>
      <x:c r="AE511"/>
    </x:row>
    <x:row r="512">
      <x:c r="A512" t="str">
        <x:v>PLD-000508</x:v>
      </x:c>
      <x:c r="B512" t="str">
        <x:v>LOSS-KG01-L24-20251022-AM-ORD-2025-00125</x:v>
      </x:c>
      <x:c r="C512" t="str">
        <x:v>PE-KG01-L24-20251022-AM-ORD-2025-00125</x:v>
      </x:c>
      <x:c r="D512" t="str">
        <x:v>KG01</x:v>
      </x:c>
      <x:c r="E512" t="n">
        <x:v>24</x:v>
      </x:c>
      <x:c r="F512" s="52" t="n">
        <x:v>45952</x:v>
      </x:c>
      <x:c r="G512" t="str">
        <x:v>AM</x:v>
      </x:c>
      <x:c r="H512" t="str">
        <x:v>ORD-2025-00125</x:v>
      </x:c>
      <x:c r="I512" t="str">
        <x:v>Normal</x:v>
      </x:c>
      <x:c r="J512" t="str">
        <x:v>PROC_IS</x:v>
      </x:c>
      <x:c r="K512" t="str">
        <x:v>IS Machine</x:v>
      </x:c>
      <x:c r="L512" s="54" t="n">
        <x:v>0.005190197319826949</x:v>
      </x:c>
      <x:c r="M512" t="n">
        <x:v>303264</x:v>
      </x:c>
      <x:c r="N512" t="n">
        <x:f>L512*M512</x:f>
        <x:v>1574</x:v>
      </x:c>
      <x:c r="O512"/>
      <x:c r="P512"/>
      <x:c r="Q512"/>
      <x:c r="R512"/>
      <x:c r="S512" s="52"/>
      <x:c r="T512" t="str">
        <x:v>OK</x:v>
      </x:c>
      <x:c r="U512" t="str">
        <x:f>IF(AND(ISNUMBER(L512),L512&gt;=0,L512&lt;=1),"OK","CHECK")</x:f>
        <x:v>OK</x:v>
      </x:c>
      <x:c r="V512" t="str">
        <x:f>IF(AND(ISNUMBER(N512),N512&gt;=0),"OK","CHECK")</x:f>
        <x:v>OK</x:v>
      </x:c>
      <x:c r="W512" t="str">
        <x:f>IF(AND(T512="OK",U512="OK",V512="OK"),"OK","CHECK")</x:f>
        <x:v>OK</x:v>
      </x:c>
      <x:c r="X512" t="str">
        <x:f>IF(W512="OK","LOAD","QUARANTINE")</x:f>
        <x:v>LOAD</x:v>
      </x:c>
      <x:c r="Y512" t="str">
        <x:v>03_Process_Losses(6).xlsx</x:v>
      </x:c>
      <x:c r="Z512" t="str">
        <x:v>ENH-20260830-01</x:v>
      </x:c>
      <x:c r="AA512" t="str">
        <x:f>IF(X512="LOAD","Active","Quarantine")</x:f>
        <x:v>Active</x:v>
      </x:c>
      <x:c r="AB512"/>
      <x:c r="AC512"/>
      <x:c r="AD512"/>
      <x:c r="AE512"/>
    </x:row>
    <x:row r="513">
      <x:c r="A513" t="str">
        <x:v>PLD-000509</x:v>
      </x:c>
      <x:c r="B513" t="str">
        <x:v>LOSS-KG01-L24-20251022-AM-ORD-2025-00125</x:v>
      </x:c>
      <x:c r="C513" t="str">
        <x:v>PE-KG01-L24-20251022-AM-ORD-2025-00125</x:v>
      </x:c>
      <x:c r="D513" t="str">
        <x:v>KG01</x:v>
      </x:c>
      <x:c r="E513" t="n">
        <x:v>24</x:v>
      </x:c>
      <x:c r="F513" s="52" t="n">
        <x:v>45952</x:v>
      </x:c>
      <x:c r="G513" t="str">
        <x:v>AM</x:v>
      </x:c>
      <x:c r="H513" t="str">
        <x:v>ORD-2025-00125</x:v>
      </x:c>
      <x:c r="I513" t="str">
        <x:v>Normal</x:v>
      </x:c>
      <x:c r="J513" t="str">
        <x:v>PROC_HE_CONVEYER</x:v>
      </x:c>
      <x:c r="K513" t="str">
        <x:v>Hot End</x:v>
      </x:c>
      <x:c r="L513" s="54" t="n">
        <x:v>0.0030237680700643662</x:v>
      </x:c>
      <x:c r="M513" t="n">
        <x:v>303264</x:v>
      </x:c>
      <x:c r="N513" t="n">
        <x:f>L513*M513</x:f>
        <x:v>917</x:v>
      </x:c>
      <x:c r="O513"/>
      <x:c r="P513"/>
      <x:c r="Q513"/>
      <x:c r="R513"/>
      <x:c r="S513" s="52"/>
      <x:c r="T513" t="str">
        <x:v>OK</x:v>
      </x:c>
      <x:c r="U513" t="str">
        <x:f>IF(AND(ISNUMBER(L513),L513&gt;=0,L513&lt;=1),"OK","CHECK")</x:f>
        <x:v>OK</x:v>
      </x:c>
      <x:c r="V513" t="str">
        <x:f>IF(AND(ISNUMBER(N513),N513&gt;=0),"OK","CHECK")</x:f>
        <x:v>OK</x:v>
      </x:c>
      <x:c r="W513" t="str">
        <x:f>IF(AND(T513="OK",U513="OK",V513="OK"),"OK","CHECK")</x:f>
        <x:v>OK</x:v>
      </x:c>
      <x:c r="X513" t="str">
        <x:f>IF(W513="OK","LOAD","QUARANTINE")</x:f>
        <x:v>LOAD</x:v>
      </x:c>
      <x:c r="Y513" t="str">
        <x:v>03_Process_Losses(6).xlsx</x:v>
      </x:c>
      <x:c r="Z513" t="str">
        <x:v>ENH-20260830-01</x:v>
      </x:c>
      <x:c r="AA513" t="str">
        <x:f>IF(X513="LOAD","Active","Quarantine")</x:f>
        <x:v>Active</x:v>
      </x:c>
      <x:c r="AB513"/>
      <x:c r="AC513"/>
      <x:c r="AD513"/>
      <x:c r="AE513"/>
    </x:row>
    <x:row r="514">
      <x:c r="A514" t="str">
        <x:v>PLD-000510</x:v>
      </x:c>
      <x:c r="B514" t="str">
        <x:v>LOSS-KG01-L24-20251022-AM-ORD-2025-00125</x:v>
      </x:c>
      <x:c r="C514" t="str">
        <x:v>PE-KG01-L24-20251022-AM-ORD-2025-00125</x:v>
      </x:c>
      <x:c r="D514" t="str">
        <x:v>KG01</x:v>
      </x:c>
      <x:c r="E514" t="n">
        <x:v>24</x:v>
      </x:c>
      <x:c r="F514" s="52" t="n">
        <x:v>45952</x:v>
      </x:c>
      <x:c r="G514" t="str">
        <x:v>AM</x:v>
      </x:c>
      <x:c r="H514" t="str">
        <x:v>ORD-2025-00125</x:v>
      </x:c>
      <x:c r="I514" t="str">
        <x:v>Normal</x:v>
      </x:c>
      <x:c r="J514" t="str">
        <x:v>PROC_STUCKDOWN</x:v>
      </x:c>
      <x:c r="K514" t="str">
        <x:v>Forming</x:v>
      </x:c>
      <x:c r="L514" s="54" t="n">
        <x:v>0.0015662920755513349</x:v>
      </x:c>
      <x:c r="M514" t="n">
        <x:v>303264</x:v>
      </x:c>
      <x:c r="N514" t="n">
        <x:f>L514*M514</x:f>
        <x:v>475</x:v>
      </x:c>
      <x:c r="O514"/>
      <x:c r="P514"/>
      <x:c r="Q514"/>
      <x:c r="R514"/>
      <x:c r="S514" s="52"/>
      <x:c r="T514" t="str">
        <x:v>OK</x:v>
      </x:c>
      <x:c r="U514" t="str">
        <x:f>IF(AND(ISNUMBER(L514),L514&gt;=0,L514&lt;=1),"OK","CHECK")</x:f>
        <x:v>OK</x:v>
      </x:c>
      <x:c r="V514" t="str">
        <x:f>IF(AND(ISNUMBER(N514),N514&gt;=0),"OK","CHECK")</x:f>
        <x:v>OK</x:v>
      </x:c>
      <x:c r="W514" t="str">
        <x:f>IF(AND(T514="OK",U514="OK",V514="OK"),"OK","CHECK")</x:f>
        <x:v>OK</x:v>
      </x:c>
      <x:c r="X514" t="str">
        <x:f>IF(W514="OK","LOAD","QUARANTINE")</x:f>
        <x:v>LOAD</x:v>
      </x:c>
      <x:c r="Y514" t="str">
        <x:v>03_Process_Losses(6).xlsx</x:v>
      </x:c>
      <x:c r="Z514" t="str">
        <x:v>ENH-20260830-01</x:v>
      </x:c>
      <x:c r="AA514" t="str">
        <x:f>IF(X514="LOAD","Active","Quarantine")</x:f>
        <x:v>Active</x:v>
      </x:c>
      <x:c r="AB514"/>
      <x:c r="AC514"/>
      <x:c r="AD514"/>
      <x:c r="AE514"/>
    </x:row>
    <x:row r="515">
      <x:c r="A515" t="str">
        <x:v>PLD-000511</x:v>
      </x:c>
      <x:c r="B515" t="str">
        <x:v>LOSS-KG01-L24-20251022-AM-ORD-2025-00125</x:v>
      </x:c>
      <x:c r="C515" t="str">
        <x:v>PE-KG01-L24-20251022-AM-ORD-2025-00125</x:v>
      </x:c>
      <x:c r="D515" t="str">
        <x:v>KG01</x:v>
      </x:c>
      <x:c r="E515" t="n">
        <x:v>24</x:v>
      </x:c>
      <x:c r="F515" s="52" t="n">
        <x:v>45952</x:v>
      </x:c>
      <x:c r="G515" t="str">
        <x:v>AM</x:v>
      </x:c>
      <x:c r="H515" t="str">
        <x:v>ORD-2025-00125</x:v>
      </x:c>
      <x:c r="I515" t="str">
        <x:v>Normal</x:v>
      </x:c>
      <x:c r="J515" t="str">
        <x:v>PROC_LEHR</x:v>
      </x:c>
      <x:c r="K515" t="str">
        <x:v>Lehr</x:v>
      </x:c>
      <x:c r="L515" s="54" t="n">
        <x:v>0.0010848633533818719</x:v>
      </x:c>
      <x:c r="M515" t="n">
        <x:v>303264</x:v>
      </x:c>
      <x:c r="N515" t="n">
        <x:f>L515*M515</x:f>
        <x:v>329</x:v>
      </x:c>
      <x:c r="O515"/>
      <x:c r="P515"/>
      <x:c r="Q515"/>
      <x:c r="R515"/>
      <x:c r="S515" s="52"/>
      <x:c r="T515" t="str">
        <x:v>OK</x:v>
      </x:c>
      <x:c r="U515" t="str">
        <x:f>IF(AND(ISNUMBER(L515),L515&gt;=0,L515&lt;=1),"OK","CHECK")</x:f>
        <x:v>OK</x:v>
      </x:c>
      <x:c r="V515" t="str">
        <x:f>IF(AND(ISNUMBER(N515),N515&gt;=0),"OK","CHECK")</x:f>
        <x:v>OK</x:v>
      </x:c>
      <x:c r="W515" t="str">
        <x:f>IF(AND(T515="OK",U515="OK",V515="OK"),"OK","CHECK")</x:f>
        <x:v>OK</x:v>
      </x:c>
      <x:c r="X515" t="str">
        <x:f>IF(W515="OK","LOAD","QUARANTINE")</x:f>
        <x:v>LOAD</x:v>
      </x:c>
      <x:c r="Y515" t="str">
        <x:v>03_Process_Losses(6).xlsx</x:v>
      </x:c>
      <x:c r="Z515" t="str">
        <x:v>ENH-20260830-01</x:v>
      </x:c>
      <x:c r="AA515" t="str">
        <x:f>IF(X515="LOAD","Active","Quarantine")</x:f>
        <x:v>Active</x:v>
      </x:c>
      <x:c r="AB515"/>
      <x:c r="AC515"/>
      <x:c r="AD515"/>
      <x:c r="AE515"/>
    </x:row>
    <x:row r="516">
      <x:c r="A516" t="str">
        <x:v>PLD-000512</x:v>
      </x:c>
      <x:c r="B516" t="str">
        <x:v>LOSS-KG01-L24-20251022-AM-ORD-2025-00125</x:v>
      </x:c>
      <x:c r="C516" t="str">
        <x:v>PE-KG01-L24-20251022-AM-ORD-2025-00125</x:v>
      </x:c>
      <x:c r="D516" t="str">
        <x:v>KG01</x:v>
      </x:c>
      <x:c r="E516" t="n">
        <x:v>24</x:v>
      </x:c>
      <x:c r="F516" s="52" t="n">
        <x:v>45952</x:v>
      </x:c>
      <x:c r="G516" t="str">
        <x:v>AM</x:v>
      </x:c>
      <x:c r="H516" t="str">
        <x:v>ORD-2025-00125</x:v>
      </x:c>
      <x:c r="I516" t="str">
        <x:v>Normal</x:v>
      </x:c>
      <x:c r="J516" t="str">
        <x:v>PROC_EVO16</x:v>
      </x:c>
      <x:c r="K516" t="str">
        <x:v>Inspection</x:v>
      </x:c>
      <x:c r="L516" s="54" t="n">
        <x:v>0.00020444233407196371</x:v>
      </x:c>
      <x:c r="M516" t="n">
        <x:v>303264</x:v>
      </x:c>
      <x:c r="N516" t="n">
        <x:f>L516*M516</x:f>
        <x:v>62.00000000000001</x:v>
      </x:c>
      <x:c r="O516"/>
      <x:c r="P516"/>
      <x:c r="Q516"/>
      <x:c r="R516"/>
      <x:c r="S516" s="52"/>
      <x:c r="T516" t="str">
        <x:v>OK</x:v>
      </x:c>
      <x:c r="U516" t="str">
        <x:f>IF(AND(ISNUMBER(L516),L516&gt;=0,L516&lt;=1),"OK","CHECK")</x:f>
        <x:v>OK</x:v>
      </x:c>
      <x:c r="V516" t="str">
        <x:f>IF(AND(ISNUMBER(N516),N516&gt;=0),"OK","CHECK")</x:f>
        <x:v>OK</x:v>
      </x:c>
      <x:c r="W516" t="str">
        <x:f>IF(AND(T516="OK",U516="OK",V516="OK"),"OK","CHECK")</x:f>
        <x:v>OK</x:v>
      </x:c>
      <x:c r="X516" t="str">
        <x:f>IF(W516="OK","LOAD","QUARANTINE")</x:f>
        <x:v>LOAD</x:v>
      </x:c>
      <x:c r="Y516" t="str">
        <x:v>03_Process_Losses(6).xlsx</x:v>
      </x:c>
      <x:c r="Z516" t="str">
        <x:v>ENH-20260830-01</x:v>
      </x:c>
      <x:c r="AA516" t="str">
        <x:f>IF(X516="LOAD","Active","Quarantine")</x:f>
        <x:v>Active</x:v>
      </x:c>
      <x:c r="AB516"/>
      <x:c r="AC516"/>
      <x:c r="AD516"/>
      <x:c r="AE516"/>
    </x:row>
    <x:row r="517">
      <x:c r="A517" t="str">
        <x:v>PLD-000513</x:v>
      </x:c>
      <x:c r="B517" t="str">
        <x:v>LOSS-KG01-L24-20251022-AM-ORD-2025-00125</x:v>
      </x:c>
      <x:c r="C517" t="str">
        <x:v>PE-KG01-L24-20251022-AM-ORD-2025-00125</x:v>
      </x:c>
      <x:c r="D517" t="str">
        <x:v>KG01</x:v>
      </x:c>
      <x:c r="E517" t="n">
        <x:v>24</x:v>
      </x:c>
      <x:c r="F517" s="52" t="n">
        <x:v>45952</x:v>
      </x:c>
      <x:c r="G517" t="str">
        <x:v>AM</x:v>
      </x:c>
      <x:c r="H517" t="str">
        <x:v>ORD-2025-00125</x:v>
      </x:c>
      <x:c r="I517" t="str">
        <x:v>Normal</x:v>
      </x:c>
      <x:c r="J517" t="str">
        <x:v>PROC_EVO12</x:v>
      </x:c>
      <x:c r="K517" t="str">
        <x:v>Inspection</x:v>
      </x:c>
      <x:c r="L517" s="54" t="n">
        <x:v>0.001408014139495621</x:v>
      </x:c>
      <x:c r="M517" t="n">
        <x:v>303264</x:v>
      </x:c>
      <x:c r="N517" t="n">
        <x:f>L517*M517</x:f>
        <x:v>427</x:v>
      </x:c>
      <x:c r="O517"/>
      <x:c r="P517"/>
      <x:c r="Q517"/>
      <x:c r="R517"/>
      <x:c r="S517" s="52"/>
      <x:c r="T517" t="str">
        <x:v>OK</x:v>
      </x:c>
      <x:c r="U517" t="str">
        <x:f>IF(AND(ISNUMBER(L517),L517&gt;=0,L517&lt;=1),"OK","CHECK")</x:f>
        <x:v>OK</x:v>
      </x:c>
      <x:c r="V517" t="str">
        <x:f>IF(AND(ISNUMBER(N517),N517&gt;=0),"OK","CHECK")</x:f>
        <x:v>OK</x:v>
      </x:c>
      <x:c r="W517" t="str">
        <x:f>IF(AND(T517="OK",U517="OK",V517="OK"),"OK","CHECK")</x:f>
        <x:v>OK</x:v>
      </x:c>
      <x:c r="X517" t="str">
        <x:f>IF(W517="OK","LOAD","QUARANTINE")</x:f>
        <x:v>LOAD</x:v>
      </x:c>
      <x:c r="Y517" t="str">
        <x:v>03_Process_Losses(6).xlsx</x:v>
      </x:c>
      <x:c r="Z517" t="str">
        <x:v>ENH-20260830-01</x:v>
      </x:c>
      <x:c r="AA517" t="str">
        <x:f>IF(X517="LOAD","Active","Quarantine")</x:f>
        <x:v>Active</x:v>
      </x:c>
      <x:c r="AB517"/>
      <x:c r="AC517"/>
      <x:c r="AD517"/>
      <x:c r="AE517"/>
    </x:row>
    <x:row r="518">
      <x:c r="A518" t="str">
        <x:v>PLD-000514</x:v>
      </x:c>
      <x:c r="B518" t="str">
        <x:v>LOSS-KG01-L24-20251022-AM-ORD-2025-00125</x:v>
      </x:c>
      <x:c r="C518" t="str">
        <x:v>PE-KG01-L24-20251022-AM-ORD-2025-00125</x:v>
      </x:c>
      <x:c r="D518" t="str">
        <x:v>KG01</x:v>
      </x:c>
      <x:c r="E518" t="n">
        <x:v>24</x:v>
      </x:c>
      <x:c r="F518" s="52" t="n">
        <x:v>45952</x:v>
      </x:c>
      <x:c r="G518" t="str">
        <x:v>AM</x:v>
      </x:c>
      <x:c r="H518" t="str">
        <x:v>ORD-2025-00125</x:v>
      </x:c>
      <x:c r="I518" t="str">
        <x:v>Normal</x:v>
      </x:c>
      <x:c r="J518" t="str">
        <x:v>PROC_EVO5</x:v>
      </x:c>
      <x:c r="K518" t="str">
        <x:v>Inspection</x:v>
      </x:c>
      <x:c r="L518" s="54" t="n">
        <x:v>0.001342064999472407</x:v>
      </x:c>
      <x:c r="M518" t="n">
        <x:v>303264</x:v>
      </x:c>
      <x:c r="N518" t="n">
        <x:f>L518*M518</x:f>
        <x:v>407.00000000000006</x:v>
      </x:c>
      <x:c r="O518"/>
      <x:c r="P518"/>
      <x:c r="Q518"/>
      <x:c r="R518"/>
      <x:c r="S518" s="52"/>
      <x:c r="T518" t="str">
        <x:v>OK</x:v>
      </x:c>
      <x:c r="U518" t="str">
        <x:f>IF(AND(ISNUMBER(L518),L518&gt;=0,L518&lt;=1),"OK","CHECK")</x:f>
        <x:v>OK</x:v>
      </x:c>
      <x:c r="V518" t="str">
        <x:f>IF(AND(ISNUMBER(N518),N518&gt;=0),"OK","CHECK")</x:f>
        <x:v>OK</x:v>
      </x:c>
      <x:c r="W518" t="str">
        <x:f>IF(AND(T518="OK",U518="OK",V518="OK"),"OK","CHECK")</x:f>
        <x:v>OK</x:v>
      </x:c>
      <x:c r="X518" t="str">
        <x:f>IF(W518="OK","LOAD","QUARANTINE")</x:f>
        <x:v>LOAD</x:v>
      </x:c>
      <x:c r="Y518" t="str">
        <x:v>03_Process_Losses(6).xlsx</x:v>
      </x:c>
      <x:c r="Z518" t="str">
        <x:v>ENH-20260830-01</x:v>
      </x:c>
      <x:c r="AA518" t="str">
        <x:f>IF(X518="LOAD","Active","Quarantine")</x:f>
        <x:v>Active</x:v>
      </x:c>
      <x:c r="AB518"/>
      <x:c r="AC518"/>
      <x:c r="AD518"/>
      <x:c r="AE518"/>
    </x:row>
    <x:row r="519">
      <x:c r="A519" t="str">
        <x:v>PLD-000515</x:v>
      </x:c>
      <x:c r="B519" t="str">
        <x:v>LOSS-KG01-L24-20251022-AM-ORD-2025-00125</x:v>
      </x:c>
      <x:c r="C519" t="str">
        <x:v>PE-KG01-L24-20251022-AM-ORD-2025-00125</x:v>
      </x:c>
      <x:c r="D519" t="str">
        <x:v>KG01</x:v>
      </x:c>
      <x:c r="E519" t="n">
        <x:v>24</x:v>
      </x:c>
      <x:c r="F519" s="52" t="n">
        <x:v>45952</x:v>
      </x:c>
      <x:c r="G519" t="str">
        <x:v>AM</x:v>
      </x:c>
      <x:c r="H519" t="str">
        <x:v>ORD-2025-00125</x:v>
      </x:c>
      <x:c r="I519" t="str">
        <x:v>Normal</x:v>
      </x:c>
      <x:c r="J519" t="str">
        <x:v>PROC_SANLI</x:v>
      </x:c>
      <x:c r="K519" t="str">
        <x:v>Inspection</x:v>
      </x:c>
      <x:c r="L519" s="54" t="n">
        <x:v>0.001833386092645352</x:v>
      </x:c>
      <x:c r="M519" t="n">
        <x:v>303264</x:v>
      </x:c>
      <x:c r="N519" t="n">
        <x:f>L519*M519</x:f>
        <x:v>556</x:v>
      </x:c>
      <x:c r="O519"/>
      <x:c r="P519"/>
      <x:c r="Q519"/>
      <x:c r="R519"/>
      <x:c r="S519" s="52"/>
      <x:c r="T519" t="str">
        <x:v>OK</x:v>
      </x:c>
      <x:c r="U519" t="str">
        <x:f>IF(AND(ISNUMBER(L519),L519&gt;=0,L519&lt;=1),"OK","CHECK")</x:f>
        <x:v>OK</x:v>
      </x:c>
      <x:c r="V519" t="str">
        <x:f>IF(AND(ISNUMBER(N519),N519&gt;=0),"OK","CHECK")</x:f>
        <x:v>OK</x:v>
      </x:c>
      <x:c r="W519" t="str">
        <x:f>IF(AND(T519="OK",U519="OK",V519="OK"),"OK","CHECK")</x:f>
        <x:v>OK</x:v>
      </x:c>
      <x:c r="X519" t="str">
        <x:f>IF(W519="OK","LOAD","QUARANTINE")</x:f>
        <x:v>LOAD</x:v>
      </x:c>
      <x:c r="Y519" t="str">
        <x:v>03_Process_Losses(6).xlsx</x:v>
      </x:c>
      <x:c r="Z519" t="str">
        <x:v>ENH-20260830-01</x:v>
      </x:c>
      <x:c r="AA519" t="str">
        <x:f>IF(X519="LOAD","Active","Quarantine")</x:f>
        <x:v>Active</x:v>
      </x:c>
      <x:c r="AB519"/>
      <x:c r="AC519"/>
      <x:c r="AD519"/>
      <x:c r="AE519"/>
    </x:row>
    <x:row r="520">
      <x:c r="A520" t="str">
        <x:v>PLD-000516</x:v>
      </x:c>
      <x:c r="B520" t="str">
        <x:v>LOSS-KG01-L24-20251022-AM-ORD-2025-00125</x:v>
      </x:c>
      <x:c r="C520" t="str">
        <x:v>PE-KG01-L24-20251022-AM-ORD-2025-00125</x:v>
      </x:c>
      <x:c r="D520" t="str">
        <x:v>KG01</x:v>
      </x:c>
      <x:c r="E520" t="n">
        <x:v>24</x:v>
      </x:c>
      <x:c r="F520" s="52" t="n">
        <x:v>45952</x:v>
      </x:c>
      <x:c r="G520" t="str">
        <x:v>AM</x:v>
      </x:c>
      <x:c r="H520" t="str">
        <x:v>ORD-2025-00125</x:v>
      </x:c>
      <x:c r="I520" t="str">
        <x:v>Normal</x:v>
      </x:c>
      <x:c r="J520" t="str">
        <x:v>PROC_VISUAL</x:v>
      </x:c>
      <x:c r="K520" t="str">
        <x:v>Inspection</x:v>
      </x:c>
      <x:c r="L520" s="54" t="n">
        <x:v>0.0019389047166824944</x:v>
      </x:c>
      <x:c r="M520" t="n">
        <x:v>303264</x:v>
      </x:c>
      <x:c r="N520" t="n">
        <x:f>L520*M520</x:f>
        <x:v>588</x:v>
      </x:c>
      <x:c r="O520"/>
      <x:c r="P520"/>
      <x:c r="Q520"/>
      <x:c r="R520"/>
      <x:c r="S520" s="52"/>
      <x:c r="T520" t="str">
        <x:v>OK</x:v>
      </x:c>
      <x:c r="U520" t="str">
        <x:f>IF(AND(ISNUMBER(L520),L520&gt;=0,L520&lt;=1),"OK","CHECK")</x:f>
        <x:v>OK</x:v>
      </x:c>
      <x:c r="V520" t="str">
        <x:f>IF(AND(ISNUMBER(N520),N520&gt;=0),"OK","CHECK")</x:f>
        <x:v>OK</x:v>
      </x:c>
      <x:c r="W520" t="str">
        <x:f>IF(AND(T520="OK",U520="OK",V520="OK"),"OK","CHECK")</x:f>
        <x:v>OK</x:v>
      </x:c>
      <x:c r="X520" t="str">
        <x:f>IF(W520="OK","LOAD","QUARANTINE")</x:f>
        <x:v>LOAD</x:v>
      </x:c>
      <x:c r="Y520" t="str">
        <x:v>03_Process_Losses(6).xlsx</x:v>
      </x:c>
      <x:c r="Z520" t="str">
        <x:v>ENH-20260830-01</x:v>
      </x:c>
      <x:c r="AA520" t="str">
        <x:f>IF(X520="LOAD","Active","Quarantine")</x:f>
        <x:v>Active</x:v>
      </x:c>
      <x:c r="AB520"/>
      <x:c r="AC520"/>
      <x:c r="AD520"/>
      <x:c r="AE520"/>
    </x:row>
    <x:row r="521">
      <x:c r="A521" t="str">
        <x:v>PLD-000517</x:v>
      </x:c>
      <x:c r="B521" t="str">
        <x:v>LOSS-KG01-L24-20251022-AM-ORD-2025-00125</x:v>
      </x:c>
      <x:c r="C521" t="str">
        <x:v>PE-KG01-L24-20251022-AM-ORD-2025-00125</x:v>
      </x:c>
      <x:c r="D521" t="str">
        <x:v>KG01</x:v>
      </x:c>
      <x:c r="E521" t="n">
        <x:v>24</x:v>
      </x:c>
      <x:c r="F521" s="52" t="n">
        <x:v>45952</x:v>
      </x:c>
      <x:c r="G521" t="str">
        <x:v>AM</x:v>
      </x:c>
      <x:c r="H521" t="str">
        <x:v>ORD-2025-00125</x:v>
      </x:c>
      <x:c r="I521" t="str">
        <x:v>Normal</x:v>
      </x:c>
      <x:c r="J521" t="str">
        <x:v>PROC_PALLETIZER</x:v>
      </x:c>
      <x:c r="K521" t="str">
        <x:v>Palletizer</x:v>
      </x:c>
      <x:c r="L521" s="54" t="n">
        <x:v>0.001652025957581513</x:v>
      </x:c>
      <x:c r="M521" t="n">
        <x:v>303264</x:v>
      </x:c>
      <x:c r="N521" t="n">
        <x:f>L521*M521</x:f>
        <x:v>501</x:v>
      </x:c>
      <x:c r="O521"/>
      <x:c r="P521"/>
      <x:c r="Q521"/>
      <x:c r="R521"/>
      <x:c r="S521" s="52"/>
      <x:c r="T521" t="str">
        <x:v>OK</x:v>
      </x:c>
      <x:c r="U521" t="str">
        <x:f>IF(AND(ISNUMBER(L521),L521&gt;=0,L521&lt;=1),"OK","CHECK")</x:f>
        <x:v>OK</x:v>
      </x:c>
      <x:c r="V521" t="str">
        <x:f>IF(AND(ISNUMBER(N521),N521&gt;=0),"OK","CHECK")</x:f>
        <x:v>OK</x:v>
      </x:c>
      <x:c r="W521" t="str">
        <x:f>IF(AND(T521="OK",U521="OK",V521="OK"),"OK","CHECK")</x:f>
        <x:v>OK</x:v>
      </x:c>
      <x:c r="X521" t="str">
        <x:f>IF(W521="OK","LOAD","QUARANTINE")</x:f>
        <x:v>LOAD</x:v>
      </x:c>
      <x:c r="Y521" t="str">
        <x:v>03_Process_Losses(6).xlsx</x:v>
      </x:c>
      <x:c r="Z521" t="str">
        <x:v>ENH-20260830-01</x:v>
      </x:c>
      <x:c r="AA521" t="str">
        <x:f>IF(X521="LOAD","Active","Quarantine")</x:f>
        <x:v>Active</x:v>
      </x:c>
      <x:c r="AB521"/>
      <x:c r="AC521"/>
      <x:c r="AD521"/>
      <x:c r="AE521"/>
    </x:row>
    <x:row r="522">
      <x:c r="A522" t="str">
        <x:v>PLD-000518</x:v>
      </x:c>
      <x:c r="B522" t="str">
        <x:v>LOSS-KG01-L24-20251022-PM-ORD-2025-00125</x:v>
      </x:c>
      <x:c r="C522" t="str">
        <x:v>PE-KG01-L24-20251022-PM-ORD-2025-00125</x:v>
      </x:c>
      <x:c r="D522" t="str">
        <x:v>KG01</x:v>
      </x:c>
      <x:c r="E522" t="n">
        <x:v>24</x:v>
      </x:c>
      <x:c r="F522" s="52" t="n">
        <x:v>45952</x:v>
      </x:c>
      <x:c r="G522" t="str">
        <x:v>PM</x:v>
      </x:c>
      <x:c r="H522" t="str">
        <x:v>ORD-2025-00125</x:v>
      </x:c>
      <x:c r="I522" t="str">
        <x:v>Normal</x:v>
      </x:c>
      <x:c r="J522" t="str">
        <x:v>PROC_FIXED</x:v>
      </x:c>
      <x:c r="K522" t="str">
        <x:v>Fixed Losses</x:v>
      </x:c>
      <x:c r="L522" s="54" t="n">
        <x:v>0.004502141505362064</x:v>
      </x:c>
      <x:c r="M522" t="n">
        <x:v>301190</x:v>
      </x:c>
      <x:c r="N522" t="n">
        <x:f>L522*M522</x:f>
        <x:v>1356</x:v>
      </x:c>
      <x:c r="O522"/>
      <x:c r="P522"/>
      <x:c r="Q522"/>
      <x:c r="R522"/>
      <x:c r="S522" s="52"/>
      <x:c r="T522" t="str">
        <x:v>OK</x:v>
      </x:c>
      <x:c r="U522" t="str">
        <x:f>IF(AND(ISNUMBER(L522),L522&gt;=0,L522&lt;=1),"OK","CHECK")</x:f>
        <x:v>OK</x:v>
      </x:c>
      <x:c r="V522" t="str">
        <x:f>IF(AND(ISNUMBER(N522),N522&gt;=0),"OK","CHECK")</x:f>
        <x:v>OK</x:v>
      </x:c>
      <x:c r="W522" t="str">
        <x:f>IF(AND(T522="OK",U522="OK",V522="OK"),"OK","CHECK")</x:f>
        <x:v>OK</x:v>
      </x:c>
      <x:c r="X522" t="str">
        <x:f>IF(W522="OK","LOAD","QUARANTINE")</x:f>
        <x:v>LOAD</x:v>
      </x:c>
      <x:c r="Y522" t="str">
        <x:v>03_Process_Losses(6).xlsx</x:v>
      </x:c>
      <x:c r="Z522" t="str">
        <x:v>ENH-20260830-01</x:v>
      </x:c>
      <x:c r="AA522" t="str">
        <x:f>IF(X522="LOAD","Active","Quarantine")</x:f>
        <x:v>Active</x:v>
      </x:c>
      <x:c r="AB522"/>
      <x:c r="AC522"/>
      <x:c r="AD522"/>
      <x:c r="AE522"/>
    </x:row>
    <x:row r="523">
      <x:c r="A523" t="str">
        <x:v>PLD-000519</x:v>
      </x:c>
      <x:c r="B523" t="str">
        <x:v>LOSS-KG01-L24-20251022-PM-ORD-2025-00125</x:v>
      </x:c>
      <x:c r="C523" t="str">
        <x:v>PE-KG01-L24-20251022-PM-ORD-2025-00125</x:v>
      </x:c>
      <x:c r="D523" t="str">
        <x:v>KG01</x:v>
      </x:c>
      <x:c r="E523" t="n">
        <x:v>24</x:v>
      </x:c>
      <x:c r="F523" s="52" t="n">
        <x:v>45952</x:v>
      </x:c>
      <x:c r="G523" t="str">
        <x:v>PM</x:v>
      </x:c>
      <x:c r="H523" t="str">
        <x:v>ORD-2025-00125</x:v>
      </x:c>
      <x:c r="I523" t="str">
        <x:v>Normal</x:v>
      </x:c>
      <x:c r="J523" t="str">
        <x:v>PROC_IS</x:v>
      </x:c>
      <x:c r="K523" t="str">
        <x:v>IS Machine</x:v>
      </x:c>
      <x:c r="L523" s="54" t="n">
        <x:v>0.010352269331651117</x:v>
      </x:c>
      <x:c r="M523" t="n">
        <x:v>301190</x:v>
      </x:c>
      <x:c r="N523" t="n">
        <x:f>L523*M523</x:f>
        <x:v>3118</x:v>
      </x:c>
      <x:c r="O523"/>
      <x:c r="P523"/>
      <x:c r="Q523"/>
      <x:c r="R523"/>
      <x:c r="S523" s="52"/>
      <x:c r="T523" t="str">
        <x:v>OK</x:v>
      </x:c>
      <x:c r="U523" t="str">
        <x:f>IF(AND(ISNUMBER(L523),L523&gt;=0,L523&lt;=1),"OK","CHECK")</x:f>
        <x:v>OK</x:v>
      </x:c>
      <x:c r="V523" t="str">
        <x:f>IF(AND(ISNUMBER(N523),N523&gt;=0),"OK","CHECK")</x:f>
        <x:v>OK</x:v>
      </x:c>
      <x:c r="W523" t="str">
        <x:f>IF(AND(T523="OK",U523="OK",V523="OK"),"OK","CHECK")</x:f>
        <x:v>OK</x:v>
      </x:c>
      <x:c r="X523" t="str">
        <x:f>IF(W523="OK","LOAD","QUARANTINE")</x:f>
        <x:v>LOAD</x:v>
      </x:c>
      <x:c r="Y523" t="str">
        <x:v>03_Process_Losses(6).xlsx</x:v>
      </x:c>
      <x:c r="Z523" t="str">
        <x:v>ENH-20260830-01</x:v>
      </x:c>
      <x:c r="AA523" t="str">
        <x:f>IF(X523="LOAD","Active","Quarantine")</x:f>
        <x:v>Active</x:v>
      </x:c>
      <x:c r="AB523"/>
      <x:c r="AC523"/>
      <x:c r="AD523"/>
      <x:c r="AE523"/>
    </x:row>
    <x:row r="524">
      <x:c r="A524" t="str">
        <x:v>PLD-000520</x:v>
      </x:c>
      <x:c r="B524" t="str">
        <x:v>LOSS-KG01-L24-20251022-PM-ORD-2025-00125</x:v>
      </x:c>
      <x:c r="C524" t="str">
        <x:v>PE-KG01-L24-20251022-PM-ORD-2025-00125</x:v>
      </x:c>
      <x:c r="D524" t="str">
        <x:v>KG01</x:v>
      </x:c>
      <x:c r="E524" t="n">
        <x:v>24</x:v>
      </x:c>
      <x:c r="F524" s="52" t="n">
        <x:v>45952</x:v>
      </x:c>
      <x:c r="G524" t="str">
        <x:v>PM</x:v>
      </x:c>
      <x:c r="H524" t="str">
        <x:v>ORD-2025-00125</x:v>
      </x:c>
      <x:c r="I524" t="str">
        <x:v>Normal</x:v>
      </x:c>
      <x:c r="J524" t="str">
        <x:v>PROC_HE_CONVEYER</x:v>
      </x:c>
      <x:c r="K524" t="str">
        <x:v>Hot End</x:v>
      </x:c>
      <x:c r="L524" s="54" t="n">
        <x:v>0.003871310468475049</x:v>
      </x:c>
      <x:c r="M524" t="n">
        <x:v>301190</x:v>
      </x:c>
      <x:c r="N524" t="n">
        <x:f>L524*M524</x:f>
        <x:v>1166</x:v>
      </x:c>
      <x:c r="O524"/>
      <x:c r="P524"/>
      <x:c r="Q524"/>
      <x:c r="R524"/>
      <x:c r="S524" s="52"/>
      <x:c r="T524" t="str">
        <x:v>OK</x:v>
      </x:c>
      <x:c r="U524" t="str">
        <x:f>IF(AND(ISNUMBER(L524),L524&gt;=0,L524&lt;=1),"OK","CHECK")</x:f>
        <x:v>OK</x:v>
      </x:c>
      <x:c r="V524" t="str">
        <x:f>IF(AND(ISNUMBER(N524),N524&gt;=0),"OK","CHECK")</x:f>
        <x:v>OK</x:v>
      </x:c>
      <x:c r="W524" t="str">
        <x:f>IF(AND(T524="OK",U524="OK",V524="OK"),"OK","CHECK")</x:f>
        <x:v>OK</x:v>
      </x:c>
      <x:c r="X524" t="str">
        <x:f>IF(W524="OK","LOAD","QUARANTINE")</x:f>
        <x:v>LOAD</x:v>
      </x:c>
      <x:c r="Y524" t="str">
        <x:v>03_Process_Losses(6).xlsx</x:v>
      </x:c>
      <x:c r="Z524" t="str">
        <x:v>ENH-20260830-01</x:v>
      </x:c>
      <x:c r="AA524" t="str">
        <x:f>IF(X524="LOAD","Active","Quarantine")</x:f>
        <x:v>Active</x:v>
      </x:c>
      <x:c r="AB524"/>
      <x:c r="AC524"/>
      <x:c r="AD524"/>
      <x:c r="AE524"/>
    </x:row>
    <x:row r="525">
      <x:c r="A525" t="str">
        <x:v>PLD-000521</x:v>
      </x:c>
      <x:c r="B525" t="str">
        <x:v>LOSS-KG01-L24-20251022-PM-ORD-2025-00125</x:v>
      </x:c>
      <x:c r="C525" t="str">
        <x:v>PE-KG01-L24-20251022-PM-ORD-2025-00125</x:v>
      </x:c>
      <x:c r="D525" t="str">
        <x:v>KG01</x:v>
      </x:c>
      <x:c r="E525" t="n">
        <x:v>24</x:v>
      </x:c>
      <x:c r="F525" s="52" t="n">
        <x:v>45952</x:v>
      </x:c>
      <x:c r="G525" t="str">
        <x:v>PM</x:v>
      </x:c>
      <x:c r="H525" t="str">
        <x:v>ORD-2025-00125</x:v>
      </x:c>
      <x:c r="I525" t="str">
        <x:v>Normal</x:v>
      </x:c>
      <x:c r="J525" t="str">
        <x:v>PROC_STUCKDOWN</x:v>
      </x:c>
      <x:c r="K525" t="str">
        <x:v>Forming</x:v>
      </x:c>
      <x:c r="L525" s="54" t="n">
        <x:v>0.004429097911617251</x:v>
      </x:c>
      <x:c r="M525" t="n">
        <x:v>301190</x:v>
      </x:c>
      <x:c r="N525" t="n">
        <x:f>L525*M525</x:f>
        <x:v>1334</x:v>
      </x:c>
      <x:c r="O525"/>
      <x:c r="P525"/>
      <x:c r="Q525"/>
      <x:c r="R525"/>
      <x:c r="S525" s="52"/>
      <x:c r="T525" t="str">
        <x:v>OK</x:v>
      </x:c>
      <x:c r="U525" t="str">
        <x:f>IF(AND(ISNUMBER(L525),L525&gt;=0,L525&lt;=1),"OK","CHECK")</x:f>
        <x:v>OK</x:v>
      </x:c>
      <x:c r="V525" t="str">
        <x:f>IF(AND(ISNUMBER(N525),N525&gt;=0),"OK","CHECK")</x:f>
        <x:v>OK</x:v>
      </x:c>
      <x:c r="W525" t="str">
        <x:f>IF(AND(T525="OK",U525="OK",V525="OK"),"OK","CHECK")</x:f>
        <x:v>OK</x:v>
      </x:c>
      <x:c r="X525" t="str">
        <x:f>IF(W525="OK","LOAD","QUARANTINE")</x:f>
        <x:v>LOAD</x:v>
      </x:c>
      <x:c r="Y525" t="str">
        <x:v>03_Process_Losses(6).xlsx</x:v>
      </x:c>
      <x:c r="Z525" t="str">
        <x:v>ENH-20260830-01</x:v>
      </x:c>
      <x:c r="AA525" t="str">
        <x:f>IF(X525="LOAD","Active","Quarantine")</x:f>
        <x:v>Active</x:v>
      </x:c>
      <x:c r="AB525"/>
      <x:c r="AC525"/>
      <x:c r="AD525"/>
      <x:c r="AE525"/>
    </x:row>
    <x:row r="526">
      <x:c r="A526" t="str">
        <x:v>PLD-000522</x:v>
      </x:c>
      <x:c r="B526" t="str">
        <x:v>LOSS-KG01-L24-20251022-PM-ORD-2025-00125</x:v>
      </x:c>
      <x:c r="C526" t="str">
        <x:v>PE-KG01-L24-20251022-PM-ORD-2025-00125</x:v>
      </x:c>
      <x:c r="D526" t="str">
        <x:v>KG01</x:v>
      </x:c>
      <x:c r="E526" t="n">
        <x:v>24</x:v>
      </x:c>
      <x:c r="F526" s="52" t="n">
        <x:v>45952</x:v>
      </x:c>
      <x:c r="G526" t="str">
        <x:v>PM</x:v>
      </x:c>
      <x:c r="H526" t="str">
        <x:v>ORD-2025-00125</x:v>
      </x:c>
      <x:c r="I526" t="str">
        <x:v>Normal</x:v>
      </x:c>
      <x:c r="J526" t="str">
        <x:v>PROC_LEHR</x:v>
      </x:c>
      <x:c r="K526" t="str">
        <x:v>Lehr</x:v>
      </x:c>
      <x:c r="L526" s="54" t="n">
        <x:v>0.0017762873933397524</x:v>
      </x:c>
      <x:c r="M526" t="n">
        <x:v>301190</x:v>
      </x:c>
      <x:c r="N526" t="n">
        <x:f>L526*M526</x:f>
        <x:v>535</x:v>
      </x:c>
      <x:c r="O526"/>
      <x:c r="P526"/>
      <x:c r="Q526"/>
      <x:c r="R526"/>
      <x:c r="S526" s="52"/>
      <x:c r="T526" t="str">
        <x:v>OK</x:v>
      </x:c>
      <x:c r="U526" t="str">
        <x:f>IF(AND(ISNUMBER(L526),L526&gt;=0,L526&lt;=1),"OK","CHECK")</x:f>
        <x:v>OK</x:v>
      </x:c>
      <x:c r="V526" t="str">
        <x:f>IF(AND(ISNUMBER(N526),N526&gt;=0),"OK","CHECK")</x:f>
        <x:v>OK</x:v>
      </x:c>
      <x:c r="W526" t="str">
        <x:f>IF(AND(T526="OK",U526="OK",V526="OK"),"OK","CHECK")</x:f>
        <x:v>OK</x:v>
      </x:c>
      <x:c r="X526" t="str">
        <x:f>IF(W526="OK","LOAD","QUARANTINE")</x:f>
        <x:v>LOAD</x:v>
      </x:c>
      <x:c r="Y526" t="str">
        <x:v>03_Process_Losses(6).xlsx</x:v>
      </x:c>
      <x:c r="Z526" t="str">
        <x:v>ENH-20260830-01</x:v>
      </x:c>
      <x:c r="AA526" t="str">
        <x:f>IF(X526="LOAD","Active","Quarantine")</x:f>
        <x:v>Active</x:v>
      </x:c>
      <x:c r="AB526"/>
      <x:c r="AC526"/>
      <x:c r="AD526"/>
      <x:c r="AE526"/>
    </x:row>
    <x:row r="527">
      <x:c r="A527" t="str">
        <x:v>PLD-000523</x:v>
      </x:c>
      <x:c r="B527" t="str">
        <x:v>LOSS-KG01-L24-20251022-PM-ORD-2025-00125</x:v>
      </x:c>
      <x:c r="C527" t="str">
        <x:v>PE-KG01-L24-20251022-PM-ORD-2025-00125</x:v>
      </x:c>
      <x:c r="D527" t="str">
        <x:v>KG01</x:v>
      </x:c>
      <x:c r="E527" t="n">
        <x:v>24</x:v>
      </x:c>
      <x:c r="F527" s="52" t="n">
        <x:v>45952</x:v>
      </x:c>
      <x:c r="G527" t="str">
        <x:v>PM</x:v>
      </x:c>
      <x:c r="H527" t="str">
        <x:v>ORD-2025-00125</x:v>
      </x:c>
      <x:c r="I527" t="str">
        <x:v>Normal</x:v>
      </x:c>
      <x:c r="J527" t="str">
        <x:v>PROC_EVO16</x:v>
      </x:c>
      <x:c r="K527" t="str">
        <x:v>Inspection</x:v>
      </x:c>
      <x:c r="L527" s="54" t="n">
        <x:v>0.001706563962946977</x:v>
      </x:c>
      <x:c r="M527" t="n">
        <x:v>301190</x:v>
      </x:c>
      <x:c r="N527" t="n">
        <x:f>L527*M527</x:f>
        <x:v>514</x:v>
      </x:c>
      <x:c r="O527"/>
      <x:c r="P527"/>
      <x:c r="Q527"/>
      <x:c r="R527"/>
      <x:c r="S527" s="52"/>
      <x:c r="T527" t="str">
        <x:v>OK</x:v>
      </x:c>
      <x:c r="U527" t="str">
        <x:f>IF(AND(ISNUMBER(L527),L527&gt;=0,L527&lt;=1),"OK","CHECK")</x:f>
        <x:v>OK</x:v>
      </x:c>
      <x:c r="V527" t="str">
        <x:f>IF(AND(ISNUMBER(N527),N527&gt;=0),"OK","CHECK")</x:f>
        <x:v>OK</x:v>
      </x:c>
      <x:c r="W527" t="str">
        <x:f>IF(AND(T527="OK",U527="OK",V527="OK"),"OK","CHECK")</x:f>
        <x:v>OK</x:v>
      </x:c>
      <x:c r="X527" t="str">
        <x:f>IF(W527="OK","LOAD","QUARANTINE")</x:f>
        <x:v>LOAD</x:v>
      </x:c>
      <x:c r="Y527" t="str">
        <x:v>03_Process_Losses(6).xlsx</x:v>
      </x:c>
      <x:c r="Z527" t="str">
        <x:v>ENH-20260830-01</x:v>
      </x:c>
      <x:c r="AA527" t="str">
        <x:f>IF(X527="LOAD","Active","Quarantine")</x:f>
        <x:v>Active</x:v>
      </x:c>
      <x:c r="AB527"/>
      <x:c r="AC527"/>
      <x:c r="AD527"/>
      <x:c r="AE527"/>
    </x:row>
    <x:row r="528">
      <x:c r="A528" t="str">
        <x:v>PLD-000524</x:v>
      </x:c>
      <x:c r="B528" t="str">
        <x:v>LOSS-KG01-L24-20251022-PM-ORD-2025-00125</x:v>
      </x:c>
      <x:c r="C528" t="str">
        <x:v>PE-KG01-L24-20251022-PM-ORD-2025-00125</x:v>
      </x:c>
      <x:c r="D528" t="str">
        <x:v>KG01</x:v>
      </x:c>
      <x:c r="E528" t="n">
        <x:v>24</x:v>
      </x:c>
      <x:c r="F528" s="52" t="n">
        <x:v>45952</x:v>
      </x:c>
      <x:c r="G528" t="str">
        <x:v>PM</x:v>
      </x:c>
      <x:c r="H528" t="str">
        <x:v>ORD-2025-00125</x:v>
      </x:c>
      <x:c r="I528" t="str">
        <x:v>Normal</x:v>
      </x:c>
      <x:c r="J528" t="str">
        <x:v>PROC_EVO12</x:v>
      </x:c>
      <x:c r="K528" t="str">
        <x:v>Inspection</x:v>
      </x:c>
      <x:c r="L528" s="54" t="n">
        <x:v>0.00100268933231515</x:v>
      </x:c>
      <x:c r="M528" t="n">
        <x:v>301190</x:v>
      </x:c>
      <x:c r="N528" t="n">
        <x:f>L528*M528</x:f>
        <x:v>302</x:v>
      </x:c>
      <x:c r="O528"/>
      <x:c r="P528"/>
      <x:c r="Q528"/>
      <x:c r="R528"/>
      <x:c r="S528" s="52"/>
      <x:c r="T528" t="str">
        <x:v>OK</x:v>
      </x:c>
      <x:c r="U528" t="str">
        <x:f>IF(AND(ISNUMBER(L528),L528&gt;=0,L528&lt;=1),"OK","CHECK")</x:f>
        <x:v>OK</x:v>
      </x:c>
      <x:c r="V528" t="str">
        <x:f>IF(AND(ISNUMBER(N528),N528&gt;=0),"OK","CHECK")</x:f>
        <x:v>OK</x:v>
      </x:c>
      <x:c r="W528" t="str">
        <x:f>IF(AND(T528="OK",U528="OK",V528="OK"),"OK","CHECK")</x:f>
        <x:v>OK</x:v>
      </x:c>
      <x:c r="X528" t="str">
        <x:f>IF(W528="OK","LOAD","QUARANTINE")</x:f>
        <x:v>LOAD</x:v>
      </x:c>
      <x:c r="Y528" t="str">
        <x:v>03_Process_Losses(6).xlsx</x:v>
      </x:c>
      <x:c r="Z528" t="str">
        <x:v>ENH-20260830-01</x:v>
      </x:c>
      <x:c r="AA528" t="str">
        <x:f>IF(X528="LOAD","Active","Quarantine")</x:f>
        <x:v>Active</x:v>
      </x:c>
      <x:c r="AB528"/>
      <x:c r="AC528"/>
      <x:c r="AD528"/>
      <x:c r="AE528"/>
    </x:row>
    <x:row r="529">
      <x:c r="A529" t="str">
        <x:v>PLD-000525</x:v>
      </x:c>
      <x:c r="B529" t="str">
        <x:v>LOSS-KG01-L24-20251022-PM-ORD-2025-00125</x:v>
      </x:c>
      <x:c r="C529" t="str">
        <x:v>PE-KG01-L24-20251022-PM-ORD-2025-00125</x:v>
      </x:c>
      <x:c r="D529" t="str">
        <x:v>KG01</x:v>
      </x:c>
      <x:c r="E529" t="n">
        <x:v>24</x:v>
      </x:c>
      <x:c r="F529" s="52" t="n">
        <x:v>45952</x:v>
      </x:c>
      <x:c r="G529" t="str">
        <x:v>PM</x:v>
      </x:c>
      <x:c r="H529" t="str">
        <x:v>ORD-2025-00125</x:v>
      </x:c>
      <x:c r="I529" t="str">
        <x:v>Normal</x:v>
      </x:c>
      <x:c r="J529" t="str">
        <x:v>PROC_EVO5</x:v>
      </x:c>
      <x:c r="K529" t="str">
        <x:v>Inspection</x:v>
      </x:c>
      <x:c r="L529" s="54" t="n">
        <x:v>0.0019090939274212292</x:v>
      </x:c>
      <x:c r="M529" t="n">
        <x:v>301190</x:v>
      </x:c>
      <x:c r="N529" t="n">
        <x:f>L529*M529</x:f>
        <x:v>575</x:v>
      </x:c>
      <x:c r="O529"/>
      <x:c r="P529"/>
      <x:c r="Q529"/>
      <x:c r="R529"/>
      <x:c r="S529" s="52"/>
      <x:c r="T529" t="str">
        <x:v>OK</x:v>
      </x:c>
      <x:c r="U529" t="str">
        <x:f>IF(AND(ISNUMBER(L529),L529&gt;=0,L529&lt;=1),"OK","CHECK")</x:f>
        <x:v>OK</x:v>
      </x:c>
      <x:c r="V529" t="str">
        <x:f>IF(AND(ISNUMBER(N529),N529&gt;=0),"OK","CHECK")</x:f>
        <x:v>OK</x:v>
      </x:c>
      <x:c r="W529" t="str">
        <x:f>IF(AND(T529="OK",U529="OK",V529="OK"),"OK","CHECK")</x:f>
        <x:v>OK</x:v>
      </x:c>
      <x:c r="X529" t="str">
        <x:f>IF(W529="OK","LOAD","QUARANTINE")</x:f>
        <x:v>LOAD</x:v>
      </x:c>
      <x:c r="Y529" t="str">
        <x:v>03_Process_Losses(6).xlsx</x:v>
      </x:c>
      <x:c r="Z529" t="str">
        <x:v>ENH-20260830-01</x:v>
      </x:c>
      <x:c r="AA529" t="str">
        <x:f>IF(X529="LOAD","Active","Quarantine")</x:f>
        <x:v>Active</x:v>
      </x:c>
      <x:c r="AB529"/>
      <x:c r="AC529"/>
      <x:c r="AD529"/>
      <x:c r="AE529"/>
    </x:row>
    <x:row r="530">
      <x:c r="A530" t="str">
        <x:v>PLD-000526</x:v>
      </x:c>
      <x:c r="B530" t="str">
        <x:v>LOSS-KG01-L24-20251022-PM-ORD-2025-00125</x:v>
      </x:c>
      <x:c r="C530" t="str">
        <x:v>PE-KG01-L24-20251022-PM-ORD-2025-00125</x:v>
      </x:c>
      <x:c r="D530" t="str">
        <x:v>KG01</x:v>
      </x:c>
      <x:c r="E530" t="n">
        <x:v>24</x:v>
      </x:c>
      <x:c r="F530" s="52" t="n">
        <x:v>45952</x:v>
      </x:c>
      <x:c r="G530" t="str">
        <x:v>PM</x:v>
      </x:c>
      <x:c r="H530" t="str">
        <x:v>ORD-2025-00125</x:v>
      </x:c>
      <x:c r="I530" t="str">
        <x:v>Normal</x:v>
      </x:c>
      <x:c r="J530" t="str">
        <x:v>PROC_SANLI</x:v>
      </x:c>
      <x:c r="K530" t="str">
        <x:v>Inspection</x:v>
      </x:c>
      <x:c r="L530" s="54" t="n">
        <x:v>0.0036986619741691293</x:v>
      </x:c>
      <x:c r="M530" t="n">
        <x:v>301190</x:v>
      </x:c>
      <x:c r="N530" t="n">
        <x:f>L530*M530</x:f>
        <x:v>1114</x:v>
      </x:c>
      <x:c r="O530"/>
      <x:c r="P530"/>
      <x:c r="Q530"/>
      <x:c r="R530"/>
      <x:c r="S530" s="52"/>
      <x:c r="T530" t="str">
        <x:v>OK</x:v>
      </x:c>
      <x:c r="U530" t="str">
        <x:f>IF(AND(ISNUMBER(L530),L530&gt;=0,L530&lt;=1),"OK","CHECK")</x:f>
        <x:v>OK</x:v>
      </x:c>
      <x:c r="V530" t="str">
        <x:f>IF(AND(ISNUMBER(N530),N530&gt;=0),"OK","CHECK")</x:f>
        <x:v>OK</x:v>
      </x:c>
      <x:c r="W530" t="str">
        <x:f>IF(AND(T530="OK",U530="OK",V530="OK"),"OK","CHECK")</x:f>
        <x:v>OK</x:v>
      </x:c>
      <x:c r="X530" t="str">
        <x:f>IF(W530="OK","LOAD","QUARANTINE")</x:f>
        <x:v>LOAD</x:v>
      </x:c>
      <x:c r="Y530" t="str">
        <x:v>03_Process_Losses(6).xlsx</x:v>
      </x:c>
      <x:c r="Z530" t="str">
        <x:v>ENH-20260830-01</x:v>
      </x:c>
      <x:c r="AA530" t="str">
        <x:f>IF(X530="LOAD","Active","Quarantine")</x:f>
        <x:v>Active</x:v>
      </x:c>
      <x:c r="AB530"/>
      <x:c r="AC530"/>
      <x:c r="AD530"/>
      <x:c r="AE530"/>
    </x:row>
    <x:row r="531">
      <x:c r="A531" t="str">
        <x:v>PLD-000527</x:v>
      </x:c>
      <x:c r="B531" t="str">
        <x:v>LOSS-KG01-L24-20251022-PM-ORD-2025-00125</x:v>
      </x:c>
      <x:c r="C531" t="str">
        <x:v>PE-KG01-L24-20251022-PM-ORD-2025-00125</x:v>
      </x:c>
      <x:c r="D531" t="str">
        <x:v>KG01</x:v>
      </x:c>
      <x:c r="E531" t="n">
        <x:v>24</x:v>
      </x:c>
      <x:c r="F531" s="52" t="n">
        <x:v>45952</x:v>
      </x:c>
      <x:c r="G531" t="str">
        <x:v>PM</x:v>
      </x:c>
      <x:c r="H531" t="str">
        <x:v>ORD-2025-00125</x:v>
      </x:c>
      <x:c r="I531" t="str">
        <x:v>Normal</x:v>
      </x:c>
      <x:c r="J531" t="str">
        <x:v>PROC_VISUAL</x:v>
      </x:c>
      <x:c r="K531" t="str">
        <x:v>Inspection</x:v>
      </x:c>
      <x:c r="L531" s="54" t="n">
        <x:v>0.004983565191407417</x:v>
      </x:c>
      <x:c r="M531" t="n">
        <x:v>301190</x:v>
      </x:c>
      <x:c r="N531" t="n">
        <x:f>L531*M531</x:f>
        <x:v>1501</x:v>
      </x:c>
      <x:c r="O531"/>
      <x:c r="P531"/>
      <x:c r="Q531"/>
      <x:c r="R531"/>
      <x:c r="S531" s="52"/>
      <x:c r="T531" t="str">
        <x:v>OK</x:v>
      </x:c>
      <x:c r="U531" t="str">
        <x:f>IF(AND(ISNUMBER(L531),L531&gt;=0,L531&lt;=1),"OK","CHECK")</x:f>
        <x:v>OK</x:v>
      </x:c>
      <x:c r="V531" t="str">
        <x:f>IF(AND(ISNUMBER(N531),N531&gt;=0),"OK","CHECK")</x:f>
        <x:v>OK</x:v>
      </x:c>
      <x:c r="W531" t="str">
        <x:f>IF(AND(T531="OK",U531="OK",V531="OK"),"OK","CHECK")</x:f>
        <x:v>OK</x:v>
      </x:c>
      <x:c r="X531" t="str">
        <x:f>IF(W531="OK","LOAD","QUARANTINE")</x:f>
        <x:v>LOAD</x:v>
      </x:c>
      <x:c r="Y531" t="str">
        <x:v>03_Process_Losses(6).xlsx</x:v>
      </x:c>
      <x:c r="Z531" t="str">
        <x:v>ENH-20260830-01</x:v>
      </x:c>
      <x:c r="AA531" t="str">
        <x:f>IF(X531="LOAD","Active","Quarantine")</x:f>
        <x:v>Active</x:v>
      </x:c>
      <x:c r="AB531"/>
      <x:c r="AC531"/>
      <x:c r="AD531"/>
      <x:c r="AE531"/>
    </x:row>
    <x:row r="532">
      <x:c r="A532" t="str">
        <x:v>PLD-000528</x:v>
      </x:c>
      <x:c r="B532" t="str">
        <x:v>LOSS-KG01-L24-20251022-PM-ORD-2025-00125</x:v>
      </x:c>
      <x:c r="C532" t="str">
        <x:v>PE-KG01-L24-20251022-PM-ORD-2025-00125</x:v>
      </x:c>
      <x:c r="D532" t="str">
        <x:v>KG01</x:v>
      </x:c>
      <x:c r="E532" t="n">
        <x:v>24</x:v>
      </x:c>
      <x:c r="F532" s="52" t="n">
        <x:v>45952</x:v>
      </x:c>
      <x:c r="G532" t="str">
        <x:v>PM</x:v>
      </x:c>
      <x:c r="H532" t="str">
        <x:v>ORD-2025-00125</x:v>
      </x:c>
      <x:c r="I532" t="str">
        <x:v>Normal</x:v>
      </x:c>
      <x:c r="J532" t="str">
        <x:v>PROC_PALLETIZER</x:v>
      </x:c>
      <x:c r="K532" t="str">
        <x:v>Palletizer</x:v>
      </x:c>
      <x:c r="L532" s="54" t="n">
        <x:v>0.003356685148909326</x:v>
      </x:c>
      <x:c r="M532" t="n">
        <x:v>301190</x:v>
      </x:c>
      <x:c r="N532" t="n">
        <x:f>L532*M532</x:f>
        <x:v>1011</x:v>
      </x:c>
      <x:c r="O532"/>
      <x:c r="P532"/>
      <x:c r="Q532"/>
      <x:c r="R532"/>
      <x:c r="S532" s="52"/>
      <x:c r="T532" t="str">
        <x:v>OK</x:v>
      </x:c>
      <x:c r="U532" t="str">
        <x:f>IF(AND(ISNUMBER(L532),L532&gt;=0,L532&lt;=1),"OK","CHECK")</x:f>
        <x:v>OK</x:v>
      </x:c>
      <x:c r="V532" t="str">
        <x:f>IF(AND(ISNUMBER(N532),N532&gt;=0),"OK","CHECK")</x:f>
        <x:v>OK</x:v>
      </x:c>
      <x:c r="W532" t="str">
        <x:f>IF(AND(T532="OK",U532="OK",V532="OK"),"OK","CHECK")</x:f>
        <x:v>OK</x:v>
      </x:c>
      <x:c r="X532" t="str">
        <x:f>IF(W532="OK","LOAD","QUARANTINE")</x:f>
        <x:v>LOAD</x:v>
      </x:c>
      <x:c r="Y532" t="str">
        <x:v>03_Process_Losses(6).xlsx</x:v>
      </x:c>
      <x:c r="Z532" t="str">
        <x:v>ENH-20260830-01</x:v>
      </x:c>
      <x:c r="AA532" t="str">
        <x:f>IF(X532="LOAD","Active","Quarantine")</x:f>
        <x:v>Active</x:v>
      </x:c>
      <x:c r="AB532"/>
      <x:c r="AC532"/>
      <x:c r="AD532"/>
      <x:c r="AE532"/>
    </x:row>
    <x:row r="533">
      <x:c r="A533" t="str">
        <x:v>PLD-000529</x:v>
      </x:c>
      <x:c r="B533" t="str">
        <x:v>LOSS-KG01-L24-20251023-AM-ORD-2025-00125</x:v>
      </x:c>
      <x:c r="C533" t="str">
        <x:v>PE-KG01-L24-20251023-AM-ORD-2025-00125</x:v>
      </x:c>
      <x:c r="D533" t="str">
        <x:v>KG01</x:v>
      </x:c>
      <x:c r="E533" t="n">
        <x:v>24</x:v>
      </x:c>
      <x:c r="F533" s="52" t="n">
        <x:v>45953</x:v>
      </x:c>
      <x:c r="G533" t="str">
        <x:v>AM</x:v>
      </x:c>
      <x:c r="H533" t="str">
        <x:v>ORD-2025-00125</x:v>
      </x:c>
      <x:c r="I533" t="str">
        <x:v>Normal</x:v>
      </x:c>
      <x:c r="J533" t="str">
        <x:v>PROC_FIXED</x:v>
      </x:c>
      <x:c r="K533" t="str">
        <x:v>Fixed Losses</x:v>
      </x:c>
      <x:c r="L533" s="54" t="n">
        <x:v>0.006081893473789572</x:v>
      </x:c>
      <x:c r="M533" t="n">
        <x:v>327694</x:v>
      </x:c>
      <x:c r="N533" t="n">
        <x:f>L533*M533</x:f>
        <x:v>1993.0000000000002</x:v>
      </x:c>
      <x:c r="O533"/>
      <x:c r="P533"/>
      <x:c r="Q533"/>
      <x:c r="R533"/>
      <x:c r="S533" s="52"/>
      <x:c r="T533" t="str">
        <x:v>OK</x:v>
      </x:c>
      <x:c r="U533" t="str">
        <x:f>IF(AND(ISNUMBER(L533),L533&gt;=0,L533&lt;=1),"OK","CHECK")</x:f>
        <x:v>OK</x:v>
      </x:c>
      <x:c r="V533" t="str">
        <x:f>IF(AND(ISNUMBER(N533),N533&gt;=0),"OK","CHECK")</x:f>
        <x:v>OK</x:v>
      </x:c>
      <x:c r="W533" t="str">
        <x:f>IF(AND(T533="OK",U533="OK",V533="OK"),"OK","CHECK")</x:f>
        <x:v>OK</x:v>
      </x:c>
      <x:c r="X533" t="str">
        <x:f>IF(W533="OK","LOAD","QUARANTINE")</x:f>
        <x:v>LOAD</x:v>
      </x:c>
      <x:c r="Y533" t="str">
        <x:v>03_Process_Losses(6).xlsx</x:v>
      </x:c>
      <x:c r="Z533" t="str">
        <x:v>ENH-20260830-01</x:v>
      </x:c>
      <x:c r="AA533" t="str">
        <x:f>IF(X533="LOAD","Active","Quarantine")</x:f>
        <x:v>Active</x:v>
      </x:c>
      <x:c r="AB533"/>
      <x:c r="AC533"/>
      <x:c r="AD533"/>
      <x:c r="AE533"/>
    </x:row>
    <x:row r="534">
      <x:c r="A534" t="str">
        <x:v>PLD-000530</x:v>
      </x:c>
      <x:c r="B534" t="str">
        <x:v>LOSS-KG01-L24-20251023-AM-ORD-2025-00125</x:v>
      </x:c>
      <x:c r="C534" t="str">
        <x:v>PE-KG01-L24-20251023-AM-ORD-2025-00125</x:v>
      </x:c>
      <x:c r="D534" t="str">
        <x:v>KG01</x:v>
      </x:c>
      <x:c r="E534" t="n">
        <x:v>24</x:v>
      </x:c>
      <x:c r="F534" s="52" t="n">
        <x:v>45953</x:v>
      </x:c>
      <x:c r="G534" t="str">
        <x:v>AM</x:v>
      </x:c>
      <x:c r="H534" t="str">
        <x:v>ORD-2025-00125</x:v>
      </x:c>
      <x:c r="I534" t="str">
        <x:v>Normal</x:v>
      </x:c>
      <x:c r="J534" t="str">
        <x:v>PROC_IS</x:v>
      </x:c>
      <x:c r="K534" t="str">
        <x:v>IS Machine</x:v>
      </x:c>
      <x:c r="L534" s="54" t="n">
        <x:v>0.009963563568451055</x:v>
      </x:c>
      <x:c r="M534" t="n">
        <x:v>327694</x:v>
      </x:c>
      <x:c r="N534" t="n">
        <x:f>L534*M534</x:f>
        <x:v>3265</x:v>
      </x:c>
      <x:c r="O534"/>
      <x:c r="P534"/>
      <x:c r="Q534"/>
      <x:c r="R534"/>
      <x:c r="S534" s="52"/>
      <x:c r="T534" t="str">
        <x:v>OK</x:v>
      </x:c>
      <x:c r="U534" t="str">
        <x:f>IF(AND(ISNUMBER(L534),L534&gt;=0,L534&lt;=1),"OK","CHECK")</x:f>
        <x:v>OK</x:v>
      </x:c>
      <x:c r="V534" t="str">
        <x:f>IF(AND(ISNUMBER(N534),N534&gt;=0),"OK","CHECK")</x:f>
        <x:v>OK</x:v>
      </x:c>
      <x:c r="W534" t="str">
        <x:f>IF(AND(T534="OK",U534="OK",V534="OK"),"OK","CHECK")</x:f>
        <x:v>OK</x:v>
      </x:c>
      <x:c r="X534" t="str">
        <x:f>IF(W534="OK","LOAD","QUARANTINE")</x:f>
        <x:v>LOAD</x:v>
      </x:c>
      <x:c r="Y534" t="str">
        <x:v>03_Process_Losses(6).xlsx</x:v>
      </x:c>
      <x:c r="Z534" t="str">
        <x:v>ENH-20260830-01</x:v>
      </x:c>
      <x:c r="AA534" t="str">
        <x:f>IF(X534="LOAD","Active","Quarantine")</x:f>
        <x:v>Active</x:v>
      </x:c>
      <x:c r="AB534"/>
      <x:c r="AC534"/>
      <x:c r="AD534"/>
      <x:c r="AE534"/>
    </x:row>
    <x:row r="535">
      <x:c r="A535" t="str">
        <x:v>PLD-000531</x:v>
      </x:c>
      <x:c r="B535" t="str">
        <x:v>LOSS-KG01-L24-20251023-AM-ORD-2025-00125</x:v>
      </x:c>
      <x:c r="C535" t="str">
        <x:v>PE-KG01-L24-20251023-AM-ORD-2025-00125</x:v>
      </x:c>
      <x:c r="D535" t="str">
        <x:v>KG01</x:v>
      </x:c>
      <x:c r="E535" t="n">
        <x:v>24</x:v>
      </x:c>
      <x:c r="F535" s="52" t="n">
        <x:v>45953</x:v>
      </x:c>
      <x:c r="G535" t="str">
        <x:v>AM</x:v>
      </x:c>
      <x:c r="H535" t="str">
        <x:v>ORD-2025-00125</x:v>
      </x:c>
      <x:c r="I535" t="str">
        <x:v>Normal</x:v>
      </x:c>
      <x:c r="J535" t="str">
        <x:v>PROC_HE_CONVEYER</x:v>
      </x:c>
      <x:c r="K535" t="str">
        <x:v>Hot End</x:v>
      </x:c>
      <x:c r="L535" s="54" t="n">
        <x:v>0.0033384804116035082</x:v>
      </x:c>
      <x:c r="M535" t="n">
        <x:v>327694</x:v>
      </x:c>
      <x:c r="N535" t="n">
        <x:f>L535*M535</x:f>
        <x:v>1094</x:v>
      </x:c>
      <x:c r="O535"/>
      <x:c r="P535"/>
      <x:c r="Q535"/>
      <x:c r="R535"/>
      <x:c r="S535" s="52"/>
      <x:c r="T535" t="str">
        <x:v>OK</x:v>
      </x:c>
      <x:c r="U535" t="str">
        <x:f>IF(AND(ISNUMBER(L535),L535&gt;=0,L535&lt;=1),"OK","CHECK")</x:f>
        <x:v>OK</x:v>
      </x:c>
      <x:c r="V535" t="str">
        <x:f>IF(AND(ISNUMBER(N535),N535&gt;=0),"OK","CHECK")</x:f>
        <x:v>OK</x:v>
      </x:c>
      <x:c r="W535" t="str">
        <x:f>IF(AND(T535="OK",U535="OK",V535="OK"),"OK","CHECK")</x:f>
        <x:v>OK</x:v>
      </x:c>
      <x:c r="X535" t="str">
        <x:f>IF(W535="OK","LOAD","QUARANTINE")</x:f>
        <x:v>LOAD</x:v>
      </x:c>
      <x:c r="Y535" t="str">
        <x:v>03_Process_Losses(6).xlsx</x:v>
      </x:c>
      <x:c r="Z535" t="str">
        <x:v>ENH-20260830-01</x:v>
      </x:c>
      <x:c r="AA535" t="str">
        <x:f>IF(X535="LOAD","Active","Quarantine")</x:f>
        <x:v>Active</x:v>
      </x:c>
      <x:c r="AB535"/>
      <x:c r="AC535"/>
      <x:c r="AD535"/>
      <x:c r="AE535"/>
    </x:row>
    <x:row r="536">
      <x:c r="A536" t="str">
        <x:v>PLD-000532</x:v>
      </x:c>
      <x:c r="B536" t="str">
        <x:v>LOSS-KG01-L24-20251023-AM-ORD-2025-00125</x:v>
      </x:c>
      <x:c r="C536" t="str">
        <x:v>PE-KG01-L24-20251023-AM-ORD-2025-00125</x:v>
      </x:c>
      <x:c r="D536" t="str">
        <x:v>KG01</x:v>
      </x:c>
      <x:c r="E536" t="n">
        <x:v>24</x:v>
      </x:c>
      <x:c r="F536" s="52" t="n">
        <x:v>45953</x:v>
      </x:c>
      <x:c r="G536" t="str">
        <x:v>AM</x:v>
      </x:c>
      <x:c r="H536" t="str">
        <x:v>ORD-2025-00125</x:v>
      </x:c>
      <x:c r="I536" t="str">
        <x:v>Normal</x:v>
      </x:c>
      <x:c r="J536" t="str">
        <x:v>PROC_STUCKDOWN</x:v>
      </x:c>
      <x:c r="K536" t="str">
        <x:v>Forming</x:v>
      </x:c>
      <x:c r="L536" s="54" t="n">
        <x:v>0.00313402137359854</x:v>
      </x:c>
      <x:c r="M536" t="n">
        <x:v>327694</x:v>
      </x:c>
      <x:c r="N536" t="n">
        <x:f>L536*M536</x:f>
        <x:v>1027</x:v>
      </x:c>
      <x:c r="O536"/>
      <x:c r="P536"/>
      <x:c r="Q536"/>
      <x:c r="R536"/>
      <x:c r="S536" s="52"/>
      <x:c r="T536" t="str">
        <x:v>OK</x:v>
      </x:c>
      <x:c r="U536" t="str">
        <x:f>IF(AND(ISNUMBER(L536),L536&gt;=0,L536&lt;=1),"OK","CHECK")</x:f>
        <x:v>OK</x:v>
      </x:c>
      <x:c r="V536" t="str">
        <x:f>IF(AND(ISNUMBER(N536),N536&gt;=0),"OK","CHECK")</x:f>
        <x:v>OK</x:v>
      </x:c>
      <x:c r="W536" t="str">
        <x:f>IF(AND(T536="OK",U536="OK",V536="OK"),"OK","CHECK")</x:f>
        <x:v>OK</x:v>
      </x:c>
      <x:c r="X536" t="str">
        <x:f>IF(W536="OK","LOAD","QUARANTINE")</x:f>
        <x:v>LOAD</x:v>
      </x:c>
      <x:c r="Y536" t="str">
        <x:v>03_Process_Losses(6).xlsx</x:v>
      </x:c>
      <x:c r="Z536" t="str">
        <x:v>ENH-20260830-01</x:v>
      </x:c>
      <x:c r="AA536" t="str">
        <x:f>IF(X536="LOAD","Active","Quarantine")</x:f>
        <x:v>Active</x:v>
      </x:c>
      <x:c r="AB536"/>
      <x:c r="AC536"/>
      <x:c r="AD536"/>
      <x:c r="AE536"/>
    </x:row>
    <x:row r="537">
      <x:c r="A537" t="str">
        <x:v>PLD-000533</x:v>
      </x:c>
      <x:c r="B537" t="str">
        <x:v>LOSS-KG01-L24-20251023-AM-ORD-2025-00125</x:v>
      </x:c>
      <x:c r="C537" t="str">
        <x:v>PE-KG01-L24-20251023-AM-ORD-2025-00125</x:v>
      </x:c>
      <x:c r="D537" t="str">
        <x:v>KG01</x:v>
      </x:c>
      <x:c r="E537" t="n">
        <x:v>24</x:v>
      </x:c>
      <x:c r="F537" s="52" t="n">
        <x:v>45953</x:v>
      </x:c>
      <x:c r="G537" t="str">
        <x:v>AM</x:v>
      </x:c>
      <x:c r="H537" t="str">
        <x:v>ORD-2025-00125</x:v>
      </x:c>
      <x:c r="I537" t="str">
        <x:v>Normal</x:v>
      </x:c>
      <x:c r="J537" t="str">
        <x:v>PROC_LEHR</x:v>
      </x:c>
      <x:c r="K537" t="str">
        <x:v>Lehr</x:v>
      </x:c>
      <x:c r="L537" s="54" t="n">
        <x:v>0.0029661818647884917</x:v>
      </x:c>
      <x:c r="M537" t="n">
        <x:v>327694</x:v>
      </x:c>
      <x:c r="N537" t="n">
        <x:f>L537*M537</x:f>
        <x:v>972</x:v>
      </x:c>
      <x:c r="O537"/>
      <x:c r="P537"/>
      <x:c r="Q537"/>
      <x:c r="R537"/>
      <x:c r="S537" s="52"/>
      <x:c r="T537" t="str">
        <x:v>OK</x:v>
      </x:c>
      <x:c r="U537" t="str">
        <x:f>IF(AND(ISNUMBER(L537),L537&gt;=0,L537&lt;=1),"OK","CHECK")</x:f>
        <x:v>OK</x:v>
      </x:c>
      <x:c r="V537" t="str">
        <x:f>IF(AND(ISNUMBER(N537),N537&gt;=0),"OK","CHECK")</x:f>
        <x:v>OK</x:v>
      </x:c>
      <x:c r="W537" t="str">
        <x:f>IF(AND(T537="OK",U537="OK",V537="OK"),"OK","CHECK")</x:f>
        <x:v>OK</x:v>
      </x:c>
      <x:c r="X537" t="str">
        <x:f>IF(W537="OK","LOAD","QUARANTINE")</x:f>
        <x:v>LOAD</x:v>
      </x:c>
      <x:c r="Y537" t="str">
        <x:v>03_Process_Losses(6).xlsx</x:v>
      </x:c>
      <x:c r="Z537" t="str">
        <x:v>ENH-20260830-01</x:v>
      </x:c>
      <x:c r="AA537" t="str">
        <x:f>IF(X537="LOAD","Active","Quarantine")</x:f>
        <x:v>Active</x:v>
      </x:c>
      <x:c r="AB537"/>
      <x:c r="AC537"/>
      <x:c r="AD537"/>
      <x:c r="AE537"/>
    </x:row>
    <x:row r="538">
      <x:c r="A538" t="str">
        <x:v>PLD-000534</x:v>
      </x:c>
      <x:c r="B538" t="str">
        <x:v>LOSS-KG01-L24-20251023-AM-ORD-2025-00125</x:v>
      </x:c>
      <x:c r="C538" t="str">
        <x:v>PE-KG01-L24-20251023-AM-ORD-2025-00125</x:v>
      </x:c>
      <x:c r="D538" t="str">
        <x:v>KG01</x:v>
      </x:c>
      <x:c r="E538" t="n">
        <x:v>24</x:v>
      </x:c>
      <x:c r="F538" s="52" t="n">
        <x:v>45953</x:v>
      </x:c>
      <x:c r="G538" t="str">
        <x:v>AM</x:v>
      </x:c>
      <x:c r="H538" t="str">
        <x:v>ORD-2025-00125</x:v>
      </x:c>
      <x:c r="I538" t="str">
        <x:v>Normal</x:v>
      </x:c>
      <x:c r="J538" t="str">
        <x:v>PROC_EVO16</x:v>
      </x:c>
      <x:c r="K538" t="str">
        <x:v>Inspection</x:v>
      </x:c>
      <x:c r="L538" s="54" t="n">
        <x:v>0.0033262739018718682</x:v>
      </x:c>
      <x:c r="M538" t="n">
        <x:v>327694</x:v>
      </x:c>
      <x:c r="N538" t="n">
        <x:f>L538*M538</x:f>
        <x:v>1090</x:v>
      </x:c>
      <x:c r="O538"/>
      <x:c r="P538"/>
      <x:c r="Q538"/>
      <x:c r="R538"/>
      <x:c r="S538" s="52"/>
      <x:c r="T538" t="str">
        <x:v>OK</x:v>
      </x:c>
      <x:c r="U538" t="str">
        <x:f>IF(AND(ISNUMBER(L538),L538&gt;=0,L538&lt;=1),"OK","CHECK")</x:f>
        <x:v>OK</x:v>
      </x:c>
      <x:c r="V538" t="str">
        <x:f>IF(AND(ISNUMBER(N538),N538&gt;=0),"OK","CHECK")</x:f>
        <x:v>OK</x:v>
      </x:c>
      <x:c r="W538" t="str">
        <x:f>IF(AND(T538="OK",U538="OK",V538="OK"),"OK","CHECK")</x:f>
        <x:v>OK</x:v>
      </x:c>
      <x:c r="X538" t="str">
        <x:f>IF(W538="OK","LOAD","QUARANTINE")</x:f>
        <x:v>LOAD</x:v>
      </x:c>
      <x:c r="Y538" t="str">
        <x:v>03_Process_Losses(6).xlsx</x:v>
      </x:c>
      <x:c r="Z538" t="str">
        <x:v>ENH-20260830-01</x:v>
      </x:c>
      <x:c r="AA538" t="str">
        <x:f>IF(X538="LOAD","Active","Quarantine")</x:f>
        <x:v>Active</x:v>
      </x:c>
      <x:c r="AB538"/>
      <x:c r="AC538"/>
      <x:c r="AD538"/>
      <x:c r="AE538"/>
    </x:row>
    <x:row r="539">
      <x:c r="A539" t="str">
        <x:v>PLD-000535</x:v>
      </x:c>
      <x:c r="B539" t="str">
        <x:v>LOSS-KG01-L24-20251023-AM-ORD-2025-00125</x:v>
      </x:c>
      <x:c r="C539" t="str">
        <x:v>PE-KG01-L24-20251023-AM-ORD-2025-00125</x:v>
      </x:c>
      <x:c r="D539" t="str">
        <x:v>KG01</x:v>
      </x:c>
      <x:c r="E539" t="n">
        <x:v>24</x:v>
      </x:c>
      <x:c r="F539" s="52" t="n">
        <x:v>45953</x:v>
      </x:c>
      <x:c r="G539" t="str">
        <x:v>AM</x:v>
      </x:c>
      <x:c r="H539" t="str">
        <x:v>ORD-2025-00125</x:v>
      </x:c>
      <x:c r="I539" t="str">
        <x:v>Normal</x:v>
      </x:c>
      <x:c r="J539" t="str">
        <x:v>PROC_EVO12</x:v>
      </x:c>
      <x:c r="K539" t="str">
        <x:v>Inspection</x:v>
      </x:c>
      <x:c r="L539" s="54" t="n">
        <x:v>0.0016387239314726543</x:v>
      </x:c>
      <x:c r="M539" t="n">
        <x:v>327694</x:v>
      </x:c>
      <x:c r="N539" t="n">
        <x:f>L539*M539</x:f>
        <x:v>537</x:v>
      </x:c>
      <x:c r="O539"/>
      <x:c r="P539"/>
      <x:c r="Q539"/>
      <x:c r="R539"/>
      <x:c r="S539" s="52"/>
      <x:c r="T539" t="str">
        <x:v>OK</x:v>
      </x:c>
      <x:c r="U539" t="str">
        <x:f>IF(AND(ISNUMBER(L539),L539&gt;=0,L539&lt;=1),"OK","CHECK")</x:f>
        <x:v>OK</x:v>
      </x:c>
      <x:c r="V539" t="str">
        <x:f>IF(AND(ISNUMBER(N539),N539&gt;=0),"OK","CHECK")</x:f>
        <x:v>OK</x:v>
      </x:c>
      <x:c r="W539" t="str">
        <x:f>IF(AND(T539="OK",U539="OK",V539="OK"),"OK","CHECK")</x:f>
        <x:v>OK</x:v>
      </x:c>
      <x:c r="X539" t="str">
        <x:f>IF(W539="OK","LOAD","QUARANTINE")</x:f>
        <x:v>LOAD</x:v>
      </x:c>
      <x:c r="Y539" t="str">
        <x:v>03_Process_Losses(6).xlsx</x:v>
      </x:c>
      <x:c r="Z539" t="str">
        <x:v>ENH-20260830-01</x:v>
      </x:c>
      <x:c r="AA539" t="str">
        <x:f>IF(X539="LOAD","Active","Quarantine")</x:f>
        <x:v>Active</x:v>
      </x:c>
      <x:c r="AB539"/>
      <x:c r="AC539"/>
      <x:c r="AD539"/>
      <x:c r="AE539"/>
    </x:row>
    <x:row r="540">
      <x:c r="A540" t="str">
        <x:v>PLD-000536</x:v>
      </x:c>
      <x:c r="B540" t="str">
        <x:v>LOSS-KG01-L24-20251023-AM-ORD-2025-00125</x:v>
      </x:c>
      <x:c r="C540" t="str">
        <x:v>PE-KG01-L24-20251023-AM-ORD-2025-00125</x:v>
      </x:c>
      <x:c r="D540" t="str">
        <x:v>KG01</x:v>
      </x:c>
      <x:c r="E540" t="n">
        <x:v>24</x:v>
      </x:c>
      <x:c r="F540" s="52" t="n">
        <x:v>45953</x:v>
      </x:c>
      <x:c r="G540" t="str">
        <x:v>AM</x:v>
      </x:c>
      <x:c r="H540" t="str">
        <x:v>ORD-2025-00125</x:v>
      </x:c>
      <x:c r="I540" t="str">
        <x:v>Normal</x:v>
      </x:c>
      <x:c r="J540" t="str">
        <x:v>PROC_EVO5</x:v>
      </x:c>
      <x:c r="K540" t="str">
        <x:v>Inspection</x:v>
      </x:c>
      <x:c r="L540" s="54" t="n">
        <x:v>0.0006774612901060135</x:v>
      </x:c>
      <x:c r="M540" t="n">
        <x:v>327694</x:v>
      </x:c>
      <x:c r="N540" t="n">
        <x:f>L540*M540</x:f>
        <x:v>222</x:v>
      </x:c>
      <x:c r="O540"/>
      <x:c r="P540"/>
      <x:c r="Q540"/>
      <x:c r="R540"/>
      <x:c r="S540" s="52"/>
      <x:c r="T540" t="str">
        <x:v>OK</x:v>
      </x:c>
      <x:c r="U540" t="str">
        <x:f>IF(AND(ISNUMBER(L540),L540&gt;=0,L540&lt;=1),"OK","CHECK")</x:f>
        <x:v>OK</x:v>
      </x:c>
      <x:c r="V540" t="str">
        <x:f>IF(AND(ISNUMBER(N540),N540&gt;=0),"OK","CHECK")</x:f>
        <x:v>OK</x:v>
      </x:c>
      <x:c r="W540" t="str">
        <x:f>IF(AND(T540="OK",U540="OK",V540="OK"),"OK","CHECK")</x:f>
        <x:v>OK</x:v>
      </x:c>
      <x:c r="X540" t="str">
        <x:f>IF(W540="OK","LOAD","QUARANTINE")</x:f>
        <x:v>LOAD</x:v>
      </x:c>
      <x:c r="Y540" t="str">
        <x:v>03_Process_Losses(6).xlsx</x:v>
      </x:c>
      <x:c r="Z540" t="str">
        <x:v>ENH-20260830-01</x:v>
      </x:c>
      <x:c r="AA540" t="str">
        <x:f>IF(X540="LOAD","Active","Quarantine")</x:f>
        <x:v>Active</x:v>
      </x:c>
      <x:c r="AB540"/>
      <x:c r="AC540"/>
      <x:c r="AD540"/>
      <x:c r="AE540"/>
    </x:row>
    <x:row r="541">
      <x:c r="A541" t="str">
        <x:v>PLD-000537</x:v>
      </x:c>
      <x:c r="B541" t="str">
        <x:v>LOSS-KG01-L24-20251023-AM-ORD-2025-00125</x:v>
      </x:c>
      <x:c r="C541" t="str">
        <x:v>PE-KG01-L24-20251023-AM-ORD-2025-00125</x:v>
      </x:c>
      <x:c r="D541" t="str">
        <x:v>KG01</x:v>
      </x:c>
      <x:c r="E541" t="n">
        <x:v>24</x:v>
      </x:c>
      <x:c r="F541" s="52" t="n">
        <x:v>45953</x:v>
      </x:c>
      <x:c r="G541" t="str">
        <x:v>AM</x:v>
      </x:c>
      <x:c r="H541" t="str">
        <x:v>ORD-2025-00125</x:v>
      </x:c>
      <x:c r="I541" t="str">
        <x:v>Normal</x:v>
      </x:c>
      <x:c r="J541" t="str">
        <x:v>PROC_SANLI</x:v>
      </x:c>
      <x:c r="K541" t="str">
        <x:v>Inspection</x:v>
      </x:c>
      <x:c r="L541" s="54" t="n">
        <x:v>0.001480039304961336</x:v>
      </x:c>
      <x:c r="M541" t="n">
        <x:v>327694</x:v>
      </x:c>
      <x:c r="N541" t="n">
        <x:f>L541*M541</x:f>
        <x:v>485</x:v>
      </x:c>
      <x:c r="O541"/>
      <x:c r="P541"/>
      <x:c r="Q541"/>
      <x:c r="R541"/>
      <x:c r="S541" s="52"/>
      <x:c r="T541" t="str">
        <x:v>OK</x:v>
      </x:c>
      <x:c r="U541" t="str">
        <x:f>IF(AND(ISNUMBER(L541),L541&gt;=0,L541&lt;=1),"OK","CHECK")</x:f>
        <x:v>OK</x:v>
      </x:c>
      <x:c r="V541" t="str">
        <x:f>IF(AND(ISNUMBER(N541),N541&gt;=0),"OK","CHECK")</x:f>
        <x:v>OK</x:v>
      </x:c>
      <x:c r="W541" t="str">
        <x:f>IF(AND(T541="OK",U541="OK",V541="OK"),"OK","CHECK")</x:f>
        <x:v>OK</x:v>
      </x:c>
      <x:c r="X541" t="str">
        <x:f>IF(W541="OK","LOAD","QUARANTINE")</x:f>
        <x:v>LOAD</x:v>
      </x:c>
      <x:c r="Y541" t="str">
        <x:v>03_Process_Losses(6).xlsx</x:v>
      </x:c>
      <x:c r="Z541" t="str">
        <x:v>ENH-20260830-01</x:v>
      </x:c>
      <x:c r="AA541" t="str">
        <x:f>IF(X541="LOAD","Active","Quarantine")</x:f>
        <x:v>Active</x:v>
      </x:c>
      <x:c r="AB541"/>
      <x:c r="AC541"/>
      <x:c r="AD541"/>
      <x:c r="AE541"/>
    </x:row>
    <x:row r="542">
      <x:c r="A542" t="str">
        <x:v>PLD-000538</x:v>
      </x:c>
      <x:c r="B542" t="str">
        <x:v>LOSS-KG01-L24-20251023-AM-ORD-2025-00125</x:v>
      </x:c>
      <x:c r="C542" t="str">
        <x:v>PE-KG01-L24-20251023-AM-ORD-2025-00125</x:v>
      </x:c>
      <x:c r="D542" t="str">
        <x:v>KG01</x:v>
      </x:c>
      <x:c r="E542" t="n">
        <x:v>24</x:v>
      </x:c>
      <x:c r="F542" s="52" t="n">
        <x:v>45953</x:v>
      </x:c>
      <x:c r="G542" t="str">
        <x:v>AM</x:v>
      </x:c>
      <x:c r="H542" t="str">
        <x:v>ORD-2025-00125</x:v>
      </x:c>
      <x:c r="I542" t="str">
        <x:v>Normal</x:v>
      </x:c>
      <x:c r="J542" t="str">
        <x:v>PROC_VISUAL</x:v>
      </x:c>
      <x:c r="K542" t="str">
        <x:v>Inspection</x:v>
      </x:c>
      <x:c r="L542" s="54" t="n">
        <x:v>0.01047318534974702</x:v>
      </x:c>
      <x:c r="M542" t="n">
        <x:v>327694</x:v>
      </x:c>
      <x:c r="N542" t="n">
        <x:f>L542*M542</x:f>
        <x:v>3432</x:v>
      </x:c>
      <x:c r="O542"/>
      <x:c r="P542"/>
      <x:c r="Q542"/>
      <x:c r="R542"/>
      <x:c r="S542" s="52"/>
      <x:c r="T542" t="str">
        <x:v>OK</x:v>
      </x:c>
      <x:c r="U542" t="str">
        <x:f>IF(AND(ISNUMBER(L542),L542&gt;=0,L542&lt;=1),"OK","CHECK")</x:f>
        <x:v>OK</x:v>
      </x:c>
      <x:c r="V542" t="str">
        <x:f>IF(AND(ISNUMBER(N542),N542&gt;=0),"OK","CHECK")</x:f>
        <x:v>OK</x:v>
      </x:c>
      <x:c r="W542" t="str">
        <x:f>IF(AND(T542="OK",U542="OK",V542="OK"),"OK","CHECK")</x:f>
        <x:v>OK</x:v>
      </x:c>
      <x:c r="X542" t="str">
        <x:f>IF(W542="OK","LOAD","QUARANTINE")</x:f>
        <x:v>LOAD</x:v>
      </x:c>
      <x:c r="Y542" t="str">
        <x:v>03_Process_Losses(6).xlsx</x:v>
      </x:c>
      <x:c r="Z542" t="str">
        <x:v>ENH-20260830-01</x:v>
      </x:c>
      <x:c r="AA542" t="str">
        <x:f>IF(X542="LOAD","Active","Quarantine")</x:f>
        <x:v>Active</x:v>
      </x:c>
      <x:c r="AB542"/>
      <x:c r="AC542"/>
      <x:c r="AD542"/>
      <x:c r="AE542"/>
    </x:row>
    <x:row r="543">
      <x:c r="A543" t="str">
        <x:v>PLD-000539</x:v>
      </x:c>
      <x:c r="B543" t="str">
        <x:v>LOSS-KG01-L24-20251023-AM-ORD-2025-00125</x:v>
      </x:c>
      <x:c r="C543" t="str">
        <x:v>PE-KG01-L24-20251023-AM-ORD-2025-00125</x:v>
      </x:c>
      <x:c r="D543" t="str">
        <x:v>KG01</x:v>
      </x:c>
      <x:c r="E543" t="n">
        <x:v>24</x:v>
      </x:c>
      <x:c r="F543" s="52" t="n">
        <x:v>45953</x:v>
      </x:c>
      <x:c r="G543" t="str">
        <x:v>AM</x:v>
      </x:c>
      <x:c r="H543" t="str">
        <x:v>ORD-2025-00125</x:v>
      </x:c>
      <x:c r="I543" t="str">
        <x:v>Normal</x:v>
      </x:c>
      <x:c r="J543" t="str">
        <x:v>PROC_PALLETIZER</x:v>
      </x:c>
      <x:c r="K543" t="str">
        <x:v>Palletizer</x:v>
      </x:c>
      <x:c r="L543" s="54" t="n">
        <x:v>0.007201840741667531</x:v>
      </x:c>
      <x:c r="M543" t="n">
        <x:v>327694</x:v>
      </x:c>
      <x:c r="N543" t="n">
        <x:f>L543*M543</x:f>
        <x:v>2360</x:v>
      </x:c>
      <x:c r="O543"/>
      <x:c r="P543"/>
      <x:c r="Q543"/>
      <x:c r="R543"/>
      <x:c r="S543" s="52"/>
      <x:c r="T543" t="str">
        <x:v>OK</x:v>
      </x:c>
      <x:c r="U543" t="str">
        <x:f>IF(AND(ISNUMBER(L543),L543&gt;=0,L543&lt;=1),"OK","CHECK")</x:f>
        <x:v>OK</x:v>
      </x:c>
      <x:c r="V543" t="str">
        <x:f>IF(AND(ISNUMBER(N543),N543&gt;=0),"OK","CHECK")</x:f>
        <x:v>OK</x:v>
      </x:c>
      <x:c r="W543" t="str">
        <x:f>IF(AND(T543="OK",U543="OK",V543="OK"),"OK","CHECK")</x:f>
        <x:v>OK</x:v>
      </x:c>
      <x:c r="X543" t="str">
        <x:f>IF(W543="OK","LOAD","QUARANTINE")</x:f>
        <x:v>LOAD</x:v>
      </x:c>
      <x:c r="Y543" t="str">
        <x:v>03_Process_Losses(6).xlsx</x:v>
      </x:c>
      <x:c r="Z543" t="str">
        <x:v>ENH-20260830-01</x:v>
      </x:c>
      <x:c r="AA543" t="str">
        <x:f>IF(X543="LOAD","Active","Quarantine")</x:f>
        <x:v>Active</x:v>
      </x:c>
      <x:c r="AB543"/>
      <x:c r="AC543"/>
      <x:c r="AD543"/>
      <x:c r="AE543"/>
    </x:row>
    <x:row r="544">
      <x:c r="A544" t="str">
        <x:v>PLD-000540</x:v>
      </x:c>
      <x:c r="B544" t="str">
        <x:v>LOSS-KG01-L24-20251023-PM-ORD-2025-00125</x:v>
      </x:c>
      <x:c r="C544" t="str">
        <x:v>PE-KG01-L24-20251023-PM-ORD-2025-00125</x:v>
      </x:c>
      <x:c r="D544" t="str">
        <x:v>KG01</x:v>
      </x:c>
      <x:c r="E544" t="n">
        <x:v>24</x:v>
      </x:c>
      <x:c r="F544" s="52" t="n">
        <x:v>45953</x:v>
      </x:c>
      <x:c r="G544" t="str">
        <x:v>PM</x:v>
      </x:c>
      <x:c r="H544" t="str">
        <x:v>ORD-2025-00125</x:v>
      </x:c>
      <x:c r="I544" t="str">
        <x:v>Normal</x:v>
      </x:c>
      <x:c r="J544" t="str">
        <x:v>PROC_FIXED</x:v>
      </x:c>
      <x:c r="K544" t="str">
        <x:v>Fixed Losses</x:v>
      </x:c>
      <x:c r="L544" s="54" t="n">
        <x:v>0.002418327622396441</x:v>
      </x:c>
      <x:c r="M544" t="n">
        <x:v>278705</x:v>
      </x:c>
      <x:c r="N544" t="n">
        <x:f>L544*M544</x:f>
        <x:v>674</x:v>
      </x:c>
      <x:c r="O544"/>
      <x:c r="P544"/>
      <x:c r="Q544"/>
      <x:c r="R544"/>
      <x:c r="S544" s="52"/>
      <x:c r="T544" t="str">
        <x:v>OK</x:v>
      </x:c>
      <x:c r="U544" t="str">
        <x:f>IF(AND(ISNUMBER(L544),L544&gt;=0,L544&lt;=1),"OK","CHECK")</x:f>
        <x:v>OK</x:v>
      </x:c>
      <x:c r="V544" t="str">
        <x:f>IF(AND(ISNUMBER(N544),N544&gt;=0),"OK","CHECK")</x:f>
        <x:v>OK</x:v>
      </x:c>
      <x:c r="W544" t="str">
        <x:f>IF(AND(T544="OK",U544="OK",V544="OK"),"OK","CHECK")</x:f>
        <x:v>OK</x:v>
      </x:c>
      <x:c r="X544" t="str">
        <x:f>IF(W544="OK","LOAD","QUARANTINE")</x:f>
        <x:v>LOAD</x:v>
      </x:c>
      <x:c r="Y544" t="str">
        <x:v>03_Process_Losses(6).xlsx</x:v>
      </x:c>
      <x:c r="Z544" t="str">
        <x:v>ENH-20260830-01</x:v>
      </x:c>
      <x:c r="AA544" t="str">
        <x:f>IF(X544="LOAD","Active","Quarantine")</x:f>
        <x:v>Active</x:v>
      </x:c>
      <x:c r="AB544"/>
      <x:c r="AC544"/>
      <x:c r="AD544"/>
      <x:c r="AE544"/>
    </x:row>
    <x:row r="545">
      <x:c r="A545" t="str">
        <x:v>PLD-000541</x:v>
      </x:c>
      <x:c r="B545" t="str">
        <x:v>LOSS-KG01-L24-20251023-PM-ORD-2025-00125</x:v>
      </x:c>
      <x:c r="C545" t="str">
        <x:v>PE-KG01-L24-20251023-PM-ORD-2025-00125</x:v>
      </x:c>
      <x:c r="D545" t="str">
        <x:v>KG01</x:v>
      </x:c>
      <x:c r="E545" t="n">
        <x:v>24</x:v>
      </x:c>
      <x:c r="F545" s="52" t="n">
        <x:v>45953</x:v>
      </x:c>
      <x:c r="G545" t="str">
        <x:v>PM</x:v>
      </x:c>
      <x:c r="H545" t="str">
        <x:v>ORD-2025-00125</x:v>
      </x:c>
      <x:c r="I545" t="str">
        <x:v>Normal</x:v>
      </x:c>
      <x:c r="J545" t="str">
        <x:v>PROC_IS</x:v>
      </x:c>
      <x:c r="K545" t="str">
        <x:v>IS Machine</x:v>
      </x:c>
      <x:c r="L545" s="54" t="n">
        <x:v>0.0072765110062611</x:v>
      </x:c>
      <x:c r="M545" t="n">
        <x:v>278705</x:v>
      </x:c>
      <x:c r="N545" t="n">
        <x:f>L545*M545</x:f>
        <x:v>2028</x:v>
      </x:c>
      <x:c r="O545"/>
      <x:c r="P545"/>
      <x:c r="Q545"/>
      <x:c r="R545"/>
      <x:c r="S545" s="52"/>
      <x:c r="T545" t="str">
        <x:v>OK</x:v>
      </x:c>
      <x:c r="U545" t="str">
        <x:f>IF(AND(ISNUMBER(L545),L545&gt;=0,L545&lt;=1),"OK","CHECK")</x:f>
        <x:v>OK</x:v>
      </x:c>
      <x:c r="V545" t="str">
        <x:f>IF(AND(ISNUMBER(N545),N545&gt;=0),"OK","CHECK")</x:f>
        <x:v>OK</x:v>
      </x:c>
      <x:c r="W545" t="str">
        <x:f>IF(AND(T545="OK",U545="OK",V545="OK"),"OK","CHECK")</x:f>
        <x:v>OK</x:v>
      </x:c>
      <x:c r="X545" t="str">
        <x:f>IF(W545="OK","LOAD","QUARANTINE")</x:f>
        <x:v>LOAD</x:v>
      </x:c>
      <x:c r="Y545" t="str">
        <x:v>03_Process_Losses(6).xlsx</x:v>
      </x:c>
      <x:c r="Z545" t="str">
        <x:v>ENH-20260830-01</x:v>
      </x:c>
      <x:c r="AA545" t="str">
        <x:f>IF(X545="LOAD","Active","Quarantine")</x:f>
        <x:v>Active</x:v>
      </x:c>
      <x:c r="AB545"/>
      <x:c r="AC545"/>
      <x:c r="AD545"/>
      <x:c r="AE545"/>
    </x:row>
    <x:row r="546">
      <x:c r="A546" t="str">
        <x:v>PLD-000542</x:v>
      </x:c>
      <x:c r="B546" t="str">
        <x:v>LOSS-KG01-L24-20251023-PM-ORD-2025-00125</x:v>
      </x:c>
      <x:c r="C546" t="str">
        <x:v>PE-KG01-L24-20251023-PM-ORD-2025-00125</x:v>
      </x:c>
      <x:c r="D546" t="str">
        <x:v>KG01</x:v>
      </x:c>
      <x:c r="E546" t="n">
        <x:v>24</x:v>
      </x:c>
      <x:c r="F546" s="52" t="n">
        <x:v>45953</x:v>
      </x:c>
      <x:c r="G546" t="str">
        <x:v>PM</x:v>
      </x:c>
      <x:c r="H546" t="str">
        <x:v>ORD-2025-00125</x:v>
      </x:c>
      <x:c r="I546" t="str">
        <x:v>Normal</x:v>
      </x:c>
      <x:c r="J546" t="str">
        <x:v>PROC_HE_CONVEYER</x:v>
      </x:c>
      <x:c r="K546" t="str">
        <x:v>Hot End</x:v>
      </x:c>
      <x:c r="L546" s="54" t="n">
        <x:v>0.004248219443497605</x:v>
      </x:c>
      <x:c r="M546" t="n">
        <x:v>278705</x:v>
      </x:c>
      <x:c r="N546" t="n">
        <x:f>L546*M546</x:f>
        <x:v>1184</x:v>
      </x:c>
      <x:c r="O546"/>
      <x:c r="P546"/>
      <x:c r="Q546"/>
      <x:c r="R546"/>
      <x:c r="S546" s="52"/>
      <x:c r="T546" t="str">
        <x:v>OK</x:v>
      </x:c>
      <x:c r="U546" t="str">
        <x:f>IF(AND(ISNUMBER(L546),L546&gt;=0,L546&lt;=1),"OK","CHECK")</x:f>
        <x:v>OK</x:v>
      </x:c>
      <x:c r="V546" t="str">
        <x:f>IF(AND(ISNUMBER(N546),N546&gt;=0),"OK","CHECK")</x:f>
        <x:v>OK</x:v>
      </x:c>
      <x:c r="W546" t="str">
        <x:f>IF(AND(T546="OK",U546="OK",V546="OK"),"OK","CHECK")</x:f>
        <x:v>OK</x:v>
      </x:c>
      <x:c r="X546" t="str">
        <x:f>IF(W546="OK","LOAD","QUARANTINE")</x:f>
        <x:v>LOAD</x:v>
      </x:c>
      <x:c r="Y546" t="str">
        <x:v>03_Process_Losses(6).xlsx</x:v>
      </x:c>
      <x:c r="Z546" t="str">
        <x:v>ENH-20260830-01</x:v>
      </x:c>
      <x:c r="AA546" t="str">
        <x:f>IF(X546="LOAD","Active","Quarantine")</x:f>
        <x:v>Active</x:v>
      </x:c>
      <x:c r="AB546"/>
      <x:c r="AC546"/>
      <x:c r="AD546"/>
      <x:c r="AE546"/>
    </x:row>
    <x:row r="547">
      <x:c r="A547" t="str">
        <x:v>PLD-000543</x:v>
      </x:c>
      <x:c r="B547" t="str">
        <x:v>LOSS-KG01-L24-20251023-PM-ORD-2025-00125</x:v>
      </x:c>
      <x:c r="C547" t="str">
        <x:v>PE-KG01-L24-20251023-PM-ORD-2025-00125</x:v>
      </x:c>
      <x:c r="D547" t="str">
        <x:v>KG01</x:v>
      </x:c>
      <x:c r="E547" t="n">
        <x:v>24</x:v>
      </x:c>
      <x:c r="F547" s="52" t="n">
        <x:v>45953</x:v>
      </x:c>
      <x:c r="G547" t="str">
        <x:v>PM</x:v>
      </x:c>
      <x:c r="H547" t="str">
        <x:v>ORD-2025-00125</x:v>
      </x:c>
      <x:c r="I547" t="str">
        <x:v>Normal</x:v>
      </x:c>
      <x:c r="J547" t="str">
        <x:v>PROC_STUCKDOWN</x:v>
      </x:c>
      <x:c r="K547" t="str">
        <x:v>Forming</x:v>
      </x:c>
      <x:c r="L547" s="54" t="n">
        <x:v>0.004011409913708043</x:v>
      </x:c>
      <x:c r="M547" t="n">
        <x:v>278705</x:v>
      </x:c>
      <x:c r="N547" t="n">
        <x:f>L547*M547</x:f>
        <x:v>1118</x:v>
      </x:c>
      <x:c r="O547"/>
      <x:c r="P547"/>
      <x:c r="Q547"/>
      <x:c r="R547"/>
      <x:c r="S547" s="52"/>
      <x:c r="T547" t="str">
        <x:v>OK</x:v>
      </x:c>
      <x:c r="U547" t="str">
        <x:f>IF(AND(ISNUMBER(L547),L547&gt;=0,L547&lt;=1),"OK","CHECK")</x:f>
        <x:v>OK</x:v>
      </x:c>
      <x:c r="V547" t="str">
        <x:f>IF(AND(ISNUMBER(N547),N547&gt;=0),"OK","CHECK")</x:f>
        <x:v>OK</x:v>
      </x:c>
      <x:c r="W547" t="str">
        <x:f>IF(AND(T547="OK",U547="OK",V547="OK"),"OK","CHECK")</x:f>
        <x:v>OK</x:v>
      </x:c>
      <x:c r="X547" t="str">
        <x:f>IF(W547="OK","LOAD","QUARANTINE")</x:f>
        <x:v>LOAD</x:v>
      </x:c>
      <x:c r="Y547" t="str">
        <x:v>03_Process_Losses(6).xlsx</x:v>
      </x:c>
      <x:c r="Z547" t="str">
        <x:v>ENH-20260830-01</x:v>
      </x:c>
      <x:c r="AA547" t="str">
        <x:f>IF(X547="LOAD","Active","Quarantine")</x:f>
        <x:v>Active</x:v>
      </x:c>
      <x:c r="AB547"/>
      <x:c r="AC547"/>
      <x:c r="AD547"/>
      <x:c r="AE547"/>
    </x:row>
    <x:row r="548">
      <x:c r="A548" t="str">
        <x:v>PLD-000544</x:v>
      </x:c>
      <x:c r="B548" t="str">
        <x:v>LOSS-KG01-L24-20251023-PM-ORD-2025-00125</x:v>
      </x:c>
      <x:c r="C548" t="str">
        <x:v>PE-KG01-L24-20251023-PM-ORD-2025-00125</x:v>
      </x:c>
      <x:c r="D548" t="str">
        <x:v>KG01</x:v>
      </x:c>
      <x:c r="E548" t="n">
        <x:v>24</x:v>
      </x:c>
      <x:c r="F548" s="52" t="n">
        <x:v>45953</x:v>
      </x:c>
      <x:c r="G548" t="str">
        <x:v>PM</x:v>
      </x:c>
      <x:c r="H548" t="str">
        <x:v>ORD-2025-00125</x:v>
      </x:c>
      <x:c r="I548" t="str">
        <x:v>Normal</x:v>
      </x:c>
      <x:c r="J548" t="str">
        <x:v>PROC_LEHR</x:v>
      </x:c>
      <x:c r="K548" t="str">
        <x:v>Lehr</x:v>
      </x:c>
      <x:c r="L548" s="54" t="n">
        <x:v>0.003631079456773291</x:v>
      </x:c>
      <x:c r="M548" t="n">
        <x:v>278705</x:v>
      </x:c>
      <x:c r="N548" t="n">
        <x:f>L548*M548</x:f>
        <x:v>1012</x:v>
      </x:c>
      <x:c r="O548"/>
      <x:c r="P548"/>
      <x:c r="Q548"/>
      <x:c r="R548"/>
      <x:c r="S548" s="52"/>
      <x:c r="T548" t="str">
        <x:v>OK</x:v>
      </x:c>
      <x:c r="U548" t="str">
        <x:f>IF(AND(ISNUMBER(L548),L548&gt;=0,L548&lt;=1),"OK","CHECK")</x:f>
        <x:v>OK</x:v>
      </x:c>
      <x:c r="V548" t="str">
        <x:f>IF(AND(ISNUMBER(N548),N548&gt;=0),"OK","CHECK")</x:f>
        <x:v>OK</x:v>
      </x:c>
      <x:c r="W548" t="str">
        <x:f>IF(AND(T548="OK",U548="OK",V548="OK"),"OK","CHECK")</x:f>
        <x:v>OK</x:v>
      </x:c>
      <x:c r="X548" t="str">
        <x:f>IF(W548="OK","LOAD","QUARANTINE")</x:f>
        <x:v>LOAD</x:v>
      </x:c>
      <x:c r="Y548" t="str">
        <x:v>03_Process_Losses(6).xlsx</x:v>
      </x:c>
      <x:c r="Z548" t="str">
        <x:v>ENH-20260830-01</x:v>
      </x:c>
      <x:c r="AA548" t="str">
        <x:f>IF(X548="LOAD","Active","Quarantine")</x:f>
        <x:v>Active</x:v>
      </x:c>
      <x:c r="AB548"/>
      <x:c r="AC548"/>
      <x:c r="AD548"/>
      <x:c r="AE548"/>
    </x:row>
    <x:row r="549">
      <x:c r="A549" t="str">
        <x:v>PLD-000545</x:v>
      </x:c>
      <x:c r="B549" t="str">
        <x:v>LOSS-KG01-L24-20251023-PM-ORD-2025-00125</x:v>
      </x:c>
      <x:c r="C549" t="str">
        <x:v>PE-KG01-L24-20251023-PM-ORD-2025-00125</x:v>
      </x:c>
      <x:c r="D549" t="str">
        <x:v>KG01</x:v>
      </x:c>
      <x:c r="E549" t="n">
        <x:v>24</x:v>
      </x:c>
      <x:c r="F549" s="52" t="n">
        <x:v>45953</x:v>
      </x:c>
      <x:c r="G549" t="str">
        <x:v>PM</x:v>
      </x:c>
      <x:c r="H549" t="str">
        <x:v>ORD-2025-00125</x:v>
      </x:c>
      <x:c r="I549" t="str">
        <x:v>Normal</x:v>
      </x:c>
      <x:c r="J549" t="str">
        <x:v>PROC_EVO16</x:v>
      </x:c>
      <x:c r="K549" t="str">
        <x:v>Inspection</x:v>
      </x:c>
      <x:c r="L549" s="54" t="n">
        <x:v>0.0014675014800595613</x:v>
      </x:c>
      <x:c r="M549" t="n">
        <x:v>278705</x:v>
      </x:c>
      <x:c r="N549" t="n">
        <x:f>L549*M549</x:f>
        <x:v>409.00000000000006</x:v>
      </x:c>
      <x:c r="O549"/>
      <x:c r="P549"/>
      <x:c r="Q549"/>
      <x:c r="R549"/>
      <x:c r="S549" s="52"/>
      <x:c r="T549" t="str">
        <x:v>OK</x:v>
      </x:c>
      <x:c r="U549" t="str">
        <x:f>IF(AND(ISNUMBER(L549),L549&gt;=0,L549&lt;=1),"OK","CHECK")</x:f>
        <x:v>OK</x:v>
      </x:c>
      <x:c r="V549" t="str">
        <x:f>IF(AND(ISNUMBER(N549),N549&gt;=0),"OK","CHECK")</x:f>
        <x:v>OK</x:v>
      </x:c>
      <x:c r="W549" t="str">
        <x:f>IF(AND(T549="OK",U549="OK",V549="OK"),"OK","CHECK")</x:f>
        <x:v>OK</x:v>
      </x:c>
      <x:c r="X549" t="str">
        <x:f>IF(W549="OK","LOAD","QUARANTINE")</x:f>
        <x:v>LOAD</x:v>
      </x:c>
      <x:c r="Y549" t="str">
        <x:v>03_Process_Losses(6).xlsx</x:v>
      </x:c>
      <x:c r="Z549" t="str">
        <x:v>ENH-20260830-01</x:v>
      </x:c>
      <x:c r="AA549" t="str">
        <x:f>IF(X549="LOAD","Active","Quarantine")</x:f>
        <x:v>Active</x:v>
      </x:c>
      <x:c r="AB549"/>
      <x:c r="AC549"/>
      <x:c r="AD549"/>
      <x:c r="AE549"/>
    </x:row>
    <x:row r="550">
      <x:c r="A550" t="str">
        <x:v>PLD-000546</x:v>
      </x:c>
      <x:c r="B550" t="str">
        <x:v>LOSS-KG01-L24-20251023-PM-ORD-2025-00125</x:v>
      </x:c>
      <x:c r="C550" t="str">
        <x:v>PE-KG01-L24-20251023-PM-ORD-2025-00125</x:v>
      </x:c>
      <x:c r="D550" t="str">
        <x:v>KG01</x:v>
      </x:c>
      <x:c r="E550" t="n">
        <x:v>24</x:v>
      </x:c>
      <x:c r="F550" s="52" t="n">
        <x:v>45953</x:v>
      </x:c>
      <x:c r="G550" t="str">
        <x:v>PM</x:v>
      </x:c>
      <x:c r="H550" t="str">
        <x:v>ORD-2025-00125</x:v>
      </x:c>
      <x:c r="I550" t="str">
        <x:v>Normal</x:v>
      </x:c>
      <x:c r="J550" t="str">
        <x:v>PROC_EVO12</x:v>
      </x:c>
      <x:c r="K550" t="str">
        <x:v>Inspection</x:v>
      </x:c>
      <x:c r="L550" s="54" t="n">
        <x:v>0.0011302273012683663</x:v>
      </x:c>
      <x:c r="M550" t="n">
        <x:v>278705</x:v>
      </x:c>
      <x:c r="N550" t="n">
        <x:f>L550*M550</x:f>
        <x:v>315.00000000000006</x:v>
      </x:c>
      <x:c r="O550"/>
      <x:c r="P550"/>
      <x:c r="Q550"/>
      <x:c r="R550"/>
      <x:c r="S550" s="52"/>
      <x:c r="T550" t="str">
        <x:v>OK</x:v>
      </x:c>
      <x:c r="U550" t="str">
        <x:f>IF(AND(ISNUMBER(L550),L550&gt;=0,L550&lt;=1),"OK","CHECK")</x:f>
        <x:v>OK</x:v>
      </x:c>
      <x:c r="V550" t="str">
        <x:f>IF(AND(ISNUMBER(N550),N550&gt;=0),"OK","CHECK")</x:f>
        <x:v>OK</x:v>
      </x:c>
      <x:c r="W550" t="str">
        <x:f>IF(AND(T550="OK",U550="OK",V550="OK"),"OK","CHECK")</x:f>
        <x:v>OK</x:v>
      </x:c>
      <x:c r="X550" t="str">
        <x:f>IF(W550="OK","LOAD","QUARANTINE")</x:f>
        <x:v>LOAD</x:v>
      </x:c>
      <x:c r="Y550" t="str">
        <x:v>03_Process_Losses(6).xlsx</x:v>
      </x:c>
      <x:c r="Z550" t="str">
        <x:v>ENH-20260830-01</x:v>
      </x:c>
      <x:c r="AA550" t="str">
        <x:f>IF(X550="LOAD","Active","Quarantine")</x:f>
        <x:v>Active</x:v>
      </x:c>
      <x:c r="AB550"/>
      <x:c r="AC550"/>
      <x:c r="AD550"/>
      <x:c r="AE550"/>
    </x:row>
    <x:row r="551">
      <x:c r="A551" t="str">
        <x:v>PLD-000547</x:v>
      </x:c>
      <x:c r="B551" t="str">
        <x:v>LOSS-KG01-L24-20251023-PM-ORD-2025-00125</x:v>
      </x:c>
      <x:c r="C551" t="str">
        <x:v>PE-KG01-L24-20251023-PM-ORD-2025-00125</x:v>
      </x:c>
      <x:c r="D551" t="str">
        <x:v>KG01</x:v>
      </x:c>
      <x:c r="E551" t="n">
        <x:v>24</x:v>
      </x:c>
      <x:c r="F551" s="52" t="n">
        <x:v>45953</x:v>
      </x:c>
      <x:c r="G551" t="str">
        <x:v>PM</x:v>
      </x:c>
      <x:c r="H551" t="str">
        <x:v>ORD-2025-00125</x:v>
      </x:c>
      <x:c r="I551" t="str">
        <x:v>Normal</x:v>
      </x:c>
      <x:c r="J551" t="str">
        <x:v>PROC_EVO5</x:v>
      </x:c>
      <x:c r="K551" t="str">
        <x:v>Inspection</x:v>
      </x:c>
      <x:c r="L551" s="54" t="n">
        <x:v>0.00015428499668107857</x:v>
      </x:c>
      <x:c r="M551" t="n">
        <x:v>278705</x:v>
      </x:c>
      <x:c r="N551" t="n">
        <x:f>L551*M551</x:f>
        <x:v>43.00000000000001</x:v>
      </x:c>
      <x:c r="O551"/>
      <x:c r="P551"/>
      <x:c r="Q551"/>
      <x:c r="R551"/>
      <x:c r="S551" s="52"/>
      <x:c r="T551" t="str">
        <x:v>OK</x:v>
      </x:c>
      <x:c r="U551" t="str">
        <x:f>IF(AND(ISNUMBER(L551),L551&gt;=0,L551&lt;=1),"OK","CHECK")</x:f>
        <x:v>OK</x:v>
      </x:c>
      <x:c r="V551" t="str">
        <x:f>IF(AND(ISNUMBER(N551),N551&gt;=0),"OK","CHECK")</x:f>
        <x:v>OK</x:v>
      </x:c>
      <x:c r="W551" t="str">
        <x:f>IF(AND(T551="OK",U551="OK",V551="OK"),"OK","CHECK")</x:f>
        <x:v>OK</x:v>
      </x:c>
      <x:c r="X551" t="str">
        <x:f>IF(W551="OK","LOAD","QUARANTINE")</x:f>
        <x:v>LOAD</x:v>
      </x:c>
      <x:c r="Y551" t="str">
        <x:v>03_Process_Losses(6).xlsx</x:v>
      </x:c>
      <x:c r="Z551" t="str">
        <x:v>ENH-20260830-01</x:v>
      </x:c>
      <x:c r="AA551" t="str">
        <x:f>IF(X551="LOAD","Active","Quarantine")</x:f>
        <x:v>Active</x:v>
      </x:c>
      <x:c r="AB551"/>
      <x:c r="AC551"/>
      <x:c r="AD551"/>
      <x:c r="AE551"/>
    </x:row>
    <x:row r="552">
      <x:c r="A552" t="str">
        <x:v>PLD-000548</x:v>
      </x:c>
      <x:c r="B552" t="str">
        <x:v>LOSS-KG01-L24-20251023-PM-ORD-2025-00125</x:v>
      </x:c>
      <x:c r="C552" t="str">
        <x:v>PE-KG01-L24-20251023-PM-ORD-2025-00125</x:v>
      </x:c>
      <x:c r="D552" t="str">
        <x:v>KG01</x:v>
      </x:c>
      <x:c r="E552" t="n">
        <x:v>24</x:v>
      </x:c>
      <x:c r="F552" s="52" t="n">
        <x:v>45953</x:v>
      </x:c>
      <x:c r="G552" t="str">
        <x:v>PM</x:v>
      </x:c>
      <x:c r="H552" t="str">
        <x:v>ORD-2025-00125</x:v>
      </x:c>
      <x:c r="I552" t="str">
        <x:v>Normal</x:v>
      </x:c>
      <x:c r="J552" t="str">
        <x:v>PROC_SANLI</x:v>
      </x:c>
      <x:c r="K552" t="str">
        <x:v>Inspection</x:v>
      </x:c>
      <x:c r="L552" s="54" t="n">
        <x:v>0.004355860138856497</x:v>
      </x:c>
      <x:c r="M552" t="n">
        <x:v>278705</x:v>
      </x:c>
      <x:c r="N552" t="n">
        <x:f>L552*M552</x:f>
        <x:v>1214</x:v>
      </x:c>
      <x:c r="O552"/>
      <x:c r="P552"/>
      <x:c r="Q552"/>
      <x:c r="R552"/>
      <x:c r="S552" s="52"/>
      <x:c r="T552" t="str">
        <x:v>OK</x:v>
      </x:c>
      <x:c r="U552" t="str">
        <x:f>IF(AND(ISNUMBER(L552),L552&gt;=0,L552&lt;=1),"OK","CHECK")</x:f>
        <x:v>OK</x:v>
      </x:c>
      <x:c r="V552" t="str">
        <x:f>IF(AND(ISNUMBER(N552),N552&gt;=0),"OK","CHECK")</x:f>
        <x:v>OK</x:v>
      </x:c>
      <x:c r="W552" t="str">
        <x:f>IF(AND(T552="OK",U552="OK",V552="OK"),"OK","CHECK")</x:f>
        <x:v>OK</x:v>
      </x:c>
      <x:c r="X552" t="str">
        <x:f>IF(W552="OK","LOAD","QUARANTINE")</x:f>
        <x:v>LOAD</x:v>
      </x:c>
      <x:c r="Y552" t="str">
        <x:v>03_Process_Losses(6).xlsx</x:v>
      </x:c>
      <x:c r="Z552" t="str">
        <x:v>ENH-20260830-01</x:v>
      </x:c>
      <x:c r="AA552" t="str">
        <x:f>IF(X552="LOAD","Active","Quarantine")</x:f>
        <x:v>Active</x:v>
      </x:c>
      <x:c r="AB552"/>
      <x:c r="AC552"/>
      <x:c r="AD552"/>
      <x:c r="AE552"/>
    </x:row>
    <x:row r="553">
      <x:c r="A553" t="str">
        <x:v>PLD-000549</x:v>
      </x:c>
      <x:c r="B553" t="str">
        <x:v>LOSS-KG01-L24-20251023-PM-ORD-2025-00125</x:v>
      </x:c>
      <x:c r="C553" t="str">
        <x:v>PE-KG01-L24-20251023-PM-ORD-2025-00125</x:v>
      </x:c>
      <x:c r="D553" t="str">
        <x:v>KG01</x:v>
      </x:c>
      <x:c r="E553" t="n">
        <x:v>24</x:v>
      </x:c>
      <x:c r="F553" s="52" t="n">
        <x:v>45953</x:v>
      </x:c>
      <x:c r="G553" t="str">
        <x:v>PM</x:v>
      </x:c>
      <x:c r="H553" t="str">
        <x:v>ORD-2025-00125</x:v>
      </x:c>
      <x:c r="I553" t="str">
        <x:v>Normal</x:v>
      </x:c>
      <x:c r="J553" t="str">
        <x:v>PROC_VISUAL</x:v>
      </x:c>
      <x:c r="K553" t="str">
        <x:v>Inspection</x:v>
      </x:c>
      <x:c r="L553" s="54" t="n">
        <x:v>0.003939649450135448</x:v>
      </x:c>
      <x:c r="M553" t="n">
        <x:v>278705</x:v>
      </x:c>
      <x:c r="N553" t="n">
        <x:f>L553*M553</x:f>
        <x:v>1098</x:v>
      </x:c>
      <x:c r="O553"/>
      <x:c r="P553"/>
      <x:c r="Q553"/>
      <x:c r="R553"/>
      <x:c r="S553" s="52"/>
      <x:c r="T553" t="str">
        <x:v>OK</x:v>
      </x:c>
      <x:c r="U553" t="str">
        <x:f>IF(AND(ISNUMBER(L553),L553&gt;=0,L553&lt;=1),"OK","CHECK")</x:f>
        <x:v>OK</x:v>
      </x:c>
      <x:c r="V553" t="str">
        <x:f>IF(AND(ISNUMBER(N553),N553&gt;=0),"OK","CHECK")</x:f>
        <x:v>OK</x:v>
      </x:c>
      <x:c r="W553" t="str">
        <x:f>IF(AND(T553="OK",U553="OK",V553="OK"),"OK","CHECK")</x:f>
        <x:v>OK</x:v>
      </x:c>
      <x:c r="X553" t="str">
        <x:f>IF(W553="OK","LOAD","QUARANTINE")</x:f>
        <x:v>LOAD</x:v>
      </x:c>
      <x:c r="Y553" t="str">
        <x:v>03_Process_Losses(6).xlsx</x:v>
      </x:c>
      <x:c r="Z553" t="str">
        <x:v>ENH-20260830-01</x:v>
      </x:c>
      <x:c r="AA553" t="str">
        <x:f>IF(X553="LOAD","Active","Quarantine")</x:f>
        <x:v>Active</x:v>
      </x:c>
      <x:c r="AB553"/>
      <x:c r="AC553"/>
      <x:c r="AD553"/>
      <x:c r="AE553"/>
    </x:row>
    <x:row r="554">
      <x:c r="A554" t="str">
        <x:v>PLD-000550</x:v>
      </x:c>
      <x:c r="B554" t="str">
        <x:v>LOSS-KG01-L24-20251023-PM-ORD-2025-00125</x:v>
      </x:c>
      <x:c r="C554" t="str">
        <x:v>PE-KG01-L24-20251023-PM-ORD-2025-00125</x:v>
      </x:c>
      <x:c r="D554" t="str">
        <x:v>KG01</x:v>
      </x:c>
      <x:c r="E554" t="n">
        <x:v>24</x:v>
      </x:c>
      <x:c r="F554" s="52" t="n">
        <x:v>45953</x:v>
      </x:c>
      <x:c r="G554" t="str">
        <x:v>PM</x:v>
      </x:c>
      <x:c r="H554" t="str">
        <x:v>ORD-2025-00125</x:v>
      </x:c>
      <x:c r="I554" t="str">
        <x:v>Normal</x:v>
      </x:c>
      <x:c r="J554" t="str">
        <x:v>PROC_PALLETIZER</x:v>
      </x:c>
      <x:c r="K554" t="str">
        <x:v>Palletizer</x:v>
      </x:c>
      <x:c r="L554" s="54" t="n">
        <x:v>0.001011822536373585</x:v>
      </x:c>
      <x:c r="M554" t="n">
        <x:v>278705</x:v>
      </x:c>
      <x:c r="N554" t="n">
        <x:f>L554*M554</x:f>
        <x:v>282</x:v>
      </x:c>
      <x:c r="O554"/>
      <x:c r="P554"/>
      <x:c r="Q554"/>
      <x:c r="R554"/>
      <x:c r="S554" s="52"/>
      <x:c r="T554" t="str">
        <x:v>OK</x:v>
      </x:c>
      <x:c r="U554" t="str">
        <x:f>IF(AND(ISNUMBER(L554),L554&gt;=0,L554&lt;=1),"OK","CHECK")</x:f>
        <x:v>OK</x:v>
      </x:c>
      <x:c r="V554" t="str">
        <x:f>IF(AND(ISNUMBER(N554),N554&gt;=0),"OK","CHECK")</x:f>
        <x:v>OK</x:v>
      </x:c>
      <x:c r="W554" t="str">
        <x:f>IF(AND(T554="OK",U554="OK",V554="OK"),"OK","CHECK")</x:f>
        <x:v>OK</x:v>
      </x:c>
      <x:c r="X554" t="str">
        <x:f>IF(W554="OK","LOAD","QUARANTINE")</x:f>
        <x:v>LOAD</x:v>
      </x:c>
      <x:c r="Y554" t="str">
        <x:v>03_Process_Losses(6).xlsx</x:v>
      </x:c>
      <x:c r="Z554" t="str">
        <x:v>ENH-20260830-01</x:v>
      </x:c>
      <x:c r="AA554" t="str">
        <x:f>IF(X554="LOAD","Active","Quarantine")</x:f>
        <x:v>Active</x:v>
      </x:c>
      <x:c r="AB554"/>
      <x:c r="AC554"/>
      <x:c r="AD554"/>
      <x:c r="AE554"/>
    </x:row>
    <x:row r="555">
      <x:c r="A555" t="str">
        <x:v>PLD-000551</x:v>
      </x:c>
      <x:c r="B555" t="str">
        <x:v>LOSS-KG01-L24-20251024-AM-ORD-2025-00125</x:v>
      </x:c>
      <x:c r="C555" t="str">
        <x:v>PE-KG01-L24-20251024-AM-ORD-2025-00125</x:v>
      </x:c>
      <x:c r="D555" t="str">
        <x:v>KG01</x:v>
      </x:c>
      <x:c r="E555" t="n">
        <x:v>24</x:v>
      </x:c>
      <x:c r="F555" s="52" t="n">
        <x:v>45954</x:v>
      </x:c>
      <x:c r="G555" t="str">
        <x:v>AM</x:v>
      </x:c>
      <x:c r="H555" t="str">
        <x:v>ORD-2025-00125</x:v>
      </x:c>
      <x:c r="I555" t="str">
        <x:v>Normal</x:v>
      </x:c>
      <x:c r="J555" t="str">
        <x:v>PROC_FIXED</x:v>
      </x:c>
      <x:c r="K555" t="str">
        <x:v>Fixed Losses</x:v>
      </x:c>
      <x:c r="L555" s="54" t="n">
        <x:v>0.007077544320897094</x:v>
      </x:c>
      <x:c r="M555" t="n">
        <x:v>275378</x:v>
      </x:c>
      <x:c r="N555" t="n">
        <x:f>L555*M555</x:f>
        <x:v>1949</x:v>
      </x:c>
      <x:c r="O555"/>
      <x:c r="P555"/>
      <x:c r="Q555"/>
      <x:c r="R555"/>
      <x:c r="S555" s="52"/>
      <x:c r="T555" t="str">
        <x:v>OK</x:v>
      </x:c>
      <x:c r="U555" t="str">
        <x:f>IF(AND(ISNUMBER(L555),L555&gt;=0,L555&lt;=1),"OK","CHECK")</x:f>
        <x:v>OK</x:v>
      </x:c>
      <x:c r="V555" t="str">
        <x:f>IF(AND(ISNUMBER(N555),N555&gt;=0),"OK","CHECK")</x:f>
        <x:v>OK</x:v>
      </x:c>
      <x:c r="W555" t="str">
        <x:f>IF(AND(T555="OK",U555="OK",V555="OK"),"OK","CHECK")</x:f>
        <x:v>OK</x:v>
      </x:c>
      <x:c r="X555" t="str">
        <x:f>IF(W555="OK","LOAD","QUARANTINE")</x:f>
        <x:v>LOAD</x:v>
      </x:c>
      <x:c r="Y555" t="str">
        <x:v>03_Process_Losses(6).xlsx</x:v>
      </x:c>
      <x:c r="Z555" t="str">
        <x:v>ENH-20260830-01</x:v>
      </x:c>
      <x:c r="AA555" t="str">
        <x:f>IF(X555="LOAD","Active","Quarantine")</x:f>
        <x:v>Active</x:v>
      </x:c>
      <x:c r="AB555"/>
      <x:c r="AC555"/>
      <x:c r="AD555"/>
      <x:c r="AE555"/>
    </x:row>
    <x:row r="556">
      <x:c r="A556" t="str">
        <x:v>PLD-000552</x:v>
      </x:c>
      <x:c r="B556" t="str">
        <x:v>LOSS-KG01-L24-20251024-AM-ORD-2025-00125</x:v>
      </x:c>
      <x:c r="C556" t="str">
        <x:v>PE-KG01-L24-20251024-AM-ORD-2025-00125</x:v>
      </x:c>
      <x:c r="D556" t="str">
        <x:v>KG01</x:v>
      </x:c>
      <x:c r="E556" t="n">
        <x:v>24</x:v>
      </x:c>
      <x:c r="F556" s="52" t="n">
        <x:v>45954</x:v>
      </x:c>
      <x:c r="G556" t="str">
        <x:v>AM</x:v>
      </x:c>
      <x:c r="H556" t="str">
        <x:v>ORD-2025-00125</x:v>
      </x:c>
      <x:c r="I556" t="str">
        <x:v>Normal</x:v>
      </x:c>
      <x:c r="J556" t="str">
        <x:v>PROC_IS</x:v>
      </x:c>
      <x:c r="K556" t="str">
        <x:v>IS Machine</x:v>
      </x:c>
      <x:c r="L556" s="54" t="n">
        <x:v>0.012688014293080783</x:v>
      </x:c>
      <x:c r="M556" t="n">
        <x:v>275378</x:v>
      </x:c>
      <x:c r="N556" t="n">
        <x:f>L556*M556</x:f>
        <x:v>3494</x:v>
      </x:c>
      <x:c r="O556"/>
      <x:c r="P556"/>
      <x:c r="Q556"/>
      <x:c r="R556"/>
      <x:c r="S556" s="52"/>
      <x:c r="T556" t="str">
        <x:v>OK</x:v>
      </x:c>
      <x:c r="U556" t="str">
        <x:f>IF(AND(ISNUMBER(L556),L556&gt;=0,L556&lt;=1),"OK","CHECK")</x:f>
        <x:v>OK</x:v>
      </x:c>
      <x:c r="V556" t="str">
        <x:f>IF(AND(ISNUMBER(N556),N556&gt;=0),"OK","CHECK")</x:f>
        <x:v>OK</x:v>
      </x:c>
      <x:c r="W556" t="str">
        <x:f>IF(AND(T556="OK",U556="OK",V556="OK"),"OK","CHECK")</x:f>
        <x:v>OK</x:v>
      </x:c>
      <x:c r="X556" t="str">
        <x:f>IF(W556="OK","LOAD","QUARANTINE")</x:f>
        <x:v>LOAD</x:v>
      </x:c>
      <x:c r="Y556" t="str">
        <x:v>03_Process_Losses(6).xlsx</x:v>
      </x:c>
      <x:c r="Z556" t="str">
        <x:v>ENH-20260830-01</x:v>
      </x:c>
      <x:c r="AA556" t="str">
        <x:f>IF(X556="LOAD","Active","Quarantine")</x:f>
        <x:v>Active</x:v>
      </x:c>
      <x:c r="AB556"/>
      <x:c r="AC556"/>
      <x:c r="AD556"/>
      <x:c r="AE556"/>
    </x:row>
    <x:row r="557">
      <x:c r="A557" t="str">
        <x:v>PLD-000553</x:v>
      </x:c>
      <x:c r="B557" t="str">
        <x:v>LOSS-KG01-L24-20251024-AM-ORD-2025-00125</x:v>
      </x:c>
      <x:c r="C557" t="str">
        <x:v>PE-KG01-L24-20251024-AM-ORD-2025-00125</x:v>
      </x:c>
      <x:c r="D557" t="str">
        <x:v>KG01</x:v>
      </x:c>
      <x:c r="E557" t="n">
        <x:v>24</x:v>
      </x:c>
      <x:c r="F557" s="52" t="n">
        <x:v>45954</x:v>
      </x:c>
      <x:c r="G557" t="str">
        <x:v>AM</x:v>
      </x:c>
      <x:c r="H557" t="str">
        <x:v>ORD-2025-00125</x:v>
      </x:c>
      <x:c r="I557" t="str">
        <x:v>Normal</x:v>
      </x:c>
      <x:c r="J557" t="str">
        <x:v>PROC_HE_CONVEYER</x:v>
      </x:c>
      <x:c r="K557" t="str">
        <x:v>Hot End</x:v>
      </x:c>
      <x:c r="L557" s="54" t="n">
        <x:v>0.005784775835397164</x:v>
      </x:c>
      <x:c r="M557" t="n">
        <x:v>275378</x:v>
      </x:c>
      <x:c r="N557" t="n">
        <x:f>L557*M557</x:f>
        <x:v>1593</x:v>
      </x:c>
      <x:c r="O557"/>
      <x:c r="P557"/>
      <x:c r="Q557"/>
      <x:c r="R557"/>
      <x:c r="S557" s="52"/>
      <x:c r="T557" t="str">
        <x:v>OK</x:v>
      </x:c>
      <x:c r="U557" t="str">
        <x:f>IF(AND(ISNUMBER(L557),L557&gt;=0,L557&lt;=1),"OK","CHECK")</x:f>
        <x:v>OK</x:v>
      </x:c>
      <x:c r="V557" t="str">
        <x:f>IF(AND(ISNUMBER(N557),N557&gt;=0),"OK","CHECK")</x:f>
        <x:v>OK</x:v>
      </x:c>
      <x:c r="W557" t="str">
        <x:f>IF(AND(T557="OK",U557="OK",V557="OK"),"OK","CHECK")</x:f>
        <x:v>OK</x:v>
      </x:c>
      <x:c r="X557" t="str">
        <x:f>IF(W557="OK","LOAD","QUARANTINE")</x:f>
        <x:v>LOAD</x:v>
      </x:c>
      <x:c r="Y557" t="str">
        <x:v>03_Process_Losses(6).xlsx</x:v>
      </x:c>
      <x:c r="Z557" t="str">
        <x:v>ENH-20260830-01</x:v>
      </x:c>
      <x:c r="AA557" t="str">
        <x:f>IF(X557="LOAD","Active","Quarantine")</x:f>
        <x:v>Active</x:v>
      </x:c>
      <x:c r="AB557"/>
      <x:c r="AC557"/>
      <x:c r="AD557"/>
      <x:c r="AE557"/>
    </x:row>
    <x:row r="558">
      <x:c r="A558" t="str">
        <x:v>PLD-000554</x:v>
      </x:c>
      <x:c r="B558" t="str">
        <x:v>LOSS-KG01-L24-20251024-AM-ORD-2025-00125</x:v>
      </x:c>
      <x:c r="C558" t="str">
        <x:v>PE-KG01-L24-20251024-AM-ORD-2025-00125</x:v>
      </x:c>
      <x:c r="D558" t="str">
        <x:v>KG01</x:v>
      </x:c>
      <x:c r="E558" t="n">
        <x:v>24</x:v>
      </x:c>
      <x:c r="F558" s="52" t="n">
        <x:v>45954</x:v>
      </x:c>
      <x:c r="G558" t="str">
        <x:v>AM</x:v>
      </x:c>
      <x:c r="H558" t="str">
        <x:v>ORD-2025-00125</x:v>
      </x:c>
      <x:c r="I558" t="str">
        <x:v>Normal</x:v>
      </x:c>
      <x:c r="J558" t="str">
        <x:v>PROC_STUCKDOWN</x:v>
      </x:c>
      <x:c r="K558" t="str">
        <x:v>Forming</x:v>
      </x:c>
      <x:c r="L558" s="54" t="n">
        <x:v>0.002004517426954949</x:v>
      </x:c>
      <x:c r="M558" t="n">
        <x:v>275378</x:v>
      </x:c>
      <x:c r="N558" t="n">
        <x:f>L558*M558</x:f>
        <x:v>552</x:v>
      </x:c>
      <x:c r="O558"/>
      <x:c r="P558"/>
      <x:c r="Q558"/>
      <x:c r="R558"/>
      <x:c r="S558" s="52"/>
      <x:c r="T558" t="str">
        <x:v>OK</x:v>
      </x:c>
      <x:c r="U558" t="str">
        <x:f>IF(AND(ISNUMBER(L558),L558&gt;=0,L558&lt;=1),"OK","CHECK")</x:f>
        <x:v>OK</x:v>
      </x:c>
      <x:c r="V558" t="str">
        <x:f>IF(AND(ISNUMBER(N558),N558&gt;=0),"OK","CHECK")</x:f>
        <x:v>OK</x:v>
      </x:c>
      <x:c r="W558" t="str">
        <x:f>IF(AND(T558="OK",U558="OK",V558="OK"),"OK","CHECK")</x:f>
        <x:v>OK</x:v>
      </x:c>
      <x:c r="X558" t="str">
        <x:f>IF(W558="OK","LOAD","QUARANTINE")</x:f>
        <x:v>LOAD</x:v>
      </x:c>
      <x:c r="Y558" t="str">
        <x:v>03_Process_Losses(6).xlsx</x:v>
      </x:c>
      <x:c r="Z558" t="str">
        <x:v>ENH-20260830-01</x:v>
      </x:c>
      <x:c r="AA558" t="str">
        <x:f>IF(X558="LOAD","Active","Quarantine")</x:f>
        <x:v>Active</x:v>
      </x:c>
      <x:c r="AB558"/>
      <x:c r="AC558"/>
      <x:c r="AD558"/>
      <x:c r="AE558"/>
    </x:row>
    <x:row r="559">
      <x:c r="A559" t="str">
        <x:v>PLD-000555</x:v>
      </x:c>
      <x:c r="B559" t="str">
        <x:v>LOSS-KG01-L24-20251024-AM-ORD-2025-00125</x:v>
      </x:c>
      <x:c r="C559" t="str">
        <x:v>PE-KG01-L24-20251024-AM-ORD-2025-00125</x:v>
      </x:c>
      <x:c r="D559" t="str">
        <x:v>KG01</x:v>
      </x:c>
      <x:c r="E559" t="n">
        <x:v>24</x:v>
      </x:c>
      <x:c r="F559" s="52" t="n">
        <x:v>45954</x:v>
      </x:c>
      <x:c r="G559" t="str">
        <x:v>AM</x:v>
      </x:c>
      <x:c r="H559" t="str">
        <x:v>ORD-2025-00125</x:v>
      </x:c>
      <x:c r="I559" t="str">
        <x:v>Normal</x:v>
      </x:c>
      <x:c r="J559" t="str">
        <x:v>PROC_LEHR</x:v>
      </x:c>
      <x:c r="K559" t="str">
        <x:v>Lehr</x:v>
      </x:c>
      <x:c r="L559" s="54" t="n">
        <x:v>0.004339489719585443</x:v>
      </x:c>
      <x:c r="M559" t="n">
        <x:v>275378</x:v>
      </x:c>
      <x:c r="N559" t="n">
        <x:f>L559*M559</x:f>
        <x:v>1195</x:v>
      </x:c>
      <x:c r="O559"/>
      <x:c r="P559"/>
      <x:c r="Q559"/>
      <x:c r="R559"/>
      <x:c r="S559" s="52"/>
      <x:c r="T559" t="str">
        <x:v>OK</x:v>
      </x:c>
      <x:c r="U559" t="str">
        <x:f>IF(AND(ISNUMBER(L559),L559&gt;=0,L559&lt;=1),"OK","CHECK")</x:f>
        <x:v>OK</x:v>
      </x:c>
      <x:c r="V559" t="str">
        <x:f>IF(AND(ISNUMBER(N559),N559&gt;=0),"OK","CHECK")</x:f>
        <x:v>OK</x:v>
      </x:c>
      <x:c r="W559" t="str">
        <x:f>IF(AND(T559="OK",U559="OK",V559="OK"),"OK","CHECK")</x:f>
        <x:v>OK</x:v>
      </x:c>
      <x:c r="X559" t="str">
        <x:f>IF(W559="OK","LOAD","QUARANTINE")</x:f>
        <x:v>LOAD</x:v>
      </x:c>
      <x:c r="Y559" t="str">
        <x:v>03_Process_Losses(6).xlsx</x:v>
      </x:c>
      <x:c r="Z559" t="str">
        <x:v>ENH-20260830-01</x:v>
      </x:c>
      <x:c r="AA559" t="str">
        <x:f>IF(X559="LOAD","Active","Quarantine")</x:f>
        <x:v>Active</x:v>
      </x:c>
      <x:c r="AB559"/>
      <x:c r="AC559"/>
      <x:c r="AD559"/>
      <x:c r="AE559"/>
    </x:row>
    <x:row r="560">
      <x:c r="A560" t="str">
        <x:v>PLD-000556</x:v>
      </x:c>
      <x:c r="B560" t="str">
        <x:v>LOSS-KG01-L24-20251024-AM-ORD-2025-00125</x:v>
      </x:c>
      <x:c r="C560" t="str">
        <x:v>PE-KG01-L24-20251024-AM-ORD-2025-00125</x:v>
      </x:c>
      <x:c r="D560" t="str">
        <x:v>KG01</x:v>
      </x:c>
      <x:c r="E560" t="n">
        <x:v>24</x:v>
      </x:c>
      <x:c r="F560" s="52" t="n">
        <x:v>45954</x:v>
      </x:c>
      <x:c r="G560" t="str">
        <x:v>AM</x:v>
      </x:c>
      <x:c r="H560" t="str">
        <x:v>ORD-2025-00125</x:v>
      </x:c>
      <x:c r="I560" t="str">
        <x:v>Normal</x:v>
      </x:c>
      <x:c r="J560" t="str">
        <x:v>PROC_EVO16</x:v>
      </x:c>
      <x:c r="K560" t="str">
        <x:v>Inspection</x:v>
      </x:c>
      <x:c r="L560" s="54" t="n">
        <x:v>0.0014815998373145277</x:v>
      </x:c>
      <x:c r="M560" t="n">
        <x:v>275378</x:v>
      </x:c>
      <x:c r="N560" t="n">
        <x:f>L560*M560</x:f>
        <x:v>408</x:v>
      </x:c>
      <x:c r="O560"/>
      <x:c r="P560"/>
      <x:c r="Q560"/>
      <x:c r="R560"/>
      <x:c r="S560" s="52"/>
      <x:c r="T560" t="str">
        <x:v>OK</x:v>
      </x:c>
      <x:c r="U560" t="str">
        <x:f>IF(AND(ISNUMBER(L560),L560&gt;=0,L560&lt;=1),"OK","CHECK")</x:f>
        <x:v>OK</x:v>
      </x:c>
      <x:c r="V560" t="str">
        <x:f>IF(AND(ISNUMBER(N560),N560&gt;=0),"OK","CHECK")</x:f>
        <x:v>OK</x:v>
      </x:c>
      <x:c r="W560" t="str">
        <x:f>IF(AND(T560="OK",U560="OK",V560="OK"),"OK","CHECK")</x:f>
        <x:v>OK</x:v>
      </x:c>
      <x:c r="X560" t="str">
        <x:f>IF(W560="OK","LOAD","QUARANTINE")</x:f>
        <x:v>LOAD</x:v>
      </x:c>
      <x:c r="Y560" t="str">
        <x:v>03_Process_Losses(6).xlsx</x:v>
      </x:c>
      <x:c r="Z560" t="str">
        <x:v>ENH-20260830-01</x:v>
      </x:c>
      <x:c r="AA560" t="str">
        <x:f>IF(X560="LOAD","Active","Quarantine")</x:f>
        <x:v>Active</x:v>
      </x:c>
      <x:c r="AB560"/>
      <x:c r="AC560"/>
      <x:c r="AD560"/>
      <x:c r="AE560"/>
    </x:row>
    <x:row r="561">
      <x:c r="A561" t="str">
        <x:v>PLD-000557</x:v>
      </x:c>
      <x:c r="B561" t="str">
        <x:v>LOSS-KG01-L24-20251024-AM-ORD-2025-00125</x:v>
      </x:c>
      <x:c r="C561" t="str">
        <x:v>PE-KG01-L24-20251024-AM-ORD-2025-00125</x:v>
      </x:c>
      <x:c r="D561" t="str">
        <x:v>KG01</x:v>
      </x:c>
      <x:c r="E561" t="n">
        <x:v>24</x:v>
      </x:c>
      <x:c r="F561" s="52" t="n">
        <x:v>45954</x:v>
      </x:c>
      <x:c r="G561" t="str">
        <x:v>AM</x:v>
      </x:c>
      <x:c r="H561" t="str">
        <x:v>ORD-2025-00125</x:v>
      </x:c>
      <x:c r="I561" t="str">
        <x:v>Normal</x:v>
      </x:c>
      <x:c r="J561" t="str">
        <x:v>PROC_EVO12</x:v>
      </x:c>
      <x:c r="K561" t="str">
        <x:v>Inspection</x:v>
      </x:c>
      <x:c r="L561" s="54" t="n">
        <x:v>0.0010966743893847729</x:v>
      </x:c>
      <x:c r="M561" t="n">
        <x:v>275378</x:v>
      </x:c>
      <x:c r="N561" t="n">
        <x:f>L561*M561</x:f>
        <x:v>302</x:v>
      </x:c>
      <x:c r="O561"/>
      <x:c r="P561"/>
      <x:c r="Q561"/>
      <x:c r="R561"/>
      <x:c r="S561" s="52"/>
      <x:c r="T561" t="str">
        <x:v>OK</x:v>
      </x:c>
      <x:c r="U561" t="str">
        <x:f>IF(AND(ISNUMBER(L561),L561&gt;=0,L561&lt;=1),"OK","CHECK")</x:f>
        <x:v>OK</x:v>
      </x:c>
      <x:c r="V561" t="str">
        <x:f>IF(AND(ISNUMBER(N561),N561&gt;=0),"OK","CHECK")</x:f>
        <x:v>OK</x:v>
      </x:c>
      <x:c r="W561" t="str">
        <x:f>IF(AND(T561="OK",U561="OK",V561="OK"),"OK","CHECK")</x:f>
        <x:v>OK</x:v>
      </x:c>
      <x:c r="X561" t="str">
        <x:f>IF(W561="OK","LOAD","QUARANTINE")</x:f>
        <x:v>LOAD</x:v>
      </x:c>
      <x:c r="Y561" t="str">
        <x:v>03_Process_Losses(6).xlsx</x:v>
      </x:c>
      <x:c r="Z561" t="str">
        <x:v>ENH-20260830-01</x:v>
      </x:c>
      <x:c r="AA561" t="str">
        <x:f>IF(X561="LOAD","Active","Quarantine")</x:f>
        <x:v>Active</x:v>
      </x:c>
      <x:c r="AB561"/>
      <x:c r="AC561"/>
      <x:c r="AD561"/>
      <x:c r="AE561"/>
    </x:row>
    <x:row r="562">
      <x:c r="A562" t="str">
        <x:v>PLD-000558</x:v>
      </x:c>
      <x:c r="B562" t="str">
        <x:v>LOSS-KG01-L24-20251024-AM-ORD-2025-00125</x:v>
      </x:c>
      <x:c r="C562" t="str">
        <x:v>PE-KG01-L24-20251024-AM-ORD-2025-00125</x:v>
      </x:c>
      <x:c r="D562" t="str">
        <x:v>KG01</x:v>
      </x:c>
      <x:c r="E562" t="n">
        <x:v>24</x:v>
      </x:c>
      <x:c r="F562" s="52" t="n">
        <x:v>45954</x:v>
      </x:c>
      <x:c r="G562" t="str">
        <x:v>AM</x:v>
      </x:c>
      <x:c r="H562" t="str">
        <x:v>ORD-2025-00125</x:v>
      </x:c>
      <x:c r="I562" t="str">
        <x:v>Normal</x:v>
      </x:c>
      <x:c r="J562" t="str">
        <x:v>PROC_EVO5</x:v>
      </x:c>
      <x:c r="K562" t="str">
        <x:v>Inspection</x:v>
      </x:c>
      <x:c r="L562" s="54" t="n">
        <x:v>0.0017103762827822121</x:v>
      </x:c>
      <x:c r="M562" t="n">
        <x:v>275378</x:v>
      </x:c>
      <x:c r="N562" t="n">
        <x:f>L562*M562</x:f>
        <x:v>471</x:v>
      </x:c>
      <x:c r="O562"/>
      <x:c r="P562"/>
      <x:c r="Q562"/>
      <x:c r="R562"/>
      <x:c r="S562" s="52"/>
      <x:c r="T562" t="str">
        <x:v>OK</x:v>
      </x:c>
      <x:c r="U562" t="str">
        <x:f>IF(AND(ISNUMBER(L562),L562&gt;=0,L562&lt;=1),"OK","CHECK")</x:f>
        <x:v>OK</x:v>
      </x:c>
      <x:c r="V562" t="str">
        <x:f>IF(AND(ISNUMBER(N562),N562&gt;=0),"OK","CHECK")</x:f>
        <x:v>OK</x:v>
      </x:c>
      <x:c r="W562" t="str">
        <x:f>IF(AND(T562="OK",U562="OK",V562="OK"),"OK","CHECK")</x:f>
        <x:v>OK</x:v>
      </x:c>
      <x:c r="X562" t="str">
        <x:f>IF(W562="OK","LOAD","QUARANTINE")</x:f>
        <x:v>LOAD</x:v>
      </x:c>
      <x:c r="Y562" t="str">
        <x:v>03_Process_Losses(6).xlsx</x:v>
      </x:c>
      <x:c r="Z562" t="str">
        <x:v>ENH-20260830-01</x:v>
      </x:c>
      <x:c r="AA562" t="str">
        <x:f>IF(X562="LOAD","Active","Quarantine")</x:f>
        <x:v>Active</x:v>
      </x:c>
      <x:c r="AB562"/>
      <x:c r="AC562"/>
      <x:c r="AD562"/>
      <x:c r="AE562"/>
    </x:row>
    <x:row r="563">
      <x:c r="A563" t="str">
        <x:v>PLD-000559</x:v>
      </x:c>
      <x:c r="B563" t="str">
        <x:v>LOSS-KG01-L24-20251024-AM-ORD-2025-00125</x:v>
      </x:c>
      <x:c r="C563" t="str">
        <x:v>PE-KG01-L24-20251024-AM-ORD-2025-00125</x:v>
      </x:c>
      <x:c r="D563" t="str">
        <x:v>KG01</x:v>
      </x:c>
      <x:c r="E563" t="n">
        <x:v>24</x:v>
      </x:c>
      <x:c r="F563" s="52" t="n">
        <x:v>45954</x:v>
      </x:c>
      <x:c r="G563" t="str">
        <x:v>AM</x:v>
      </x:c>
      <x:c r="H563" t="str">
        <x:v>ORD-2025-00125</x:v>
      </x:c>
      <x:c r="I563" t="str">
        <x:v>Normal</x:v>
      </x:c>
      <x:c r="J563" t="str">
        <x:v>PROC_SANLI</x:v>
      </x:c>
      <x:c r="K563" t="str">
        <x:v>Inspection</x:v>
      </x:c>
      <x:c r="L563" s="54" t="n">
        <x:v>0.0032101329808481432</x:v>
      </x:c>
      <x:c r="M563" t="n">
        <x:v>275378</x:v>
      </x:c>
      <x:c r="N563" t="n">
        <x:f>L563*M563</x:f>
        <x:v>884</x:v>
      </x:c>
      <x:c r="O563"/>
      <x:c r="P563"/>
      <x:c r="Q563"/>
      <x:c r="R563"/>
      <x:c r="S563" s="52"/>
      <x:c r="T563" t="str">
        <x:v>OK</x:v>
      </x:c>
      <x:c r="U563" t="str">
        <x:f>IF(AND(ISNUMBER(L563),L563&gt;=0,L563&lt;=1),"OK","CHECK")</x:f>
        <x:v>OK</x:v>
      </x:c>
      <x:c r="V563" t="str">
        <x:f>IF(AND(ISNUMBER(N563),N563&gt;=0),"OK","CHECK")</x:f>
        <x:v>OK</x:v>
      </x:c>
      <x:c r="W563" t="str">
        <x:f>IF(AND(T563="OK",U563="OK",V563="OK"),"OK","CHECK")</x:f>
        <x:v>OK</x:v>
      </x:c>
      <x:c r="X563" t="str">
        <x:f>IF(W563="OK","LOAD","QUARANTINE")</x:f>
        <x:v>LOAD</x:v>
      </x:c>
      <x:c r="Y563" t="str">
        <x:v>03_Process_Losses(6).xlsx</x:v>
      </x:c>
      <x:c r="Z563" t="str">
        <x:v>ENH-20260830-01</x:v>
      </x:c>
      <x:c r="AA563" t="str">
        <x:f>IF(X563="LOAD","Active","Quarantine")</x:f>
        <x:v>Active</x:v>
      </x:c>
      <x:c r="AB563"/>
      <x:c r="AC563"/>
      <x:c r="AD563"/>
      <x:c r="AE563"/>
    </x:row>
    <x:row r="564">
      <x:c r="A564" t="str">
        <x:v>PLD-000560</x:v>
      </x:c>
      <x:c r="B564" t="str">
        <x:v>LOSS-KG01-L24-20251024-AM-ORD-2025-00125</x:v>
      </x:c>
      <x:c r="C564" t="str">
        <x:v>PE-KG01-L24-20251024-AM-ORD-2025-00125</x:v>
      </x:c>
      <x:c r="D564" t="str">
        <x:v>KG01</x:v>
      </x:c>
      <x:c r="E564" t="n">
        <x:v>24</x:v>
      </x:c>
      <x:c r="F564" s="52" t="n">
        <x:v>45954</x:v>
      </x:c>
      <x:c r="G564" t="str">
        <x:v>AM</x:v>
      </x:c>
      <x:c r="H564" t="str">
        <x:v>ORD-2025-00125</x:v>
      </x:c>
      <x:c r="I564" t="str">
        <x:v>Normal</x:v>
      </x:c>
      <x:c r="J564" t="str">
        <x:v>PROC_VISUAL</x:v>
      </x:c>
      <x:c r="K564" t="str">
        <x:v>Inspection</x:v>
      </x:c>
      <x:c r="L564" s="54" t="n">
        <x:v>0.004190603461423934</x:v>
      </x:c>
      <x:c r="M564" t="n">
        <x:v>275378</x:v>
      </x:c>
      <x:c r="N564" t="n">
        <x:f>L564*M564</x:f>
        <x:v>1154</x:v>
      </x:c>
      <x:c r="O564"/>
      <x:c r="P564"/>
      <x:c r="Q564"/>
      <x:c r="R564"/>
      <x:c r="S564" s="52"/>
      <x:c r="T564" t="str">
        <x:v>OK</x:v>
      </x:c>
      <x:c r="U564" t="str">
        <x:f>IF(AND(ISNUMBER(L564),L564&gt;=0,L564&lt;=1),"OK","CHECK")</x:f>
        <x:v>OK</x:v>
      </x:c>
      <x:c r="V564" t="str">
        <x:f>IF(AND(ISNUMBER(N564),N564&gt;=0),"OK","CHECK")</x:f>
        <x:v>OK</x:v>
      </x:c>
      <x:c r="W564" t="str">
        <x:f>IF(AND(T564="OK",U564="OK",V564="OK"),"OK","CHECK")</x:f>
        <x:v>OK</x:v>
      </x:c>
      <x:c r="X564" t="str">
        <x:f>IF(W564="OK","LOAD","QUARANTINE")</x:f>
        <x:v>LOAD</x:v>
      </x:c>
      <x:c r="Y564" t="str">
        <x:v>03_Process_Losses(6).xlsx</x:v>
      </x:c>
      <x:c r="Z564" t="str">
        <x:v>ENH-20260830-01</x:v>
      </x:c>
      <x:c r="AA564" t="str">
        <x:f>IF(X564="LOAD","Active","Quarantine")</x:f>
        <x:v>Active</x:v>
      </x:c>
      <x:c r="AB564"/>
      <x:c r="AC564"/>
      <x:c r="AD564"/>
      <x:c r="AE564"/>
    </x:row>
    <x:row r="565">
      <x:c r="A565" t="str">
        <x:v>PLD-000561</x:v>
      </x:c>
      <x:c r="B565" t="str">
        <x:v>LOSS-KG01-L24-20251024-AM-ORD-2025-00125</x:v>
      </x:c>
      <x:c r="C565" t="str">
        <x:v>PE-KG01-L24-20251024-AM-ORD-2025-00125</x:v>
      </x:c>
      <x:c r="D565" t="str">
        <x:v>KG01</x:v>
      </x:c>
      <x:c r="E565" t="n">
        <x:v>24</x:v>
      </x:c>
      <x:c r="F565" s="52" t="n">
        <x:v>45954</x:v>
      </x:c>
      <x:c r="G565" t="str">
        <x:v>AM</x:v>
      </x:c>
      <x:c r="H565" t="str">
        <x:v>ORD-2025-00125</x:v>
      </x:c>
      <x:c r="I565" t="str">
        <x:v>Normal</x:v>
      </x:c>
      <x:c r="J565" t="str">
        <x:v>PROC_PALLETIZER</x:v>
      </x:c>
      <x:c r="K565" t="str">
        <x:v>Palletizer</x:v>
      </x:c>
      <x:c r="L565" s="54" t="n">
        <x:v>0.003881936828650074</x:v>
      </x:c>
      <x:c r="M565" t="n">
        <x:v>275378</x:v>
      </x:c>
      <x:c r="N565" t="n">
        <x:f>L565*M565</x:f>
        <x:v>1069</x:v>
      </x:c>
      <x:c r="O565"/>
      <x:c r="P565"/>
      <x:c r="Q565"/>
      <x:c r="R565"/>
      <x:c r="S565" s="52"/>
      <x:c r="T565" t="str">
        <x:v>OK</x:v>
      </x:c>
      <x:c r="U565" t="str">
        <x:f>IF(AND(ISNUMBER(L565),L565&gt;=0,L565&lt;=1),"OK","CHECK")</x:f>
        <x:v>OK</x:v>
      </x:c>
      <x:c r="V565" t="str">
        <x:f>IF(AND(ISNUMBER(N565),N565&gt;=0),"OK","CHECK")</x:f>
        <x:v>OK</x:v>
      </x:c>
      <x:c r="W565" t="str">
        <x:f>IF(AND(T565="OK",U565="OK",V565="OK"),"OK","CHECK")</x:f>
        <x:v>OK</x:v>
      </x:c>
      <x:c r="X565" t="str">
        <x:f>IF(W565="OK","LOAD","QUARANTINE")</x:f>
        <x:v>LOAD</x:v>
      </x:c>
      <x:c r="Y565" t="str">
        <x:v>03_Process_Losses(6).xlsx</x:v>
      </x:c>
      <x:c r="Z565" t="str">
        <x:v>ENH-20260830-01</x:v>
      </x:c>
      <x:c r="AA565" t="str">
        <x:f>IF(X565="LOAD","Active","Quarantine")</x:f>
        <x:v>Active</x:v>
      </x:c>
      <x:c r="AB565"/>
      <x:c r="AC565"/>
      <x:c r="AD565"/>
      <x:c r="AE565"/>
    </x:row>
    <x:row r="566">
      <x:c r="A566" t="str">
        <x:v>PLD-000562</x:v>
      </x:c>
      <x:c r="B566" t="str">
        <x:v>LOSS-KG01-L24-20251024-PM-ORD-2025-00125</x:v>
      </x:c>
      <x:c r="C566" t="str">
        <x:v>PE-KG01-L24-20251024-PM-ORD-2025-00125</x:v>
      </x:c>
      <x:c r="D566" t="str">
        <x:v>KG01</x:v>
      </x:c>
      <x:c r="E566" t="n">
        <x:v>24</x:v>
      </x:c>
      <x:c r="F566" s="52" t="n">
        <x:v>45954</x:v>
      </x:c>
      <x:c r="G566" t="str">
        <x:v>PM</x:v>
      </x:c>
      <x:c r="H566" t="str">
        <x:v>ORD-2025-00125</x:v>
      </x:c>
      <x:c r="I566" t="str">
        <x:v>Normal</x:v>
      </x:c>
      <x:c r="J566" t="str">
        <x:v>PROC_FIXED</x:v>
      </x:c>
      <x:c r="K566" t="str">
        <x:v>Fixed Losses</x:v>
      </x:c>
      <x:c r="L566" s="54" t="n">
        <x:v>0.005344905381547509</x:v>
      </x:c>
      <x:c r="M566" t="n">
        <x:v>330221</x:v>
      </x:c>
      <x:c r="N566" t="n">
        <x:f>L566*M566</x:f>
        <x:v>1765</x:v>
      </x:c>
      <x:c r="O566"/>
      <x:c r="P566"/>
      <x:c r="Q566"/>
      <x:c r="R566"/>
      <x:c r="S566" s="52"/>
      <x:c r="T566" t="str">
        <x:v>OK</x:v>
      </x:c>
      <x:c r="U566" t="str">
        <x:f>IF(AND(ISNUMBER(L566),L566&gt;=0,L566&lt;=1),"OK","CHECK")</x:f>
        <x:v>OK</x:v>
      </x:c>
      <x:c r="V566" t="str">
        <x:f>IF(AND(ISNUMBER(N566),N566&gt;=0),"OK","CHECK")</x:f>
        <x:v>OK</x:v>
      </x:c>
      <x:c r="W566" t="str">
        <x:f>IF(AND(T566="OK",U566="OK",V566="OK"),"OK","CHECK")</x:f>
        <x:v>OK</x:v>
      </x:c>
      <x:c r="X566" t="str">
        <x:f>IF(W566="OK","LOAD","QUARANTINE")</x:f>
        <x:v>LOAD</x:v>
      </x:c>
      <x:c r="Y566" t="str">
        <x:v>03_Process_Losses(6).xlsx</x:v>
      </x:c>
      <x:c r="Z566" t="str">
        <x:v>ENH-20260830-01</x:v>
      </x:c>
      <x:c r="AA566" t="str">
        <x:f>IF(X566="LOAD","Active","Quarantine")</x:f>
        <x:v>Active</x:v>
      </x:c>
      <x:c r="AB566"/>
      <x:c r="AC566"/>
      <x:c r="AD566"/>
      <x:c r="AE566"/>
    </x:row>
    <x:row r="567">
      <x:c r="A567" t="str">
        <x:v>PLD-000563</x:v>
      </x:c>
      <x:c r="B567" t="str">
        <x:v>LOSS-KG01-L24-20251024-PM-ORD-2025-00125</x:v>
      </x:c>
      <x:c r="C567" t="str">
        <x:v>PE-KG01-L24-20251024-PM-ORD-2025-00125</x:v>
      </x:c>
      <x:c r="D567" t="str">
        <x:v>KG01</x:v>
      </x:c>
      <x:c r="E567" t="n">
        <x:v>24</x:v>
      </x:c>
      <x:c r="F567" s="52" t="n">
        <x:v>45954</x:v>
      </x:c>
      <x:c r="G567" t="str">
        <x:v>PM</x:v>
      </x:c>
      <x:c r="H567" t="str">
        <x:v>ORD-2025-00125</x:v>
      </x:c>
      <x:c r="I567" t="str">
        <x:v>Normal</x:v>
      </x:c>
      <x:c r="J567" t="str">
        <x:v>PROC_IS</x:v>
      </x:c>
      <x:c r="K567" t="str">
        <x:v>IS Machine</x:v>
      </x:c>
      <x:c r="L567" s="54" t="n">
        <x:v>0.00992668546216019</x:v>
      </x:c>
      <x:c r="M567" t="n">
        <x:v>330221</x:v>
      </x:c>
      <x:c r="N567" t="n">
        <x:f>L567*M567</x:f>
        <x:v>3278</x:v>
      </x:c>
      <x:c r="O567"/>
      <x:c r="P567"/>
      <x:c r="Q567"/>
      <x:c r="R567"/>
      <x:c r="S567" s="52"/>
      <x:c r="T567" t="str">
        <x:v>OK</x:v>
      </x:c>
      <x:c r="U567" t="str">
        <x:f>IF(AND(ISNUMBER(L567),L567&gt;=0,L567&lt;=1),"OK","CHECK")</x:f>
        <x:v>OK</x:v>
      </x:c>
      <x:c r="V567" t="str">
        <x:f>IF(AND(ISNUMBER(N567),N567&gt;=0),"OK","CHECK")</x:f>
        <x:v>OK</x:v>
      </x:c>
      <x:c r="W567" t="str">
        <x:f>IF(AND(T567="OK",U567="OK",V567="OK"),"OK","CHECK")</x:f>
        <x:v>OK</x:v>
      </x:c>
      <x:c r="X567" t="str">
        <x:f>IF(W567="OK","LOAD","QUARANTINE")</x:f>
        <x:v>LOAD</x:v>
      </x:c>
      <x:c r="Y567" t="str">
        <x:v>03_Process_Losses(6).xlsx</x:v>
      </x:c>
      <x:c r="Z567" t="str">
        <x:v>ENH-20260830-01</x:v>
      </x:c>
      <x:c r="AA567" t="str">
        <x:f>IF(X567="LOAD","Active","Quarantine")</x:f>
        <x:v>Active</x:v>
      </x:c>
      <x:c r="AB567"/>
      <x:c r="AC567"/>
      <x:c r="AD567"/>
      <x:c r="AE567"/>
    </x:row>
    <x:row r="568">
      <x:c r="A568" t="str">
        <x:v>PLD-000564</x:v>
      </x:c>
      <x:c r="B568" t="str">
        <x:v>LOSS-KG01-L24-20251024-PM-ORD-2025-00125</x:v>
      </x:c>
      <x:c r="C568" t="str">
        <x:v>PE-KG01-L24-20251024-PM-ORD-2025-00125</x:v>
      </x:c>
      <x:c r="D568" t="str">
        <x:v>KG01</x:v>
      </x:c>
      <x:c r="E568" t="n">
        <x:v>24</x:v>
      </x:c>
      <x:c r="F568" s="52" t="n">
        <x:v>45954</x:v>
      </x:c>
      <x:c r="G568" t="str">
        <x:v>PM</x:v>
      </x:c>
      <x:c r="H568" t="str">
        <x:v>ORD-2025-00125</x:v>
      </x:c>
      <x:c r="I568" t="str">
        <x:v>Normal</x:v>
      </x:c>
      <x:c r="J568" t="str">
        <x:v>PROC_HE_CONVEYER</x:v>
      </x:c>
      <x:c r="K568" t="str">
        <x:v>Hot End</x:v>
      </x:c>
      <x:c r="L568" s="54" t="n">
        <x:v>0.006095917582467499</x:v>
      </x:c>
      <x:c r="M568" t="n">
        <x:v>330221</x:v>
      </x:c>
      <x:c r="N568" t="n">
        <x:f>L568*M568</x:f>
        <x:v>2013</x:v>
      </x:c>
      <x:c r="O568"/>
      <x:c r="P568"/>
      <x:c r="Q568"/>
      <x:c r="R568"/>
      <x:c r="S568" s="52"/>
      <x:c r="T568" t="str">
        <x:v>OK</x:v>
      </x:c>
      <x:c r="U568" t="str">
        <x:f>IF(AND(ISNUMBER(L568),L568&gt;=0,L568&lt;=1),"OK","CHECK")</x:f>
        <x:v>OK</x:v>
      </x:c>
      <x:c r="V568" t="str">
        <x:f>IF(AND(ISNUMBER(N568),N568&gt;=0),"OK","CHECK")</x:f>
        <x:v>OK</x:v>
      </x:c>
      <x:c r="W568" t="str">
        <x:f>IF(AND(T568="OK",U568="OK",V568="OK"),"OK","CHECK")</x:f>
        <x:v>OK</x:v>
      </x:c>
      <x:c r="X568" t="str">
        <x:f>IF(W568="OK","LOAD","QUARANTINE")</x:f>
        <x:v>LOAD</x:v>
      </x:c>
      <x:c r="Y568" t="str">
        <x:v>03_Process_Losses(6).xlsx</x:v>
      </x:c>
      <x:c r="Z568" t="str">
        <x:v>ENH-20260830-01</x:v>
      </x:c>
      <x:c r="AA568" t="str">
        <x:f>IF(X568="LOAD","Active","Quarantine")</x:f>
        <x:v>Active</x:v>
      </x:c>
      <x:c r="AB568"/>
      <x:c r="AC568"/>
      <x:c r="AD568"/>
      <x:c r="AE568"/>
    </x:row>
    <x:row r="569">
      <x:c r="A569" t="str">
        <x:v>PLD-000565</x:v>
      </x:c>
      <x:c r="B569" t="str">
        <x:v>LOSS-KG01-L24-20251024-PM-ORD-2025-00125</x:v>
      </x:c>
      <x:c r="C569" t="str">
        <x:v>PE-KG01-L24-20251024-PM-ORD-2025-00125</x:v>
      </x:c>
      <x:c r="D569" t="str">
        <x:v>KG01</x:v>
      </x:c>
      <x:c r="E569" t="n">
        <x:v>24</x:v>
      </x:c>
      <x:c r="F569" s="52" t="n">
        <x:v>45954</x:v>
      </x:c>
      <x:c r="G569" t="str">
        <x:v>PM</x:v>
      </x:c>
      <x:c r="H569" t="str">
        <x:v>ORD-2025-00125</x:v>
      </x:c>
      <x:c r="I569" t="str">
        <x:v>Normal</x:v>
      </x:c>
      <x:c r="J569" t="str">
        <x:v>PROC_STUCKDOWN</x:v>
      </x:c>
      <x:c r="K569" t="str">
        <x:v>Forming</x:v>
      </x:c>
      <x:c r="L569" s="54" t="n">
        <x:v>0.0030252467287059273</x:v>
      </x:c>
      <x:c r="M569" t="n">
        <x:v>330221</x:v>
      </x:c>
      <x:c r="N569" t="n">
        <x:f>L569*M569</x:f>
        <x:v>999</x:v>
      </x:c>
      <x:c r="O569"/>
      <x:c r="P569"/>
      <x:c r="Q569"/>
      <x:c r="R569"/>
      <x:c r="S569" s="52"/>
      <x:c r="T569" t="str">
        <x:v>OK</x:v>
      </x:c>
      <x:c r="U569" t="str">
        <x:f>IF(AND(ISNUMBER(L569),L569&gt;=0,L569&lt;=1),"OK","CHECK")</x:f>
        <x:v>OK</x:v>
      </x:c>
      <x:c r="V569" t="str">
        <x:f>IF(AND(ISNUMBER(N569),N569&gt;=0),"OK","CHECK")</x:f>
        <x:v>OK</x:v>
      </x:c>
      <x:c r="W569" t="str">
        <x:f>IF(AND(T569="OK",U569="OK",V569="OK"),"OK","CHECK")</x:f>
        <x:v>OK</x:v>
      </x:c>
      <x:c r="X569" t="str">
        <x:f>IF(W569="OK","LOAD","QUARANTINE")</x:f>
        <x:v>LOAD</x:v>
      </x:c>
      <x:c r="Y569" t="str">
        <x:v>03_Process_Losses(6).xlsx</x:v>
      </x:c>
      <x:c r="Z569" t="str">
        <x:v>ENH-20260830-01</x:v>
      </x:c>
      <x:c r="AA569" t="str">
        <x:f>IF(X569="LOAD","Active","Quarantine")</x:f>
        <x:v>Active</x:v>
      </x:c>
      <x:c r="AB569"/>
      <x:c r="AC569"/>
      <x:c r="AD569"/>
      <x:c r="AE569"/>
    </x:row>
    <x:row r="570">
      <x:c r="A570" t="str">
        <x:v>PLD-000566</x:v>
      </x:c>
      <x:c r="B570" t="str">
        <x:v>LOSS-KG01-L24-20251024-PM-ORD-2025-00125</x:v>
      </x:c>
      <x:c r="C570" t="str">
        <x:v>PE-KG01-L24-20251024-PM-ORD-2025-00125</x:v>
      </x:c>
      <x:c r="D570" t="str">
        <x:v>KG01</x:v>
      </x:c>
      <x:c r="E570" t="n">
        <x:v>24</x:v>
      </x:c>
      <x:c r="F570" s="52" t="n">
        <x:v>45954</x:v>
      </x:c>
      <x:c r="G570" t="str">
        <x:v>PM</x:v>
      </x:c>
      <x:c r="H570" t="str">
        <x:v>ORD-2025-00125</x:v>
      </x:c>
      <x:c r="I570" t="str">
        <x:v>Normal</x:v>
      </x:c>
      <x:c r="J570" t="str">
        <x:v>PROC_LEHR</x:v>
      </x:c>
      <x:c r="K570" t="str">
        <x:v>Lehr</x:v>
      </x:c>
      <x:c r="L570" s="54" t="n">
        <x:v>0.002452902753004806</x:v>
      </x:c>
      <x:c r="M570" t="n">
        <x:v>330221</x:v>
      </x:c>
      <x:c r="N570" t="n">
        <x:f>L570*M570</x:f>
        <x:v>810</x:v>
      </x:c>
      <x:c r="O570"/>
      <x:c r="P570"/>
      <x:c r="Q570"/>
      <x:c r="R570"/>
      <x:c r="S570" s="52"/>
      <x:c r="T570" t="str">
        <x:v>OK</x:v>
      </x:c>
      <x:c r="U570" t="str">
        <x:f>IF(AND(ISNUMBER(L570),L570&gt;=0,L570&lt;=1),"OK","CHECK")</x:f>
        <x:v>OK</x:v>
      </x:c>
      <x:c r="V570" t="str">
        <x:f>IF(AND(ISNUMBER(N570),N570&gt;=0),"OK","CHECK")</x:f>
        <x:v>OK</x:v>
      </x:c>
      <x:c r="W570" t="str">
        <x:f>IF(AND(T570="OK",U570="OK",V570="OK"),"OK","CHECK")</x:f>
        <x:v>OK</x:v>
      </x:c>
      <x:c r="X570" t="str">
        <x:f>IF(W570="OK","LOAD","QUARANTINE")</x:f>
        <x:v>LOAD</x:v>
      </x:c>
      <x:c r="Y570" t="str">
        <x:v>03_Process_Losses(6).xlsx</x:v>
      </x:c>
      <x:c r="Z570" t="str">
        <x:v>ENH-20260830-01</x:v>
      </x:c>
      <x:c r="AA570" t="str">
        <x:f>IF(X570="LOAD","Active","Quarantine")</x:f>
        <x:v>Active</x:v>
      </x:c>
      <x:c r="AB570"/>
      <x:c r="AC570"/>
      <x:c r="AD570"/>
      <x:c r="AE570"/>
    </x:row>
    <x:row r="571">
      <x:c r="A571" t="str">
        <x:v>PLD-000567</x:v>
      </x:c>
      <x:c r="B571" t="str">
        <x:v>LOSS-KG01-L24-20251024-PM-ORD-2025-00125</x:v>
      </x:c>
      <x:c r="C571" t="str">
        <x:v>PE-KG01-L24-20251024-PM-ORD-2025-00125</x:v>
      </x:c>
      <x:c r="D571" t="str">
        <x:v>KG01</x:v>
      </x:c>
      <x:c r="E571" t="n">
        <x:v>24</x:v>
      </x:c>
      <x:c r="F571" s="52" t="n">
        <x:v>45954</x:v>
      </x:c>
      <x:c r="G571" t="str">
        <x:v>PM</x:v>
      </x:c>
      <x:c r="H571" t="str">
        <x:v>ORD-2025-00125</x:v>
      </x:c>
      <x:c r="I571" t="str">
        <x:v>Normal</x:v>
      </x:c>
      <x:c r="J571" t="str">
        <x:v>PROC_EVO16</x:v>
      </x:c>
      <x:c r="K571" t="str">
        <x:v>Inspection</x:v>
      </x:c>
      <x:c r="L571" s="54" t="n">
        <x:v>0.003010105353687379</x:v>
      </x:c>
      <x:c r="M571" t="n">
        <x:v>330221</x:v>
      </x:c>
      <x:c r="N571" t="n">
        <x:f>L571*M571</x:f>
        <x:v>994</x:v>
      </x:c>
      <x:c r="O571"/>
      <x:c r="P571"/>
      <x:c r="Q571"/>
      <x:c r="R571"/>
      <x:c r="S571" s="52"/>
      <x:c r="T571" t="str">
        <x:v>OK</x:v>
      </x:c>
      <x:c r="U571" t="str">
        <x:f>IF(AND(ISNUMBER(L571),L571&gt;=0,L571&lt;=1),"OK","CHECK")</x:f>
        <x:v>OK</x:v>
      </x:c>
      <x:c r="V571" t="str">
        <x:f>IF(AND(ISNUMBER(N571),N571&gt;=0),"OK","CHECK")</x:f>
        <x:v>OK</x:v>
      </x:c>
      <x:c r="W571" t="str">
        <x:f>IF(AND(T571="OK",U571="OK",V571="OK"),"OK","CHECK")</x:f>
        <x:v>OK</x:v>
      </x:c>
      <x:c r="X571" t="str">
        <x:f>IF(W571="OK","LOAD","QUARANTINE")</x:f>
        <x:v>LOAD</x:v>
      </x:c>
      <x:c r="Y571" t="str">
        <x:v>03_Process_Losses(6).xlsx</x:v>
      </x:c>
      <x:c r="Z571" t="str">
        <x:v>ENH-20260830-01</x:v>
      </x:c>
      <x:c r="AA571" t="str">
        <x:f>IF(X571="LOAD","Active","Quarantine")</x:f>
        <x:v>Active</x:v>
      </x:c>
      <x:c r="AB571"/>
      <x:c r="AC571"/>
      <x:c r="AD571"/>
      <x:c r="AE571"/>
    </x:row>
    <x:row r="572">
      <x:c r="A572" t="str">
        <x:v>PLD-000568</x:v>
      </x:c>
      <x:c r="B572" t="str">
        <x:v>LOSS-KG01-L24-20251024-PM-ORD-2025-00125</x:v>
      </x:c>
      <x:c r="C572" t="str">
        <x:v>PE-KG01-L24-20251024-PM-ORD-2025-00125</x:v>
      </x:c>
      <x:c r="D572" t="str">
        <x:v>KG01</x:v>
      </x:c>
      <x:c r="E572" t="n">
        <x:v>24</x:v>
      </x:c>
      <x:c r="F572" s="52" t="n">
        <x:v>45954</x:v>
      </x:c>
      <x:c r="G572" t="str">
        <x:v>PM</x:v>
      </x:c>
      <x:c r="H572" t="str">
        <x:v>ORD-2025-00125</x:v>
      </x:c>
      <x:c r="I572" t="str">
        <x:v>Normal</x:v>
      </x:c>
      <x:c r="J572" t="str">
        <x:v>PROC_EVO12</x:v>
      </x:c>
      <x:c r="K572" t="str">
        <x:v>Inspection</x:v>
      </x:c>
      <x:c r="L572" s="54" t="n">
        <x:v>0.0022227538527228733</x:v>
      </x:c>
      <x:c r="M572" t="n">
        <x:v>330221</x:v>
      </x:c>
      <x:c r="N572" t="n">
        <x:f>L572*M572</x:f>
        <x:v>733.9999999999999</x:v>
      </x:c>
      <x:c r="O572"/>
      <x:c r="P572"/>
      <x:c r="Q572"/>
      <x:c r="R572"/>
      <x:c r="S572" s="52"/>
      <x:c r="T572" t="str">
        <x:v>OK</x:v>
      </x:c>
      <x:c r="U572" t="str">
        <x:f>IF(AND(ISNUMBER(L572),L572&gt;=0,L572&lt;=1),"OK","CHECK")</x:f>
        <x:v>OK</x:v>
      </x:c>
      <x:c r="V572" t="str">
        <x:f>IF(AND(ISNUMBER(N572),N572&gt;=0),"OK","CHECK")</x:f>
        <x:v>OK</x:v>
      </x:c>
      <x:c r="W572" t="str">
        <x:f>IF(AND(T572="OK",U572="OK",V572="OK"),"OK","CHECK")</x:f>
        <x:v>OK</x:v>
      </x:c>
      <x:c r="X572" t="str">
        <x:f>IF(W572="OK","LOAD","QUARANTINE")</x:f>
        <x:v>LOAD</x:v>
      </x:c>
      <x:c r="Y572" t="str">
        <x:v>03_Process_Losses(6).xlsx</x:v>
      </x:c>
      <x:c r="Z572" t="str">
        <x:v>ENH-20260830-01</x:v>
      </x:c>
      <x:c r="AA572" t="str">
        <x:f>IF(X572="LOAD","Active","Quarantine")</x:f>
        <x:v>Active</x:v>
      </x:c>
      <x:c r="AB572"/>
      <x:c r="AC572"/>
      <x:c r="AD572"/>
      <x:c r="AE572"/>
    </x:row>
    <x:row r="573">
      <x:c r="A573" t="str">
        <x:v>PLD-000569</x:v>
      </x:c>
      <x:c r="B573" t="str">
        <x:v>LOSS-KG01-L24-20251024-PM-ORD-2025-00125</x:v>
      </x:c>
      <x:c r="C573" t="str">
        <x:v>PE-KG01-L24-20251024-PM-ORD-2025-00125</x:v>
      </x:c>
      <x:c r="D573" t="str">
        <x:v>KG01</x:v>
      </x:c>
      <x:c r="E573" t="n">
        <x:v>24</x:v>
      </x:c>
      <x:c r="F573" s="52" t="n">
        <x:v>45954</x:v>
      </x:c>
      <x:c r="G573" t="str">
        <x:v>PM</x:v>
      </x:c>
      <x:c r="H573" t="str">
        <x:v>ORD-2025-00125</x:v>
      </x:c>
      <x:c r="I573" t="str">
        <x:v>Normal</x:v>
      </x:c>
      <x:c r="J573" t="str">
        <x:v>PROC_EVO5</x:v>
      </x:c>
      <x:c r="K573" t="str">
        <x:v>Inspection</x:v>
      </x:c>
      <x:c r="L573" s="54" t="n">
        <x:v>0.0016625229770365906</x:v>
      </x:c>
      <x:c r="M573" t="n">
        <x:v>330221</x:v>
      </x:c>
      <x:c r="N573" t="n">
        <x:f>L573*M573</x:f>
        <x:v>549</x:v>
      </x:c>
      <x:c r="O573"/>
      <x:c r="P573"/>
      <x:c r="Q573"/>
      <x:c r="R573"/>
      <x:c r="S573" s="52"/>
      <x:c r="T573" t="str">
        <x:v>OK</x:v>
      </x:c>
      <x:c r="U573" t="str">
        <x:f>IF(AND(ISNUMBER(L573),L573&gt;=0,L573&lt;=1),"OK","CHECK")</x:f>
        <x:v>OK</x:v>
      </x:c>
      <x:c r="V573" t="str">
        <x:f>IF(AND(ISNUMBER(N573),N573&gt;=0),"OK","CHECK")</x:f>
        <x:v>OK</x:v>
      </x:c>
      <x:c r="W573" t="str">
        <x:f>IF(AND(T573="OK",U573="OK",V573="OK"),"OK","CHECK")</x:f>
        <x:v>OK</x:v>
      </x:c>
      <x:c r="X573" t="str">
        <x:f>IF(W573="OK","LOAD","QUARANTINE")</x:f>
        <x:v>LOAD</x:v>
      </x:c>
      <x:c r="Y573" t="str">
        <x:v>03_Process_Losses(6).xlsx</x:v>
      </x:c>
      <x:c r="Z573" t="str">
        <x:v>ENH-20260830-01</x:v>
      </x:c>
      <x:c r="AA573" t="str">
        <x:f>IF(X573="LOAD","Active","Quarantine")</x:f>
        <x:v>Active</x:v>
      </x:c>
      <x:c r="AB573"/>
      <x:c r="AC573"/>
      <x:c r="AD573"/>
      <x:c r="AE573"/>
    </x:row>
    <x:row r="574">
      <x:c r="A574" t="str">
        <x:v>PLD-000570</x:v>
      </x:c>
      <x:c r="B574" t="str">
        <x:v>LOSS-KG01-L24-20251024-PM-ORD-2025-00125</x:v>
      </x:c>
      <x:c r="C574" t="str">
        <x:v>PE-KG01-L24-20251024-PM-ORD-2025-00125</x:v>
      </x:c>
      <x:c r="D574" t="str">
        <x:v>KG01</x:v>
      </x:c>
      <x:c r="E574" t="n">
        <x:v>24</x:v>
      </x:c>
      <x:c r="F574" s="52" t="n">
        <x:v>45954</x:v>
      </x:c>
      <x:c r="G574" t="str">
        <x:v>PM</x:v>
      </x:c>
      <x:c r="H574" t="str">
        <x:v>ORD-2025-00125</x:v>
      </x:c>
      <x:c r="I574" t="str">
        <x:v>Normal</x:v>
      </x:c>
      <x:c r="J574" t="str">
        <x:v>PROC_SANLI</x:v>
      </x:c>
      <x:c r="K574" t="str">
        <x:v>Inspection</x:v>
      </x:c>
      <x:c r="L574" s="54" t="n">
        <x:v>0.0022712062527822274</x:v>
      </x:c>
      <x:c r="M574" t="n">
        <x:v>330221</x:v>
      </x:c>
      <x:c r="N574" t="n">
        <x:f>L574*M574</x:f>
        <x:v>749.9999999999999</x:v>
      </x:c>
      <x:c r="O574"/>
      <x:c r="P574"/>
      <x:c r="Q574"/>
      <x:c r="R574"/>
      <x:c r="S574" s="52"/>
      <x:c r="T574" t="str">
        <x:v>OK</x:v>
      </x:c>
      <x:c r="U574" t="str">
        <x:f>IF(AND(ISNUMBER(L574),L574&gt;=0,L574&lt;=1),"OK","CHECK")</x:f>
        <x:v>OK</x:v>
      </x:c>
      <x:c r="V574" t="str">
        <x:f>IF(AND(ISNUMBER(N574),N574&gt;=0),"OK","CHECK")</x:f>
        <x:v>OK</x:v>
      </x:c>
      <x:c r="W574" t="str">
        <x:f>IF(AND(T574="OK",U574="OK",V574="OK"),"OK","CHECK")</x:f>
        <x:v>OK</x:v>
      </x:c>
      <x:c r="X574" t="str">
        <x:f>IF(W574="OK","LOAD","QUARANTINE")</x:f>
        <x:v>LOAD</x:v>
      </x:c>
      <x:c r="Y574" t="str">
        <x:v>03_Process_Losses(6).xlsx</x:v>
      </x:c>
      <x:c r="Z574" t="str">
        <x:v>ENH-20260830-01</x:v>
      </x:c>
      <x:c r="AA574" t="str">
        <x:f>IF(X574="LOAD","Active","Quarantine")</x:f>
        <x:v>Active</x:v>
      </x:c>
      <x:c r="AB574"/>
      <x:c r="AC574"/>
      <x:c r="AD574"/>
      <x:c r="AE574"/>
    </x:row>
    <x:row r="575">
      <x:c r="A575" t="str">
        <x:v>PLD-000571</x:v>
      </x:c>
      <x:c r="B575" t="str">
        <x:v>LOSS-KG01-L24-20251024-PM-ORD-2025-00125</x:v>
      </x:c>
      <x:c r="C575" t="str">
        <x:v>PE-KG01-L24-20251024-PM-ORD-2025-00125</x:v>
      </x:c>
      <x:c r="D575" t="str">
        <x:v>KG01</x:v>
      </x:c>
      <x:c r="E575" t="n">
        <x:v>24</x:v>
      </x:c>
      <x:c r="F575" s="52" t="n">
        <x:v>45954</x:v>
      </x:c>
      <x:c r="G575" t="str">
        <x:v>PM</x:v>
      </x:c>
      <x:c r="H575" t="str">
        <x:v>ORD-2025-00125</x:v>
      </x:c>
      <x:c r="I575" t="str">
        <x:v>Normal</x:v>
      </x:c>
      <x:c r="J575" t="str">
        <x:v>PROC_VISUAL</x:v>
      </x:c>
      <x:c r="K575" t="str">
        <x:v>Inspection</x:v>
      </x:c>
      <x:c r="L575" s="54" t="n">
        <x:v>0.005678015631955569</x:v>
      </x:c>
      <x:c r="M575" t="n">
        <x:v>330221</x:v>
      </x:c>
      <x:c r="N575" t="n">
        <x:f>L575*M575</x:f>
        <x:v>1875</x:v>
      </x:c>
      <x:c r="O575"/>
      <x:c r="P575"/>
      <x:c r="Q575"/>
      <x:c r="R575"/>
      <x:c r="S575" s="52"/>
      <x:c r="T575" t="str">
        <x:v>OK</x:v>
      </x:c>
      <x:c r="U575" t="str">
        <x:f>IF(AND(ISNUMBER(L575),L575&gt;=0,L575&lt;=1),"OK","CHECK")</x:f>
        <x:v>OK</x:v>
      </x:c>
      <x:c r="V575" t="str">
        <x:f>IF(AND(ISNUMBER(N575),N575&gt;=0),"OK","CHECK")</x:f>
        <x:v>OK</x:v>
      </x:c>
      <x:c r="W575" t="str">
        <x:f>IF(AND(T575="OK",U575="OK",V575="OK"),"OK","CHECK")</x:f>
        <x:v>OK</x:v>
      </x:c>
      <x:c r="X575" t="str">
        <x:f>IF(W575="OK","LOAD","QUARANTINE")</x:f>
        <x:v>LOAD</x:v>
      </x:c>
      <x:c r="Y575" t="str">
        <x:v>03_Process_Losses(6).xlsx</x:v>
      </x:c>
      <x:c r="Z575" t="str">
        <x:v>ENH-20260830-01</x:v>
      </x:c>
      <x:c r="AA575" t="str">
        <x:f>IF(X575="LOAD","Active","Quarantine")</x:f>
        <x:v>Active</x:v>
      </x:c>
      <x:c r="AB575"/>
      <x:c r="AC575"/>
      <x:c r="AD575"/>
      <x:c r="AE575"/>
    </x:row>
    <x:row r="576">
      <x:c r="A576" t="str">
        <x:v>PLD-000572</x:v>
      </x:c>
      <x:c r="B576" t="str">
        <x:v>LOSS-KG01-L24-20251024-PM-ORD-2025-00125</x:v>
      </x:c>
      <x:c r="C576" t="str">
        <x:v>PE-KG01-L24-20251024-PM-ORD-2025-00125</x:v>
      </x:c>
      <x:c r="D576" t="str">
        <x:v>KG01</x:v>
      </x:c>
      <x:c r="E576" t="n">
        <x:v>24</x:v>
      </x:c>
      <x:c r="F576" s="52" t="n">
        <x:v>45954</x:v>
      </x:c>
      <x:c r="G576" t="str">
        <x:v>PM</x:v>
      </x:c>
      <x:c r="H576" t="str">
        <x:v>ORD-2025-00125</x:v>
      </x:c>
      <x:c r="I576" t="str">
        <x:v>Normal</x:v>
      </x:c>
      <x:c r="J576" t="str">
        <x:v>PROC_PALLETIZER</x:v>
      </x:c>
      <x:c r="K576" t="str">
        <x:v>Palletizer</x:v>
      </x:c>
      <x:c r="L576" s="54" t="n">
        <x:v>0.0011719424264356295</x:v>
      </x:c>
      <x:c r="M576" t="n">
        <x:v>330221</x:v>
      </x:c>
      <x:c r="N576" t="n">
        <x:f>L576*M576</x:f>
        <x:v>387</x:v>
      </x:c>
      <x:c r="O576"/>
      <x:c r="P576"/>
      <x:c r="Q576"/>
      <x:c r="R576"/>
      <x:c r="S576" s="52"/>
      <x:c r="T576" t="str">
        <x:v>OK</x:v>
      </x:c>
      <x:c r="U576" t="str">
        <x:f>IF(AND(ISNUMBER(L576),L576&gt;=0,L576&lt;=1),"OK","CHECK")</x:f>
        <x:v>OK</x:v>
      </x:c>
      <x:c r="V576" t="str">
        <x:f>IF(AND(ISNUMBER(N576),N576&gt;=0),"OK","CHECK")</x:f>
        <x:v>OK</x:v>
      </x:c>
      <x:c r="W576" t="str">
        <x:f>IF(AND(T576="OK",U576="OK",V576="OK"),"OK","CHECK")</x:f>
        <x:v>OK</x:v>
      </x:c>
      <x:c r="X576" t="str">
        <x:f>IF(W576="OK","LOAD","QUARANTINE")</x:f>
        <x:v>LOAD</x:v>
      </x:c>
      <x:c r="Y576" t="str">
        <x:v>03_Process_Losses(6).xlsx</x:v>
      </x:c>
      <x:c r="Z576" t="str">
        <x:v>ENH-20260830-01</x:v>
      </x:c>
      <x:c r="AA576" t="str">
        <x:f>IF(X576="LOAD","Active","Quarantine")</x:f>
        <x:v>Active</x:v>
      </x:c>
      <x:c r="AB576"/>
      <x:c r="AC576"/>
      <x:c r="AD576"/>
      <x:c r="AE576"/>
    </x:row>
    <x:row r="577">
      <x:c r="A577" t="str">
        <x:v>PLD-000573</x:v>
      </x:c>
      <x:c r="B577" t="str">
        <x:v>LOSS-KG01-L24-20251025-AM-ORD-2025-00126</x:v>
      </x:c>
      <x:c r="C577" t="str">
        <x:v>PE-KG01-L24-20251025-AM-ORD-2025-00126</x:v>
      </x:c>
      <x:c r="D577" t="str">
        <x:v>KG01</x:v>
      </x:c>
      <x:c r="E577" t="n">
        <x:v>24</x:v>
      </x:c>
      <x:c r="F577" s="52" t="n">
        <x:v>45955</x:v>
      </x:c>
      <x:c r="G577" t="str">
        <x:v>AM</x:v>
      </x:c>
      <x:c r="H577" t="str">
        <x:v>ORD-2025-00126</x:v>
      </x:c>
      <x:c r="I577" t="str">
        <x:v>Normal</x:v>
      </x:c>
      <x:c r="J577" t="str">
        <x:v>PROC_FIXED</x:v>
      </x:c>
      <x:c r="K577" t="str">
        <x:v>Fixed Losses</x:v>
      </x:c>
      <x:c r="L577" s="54" t="n">
        <x:v>0.005400727253210246</x:v>
      </x:c>
      <x:c r="M577" t="n">
        <x:v>149054</x:v>
      </x:c>
      <x:c r="N577" t="n">
        <x:f>L577*M577</x:f>
        <x:v>805</x:v>
      </x:c>
      <x:c r="O577"/>
      <x:c r="P577"/>
      <x:c r="Q577"/>
      <x:c r="R577"/>
      <x:c r="S577" s="52"/>
      <x:c r="T577" t="str">
        <x:v>OK</x:v>
      </x:c>
      <x:c r="U577" t="str">
        <x:f>IF(AND(ISNUMBER(L577),L577&gt;=0,L577&lt;=1),"OK","CHECK")</x:f>
        <x:v>OK</x:v>
      </x:c>
      <x:c r="V577" t="str">
        <x:f>IF(AND(ISNUMBER(N577),N577&gt;=0),"OK","CHECK")</x:f>
        <x:v>OK</x:v>
      </x:c>
      <x:c r="W577" t="str">
        <x:f>IF(AND(T577="OK",U577="OK",V577="OK"),"OK","CHECK")</x:f>
        <x:v>OK</x:v>
      </x:c>
      <x:c r="X577" t="str">
        <x:f>IF(W577="OK","LOAD","QUARANTINE")</x:f>
        <x:v>LOAD</x:v>
      </x:c>
      <x:c r="Y577" t="str">
        <x:v>03_Process_Losses(6).xlsx</x:v>
      </x:c>
      <x:c r="Z577" t="str">
        <x:v>ENH-20260830-01</x:v>
      </x:c>
      <x:c r="AA577" t="str">
        <x:f>IF(X577="LOAD","Active","Quarantine")</x:f>
        <x:v>Active</x:v>
      </x:c>
      <x:c r="AB577"/>
      <x:c r="AC577"/>
      <x:c r="AD577"/>
      <x:c r="AE577"/>
    </x:row>
    <x:row r="578">
      <x:c r="A578" t="str">
        <x:v>PLD-000574</x:v>
      </x:c>
      <x:c r="B578" t="str">
        <x:v>LOSS-KG01-L24-20251025-AM-ORD-2025-00126</x:v>
      </x:c>
      <x:c r="C578" t="str">
        <x:v>PE-KG01-L24-20251025-AM-ORD-2025-00126</x:v>
      </x:c>
      <x:c r="D578" t="str">
        <x:v>KG01</x:v>
      </x:c>
      <x:c r="E578" t="n">
        <x:v>24</x:v>
      </x:c>
      <x:c r="F578" s="52" t="n">
        <x:v>45955</x:v>
      </x:c>
      <x:c r="G578" t="str">
        <x:v>AM</x:v>
      </x:c>
      <x:c r="H578" t="str">
        <x:v>ORD-2025-00126</x:v>
      </x:c>
      <x:c r="I578" t="str">
        <x:v>Normal</x:v>
      </x:c>
      <x:c r="J578" t="str">
        <x:v>PROC_IS</x:v>
      </x:c>
      <x:c r="K578" t="str">
        <x:v>IS Machine</x:v>
      </x:c>
      <x:c r="L578" s="54" t="n">
        <x:v>0.006574798395212474</x:v>
      </x:c>
      <x:c r="M578" t="n">
        <x:v>149054</x:v>
      </x:c>
      <x:c r="N578" t="n">
        <x:f>L578*M578</x:f>
        <x:v>980</x:v>
      </x:c>
      <x:c r="O578"/>
      <x:c r="P578"/>
      <x:c r="Q578"/>
      <x:c r="R578"/>
      <x:c r="S578" s="52"/>
      <x:c r="T578" t="str">
        <x:v>OK</x:v>
      </x:c>
      <x:c r="U578" t="str">
        <x:f>IF(AND(ISNUMBER(L578),L578&gt;=0,L578&lt;=1),"OK","CHECK")</x:f>
        <x:v>OK</x:v>
      </x:c>
      <x:c r="V578" t="str">
        <x:f>IF(AND(ISNUMBER(N578),N578&gt;=0),"OK","CHECK")</x:f>
        <x:v>OK</x:v>
      </x:c>
      <x:c r="W578" t="str">
        <x:f>IF(AND(T578="OK",U578="OK",V578="OK"),"OK","CHECK")</x:f>
        <x:v>OK</x:v>
      </x:c>
      <x:c r="X578" t="str">
        <x:f>IF(W578="OK","LOAD","QUARANTINE")</x:f>
        <x:v>LOAD</x:v>
      </x:c>
      <x:c r="Y578" t="str">
        <x:v>03_Process_Losses(6).xlsx</x:v>
      </x:c>
      <x:c r="Z578" t="str">
        <x:v>ENH-20260830-01</x:v>
      </x:c>
      <x:c r="AA578" t="str">
        <x:f>IF(X578="LOAD","Active","Quarantine")</x:f>
        <x:v>Active</x:v>
      </x:c>
      <x:c r="AB578"/>
      <x:c r="AC578"/>
      <x:c r="AD578"/>
      <x:c r="AE578"/>
    </x:row>
    <x:row r="579">
      <x:c r="A579" t="str">
        <x:v>PLD-000575</x:v>
      </x:c>
      <x:c r="B579" t="str">
        <x:v>LOSS-KG01-L24-20251025-AM-ORD-2025-00126</x:v>
      </x:c>
      <x:c r="C579" t="str">
        <x:v>PE-KG01-L24-20251025-AM-ORD-2025-00126</x:v>
      </x:c>
      <x:c r="D579" t="str">
        <x:v>KG01</x:v>
      </x:c>
      <x:c r="E579" t="n">
        <x:v>24</x:v>
      </x:c>
      <x:c r="F579" s="52" t="n">
        <x:v>45955</x:v>
      </x:c>
      <x:c r="G579" t="str">
        <x:v>AM</x:v>
      </x:c>
      <x:c r="H579" t="str">
        <x:v>ORD-2025-00126</x:v>
      </x:c>
      <x:c r="I579" t="str">
        <x:v>Normal</x:v>
      </x:c>
      <x:c r="J579" t="str">
        <x:v>PROC_HE_CONVEYER</x:v>
      </x:c>
      <x:c r="K579" t="str">
        <x:v>Hot End</x:v>
      </x:c>
      <x:c r="L579" s="54" t="n">
        <x:v>0.0008453312222416038</x:v>
      </x:c>
      <x:c r="M579" t="n">
        <x:v>149054</x:v>
      </x:c>
      <x:c r="N579" t="n">
        <x:f>L579*M579</x:f>
        <x:v>126</x:v>
      </x:c>
      <x:c r="O579"/>
      <x:c r="P579"/>
      <x:c r="Q579"/>
      <x:c r="R579"/>
      <x:c r="S579" s="52"/>
      <x:c r="T579" t="str">
        <x:v>OK</x:v>
      </x:c>
      <x:c r="U579" t="str">
        <x:f>IF(AND(ISNUMBER(L579),L579&gt;=0,L579&lt;=1),"OK","CHECK")</x:f>
        <x:v>OK</x:v>
      </x:c>
      <x:c r="V579" t="str">
        <x:f>IF(AND(ISNUMBER(N579),N579&gt;=0),"OK","CHECK")</x:f>
        <x:v>OK</x:v>
      </x:c>
      <x:c r="W579" t="str">
        <x:f>IF(AND(T579="OK",U579="OK",V579="OK"),"OK","CHECK")</x:f>
        <x:v>OK</x:v>
      </x:c>
      <x:c r="X579" t="str">
        <x:f>IF(W579="OK","LOAD","QUARANTINE")</x:f>
        <x:v>LOAD</x:v>
      </x:c>
      <x:c r="Y579" t="str">
        <x:v>03_Process_Losses(6).xlsx</x:v>
      </x:c>
      <x:c r="Z579" t="str">
        <x:v>ENH-20260830-01</x:v>
      </x:c>
      <x:c r="AA579" t="str">
        <x:f>IF(X579="LOAD","Active","Quarantine")</x:f>
        <x:v>Active</x:v>
      </x:c>
      <x:c r="AB579"/>
      <x:c r="AC579"/>
      <x:c r="AD579"/>
      <x:c r="AE579"/>
    </x:row>
    <x:row r="580">
      <x:c r="A580" t="str">
        <x:v>PLD-000576</x:v>
      </x:c>
      <x:c r="B580" t="str">
        <x:v>LOSS-KG01-L24-20251025-AM-ORD-2025-00126</x:v>
      </x:c>
      <x:c r="C580" t="str">
        <x:v>PE-KG01-L24-20251025-AM-ORD-2025-00126</x:v>
      </x:c>
      <x:c r="D580" t="str">
        <x:v>KG01</x:v>
      </x:c>
      <x:c r="E580" t="n">
        <x:v>24</x:v>
      </x:c>
      <x:c r="F580" s="52" t="n">
        <x:v>45955</x:v>
      </x:c>
      <x:c r="G580" t="str">
        <x:v>AM</x:v>
      </x:c>
      <x:c r="H580" t="str">
        <x:v>ORD-2025-00126</x:v>
      </x:c>
      <x:c r="I580" t="str">
        <x:v>Normal</x:v>
      </x:c>
      <x:c r="J580" t="str">
        <x:v>PROC_STUCKDOWN</x:v>
      </x:c>
      <x:c r="K580" t="str">
        <x:v>Forming</x:v>
      </x:c>
      <x:c r="L580" s="54" t="n">
        <x:v>0.004132730419847841</x:v>
      </x:c>
      <x:c r="M580" t="n">
        <x:v>149054</x:v>
      </x:c>
      <x:c r="N580" t="n">
        <x:f>L580*M580</x:f>
        <x:v>616.0000000000001</x:v>
      </x:c>
      <x:c r="O580"/>
      <x:c r="P580"/>
      <x:c r="Q580"/>
      <x:c r="R580"/>
      <x:c r="S580" s="52"/>
      <x:c r="T580" t="str">
        <x:v>OK</x:v>
      </x:c>
      <x:c r="U580" t="str">
        <x:f>IF(AND(ISNUMBER(L580),L580&gt;=0,L580&lt;=1),"OK","CHECK")</x:f>
        <x:v>OK</x:v>
      </x:c>
      <x:c r="V580" t="str">
        <x:f>IF(AND(ISNUMBER(N580),N580&gt;=0),"OK","CHECK")</x:f>
        <x:v>OK</x:v>
      </x:c>
      <x:c r="W580" t="str">
        <x:f>IF(AND(T580="OK",U580="OK",V580="OK"),"OK","CHECK")</x:f>
        <x:v>OK</x:v>
      </x:c>
      <x:c r="X580" t="str">
        <x:f>IF(W580="OK","LOAD","QUARANTINE")</x:f>
        <x:v>LOAD</x:v>
      </x:c>
      <x:c r="Y580" t="str">
        <x:v>03_Process_Losses(6).xlsx</x:v>
      </x:c>
      <x:c r="Z580" t="str">
        <x:v>ENH-20260830-01</x:v>
      </x:c>
      <x:c r="AA580" t="str">
        <x:f>IF(X580="LOAD","Active","Quarantine")</x:f>
        <x:v>Active</x:v>
      </x:c>
      <x:c r="AB580"/>
      <x:c r="AC580"/>
      <x:c r="AD580"/>
      <x:c r="AE580"/>
    </x:row>
    <x:row r="581">
      <x:c r="A581" t="str">
        <x:v>PLD-000577</x:v>
      </x:c>
      <x:c r="B581" t="str">
        <x:v>LOSS-KG01-L24-20251025-AM-ORD-2025-00126</x:v>
      </x:c>
      <x:c r="C581" t="str">
        <x:v>PE-KG01-L24-20251025-AM-ORD-2025-00126</x:v>
      </x:c>
      <x:c r="D581" t="str">
        <x:v>KG01</x:v>
      </x:c>
      <x:c r="E581" t="n">
        <x:v>24</x:v>
      </x:c>
      <x:c r="F581" s="52" t="n">
        <x:v>45955</x:v>
      </x:c>
      <x:c r="G581" t="str">
        <x:v>AM</x:v>
      </x:c>
      <x:c r="H581" t="str">
        <x:v>ORD-2025-00126</x:v>
      </x:c>
      <x:c r="I581" t="str">
        <x:v>Normal</x:v>
      </x:c>
      <x:c r="J581" t="str">
        <x:v>PROC_LEHR</x:v>
      </x:c>
      <x:c r="K581" t="str">
        <x:v>Lehr</x:v>
      </x:c>
      <x:c r="L581" s="54" t="n">
        <x:v>0.0028848605203483303</x:v>
      </x:c>
      <x:c r="M581" t="n">
        <x:v>149054</x:v>
      </x:c>
      <x:c r="N581" t="n">
        <x:f>L581*M581</x:f>
        <x:v>430.00000000000006</x:v>
      </x:c>
      <x:c r="O581"/>
      <x:c r="P581"/>
      <x:c r="Q581"/>
      <x:c r="R581"/>
      <x:c r="S581" s="52"/>
      <x:c r="T581" t="str">
        <x:v>OK</x:v>
      </x:c>
      <x:c r="U581" t="str">
        <x:f>IF(AND(ISNUMBER(L581),L581&gt;=0,L581&lt;=1),"OK","CHECK")</x:f>
        <x:v>OK</x:v>
      </x:c>
      <x:c r="V581" t="str">
        <x:f>IF(AND(ISNUMBER(N581),N581&gt;=0),"OK","CHECK")</x:f>
        <x:v>OK</x:v>
      </x:c>
      <x:c r="W581" t="str">
        <x:f>IF(AND(T581="OK",U581="OK",V581="OK"),"OK","CHECK")</x:f>
        <x:v>OK</x:v>
      </x:c>
      <x:c r="X581" t="str">
        <x:f>IF(W581="OK","LOAD","QUARANTINE")</x:f>
        <x:v>LOAD</x:v>
      </x:c>
      <x:c r="Y581" t="str">
        <x:v>03_Process_Losses(6).xlsx</x:v>
      </x:c>
      <x:c r="Z581" t="str">
        <x:v>ENH-20260830-01</x:v>
      </x:c>
      <x:c r="AA581" t="str">
        <x:f>IF(X581="LOAD","Active","Quarantine")</x:f>
        <x:v>Active</x:v>
      </x:c>
      <x:c r="AB581"/>
      <x:c r="AC581"/>
      <x:c r="AD581"/>
      <x:c r="AE581"/>
    </x:row>
    <x:row r="582">
      <x:c r="A582" t="str">
        <x:v>PLD-000578</x:v>
      </x:c>
      <x:c r="B582" t="str">
        <x:v>LOSS-KG01-L24-20251025-AM-ORD-2025-00126</x:v>
      </x:c>
      <x:c r="C582" t="str">
        <x:v>PE-KG01-L24-20251025-AM-ORD-2025-00126</x:v>
      </x:c>
      <x:c r="D582" t="str">
        <x:v>KG01</x:v>
      </x:c>
      <x:c r="E582" t="n">
        <x:v>24</x:v>
      </x:c>
      <x:c r="F582" s="52" t="n">
        <x:v>45955</x:v>
      </x:c>
      <x:c r="G582" t="str">
        <x:v>AM</x:v>
      </x:c>
      <x:c r="H582" t="str">
        <x:v>ORD-2025-00126</x:v>
      </x:c>
      <x:c r="I582" t="str">
        <x:v>Normal</x:v>
      </x:c>
      <x:c r="J582" t="str">
        <x:v>PROC_EVO16</x:v>
      </x:c>
      <x:c r="K582" t="str">
        <x:v>Inspection</x:v>
      </x:c>
      <x:c r="L582" s="54" t="n">
        <x:v>0.00297207723375421</x:v>
      </x:c>
      <x:c r="M582" t="n">
        <x:v>149054</x:v>
      </x:c>
      <x:c r="N582" t="n">
        <x:f>L582*M582</x:f>
        <x:v>443</x:v>
      </x:c>
      <x:c r="O582"/>
      <x:c r="P582"/>
      <x:c r="Q582"/>
      <x:c r="R582"/>
      <x:c r="S582" s="52"/>
      <x:c r="T582" t="str">
        <x:v>OK</x:v>
      </x:c>
      <x:c r="U582" t="str">
        <x:f>IF(AND(ISNUMBER(L582),L582&gt;=0,L582&lt;=1),"OK","CHECK")</x:f>
        <x:v>OK</x:v>
      </x:c>
      <x:c r="V582" t="str">
        <x:f>IF(AND(ISNUMBER(N582),N582&gt;=0),"OK","CHECK")</x:f>
        <x:v>OK</x:v>
      </x:c>
      <x:c r="W582" t="str">
        <x:f>IF(AND(T582="OK",U582="OK",V582="OK"),"OK","CHECK")</x:f>
        <x:v>OK</x:v>
      </x:c>
      <x:c r="X582" t="str">
        <x:f>IF(W582="OK","LOAD","QUARANTINE")</x:f>
        <x:v>LOAD</x:v>
      </x:c>
      <x:c r="Y582" t="str">
        <x:v>03_Process_Losses(6).xlsx</x:v>
      </x:c>
      <x:c r="Z582" t="str">
        <x:v>ENH-20260830-01</x:v>
      </x:c>
      <x:c r="AA582" t="str">
        <x:f>IF(X582="LOAD","Active","Quarantine")</x:f>
        <x:v>Active</x:v>
      </x:c>
      <x:c r="AB582"/>
      <x:c r="AC582"/>
      <x:c r="AD582"/>
      <x:c r="AE582"/>
    </x:row>
    <x:row r="583">
      <x:c r="A583" t="str">
        <x:v>PLD-000579</x:v>
      </x:c>
      <x:c r="B583" t="str">
        <x:v>LOSS-KG01-L24-20251025-AM-ORD-2025-00126</x:v>
      </x:c>
      <x:c r="C583" t="str">
        <x:v>PE-KG01-L24-20251025-AM-ORD-2025-00126</x:v>
      </x:c>
      <x:c r="D583" t="str">
        <x:v>KG01</x:v>
      </x:c>
      <x:c r="E583" t="n">
        <x:v>24</x:v>
      </x:c>
      <x:c r="F583" s="52" t="n">
        <x:v>45955</x:v>
      </x:c>
      <x:c r="G583" t="str">
        <x:v>AM</x:v>
      </x:c>
      <x:c r="H583" t="str">
        <x:v>ORD-2025-00126</x:v>
      </x:c>
      <x:c r="I583" t="str">
        <x:v>Normal</x:v>
      </x:c>
      <x:c r="J583" t="str">
        <x:v>PROC_EVO12</x:v>
      </x:c>
      <x:c r="K583" t="str">
        <x:v>Inspection</x:v>
      </x:c>
      <x:c r="L583" s="54" t="n">
        <x:v>0.002334724328095858</x:v>
      </x:c>
      <x:c r="M583" t="n">
        <x:v>149054</x:v>
      </x:c>
      <x:c r="N583" t="n">
        <x:f>L583*M583</x:f>
        <x:v>348</x:v>
      </x:c>
      <x:c r="O583"/>
      <x:c r="P583"/>
      <x:c r="Q583"/>
      <x:c r="R583"/>
      <x:c r="S583" s="52"/>
      <x:c r="T583" t="str">
        <x:v>OK</x:v>
      </x:c>
      <x:c r="U583" t="str">
        <x:f>IF(AND(ISNUMBER(L583),L583&gt;=0,L583&lt;=1),"OK","CHECK")</x:f>
        <x:v>OK</x:v>
      </x:c>
      <x:c r="V583" t="str">
        <x:f>IF(AND(ISNUMBER(N583),N583&gt;=0),"OK","CHECK")</x:f>
        <x:v>OK</x:v>
      </x:c>
      <x:c r="W583" t="str">
        <x:f>IF(AND(T583="OK",U583="OK",V583="OK"),"OK","CHECK")</x:f>
        <x:v>OK</x:v>
      </x:c>
      <x:c r="X583" t="str">
        <x:f>IF(W583="OK","LOAD","QUARANTINE")</x:f>
        <x:v>LOAD</x:v>
      </x:c>
      <x:c r="Y583" t="str">
        <x:v>03_Process_Losses(6).xlsx</x:v>
      </x:c>
      <x:c r="Z583" t="str">
        <x:v>ENH-20260830-01</x:v>
      </x:c>
      <x:c r="AA583" t="str">
        <x:f>IF(X583="LOAD","Active","Quarantine")</x:f>
        <x:v>Active</x:v>
      </x:c>
      <x:c r="AB583"/>
      <x:c r="AC583"/>
      <x:c r="AD583"/>
      <x:c r="AE583"/>
    </x:row>
    <x:row r="584">
      <x:c r="A584" t="str">
        <x:v>PLD-000580</x:v>
      </x:c>
      <x:c r="B584" t="str">
        <x:v>LOSS-KG01-L24-20251025-AM-ORD-2025-00126</x:v>
      </x:c>
      <x:c r="C584" t="str">
        <x:v>PE-KG01-L24-20251025-AM-ORD-2025-00126</x:v>
      </x:c>
      <x:c r="D584" t="str">
        <x:v>KG01</x:v>
      </x:c>
      <x:c r="E584" t="n">
        <x:v>24</x:v>
      </x:c>
      <x:c r="F584" s="52" t="n">
        <x:v>45955</x:v>
      </x:c>
      <x:c r="G584" t="str">
        <x:v>AM</x:v>
      </x:c>
      <x:c r="H584" t="str">
        <x:v>ORD-2025-00126</x:v>
      </x:c>
      <x:c r="I584" t="str">
        <x:v>Normal</x:v>
      </x:c>
      <x:c r="J584" t="str">
        <x:v>PROC_EVO5</x:v>
      </x:c>
      <x:c r="K584" t="str">
        <x:v>Inspection</x:v>
      </x:c>
      <x:c r="L584" s="54" t="n">
        <x:v>0.0021468729453755016</x:v>
      </x:c>
      <x:c r="M584" t="n">
        <x:v>149054</x:v>
      </x:c>
      <x:c r="N584" t="n">
        <x:f>L584*M584</x:f>
        <x:v>320</x:v>
      </x:c>
      <x:c r="O584"/>
      <x:c r="P584"/>
      <x:c r="Q584"/>
      <x:c r="R584"/>
      <x:c r="S584" s="52"/>
      <x:c r="T584" t="str">
        <x:v>OK</x:v>
      </x:c>
      <x:c r="U584" t="str">
        <x:f>IF(AND(ISNUMBER(L584),L584&gt;=0,L584&lt;=1),"OK","CHECK")</x:f>
        <x:v>OK</x:v>
      </x:c>
      <x:c r="V584" t="str">
        <x:f>IF(AND(ISNUMBER(N584),N584&gt;=0),"OK","CHECK")</x:f>
        <x:v>OK</x:v>
      </x:c>
      <x:c r="W584" t="str">
        <x:f>IF(AND(T584="OK",U584="OK",V584="OK"),"OK","CHECK")</x:f>
        <x:v>OK</x:v>
      </x:c>
      <x:c r="X584" t="str">
        <x:f>IF(W584="OK","LOAD","QUARANTINE")</x:f>
        <x:v>LOAD</x:v>
      </x:c>
      <x:c r="Y584" t="str">
        <x:v>03_Process_Losses(6).xlsx</x:v>
      </x:c>
      <x:c r="Z584" t="str">
        <x:v>ENH-20260830-01</x:v>
      </x:c>
      <x:c r="AA584" t="str">
        <x:f>IF(X584="LOAD","Active","Quarantine")</x:f>
        <x:v>Active</x:v>
      </x:c>
      <x:c r="AB584"/>
      <x:c r="AC584"/>
      <x:c r="AD584"/>
      <x:c r="AE584"/>
    </x:row>
    <x:row r="585">
      <x:c r="A585" t="str">
        <x:v>PLD-000581</x:v>
      </x:c>
      <x:c r="B585" t="str">
        <x:v>LOSS-KG01-L24-20251025-AM-ORD-2025-00126</x:v>
      </x:c>
      <x:c r="C585" t="str">
        <x:v>PE-KG01-L24-20251025-AM-ORD-2025-00126</x:v>
      </x:c>
      <x:c r="D585" t="str">
        <x:v>KG01</x:v>
      </x:c>
      <x:c r="E585" t="n">
        <x:v>24</x:v>
      </x:c>
      <x:c r="F585" s="52" t="n">
        <x:v>45955</x:v>
      </x:c>
      <x:c r="G585" t="str">
        <x:v>AM</x:v>
      </x:c>
      <x:c r="H585" t="str">
        <x:v>ORD-2025-00126</x:v>
      </x:c>
      <x:c r="I585" t="str">
        <x:v>Normal</x:v>
      </x:c>
      <x:c r="J585" t="str">
        <x:v>PROC_SANLI</x:v>
      </x:c>
      <x:c r="K585" t="str">
        <x:v>Inspection</x:v>
      </x:c>
      <x:c r="L585" s="54" t="n">
        <x:v>0.0014692661719913588</x:v>
      </x:c>
      <x:c r="M585" t="n">
        <x:v>149054</x:v>
      </x:c>
      <x:c r="N585" t="n">
        <x:f>L585*M585</x:f>
        <x:v>219</x:v>
      </x:c>
      <x:c r="O585"/>
      <x:c r="P585"/>
      <x:c r="Q585"/>
      <x:c r="R585"/>
      <x:c r="S585" s="52"/>
      <x:c r="T585" t="str">
        <x:v>OK</x:v>
      </x:c>
      <x:c r="U585" t="str">
        <x:f>IF(AND(ISNUMBER(L585),L585&gt;=0,L585&lt;=1),"OK","CHECK")</x:f>
        <x:v>OK</x:v>
      </x:c>
      <x:c r="V585" t="str">
        <x:f>IF(AND(ISNUMBER(N585),N585&gt;=0),"OK","CHECK")</x:f>
        <x:v>OK</x:v>
      </x:c>
      <x:c r="W585" t="str">
        <x:f>IF(AND(T585="OK",U585="OK",V585="OK"),"OK","CHECK")</x:f>
        <x:v>OK</x:v>
      </x:c>
      <x:c r="X585" t="str">
        <x:f>IF(W585="OK","LOAD","QUARANTINE")</x:f>
        <x:v>LOAD</x:v>
      </x:c>
      <x:c r="Y585" t="str">
        <x:v>03_Process_Losses(6).xlsx</x:v>
      </x:c>
      <x:c r="Z585" t="str">
        <x:v>ENH-20260830-01</x:v>
      </x:c>
      <x:c r="AA585" t="str">
        <x:f>IF(X585="LOAD","Active","Quarantine")</x:f>
        <x:v>Active</x:v>
      </x:c>
      <x:c r="AB585"/>
      <x:c r="AC585"/>
      <x:c r="AD585"/>
      <x:c r="AE585"/>
    </x:row>
    <x:row r="586">
      <x:c r="A586" t="str">
        <x:v>PLD-000582</x:v>
      </x:c>
      <x:c r="B586" t="str">
        <x:v>LOSS-KG01-L24-20251025-AM-ORD-2025-00126</x:v>
      </x:c>
      <x:c r="C586" t="str">
        <x:v>PE-KG01-L24-20251025-AM-ORD-2025-00126</x:v>
      </x:c>
      <x:c r="D586" t="str">
        <x:v>KG01</x:v>
      </x:c>
      <x:c r="E586" t="n">
        <x:v>24</x:v>
      </x:c>
      <x:c r="F586" s="52" t="n">
        <x:v>45955</x:v>
      </x:c>
      <x:c r="G586" t="str">
        <x:v>AM</x:v>
      </x:c>
      <x:c r="H586" t="str">
        <x:v>ORD-2025-00126</x:v>
      </x:c>
      <x:c r="I586" t="str">
        <x:v>Normal</x:v>
      </x:c>
      <x:c r="J586" t="str">
        <x:v>PROC_VISUAL</x:v>
      </x:c>
      <x:c r="K586" t="str">
        <x:v>Inspection</x:v>
      </x:c>
      <x:c r="L586" s="54" t="n">
        <x:v>0.0025225757108162145</x:v>
      </x:c>
      <x:c r="M586" t="n">
        <x:v>149054</x:v>
      </x:c>
      <x:c r="N586" t="n">
        <x:f>L586*M586</x:f>
        <x:v>376.00000000000006</x:v>
      </x:c>
      <x:c r="O586"/>
      <x:c r="P586"/>
      <x:c r="Q586"/>
      <x:c r="R586"/>
      <x:c r="S586" s="52"/>
      <x:c r="T586" t="str">
        <x:v>OK</x:v>
      </x:c>
      <x:c r="U586" t="str">
        <x:f>IF(AND(ISNUMBER(L586),L586&gt;=0,L586&lt;=1),"OK","CHECK")</x:f>
        <x:v>OK</x:v>
      </x:c>
      <x:c r="V586" t="str">
        <x:f>IF(AND(ISNUMBER(N586),N586&gt;=0),"OK","CHECK")</x:f>
        <x:v>OK</x:v>
      </x:c>
      <x:c r="W586" t="str">
        <x:f>IF(AND(T586="OK",U586="OK",V586="OK"),"OK","CHECK")</x:f>
        <x:v>OK</x:v>
      </x:c>
      <x:c r="X586" t="str">
        <x:f>IF(W586="OK","LOAD","QUARANTINE")</x:f>
        <x:v>LOAD</x:v>
      </x:c>
      <x:c r="Y586" t="str">
        <x:v>03_Process_Losses(6).xlsx</x:v>
      </x:c>
      <x:c r="Z586" t="str">
        <x:v>ENH-20260830-01</x:v>
      </x:c>
      <x:c r="AA586" t="str">
        <x:f>IF(X586="LOAD","Active","Quarantine")</x:f>
        <x:v>Active</x:v>
      </x:c>
      <x:c r="AB586"/>
      <x:c r="AC586"/>
      <x:c r="AD586"/>
      <x:c r="AE586"/>
    </x:row>
    <x:row r="587">
      <x:c r="A587" t="str">
        <x:v>PLD-000583</x:v>
      </x:c>
      <x:c r="B587" t="str">
        <x:v>LOSS-KG01-L24-20251025-AM-ORD-2025-00126</x:v>
      </x:c>
      <x:c r="C587" t="str">
        <x:v>PE-KG01-L24-20251025-AM-ORD-2025-00126</x:v>
      </x:c>
      <x:c r="D587" t="str">
        <x:v>KG01</x:v>
      </x:c>
      <x:c r="E587" t="n">
        <x:v>24</x:v>
      </x:c>
      <x:c r="F587" s="52" t="n">
        <x:v>45955</x:v>
      </x:c>
      <x:c r="G587" t="str">
        <x:v>AM</x:v>
      </x:c>
      <x:c r="H587" t="str">
        <x:v>ORD-2025-00126</x:v>
      </x:c>
      <x:c r="I587" t="str">
        <x:v>Normal</x:v>
      </x:c>
      <x:c r="J587" t="str">
        <x:v>PROC_PALLETIZER</x:v>
      </x:c>
      <x:c r="K587" t="str">
        <x:v>Palletizer</x:v>
      </x:c>
      <x:c r="L587" s="54" t="n">
        <x:v>0.0010264736270076617</x:v>
      </x:c>
      <x:c r="M587" t="n">
        <x:v>149054</x:v>
      </x:c>
      <x:c r="N587" t="n">
        <x:f>L587*M587</x:f>
        <x:v>153</x:v>
      </x:c>
      <x:c r="O587"/>
      <x:c r="P587"/>
      <x:c r="Q587"/>
      <x:c r="R587"/>
      <x:c r="S587" s="52"/>
      <x:c r="T587" t="str">
        <x:v>OK</x:v>
      </x:c>
      <x:c r="U587" t="str">
        <x:f>IF(AND(ISNUMBER(L587),L587&gt;=0,L587&lt;=1),"OK","CHECK")</x:f>
        <x:v>OK</x:v>
      </x:c>
      <x:c r="V587" t="str">
        <x:f>IF(AND(ISNUMBER(N587),N587&gt;=0),"OK","CHECK")</x:f>
        <x:v>OK</x:v>
      </x:c>
      <x:c r="W587" t="str">
        <x:f>IF(AND(T587="OK",U587="OK",V587="OK"),"OK","CHECK")</x:f>
        <x:v>OK</x:v>
      </x:c>
      <x:c r="X587" t="str">
        <x:f>IF(W587="OK","LOAD","QUARANTINE")</x:f>
        <x:v>LOAD</x:v>
      </x:c>
      <x:c r="Y587" t="str">
        <x:v>03_Process_Losses(6).xlsx</x:v>
      </x:c>
      <x:c r="Z587" t="str">
        <x:v>ENH-20260830-01</x:v>
      </x:c>
      <x:c r="AA587" t="str">
        <x:f>IF(X587="LOAD","Active","Quarantine")</x:f>
        <x:v>Active</x:v>
      </x:c>
      <x:c r="AB587"/>
      <x:c r="AC587"/>
      <x:c r="AD587"/>
      <x:c r="AE587"/>
    </x:row>
    <x:row r="588">
      <x:c r="A588" t="str">
        <x:v>PLD-000584</x:v>
      </x:c>
      <x:c r="B588" t="str">
        <x:v>LOSS-KG01-L24-20251025-PM-ORD-2025-00126</x:v>
      </x:c>
      <x:c r="C588" t="str">
        <x:v>PE-KG01-L24-20251025-PM-ORD-2025-00126</x:v>
      </x:c>
      <x:c r="D588" t="str">
        <x:v>KG01</x:v>
      </x:c>
      <x:c r="E588" t="n">
        <x:v>24</x:v>
      </x:c>
      <x:c r="F588" s="52" t="n">
        <x:v>45955</x:v>
      </x:c>
      <x:c r="G588" t="str">
        <x:v>PM</x:v>
      </x:c>
      <x:c r="H588" t="str">
        <x:v>ORD-2025-00126</x:v>
      </x:c>
      <x:c r="I588" t="str">
        <x:v>Normal</x:v>
      </x:c>
      <x:c r="J588" t="str">
        <x:v>PROC_FIXED</x:v>
      </x:c>
      <x:c r="K588" t="str">
        <x:v>Fixed Losses</x:v>
      </x:c>
      <x:c r="L588" s="54" t="n">
        <x:v>0.00854678133265987</x:v>
      </x:c>
      <x:c r="M588" t="n">
        <x:v>150466</x:v>
      </x:c>
      <x:c r="N588" t="n">
        <x:f>L588*M588</x:f>
        <x:v>1286</x:v>
      </x:c>
      <x:c r="O588"/>
      <x:c r="P588"/>
      <x:c r="Q588"/>
      <x:c r="R588"/>
      <x:c r="S588" s="52"/>
      <x:c r="T588" t="str">
        <x:v>OK</x:v>
      </x:c>
      <x:c r="U588" t="str">
        <x:f>IF(AND(ISNUMBER(L588),L588&gt;=0,L588&lt;=1),"OK","CHECK")</x:f>
        <x:v>OK</x:v>
      </x:c>
      <x:c r="V588" t="str">
        <x:f>IF(AND(ISNUMBER(N588),N588&gt;=0),"OK","CHECK")</x:f>
        <x:v>OK</x:v>
      </x:c>
      <x:c r="W588" t="str">
        <x:f>IF(AND(T588="OK",U588="OK",V588="OK"),"OK","CHECK")</x:f>
        <x:v>OK</x:v>
      </x:c>
      <x:c r="X588" t="str">
        <x:f>IF(W588="OK","LOAD","QUARANTINE")</x:f>
        <x:v>LOAD</x:v>
      </x:c>
      <x:c r="Y588" t="str">
        <x:v>03_Process_Losses(6).xlsx</x:v>
      </x:c>
      <x:c r="Z588" t="str">
        <x:v>ENH-20260830-01</x:v>
      </x:c>
      <x:c r="AA588" t="str">
        <x:f>IF(X588="LOAD","Active","Quarantine")</x:f>
        <x:v>Active</x:v>
      </x:c>
      <x:c r="AB588"/>
      <x:c r="AC588"/>
      <x:c r="AD588"/>
      <x:c r="AE588"/>
    </x:row>
    <x:row r="589">
      <x:c r="A589" t="str">
        <x:v>PLD-000585</x:v>
      </x:c>
      <x:c r="B589" t="str">
        <x:v>LOSS-KG01-L24-20251025-PM-ORD-2025-00126</x:v>
      </x:c>
      <x:c r="C589" t="str">
        <x:v>PE-KG01-L24-20251025-PM-ORD-2025-00126</x:v>
      </x:c>
      <x:c r="D589" t="str">
        <x:v>KG01</x:v>
      </x:c>
      <x:c r="E589" t="n">
        <x:v>24</x:v>
      </x:c>
      <x:c r="F589" s="52" t="n">
        <x:v>45955</x:v>
      </x:c>
      <x:c r="G589" t="str">
        <x:v>PM</x:v>
      </x:c>
      <x:c r="H589" t="str">
        <x:v>ORD-2025-00126</x:v>
      </x:c>
      <x:c r="I589" t="str">
        <x:v>Normal</x:v>
      </x:c>
      <x:c r="J589" t="str">
        <x:v>PROC_IS</x:v>
      </x:c>
      <x:c r="K589" t="str">
        <x:v>IS Machine</x:v>
      </x:c>
      <x:c r="L589" s="54" t="n">
        <x:v>0.013105950846038307</x:v>
      </x:c>
      <x:c r="M589" t="n">
        <x:v>150466</x:v>
      </x:c>
      <x:c r="N589" t="n">
        <x:f>L589*M589</x:f>
        <x:v>1972</x:v>
      </x:c>
      <x:c r="O589"/>
      <x:c r="P589"/>
      <x:c r="Q589"/>
      <x:c r="R589"/>
      <x:c r="S589" s="52"/>
      <x:c r="T589" t="str">
        <x:v>OK</x:v>
      </x:c>
      <x:c r="U589" t="str">
        <x:f>IF(AND(ISNUMBER(L589),L589&gt;=0,L589&lt;=1),"OK","CHECK")</x:f>
        <x:v>OK</x:v>
      </x:c>
      <x:c r="V589" t="str">
        <x:f>IF(AND(ISNUMBER(N589),N589&gt;=0),"OK","CHECK")</x:f>
        <x:v>OK</x:v>
      </x:c>
      <x:c r="W589" t="str">
        <x:f>IF(AND(T589="OK",U589="OK",V589="OK"),"OK","CHECK")</x:f>
        <x:v>OK</x:v>
      </x:c>
      <x:c r="X589" t="str">
        <x:f>IF(W589="OK","LOAD","QUARANTINE")</x:f>
        <x:v>LOAD</x:v>
      </x:c>
      <x:c r="Y589" t="str">
        <x:v>03_Process_Losses(6).xlsx</x:v>
      </x:c>
      <x:c r="Z589" t="str">
        <x:v>ENH-20260830-01</x:v>
      </x:c>
      <x:c r="AA589" t="str">
        <x:f>IF(X589="LOAD","Active","Quarantine")</x:f>
        <x:v>Active</x:v>
      </x:c>
      <x:c r="AB589"/>
      <x:c r="AC589"/>
      <x:c r="AD589"/>
      <x:c r="AE589"/>
    </x:row>
    <x:row r="590">
      <x:c r="A590" t="str">
        <x:v>PLD-000586</x:v>
      </x:c>
      <x:c r="B590" t="str">
        <x:v>LOSS-KG01-L24-20251025-PM-ORD-2025-00126</x:v>
      </x:c>
      <x:c r="C590" t="str">
        <x:v>PE-KG01-L24-20251025-PM-ORD-2025-00126</x:v>
      </x:c>
      <x:c r="D590" t="str">
        <x:v>KG01</x:v>
      </x:c>
      <x:c r="E590" t="n">
        <x:v>24</x:v>
      </x:c>
      <x:c r="F590" s="52" t="n">
        <x:v>45955</x:v>
      </x:c>
      <x:c r="G590" t="str">
        <x:v>PM</x:v>
      </x:c>
      <x:c r="H590" t="str">
        <x:v>ORD-2025-00126</x:v>
      </x:c>
      <x:c r="I590" t="str">
        <x:v>Normal</x:v>
      </x:c>
      <x:c r="J590" t="str">
        <x:v>PROC_HE_CONVEYER</x:v>
      </x:c>
      <x:c r="K590" t="str">
        <x:v>Hot End</x:v>
      </x:c>
      <x:c r="L590" s="54" t="n">
        <x:v>0.0014621243337365252</x:v>
      </x:c>
      <x:c r="M590" t="n">
        <x:v>150466</x:v>
      </x:c>
      <x:c r="N590" t="n">
        <x:f>L590*M590</x:f>
        <x:v>220</x:v>
      </x:c>
      <x:c r="O590"/>
      <x:c r="P590"/>
      <x:c r="Q590"/>
      <x:c r="R590"/>
      <x:c r="S590" s="52"/>
      <x:c r="T590" t="str">
        <x:v>OK</x:v>
      </x:c>
      <x:c r="U590" t="str">
        <x:f>IF(AND(ISNUMBER(L590),L590&gt;=0,L590&lt;=1),"OK","CHECK")</x:f>
        <x:v>OK</x:v>
      </x:c>
      <x:c r="V590" t="str">
        <x:f>IF(AND(ISNUMBER(N590),N590&gt;=0),"OK","CHECK")</x:f>
        <x:v>OK</x:v>
      </x:c>
      <x:c r="W590" t="str">
        <x:f>IF(AND(T590="OK",U590="OK",V590="OK"),"OK","CHECK")</x:f>
        <x:v>OK</x:v>
      </x:c>
      <x:c r="X590" t="str">
        <x:f>IF(W590="OK","LOAD","QUARANTINE")</x:f>
        <x:v>LOAD</x:v>
      </x:c>
      <x:c r="Y590" t="str">
        <x:v>03_Process_Losses(6).xlsx</x:v>
      </x:c>
      <x:c r="Z590" t="str">
        <x:v>ENH-20260830-01</x:v>
      </x:c>
      <x:c r="AA590" t="str">
        <x:f>IF(X590="LOAD","Active","Quarantine")</x:f>
        <x:v>Active</x:v>
      </x:c>
      <x:c r="AB590"/>
      <x:c r="AC590"/>
      <x:c r="AD590"/>
      <x:c r="AE590"/>
    </x:row>
    <x:row r="591">
      <x:c r="A591" t="str">
        <x:v>PLD-000587</x:v>
      </x:c>
      <x:c r="B591" t="str">
        <x:v>LOSS-KG01-L24-20251025-PM-ORD-2025-00126</x:v>
      </x:c>
      <x:c r="C591" t="str">
        <x:v>PE-KG01-L24-20251025-PM-ORD-2025-00126</x:v>
      </x:c>
      <x:c r="D591" t="str">
        <x:v>KG01</x:v>
      </x:c>
      <x:c r="E591" t="n">
        <x:v>24</x:v>
      </x:c>
      <x:c r="F591" s="52" t="n">
        <x:v>45955</x:v>
      </x:c>
      <x:c r="G591" t="str">
        <x:v>PM</x:v>
      </x:c>
      <x:c r="H591" t="str">
        <x:v>ORD-2025-00126</x:v>
      </x:c>
      <x:c r="I591" t="str">
        <x:v>Normal</x:v>
      </x:c>
      <x:c r="J591" t="str">
        <x:v>PROC_STUCKDOWN</x:v>
      </x:c>
      <x:c r="K591" t="str">
        <x:v>Forming</x:v>
      </x:c>
      <x:c r="L591" s="54" t="n">
        <x:v>0.003316363829702391</x:v>
      </x:c>
      <x:c r="M591" t="n">
        <x:v>150466</x:v>
      </x:c>
      <x:c r="N591" t="n">
        <x:f>L591*M591</x:f>
        <x:v>499</x:v>
      </x:c>
      <x:c r="O591"/>
      <x:c r="P591"/>
      <x:c r="Q591"/>
      <x:c r="R591"/>
      <x:c r="S591" s="52"/>
      <x:c r="T591" t="str">
        <x:v>OK</x:v>
      </x:c>
      <x:c r="U591" t="str">
        <x:f>IF(AND(ISNUMBER(L591),L591&gt;=0,L591&lt;=1),"OK","CHECK")</x:f>
        <x:v>OK</x:v>
      </x:c>
      <x:c r="V591" t="str">
        <x:f>IF(AND(ISNUMBER(N591),N591&gt;=0),"OK","CHECK")</x:f>
        <x:v>OK</x:v>
      </x:c>
      <x:c r="W591" t="str">
        <x:f>IF(AND(T591="OK",U591="OK",V591="OK"),"OK","CHECK")</x:f>
        <x:v>OK</x:v>
      </x:c>
      <x:c r="X591" t="str">
        <x:f>IF(W591="OK","LOAD","QUARANTINE")</x:f>
        <x:v>LOAD</x:v>
      </x:c>
      <x:c r="Y591" t="str">
        <x:v>03_Process_Losses(6).xlsx</x:v>
      </x:c>
      <x:c r="Z591" t="str">
        <x:v>ENH-20260830-01</x:v>
      </x:c>
      <x:c r="AA591" t="str">
        <x:f>IF(X591="LOAD","Active","Quarantine")</x:f>
        <x:v>Active</x:v>
      </x:c>
      <x:c r="AB591"/>
      <x:c r="AC591"/>
      <x:c r="AD591"/>
      <x:c r="AE591"/>
    </x:row>
    <x:row r="592">
      <x:c r="A592" t="str">
        <x:v>PLD-000588</x:v>
      </x:c>
      <x:c r="B592" t="str">
        <x:v>LOSS-KG01-L24-20251025-PM-ORD-2025-00126</x:v>
      </x:c>
      <x:c r="C592" t="str">
        <x:v>PE-KG01-L24-20251025-PM-ORD-2025-00126</x:v>
      </x:c>
      <x:c r="D592" t="str">
        <x:v>KG01</x:v>
      </x:c>
      <x:c r="E592" t="n">
        <x:v>24</x:v>
      </x:c>
      <x:c r="F592" s="52" t="n">
        <x:v>45955</x:v>
      </x:c>
      <x:c r="G592" t="str">
        <x:v>PM</x:v>
      </x:c>
      <x:c r="H592" t="str">
        <x:v>ORD-2025-00126</x:v>
      </x:c>
      <x:c r="I592" t="str">
        <x:v>Normal</x:v>
      </x:c>
      <x:c r="J592" t="str">
        <x:v>PROC_LEHR</x:v>
      </x:c>
      <x:c r="K592" t="str">
        <x:v>Lehr</x:v>
      </x:c>
      <x:c r="L592" s="54" t="n">
        <x:v>0.0037151250116305343</x:v>
      </x:c>
      <x:c r="M592" t="n">
        <x:v>150466</x:v>
      </x:c>
      <x:c r="N592" t="n">
        <x:f>L592*M592</x:f>
        <x:v>559</x:v>
      </x:c>
      <x:c r="O592"/>
      <x:c r="P592"/>
      <x:c r="Q592"/>
      <x:c r="R592"/>
      <x:c r="S592" s="52"/>
      <x:c r="T592" t="str">
        <x:v>OK</x:v>
      </x:c>
      <x:c r="U592" t="str">
        <x:f>IF(AND(ISNUMBER(L592),L592&gt;=0,L592&lt;=1),"OK","CHECK")</x:f>
        <x:v>OK</x:v>
      </x:c>
      <x:c r="V592" t="str">
        <x:f>IF(AND(ISNUMBER(N592),N592&gt;=0),"OK","CHECK")</x:f>
        <x:v>OK</x:v>
      </x:c>
      <x:c r="W592" t="str">
        <x:f>IF(AND(T592="OK",U592="OK",V592="OK"),"OK","CHECK")</x:f>
        <x:v>OK</x:v>
      </x:c>
      <x:c r="X592" t="str">
        <x:f>IF(W592="OK","LOAD","QUARANTINE")</x:f>
        <x:v>LOAD</x:v>
      </x:c>
      <x:c r="Y592" t="str">
        <x:v>03_Process_Losses(6).xlsx</x:v>
      </x:c>
      <x:c r="Z592" t="str">
        <x:v>ENH-20260830-01</x:v>
      </x:c>
      <x:c r="AA592" t="str">
        <x:f>IF(X592="LOAD","Active","Quarantine")</x:f>
        <x:v>Active</x:v>
      </x:c>
      <x:c r="AB592"/>
      <x:c r="AC592"/>
      <x:c r="AD592"/>
      <x:c r="AE592"/>
    </x:row>
    <x:row r="593">
      <x:c r="A593" t="str">
        <x:v>PLD-000589</x:v>
      </x:c>
      <x:c r="B593" t="str">
        <x:v>LOSS-KG01-L24-20251025-PM-ORD-2025-00126</x:v>
      </x:c>
      <x:c r="C593" t="str">
        <x:v>PE-KG01-L24-20251025-PM-ORD-2025-00126</x:v>
      </x:c>
      <x:c r="D593" t="str">
        <x:v>KG01</x:v>
      </x:c>
      <x:c r="E593" t="n">
        <x:v>24</x:v>
      </x:c>
      <x:c r="F593" s="52" t="n">
        <x:v>45955</x:v>
      </x:c>
      <x:c r="G593" t="str">
        <x:v>PM</x:v>
      </x:c>
      <x:c r="H593" t="str">
        <x:v>ORD-2025-00126</x:v>
      </x:c>
      <x:c r="I593" t="str">
        <x:v>Normal</x:v>
      </x:c>
      <x:c r="J593" t="str">
        <x:v>PROC_EVO16</x:v>
      </x:c>
      <x:c r="K593" t="str">
        <x:v>Inspection</x:v>
      </x:c>
      <x:c r="L593" s="54" t="n">
        <x:v>0.0019672218308455064</x:v>
      </x:c>
      <x:c r="M593" t="n">
        <x:v>150466</x:v>
      </x:c>
      <x:c r="N593" t="n">
        <x:f>L593*M593</x:f>
        <x:v>296</x:v>
      </x:c>
      <x:c r="O593"/>
      <x:c r="P593"/>
      <x:c r="Q593"/>
      <x:c r="R593"/>
      <x:c r="S593" s="52"/>
      <x:c r="T593" t="str">
        <x:v>OK</x:v>
      </x:c>
      <x:c r="U593" t="str">
        <x:f>IF(AND(ISNUMBER(L593),L593&gt;=0,L593&lt;=1),"OK","CHECK")</x:f>
        <x:v>OK</x:v>
      </x:c>
      <x:c r="V593" t="str">
        <x:f>IF(AND(ISNUMBER(N593),N593&gt;=0),"OK","CHECK")</x:f>
        <x:v>OK</x:v>
      </x:c>
      <x:c r="W593" t="str">
        <x:f>IF(AND(T593="OK",U593="OK",V593="OK"),"OK","CHECK")</x:f>
        <x:v>OK</x:v>
      </x:c>
      <x:c r="X593" t="str">
        <x:f>IF(W593="OK","LOAD","QUARANTINE")</x:f>
        <x:v>LOAD</x:v>
      </x:c>
      <x:c r="Y593" t="str">
        <x:v>03_Process_Losses(6).xlsx</x:v>
      </x:c>
      <x:c r="Z593" t="str">
        <x:v>ENH-20260830-01</x:v>
      </x:c>
      <x:c r="AA593" t="str">
        <x:f>IF(X593="LOAD","Active","Quarantine")</x:f>
        <x:v>Active</x:v>
      </x:c>
      <x:c r="AB593"/>
      <x:c r="AC593"/>
      <x:c r="AD593"/>
      <x:c r="AE593"/>
    </x:row>
    <x:row r="594">
      <x:c r="A594" t="str">
        <x:v>PLD-000590</x:v>
      </x:c>
      <x:c r="B594" t="str">
        <x:v>LOSS-KG01-L24-20251025-PM-ORD-2025-00126</x:v>
      </x:c>
      <x:c r="C594" t="str">
        <x:v>PE-KG01-L24-20251025-PM-ORD-2025-00126</x:v>
      </x:c>
      <x:c r="D594" t="str">
        <x:v>KG01</x:v>
      </x:c>
      <x:c r="E594" t="n">
        <x:v>24</x:v>
      </x:c>
      <x:c r="F594" s="52" t="n">
        <x:v>45955</x:v>
      </x:c>
      <x:c r="G594" t="str">
        <x:v>PM</x:v>
      </x:c>
      <x:c r="H594" t="str">
        <x:v>ORD-2025-00126</x:v>
      </x:c>
      <x:c r="I594" t="str">
        <x:v>Normal</x:v>
      </x:c>
      <x:c r="J594" t="str">
        <x:v>PROC_EVO12</x:v>
      </x:c>
      <x:c r="K594" t="str">
        <x:v>Inspection</x:v>
      </x:c>
      <x:c r="L594" s="54" t="n">
        <x:v>0.0027049300174125717</x:v>
      </x:c>
      <x:c r="M594" t="n">
        <x:v>150466</x:v>
      </x:c>
      <x:c r="N594" t="n">
        <x:f>L594*M594</x:f>
        <x:v>407</x:v>
      </x:c>
      <x:c r="O594"/>
      <x:c r="P594"/>
      <x:c r="Q594"/>
      <x:c r="R594"/>
      <x:c r="S594" s="52"/>
      <x:c r="T594" t="str">
        <x:v>OK</x:v>
      </x:c>
      <x:c r="U594" t="str">
        <x:f>IF(AND(ISNUMBER(L594),L594&gt;=0,L594&lt;=1),"OK","CHECK")</x:f>
        <x:v>OK</x:v>
      </x:c>
      <x:c r="V594" t="str">
        <x:f>IF(AND(ISNUMBER(N594),N594&gt;=0),"OK","CHECK")</x:f>
        <x:v>OK</x:v>
      </x:c>
      <x:c r="W594" t="str">
        <x:f>IF(AND(T594="OK",U594="OK",V594="OK"),"OK","CHECK")</x:f>
        <x:v>OK</x:v>
      </x:c>
      <x:c r="X594" t="str">
        <x:f>IF(W594="OK","LOAD","QUARANTINE")</x:f>
        <x:v>LOAD</x:v>
      </x:c>
      <x:c r="Y594" t="str">
        <x:v>03_Process_Losses(6).xlsx</x:v>
      </x:c>
      <x:c r="Z594" t="str">
        <x:v>ENH-20260830-01</x:v>
      </x:c>
      <x:c r="AA594" t="str">
        <x:f>IF(X594="LOAD","Active","Quarantine")</x:f>
        <x:v>Active</x:v>
      </x:c>
      <x:c r="AB594"/>
      <x:c r="AC594"/>
      <x:c r="AD594"/>
      <x:c r="AE594"/>
    </x:row>
    <x:row r="595">
      <x:c r="A595" t="str">
        <x:v>PLD-000591</x:v>
      </x:c>
      <x:c r="B595" t="str">
        <x:v>LOSS-KG01-L24-20251025-PM-ORD-2025-00126</x:v>
      </x:c>
      <x:c r="C595" t="str">
        <x:v>PE-KG01-L24-20251025-PM-ORD-2025-00126</x:v>
      </x:c>
      <x:c r="D595" t="str">
        <x:v>KG01</x:v>
      </x:c>
      <x:c r="E595" t="n">
        <x:v>24</x:v>
      </x:c>
      <x:c r="F595" s="52" t="n">
        <x:v>45955</x:v>
      </x:c>
      <x:c r="G595" t="str">
        <x:v>PM</x:v>
      </x:c>
      <x:c r="H595" t="str">
        <x:v>ORD-2025-00126</x:v>
      </x:c>
      <x:c r="I595" t="str">
        <x:v>Normal</x:v>
      </x:c>
      <x:c r="J595" t="str">
        <x:v>PROC_EVO5</x:v>
      </x:c>
      <x:c r="K595" t="str">
        <x:v>Inspection</x:v>
      </x:c>
      <x:c r="L595" s="54" t="n">
        <x:v>0.0006712479895790411</x:v>
      </x:c>
      <x:c r="M595" t="n">
        <x:v>150466</x:v>
      </x:c>
      <x:c r="N595" t="n">
        <x:f>L595*M595</x:f>
        <x:v>101</x:v>
      </x:c>
      <x:c r="O595"/>
      <x:c r="P595"/>
      <x:c r="Q595"/>
      <x:c r="R595"/>
      <x:c r="S595" s="52"/>
      <x:c r="T595" t="str">
        <x:v>OK</x:v>
      </x:c>
      <x:c r="U595" t="str">
        <x:f>IF(AND(ISNUMBER(L595),L595&gt;=0,L595&lt;=1),"OK","CHECK")</x:f>
        <x:v>OK</x:v>
      </x:c>
      <x:c r="V595" t="str">
        <x:f>IF(AND(ISNUMBER(N595),N595&gt;=0),"OK","CHECK")</x:f>
        <x:v>OK</x:v>
      </x:c>
      <x:c r="W595" t="str">
        <x:f>IF(AND(T595="OK",U595="OK",V595="OK"),"OK","CHECK")</x:f>
        <x:v>OK</x:v>
      </x:c>
      <x:c r="X595" t="str">
        <x:f>IF(W595="OK","LOAD","QUARANTINE")</x:f>
        <x:v>LOAD</x:v>
      </x:c>
      <x:c r="Y595" t="str">
        <x:v>03_Process_Losses(6).xlsx</x:v>
      </x:c>
      <x:c r="Z595" t="str">
        <x:v>ENH-20260830-01</x:v>
      </x:c>
      <x:c r="AA595" t="str">
        <x:f>IF(X595="LOAD","Active","Quarantine")</x:f>
        <x:v>Active</x:v>
      </x:c>
      <x:c r="AB595"/>
      <x:c r="AC595"/>
      <x:c r="AD595"/>
      <x:c r="AE595"/>
    </x:row>
    <x:row r="596">
      <x:c r="A596" t="str">
        <x:v>PLD-000592</x:v>
      </x:c>
      <x:c r="B596" t="str">
        <x:v>LOSS-KG01-L24-20251025-PM-ORD-2025-00126</x:v>
      </x:c>
      <x:c r="C596" t="str">
        <x:v>PE-KG01-L24-20251025-PM-ORD-2025-00126</x:v>
      </x:c>
      <x:c r="D596" t="str">
        <x:v>KG01</x:v>
      </x:c>
      <x:c r="E596" t="n">
        <x:v>24</x:v>
      </x:c>
      <x:c r="F596" s="52" t="n">
        <x:v>45955</x:v>
      </x:c>
      <x:c r="G596" t="str">
        <x:v>PM</x:v>
      </x:c>
      <x:c r="H596" t="str">
        <x:v>ORD-2025-00126</x:v>
      </x:c>
      <x:c r="I596" t="str">
        <x:v>Normal</x:v>
      </x:c>
      <x:c r="J596" t="str">
        <x:v>PROC_SANLI</x:v>
      </x:c>
      <x:c r="K596" t="str">
        <x:v>Inspection</x:v>
      </x:c>
      <x:c r="L596" s="54" t="n">
        <x:v>0.0018276554171706564</x:v>
      </x:c>
      <x:c r="M596" t="n">
        <x:v>150466</x:v>
      </x:c>
      <x:c r="N596" t="n">
        <x:f>L596*M596</x:f>
        <x:v>275</x:v>
      </x:c>
      <x:c r="O596"/>
      <x:c r="P596"/>
      <x:c r="Q596"/>
      <x:c r="R596"/>
      <x:c r="S596" s="52"/>
      <x:c r="T596" t="str">
        <x:v>OK</x:v>
      </x:c>
      <x:c r="U596" t="str">
        <x:f>IF(AND(ISNUMBER(L596),L596&gt;=0,L596&lt;=1),"OK","CHECK")</x:f>
        <x:v>OK</x:v>
      </x:c>
      <x:c r="V596" t="str">
        <x:f>IF(AND(ISNUMBER(N596),N596&gt;=0),"OK","CHECK")</x:f>
        <x:v>OK</x:v>
      </x:c>
      <x:c r="W596" t="str">
        <x:f>IF(AND(T596="OK",U596="OK",V596="OK"),"OK","CHECK")</x:f>
        <x:v>OK</x:v>
      </x:c>
      <x:c r="X596" t="str">
        <x:f>IF(W596="OK","LOAD","QUARANTINE")</x:f>
        <x:v>LOAD</x:v>
      </x:c>
      <x:c r="Y596" t="str">
        <x:v>03_Process_Losses(6).xlsx</x:v>
      </x:c>
      <x:c r="Z596" t="str">
        <x:v>ENH-20260830-01</x:v>
      </x:c>
      <x:c r="AA596" t="str">
        <x:f>IF(X596="LOAD","Active","Quarantine")</x:f>
        <x:v>Active</x:v>
      </x:c>
      <x:c r="AB596"/>
      <x:c r="AC596"/>
      <x:c r="AD596"/>
      <x:c r="AE596"/>
    </x:row>
    <x:row r="597">
      <x:c r="A597" t="str">
        <x:v>PLD-000593</x:v>
      </x:c>
      <x:c r="B597" t="str">
        <x:v>LOSS-KG01-L24-20251025-PM-ORD-2025-00126</x:v>
      </x:c>
      <x:c r="C597" t="str">
        <x:v>PE-KG01-L24-20251025-PM-ORD-2025-00126</x:v>
      </x:c>
      <x:c r="D597" t="str">
        <x:v>KG01</x:v>
      </x:c>
      <x:c r="E597" t="n">
        <x:v>24</x:v>
      </x:c>
      <x:c r="F597" s="52" t="n">
        <x:v>45955</x:v>
      </x:c>
      <x:c r="G597" t="str">
        <x:v>PM</x:v>
      </x:c>
      <x:c r="H597" t="str">
        <x:v>ORD-2025-00126</x:v>
      </x:c>
      <x:c r="I597" t="str">
        <x:v>Normal</x:v>
      </x:c>
      <x:c r="J597" t="str">
        <x:v>PROC_VISUAL</x:v>
      </x:c>
      <x:c r="K597" t="str">
        <x:v>Inspection</x:v>
      </x:c>
      <x:c r="L597" s="54" t="n">
        <x:v>0.005522842369704784</x:v>
      </x:c>
      <x:c r="M597" t="n">
        <x:v>150466</x:v>
      </x:c>
      <x:c r="N597" t="n">
        <x:f>L597*M597</x:f>
        <x:v>831</x:v>
      </x:c>
      <x:c r="O597"/>
      <x:c r="P597"/>
      <x:c r="Q597"/>
      <x:c r="R597"/>
      <x:c r="S597" s="52"/>
      <x:c r="T597" t="str">
        <x:v>OK</x:v>
      </x:c>
      <x:c r="U597" t="str">
        <x:f>IF(AND(ISNUMBER(L597),L597&gt;=0,L597&lt;=1),"OK","CHECK")</x:f>
        <x:v>OK</x:v>
      </x:c>
      <x:c r="V597" t="str">
        <x:f>IF(AND(ISNUMBER(N597),N597&gt;=0),"OK","CHECK")</x:f>
        <x:v>OK</x:v>
      </x:c>
      <x:c r="W597" t="str">
        <x:f>IF(AND(T597="OK",U597="OK",V597="OK"),"OK","CHECK")</x:f>
        <x:v>OK</x:v>
      </x:c>
      <x:c r="X597" t="str">
        <x:f>IF(W597="OK","LOAD","QUARANTINE")</x:f>
        <x:v>LOAD</x:v>
      </x:c>
      <x:c r="Y597" t="str">
        <x:v>03_Process_Losses(6).xlsx</x:v>
      </x:c>
      <x:c r="Z597" t="str">
        <x:v>ENH-20260830-01</x:v>
      </x:c>
      <x:c r="AA597" t="str">
        <x:f>IF(X597="LOAD","Active","Quarantine")</x:f>
        <x:v>Active</x:v>
      </x:c>
      <x:c r="AB597"/>
      <x:c r="AC597"/>
      <x:c r="AD597"/>
      <x:c r="AE597"/>
    </x:row>
    <x:row r="598">
      <x:c r="A598" t="str">
        <x:v>PLD-000594</x:v>
      </x:c>
      <x:c r="B598" t="str">
        <x:v>LOSS-KG01-L24-20251025-PM-ORD-2025-00126</x:v>
      </x:c>
      <x:c r="C598" t="str">
        <x:v>PE-KG01-L24-20251025-PM-ORD-2025-00126</x:v>
      </x:c>
      <x:c r="D598" t="str">
        <x:v>KG01</x:v>
      </x:c>
      <x:c r="E598" t="n">
        <x:v>24</x:v>
      </x:c>
      <x:c r="F598" s="52" t="n">
        <x:v>45955</x:v>
      </x:c>
      <x:c r="G598" t="str">
        <x:v>PM</x:v>
      </x:c>
      <x:c r="H598" t="str">
        <x:v>ORD-2025-00126</x:v>
      </x:c>
      <x:c r="I598" t="str">
        <x:v>Normal</x:v>
      </x:c>
      <x:c r="J598" t="str">
        <x:v>PROC_PALLETIZER</x:v>
      </x:c>
      <x:c r="K598" t="str">
        <x:v>Palletizer</x:v>
      </x:c>
      <x:c r="L598" s="54" t="n">
        <x:v>0.002213124559701195</x:v>
      </x:c>
      <x:c r="M598" t="n">
        <x:v>150466</x:v>
      </x:c>
      <x:c r="N598" t="n">
        <x:f>L598*M598</x:f>
        <x:v>333</x:v>
      </x:c>
      <x:c r="O598"/>
      <x:c r="P598"/>
      <x:c r="Q598"/>
      <x:c r="R598"/>
      <x:c r="S598" s="52"/>
      <x:c r="T598" t="str">
        <x:v>OK</x:v>
      </x:c>
      <x:c r="U598" t="str">
        <x:f>IF(AND(ISNUMBER(L598),L598&gt;=0,L598&lt;=1),"OK","CHECK")</x:f>
        <x:v>OK</x:v>
      </x:c>
      <x:c r="V598" t="str">
        <x:f>IF(AND(ISNUMBER(N598),N598&gt;=0),"OK","CHECK")</x:f>
        <x:v>OK</x:v>
      </x:c>
      <x:c r="W598" t="str">
        <x:f>IF(AND(T598="OK",U598="OK",V598="OK"),"OK","CHECK")</x:f>
        <x:v>OK</x:v>
      </x:c>
      <x:c r="X598" t="str">
        <x:f>IF(W598="OK","LOAD","QUARANTINE")</x:f>
        <x:v>LOAD</x:v>
      </x:c>
      <x:c r="Y598" t="str">
        <x:v>03_Process_Losses(6).xlsx</x:v>
      </x:c>
      <x:c r="Z598" t="str">
        <x:v>ENH-20260830-01</x:v>
      </x:c>
      <x:c r="AA598" t="str">
        <x:f>IF(X598="LOAD","Active","Quarantine")</x:f>
        <x:v>Active</x:v>
      </x:c>
      <x:c r="AB598"/>
      <x:c r="AC598"/>
      <x:c r="AD598"/>
      <x:c r="AE598"/>
    </x:row>
    <x:row r="599">
      <x:c r="A599" t="str">
        <x:v>PLD-000595</x:v>
      </x:c>
      <x:c r="B599" t="str">
        <x:v>LOSS-KG01-L24-20251026-AM-ORD-2025-00126</x:v>
      </x:c>
      <x:c r="C599" t="str">
        <x:v>PE-KG01-L24-20251026-AM-ORD-2025-00126</x:v>
      </x:c>
      <x:c r="D599" t="str">
        <x:v>KG01</x:v>
      </x:c>
      <x:c r="E599" t="n">
        <x:v>24</x:v>
      </x:c>
      <x:c r="F599" s="52" t="n">
        <x:v>45956</x:v>
      </x:c>
      <x:c r="G599" t="str">
        <x:v>AM</x:v>
      </x:c>
      <x:c r="H599" t="str">
        <x:v>ORD-2025-00126</x:v>
      </x:c>
      <x:c r="I599" t="str">
        <x:v>Normal</x:v>
      </x:c>
      <x:c r="J599" t="str">
        <x:v>PROC_FIXED</x:v>
      </x:c>
      <x:c r="K599" t="str">
        <x:v>Fixed Losses</x:v>
      </x:c>
      <x:c r="L599" s="54" t="n">
        <x:v>0.0027094723800802608</x:v>
      </x:c>
      <x:c r="M599" t="n">
        <x:v>185645</x:v>
      </x:c>
      <x:c r="N599" t="n">
        <x:f>L599*M599</x:f>
        <x:v>503</x:v>
      </x:c>
      <x:c r="O599"/>
      <x:c r="P599"/>
      <x:c r="Q599"/>
      <x:c r="R599"/>
      <x:c r="S599" s="52"/>
      <x:c r="T599" t="str">
        <x:v>OK</x:v>
      </x:c>
      <x:c r="U599" t="str">
        <x:f>IF(AND(ISNUMBER(L599),L599&gt;=0,L599&lt;=1),"OK","CHECK")</x:f>
        <x:v>OK</x:v>
      </x:c>
      <x:c r="V599" t="str">
        <x:f>IF(AND(ISNUMBER(N599),N599&gt;=0),"OK","CHECK")</x:f>
        <x:v>OK</x:v>
      </x:c>
      <x:c r="W599" t="str">
        <x:f>IF(AND(T599="OK",U599="OK",V599="OK"),"OK","CHECK")</x:f>
        <x:v>OK</x:v>
      </x:c>
      <x:c r="X599" t="str">
        <x:f>IF(W599="OK","LOAD","QUARANTINE")</x:f>
        <x:v>LOAD</x:v>
      </x:c>
      <x:c r="Y599" t="str">
        <x:v>03_Process_Losses(6).xlsx</x:v>
      </x:c>
      <x:c r="Z599" t="str">
        <x:v>ENH-20260830-01</x:v>
      </x:c>
      <x:c r="AA599" t="str">
        <x:f>IF(X599="LOAD","Active","Quarantine")</x:f>
        <x:v>Active</x:v>
      </x:c>
      <x:c r="AB599"/>
      <x:c r="AC599"/>
      <x:c r="AD599"/>
      <x:c r="AE599"/>
    </x:row>
    <x:row r="600">
      <x:c r="A600" t="str">
        <x:v>PLD-000596</x:v>
      </x:c>
      <x:c r="B600" t="str">
        <x:v>LOSS-KG01-L24-20251026-AM-ORD-2025-00126</x:v>
      </x:c>
      <x:c r="C600" t="str">
        <x:v>PE-KG01-L24-20251026-AM-ORD-2025-00126</x:v>
      </x:c>
      <x:c r="D600" t="str">
        <x:v>KG01</x:v>
      </x:c>
      <x:c r="E600" t="n">
        <x:v>24</x:v>
      </x:c>
      <x:c r="F600" s="52" t="n">
        <x:v>45956</x:v>
      </x:c>
      <x:c r="G600" t="str">
        <x:v>AM</x:v>
      </x:c>
      <x:c r="H600" t="str">
        <x:v>ORD-2025-00126</x:v>
      </x:c>
      <x:c r="I600" t="str">
        <x:v>Normal</x:v>
      </x:c>
      <x:c r="J600" t="str">
        <x:v>PROC_IS</x:v>
      </x:c>
      <x:c r="K600" t="str">
        <x:v>IS Machine</x:v>
      </x:c>
      <x:c r="L600" s="54" t="n">
        <x:v>0.005289665759918123</x:v>
      </x:c>
      <x:c r="M600" t="n">
        <x:v>185645</x:v>
      </x:c>
      <x:c r="N600" t="n">
        <x:f>L600*M600</x:f>
        <x:v>982</x:v>
      </x:c>
      <x:c r="O600"/>
      <x:c r="P600"/>
      <x:c r="Q600"/>
      <x:c r="R600"/>
      <x:c r="S600" s="52"/>
      <x:c r="T600" t="str">
        <x:v>OK</x:v>
      </x:c>
      <x:c r="U600" t="str">
        <x:f>IF(AND(ISNUMBER(L600),L600&gt;=0,L600&lt;=1),"OK","CHECK")</x:f>
        <x:v>OK</x:v>
      </x:c>
      <x:c r="V600" t="str">
        <x:f>IF(AND(ISNUMBER(N600),N600&gt;=0),"OK","CHECK")</x:f>
        <x:v>OK</x:v>
      </x:c>
      <x:c r="W600" t="str">
        <x:f>IF(AND(T600="OK",U600="OK",V600="OK"),"OK","CHECK")</x:f>
        <x:v>OK</x:v>
      </x:c>
      <x:c r="X600" t="str">
        <x:f>IF(W600="OK","LOAD","QUARANTINE")</x:f>
        <x:v>LOAD</x:v>
      </x:c>
      <x:c r="Y600" t="str">
        <x:v>03_Process_Losses(6).xlsx</x:v>
      </x:c>
      <x:c r="Z600" t="str">
        <x:v>ENH-20260830-01</x:v>
      </x:c>
      <x:c r="AA600" t="str">
        <x:f>IF(X600="LOAD","Active","Quarantine")</x:f>
        <x:v>Active</x:v>
      </x:c>
      <x:c r="AB600"/>
      <x:c r="AC600"/>
      <x:c r="AD600"/>
      <x:c r="AE600"/>
    </x:row>
    <x:row r="601">
      <x:c r="A601" t="str">
        <x:v>PLD-000597</x:v>
      </x:c>
      <x:c r="B601" t="str">
        <x:v>LOSS-KG01-L24-20251026-AM-ORD-2025-00126</x:v>
      </x:c>
      <x:c r="C601" t="str">
        <x:v>PE-KG01-L24-20251026-AM-ORD-2025-00126</x:v>
      </x:c>
      <x:c r="D601" t="str">
        <x:v>KG01</x:v>
      </x:c>
      <x:c r="E601" t="n">
        <x:v>24</x:v>
      </x:c>
      <x:c r="F601" s="52" t="n">
        <x:v>45956</x:v>
      </x:c>
      <x:c r="G601" t="str">
        <x:v>AM</x:v>
      </x:c>
      <x:c r="H601" t="str">
        <x:v>ORD-2025-00126</x:v>
      </x:c>
      <x:c r="I601" t="str">
        <x:v>Normal</x:v>
      </x:c>
      <x:c r="J601" t="str">
        <x:v>PROC_HE_CONVEYER</x:v>
      </x:c>
      <x:c r="K601" t="str">
        <x:v>Hot End</x:v>
      </x:c>
      <x:c r="L601" s="54" t="n">
        <x:v>0.0024293678795550646</x:v>
      </x:c>
      <x:c r="M601" t="n">
        <x:v>185645</x:v>
      </x:c>
      <x:c r="N601" t="n">
        <x:f>L601*M601</x:f>
        <x:v>450.99999999999994</x:v>
      </x:c>
      <x:c r="O601"/>
      <x:c r="P601"/>
      <x:c r="Q601"/>
      <x:c r="R601"/>
      <x:c r="S601" s="52"/>
      <x:c r="T601" t="str">
        <x:v>OK</x:v>
      </x:c>
      <x:c r="U601" t="str">
        <x:f>IF(AND(ISNUMBER(L601),L601&gt;=0,L601&lt;=1),"OK","CHECK")</x:f>
        <x:v>OK</x:v>
      </x:c>
      <x:c r="V601" t="str">
        <x:f>IF(AND(ISNUMBER(N601),N601&gt;=0),"OK","CHECK")</x:f>
        <x:v>OK</x:v>
      </x:c>
      <x:c r="W601" t="str">
        <x:f>IF(AND(T601="OK",U601="OK",V601="OK"),"OK","CHECK")</x:f>
        <x:v>OK</x:v>
      </x:c>
      <x:c r="X601" t="str">
        <x:f>IF(W601="OK","LOAD","QUARANTINE")</x:f>
        <x:v>LOAD</x:v>
      </x:c>
      <x:c r="Y601" t="str">
        <x:v>03_Process_Losses(6).xlsx</x:v>
      </x:c>
      <x:c r="Z601" t="str">
        <x:v>ENH-20260830-01</x:v>
      </x:c>
      <x:c r="AA601" t="str">
        <x:f>IF(X601="LOAD","Active","Quarantine")</x:f>
        <x:v>Active</x:v>
      </x:c>
      <x:c r="AB601"/>
      <x:c r="AC601"/>
      <x:c r="AD601"/>
      <x:c r="AE601"/>
    </x:row>
    <x:row r="602">
      <x:c r="A602" t="str">
        <x:v>PLD-000598</x:v>
      </x:c>
      <x:c r="B602" t="str">
        <x:v>LOSS-KG01-L24-20251026-AM-ORD-2025-00126</x:v>
      </x:c>
      <x:c r="C602" t="str">
        <x:v>PE-KG01-L24-20251026-AM-ORD-2025-00126</x:v>
      </x:c>
      <x:c r="D602" t="str">
        <x:v>KG01</x:v>
      </x:c>
      <x:c r="E602" t="n">
        <x:v>24</x:v>
      </x:c>
      <x:c r="F602" s="52" t="n">
        <x:v>45956</x:v>
      </x:c>
      <x:c r="G602" t="str">
        <x:v>AM</x:v>
      </x:c>
      <x:c r="H602" t="str">
        <x:v>ORD-2025-00126</x:v>
      </x:c>
      <x:c r="I602" t="str">
        <x:v>Normal</x:v>
      </x:c>
      <x:c r="J602" t="str">
        <x:v>PROC_STUCKDOWN</x:v>
      </x:c>
      <x:c r="K602" t="str">
        <x:v>Forming</x:v>
      </x:c>
      <x:c r="L602" s="54" t="n">
        <x:v>0.0014813218777774786</x:v>
      </x:c>
      <x:c r="M602" t="n">
        <x:v>185645</x:v>
      </x:c>
      <x:c r="N602" t="n">
        <x:f>L602*M602</x:f>
        <x:v>275</x:v>
      </x:c>
      <x:c r="O602"/>
      <x:c r="P602"/>
      <x:c r="Q602"/>
      <x:c r="R602"/>
      <x:c r="S602" s="52"/>
      <x:c r="T602" t="str">
        <x:v>OK</x:v>
      </x:c>
      <x:c r="U602" t="str">
        <x:f>IF(AND(ISNUMBER(L602),L602&gt;=0,L602&lt;=1),"OK","CHECK")</x:f>
        <x:v>OK</x:v>
      </x:c>
      <x:c r="V602" t="str">
        <x:f>IF(AND(ISNUMBER(N602),N602&gt;=0),"OK","CHECK")</x:f>
        <x:v>OK</x:v>
      </x:c>
      <x:c r="W602" t="str">
        <x:f>IF(AND(T602="OK",U602="OK",V602="OK"),"OK","CHECK")</x:f>
        <x:v>OK</x:v>
      </x:c>
      <x:c r="X602" t="str">
        <x:f>IF(W602="OK","LOAD","QUARANTINE")</x:f>
        <x:v>LOAD</x:v>
      </x:c>
      <x:c r="Y602" t="str">
        <x:v>03_Process_Losses(6).xlsx</x:v>
      </x:c>
      <x:c r="Z602" t="str">
        <x:v>ENH-20260830-01</x:v>
      </x:c>
      <x:c r="AA602" t="str">
        <x:f>IF(X602="LOAD","Active","Quarantine")</x:f>
        <x:v>Active</x:v>
      </x:c>
      <x:c r="AB602"/>
      <x:c r="AC602"/>
      <x:c r="AD602"/>
      <x:c r="AE602"/>
    </x:row>
    <x:row r="603">
      <x:c r="A603" t="str">
        <x:v>PLD-000599</x:v>
      </x:c>
      <x:c r="B603" t="str">
        <x:v>LOSS-KG01-L24-20251026-AM-ORD-2025-00126</x:v>
      </x:c>
      <x:c r="C603" t="str">
        <x:v>PE-KG01-L24-20251026-AM-ORD-2025-00126</x:v>
      </x:c>
      <x:c r="D603" t="str">
        <x:v>KG01</x:v>
      </x:c>
      <x:c r="E603" t="n">
        <x:v>24</x:v>
      </x:c>
      <x:c r="F603" s="52" t="n">
        <x:v>45956</x:v>
      </x:c>
      <x:c r="G603" t="str">
        <x:v>AM</x:v>
      </x:c>
      <x:c r="H603" t="str">
        <x:v>ORD-2025-00126</x:v>
      </x:c>
      <x:c r="I603" t="str">
        <x:v>Normal</x:v>
      </x:c>
      <x:c r="J603" t="str">
        <x:v>PROC_LEHR</x:v>
      </x:c>
      <x:c r="K603" t="str">
        <x:v>Lehr</x:v>
      </x:c>
      <x:c r="L603" s="54" t="n">
        <x:v>0.004713296883837432</x:v>
      </x:c>
      <x:c r="M603" t="n">
        <x:v>185645</x:v>
      </x:c>
      <x:c r="N603" t="n">
        <x:f>L603*M603</x:f>
        <x:v>875</x:v>
      </x:c>
      <x:c r="O603"/>
      <x:c r="P603"/>
      <x:c r="Q603"/>
      <x:c r="R603"/>
      <x:c r="S603" s="52"/>
      <x:c r="T603" t="str">
        <x:v>OK</x:v>
      </x:c>
      <x:c r="U603" t="str">
        <x:f>IF(AND(ISNUMBER(L603),L603&gt;=0,L603&lt;=1),"OK","CHECK")</x:f>
        <x:v>OK</x:v>
      </x:c>
      <x:c r="V603" t="str">
        <x:f>IF(AND(ISNUMBER(N603),N603&gt;=0),"OK","CHECK")</x:f>
        <x:v>OK</x:v>
      </x:c>
      <x:c r="W603" t="str">
        <x:f>IF(AND(T603="OK",U603="OK",V603="OK"),"OK","CHECK")</x:f>
        <x:v>OK</x:v>
      </x:c>
      <x:c r="X603" t="str">
        <x:f>IF(W603="OK","LOAD","QUARANTINE")</x:f>
        <x:v>LOAD</x:v>
      </x:c>
      <x:c r="Y603" t="str">
        <x:v>03_Process_Losses(6).xlsx</x:v>
      </x:c>
      <x:c r="Z603" t="str">
        <x:v>ENH-20260830-01</x:v>
      </x:c>
      <x:c r="AA603" t="str">
        <x:f>IF(X603="LOAD","Active","Quarantine")</x:f>
        <x:v>Active</x:v>
      </x:c>
      <x:c r="AB603"/>
      <x:c r="AC603"/>
      <x:c r="AD603"/>
      <x:c r="AE603"/>
    </x:row>
    <x:row r="604">
      <x:c r="A604" t="str">
        <x:v>PLD-000600</x:v>
      </x:c>
      <x:c r="B604" t="str">
        <x:v>LOSS-KG01-L24-20251026-AM-ORD-2025-00126</x:v>
      </x:c>
      <x:c r="C604" t="str">
        <x:v>PE-KG01-L24-20251026-AM-ORD-2025-00126</x:v>
      </x:c>
      <x:c r="D604" t="str">
        <x:v>KG01</x:v>
      </x:c>
      <x:c r="E604" t="n">
        <x:v>24</x:v>
      </x:c>
      <x:c r="F604" s="52" t="n">
        <x:v>45956</x:v>
      </x:c>
      <x:c r="G604" t="str">
        <x:v>AM</x:v>
      </x:c>
      <x:c r="H604" t="str">
        <x:v>ORD-2025-00126</x:v>
      </x:c>
      <x:c r="I604" t="str">
        <x:v>Normal</x:v>
      </x:c>
      <x:c r="J604" t="str">
        <x:v>PROC_EVO16</x:v>
      </x:c>
      <x:c r="K604" t="str">
        <x:v>Inspection</x:v>
      </x:c>
      <x:c r="L604" s="54" t="n">
        <x:v>0.0030057367556357564</x:v>
      </x:c>
      <x:c r="M604" t="n">
        <x:v>185645</x:v>
      </x:c>
      <x:c r="N604" t="n">
        <x:f>L604*M604</x:f>
        <x:v>558</x:v>
      </x:c>
      <x:c r="O604"/>
      <x:c r="P604"/>
      <x:c r="Q604"/>
      <x:c r="R604"/>
      <x:c r="S604" s="52"/>
      <x:c r="T604" t="str">
        <x:v>OK</x:v>
      </x:c>
      <x:c r="U604" t="str">
        <x:f>IF(AND(ISNUMBER(L604),L604&gt;=0,L604&lt;=1),"OK","CHECK")</x:f>
        <x:v>OK</x:v>
      </x:c>
      <x:c r="V604" t="str">
        <x:f>IF(AND(ISNUMBER(N604),N604&gt;=0),"OK","CHECK")</x:f>
        <x:v>OK</x:v>
      </x:c>
      <x:c r="W604" t="str">
        <x:f>IF(AND(T604="OK",U604="OK",V604="OK"),"OK","CHECK")</x:f>
        <x:v>OK</x:v>
      </x:c>
      <x:c r="X604" t="str">
        <x:f>IF(W604="OK","LOAD","QUARANTINE")</x:f>
        <x:v>LOAD</x:v>
      </x:c>
      <x:c r="Y604" t="str">
        <x:v>03_Process_Losses(6).xlsx</x:v>
      </x:c>
      <x:c r="Z604" t="str">
        <x:v>ENH-20260830-01</x:v>
      </x:c>
      <x:c r="AA604" t="str">
        <x:f>IF(X604="LOAD","Active","Quarantine")</x:f>
        <x:v>Active</x:v>
      </x:c>
      <x:c r="AB604"/>
      <x:c r="AC604"/>
      <x:c r="AD604"/>
      <x:c r="AE604"/>
    </x:row>
    <x:row r="605">
      <x:c r="A605" t="str">
        <x:v>PLD-000601</x:v>
      </x:c>
      <x:c r="B605" t="str">
        <x:v>LOSS-KG01-L24-20251026-AM-ORD-2025-00126</x:v>
      </x:c>
      <x:c r="C605" t="str">
        <x:v>PE-KG01-L24-20251026-AM-ORD-2025-00126</x:v>
      </x:c>
      <x:c r="D605" t="str">
        <x:v>KG01</x:v>
      </x:c>
      <x:c r="E605" t="n">
        <x:v>24</x:v>
      </x:c>
      <x:c r="F605" s="52" t="n">
        <x:v>45956</x:v>
      </x:c>
      <x:c r="G605" t="str">
        <x:v>AM</x:v>
      </x:c>
      <x:c r="H605" t="str">
        <x:v>ORD-2025-00126</x:v>
      </x:c>
      <x:c r="I605" t="str">
        <x:v>Normal</x:v>
      </x:c>
      <x:c r="J605" t="str">
        <x:v>PROC_EVO12</x:v>
      </x:c>
      <x:c r="K605" t="str">
        <x:v>Inspection</x:v>
      </x:c>
      <x:c r="L605" s="54" t="n">
        <x:v>0.001519028252848178</x:v>
      </x:c>
      <x:c r="M605" t="n">
        <x:v>185645</x:v>
      </x:c>
      <x:c r="N605" t="n">
        <x:f>L605*M605</x:f>
        <x:v>282</x:v>
      </x:c>
      <x:c r="O605"/>
      <x:c r="P605"/>
      <x:c r="Q605"/>
      <x:c r="R605"/>
      <x:c r="S605" s="52"/>
      <x:c r="T605" t="str">
        <x:v>OK</x:v>
      </x:c>
      <x:c r="U605" t="str">
        <x:f>IF(AND(ISNUMBER(L605),L605&gt;=0,L605&lt;=1),"OK","CHECK")</x:f>
        <x:v>OK</x:v>
      </x:c>
      <x:c r="V605" t="str">
        <x:f>IF(AND(ISNUMBER(N605),N605&gt;=0),"OK","CHECK")</x:f>
        <x:v>OK</x:v>
      </x:c>
      <x:c r="W605" t="str">
        <x:f>IF(AND(T605="OK",U605="OK",V605="OK"),"OK","CHECK")</x:f>
        <x:v>OK</x:v>
      </x:c>
      <x:c r="X605" t="str">
        <x:f>IF(W605="OK","LOAD","QUARANTINE")</x:f>
        <x:v>LOAD</x:v>
      </x:c>
      <x:c r="Y605" t="str">
        <x:v>03_Process_Losses(6).xlsx</x:v>
      </x:c>
      <x:c r="Z605" t="str">
        <x:v>ENH-20260830-01</x:v>
      </x:c>
      <x:c r="AA605" t="str">
        <x:f>IF(X605="LOAD","Active","Quarantine")</x:f>
        <x:v>Active</x:v>
      </x:c>
      <x:c r="AB605"/>
      <x:c r="AC605"/>
      <x:c r="AD605"/>
      <x:c r="AE605"/>
    </x:row>
    <x:row r="606">
      <x:c r="A606" t="str">
        <x:v>PLD-000602</x:v>
      </x:c>
      <x:c r="B606" t="str">
        <x:v>LOSS-KG01-L24-20251026-AM-ORD-2025-00126</x:v>
      </x:c>
      <x:c r="C606" t="str">
        <x:v>PE-KG01-L24-20251026-AM-ORD-2025-00126</x:v>
      </x:c>
      <x:c r="D606" t="str">
        <x:v>KG01</x:v>
      </x:c>
      <x:c r="E606" t="n">
        <x:v>24</x:v>
      </x:c>
      <x:c r="F606" s="52" t="n">
        <x:v>45956</x:v>
      </x:c>
      <x:c r="G606" t="str">
        <x:v>AM</x:v>
      </x:c>
      <x:c r="H606" t="str">
        <x:v>ORD-2025-00126</x:v>
      </x:c>
      <x:c r="I606" t="str">
        <x:v>Normal</x:v>
      </x:c>
      <x:c r="J606" t="str">
        <x:v>PROC_EVO5</x:v>
      </x:c>
      <x:c r="K606" t="str">
        <x:v>Inspection</x:v>
      </x:c>
      <x:c r="L606" s="54" t="n">
        <x:v>0.0033828005063427508</x:v>
      </x:c>
      <x:c r="M606" t="n">
        <x:v>185645</x:v>
      </x:c>
      <x:c r="N606" t="n">
        <x:f>L606*M606</x:f>
        <x:v>628</x:v>
      </x:c>
      <x:c r="O606"/>
      <x:c r="P606"/>
      <x:c r="Q606"/>
      <x:c r="R606"/>
      <x:c r="S606" s="52"/>
      <x:c r="T606" t="str">
        <x:v>OK</x:v>
      </x:c>
      <x:c r="U606" t="str">
        <x:f>IF(AND(ISNUMBER(L606),L606&gt;=0,L606&lt;=1),"OK","CHECK")</x:f>
        <x:v>OK</x:v>
      </x:c>
      <x:c r="V606" t="str">
        <x:f>IF(AND(ISNUMBER(N606),N606&gt;=0),"OK","CHECK")</x:f>
        <x:v>OK</x:v>
      </x:c>
      <x:c r="W606" t="str">
        <x:f>IF(AND(T606="OK",U606="OK",V606="OK"),"OK","CHECK")</x:f>
        <x:v>OK</x:v>
      </x:c>
      <x:c r="X606" t="str">
        <x:f>IF(W606="OK","LOAD","QUARANTINE")</x:f>
        <x:v>LOAD</x:v>
      </x:c>
      <x:c r="Y606" t="str">
        <x:v>03_Process_Losses(6).xlsx</x:v>
      </x:c>
      <x:c r="Z606" t="str">
        <x:v>ENH-20260830-01</x:v>
      </x:c>
      <x:c r="AA606" t="str">
        <x:f>IF(X606="LOAD","Active","Quarantine")</x:f>
        <x:v>Active</x:v>
      </x:c>
      <x:c r="AB606"/>
      <x:c r="AC606"/>
      <x:c r="AD606"/>
      <x:c r="AE606"/>
    </x:row>
    <x:row r="607">
      <x:c r="A607" t="str">
        <x:v>PLD-000603</x:v>
      </x:c>
      <x:c r="B607" t="str">
        <x:v>LOSS-KG01-L24-20251026-AM-ORD-2025-00126</x:v>
      </x:c>
      <x:c r="C607" t="str">
        <x:v>PE-KG01-L24-20251026-AM-ORD-2025-00126</x:v>
      </x:c>
      <x:c r="D607" t="str">
        <x:v>KG01</x:v>
      </x:c>
      <x:c r="E607" t="n">
        <x:v>24</x:v>
      </x:c>
      <x:c r="F607" s="52" t="n">
        <x:v>45956</x:v>
      </x:c>
      <x:c r="G607" t="str">
        <x:v>AM</x:v>
      </x:c>
      <x:c r="H607" t="str">
        <x:v>ORD-2025-00126</x:v>
      </x:c>
      <x:c r="I607" t="str">
        <x:v>Normal</x:v>
      </x:c>
      <x:c r="J607" t="str">
        <x:v>PROC_SANLI</x:v>
      </x:c>
      <x:c r="K607" t="str">
        <x:v>Inspection</x:v>
      </x:c>
      <x:c r="L607" s="54" t="n">
        <x:v>0.00278488513022166</x:v>
      </x:c>
      <x:c r="M607" t="n">
        <x:v>185645</x:v>
      </x:c>
      <x:c r="N607" t="n">
        <x:f>L607*M607</x:f>
        <x:v>517</x:v>
      </x:c>
      <x:c r="O607"/>
      <x:c r="P607"/>
      <x:c r="Q607"/>
      <x:c r="R607"/>
      <x:c r="S607" s="52"/>
      <x:c r="T607" t="str">
        <x:v>OK</x:v>
      </x:c>
      <x:c r="U607" t="str">
        <x:f>IF(AND(ISNUMBER(L607),L607&gt;=0,L607&lt;=1),"OK","CHECK")</x:f>
        <x:v>OK</x:v>
      </x:c>
      <x:c r="V607" t="str">
        <x:f>IF(AND(ISNUMBER(N607),N607&gt;=0),"OK","CHECK")</x:f>
        <x:v>OK</x:v>
      </x:c>
      <x:c r="W607" t="str">
        <x:f>IF(AND(T607="OK",U607="OK",V607="OK"),"OK","CHECK")</x:f>
        <x:v>OK</x:v>
      </x:c>
      <x:c r="X607" t="str">
        <x:f>IF(W607="OK","LOAD","QUARANTINE")</x:f>
        <x:v>LOAD</x:v>
      </x:c>
      <x:c r="Y607" t="str">
        <x:v>03_Process_Losses(6).xlsx</x:v>
      </x:c>
      <x:c r="Z607" t="str">
        <x:v>ENH-20260830-01</x:v>
      </x:c>
      <x:c r="AA607" t="str">
        <x:f>IF(X607="LOAD","Active","Quarantine")</x:f>
        <x:v>Active</x:v>
      </x:c>
      <x:c r="AB607"/>
      <x:c r="AC607"/>
      <x:c r="AD607"/>
      <x:c r="AE607"/>
    </x:row>
    <x:row r="608">
      <x:c r="A608" t="str">
        <x:v>PLD-000604</x:v>
      </x:c>
      <x:c r="B608" t="str">
        <x:v>LOSS-KG01-L24-20251026-AM-ORD-2025-00126</x:v>
      </x:c>
      <x:c r="C608" t="str">
        <x:v>PE-KG01-L24-20251026-AM-ORD-2025-00126</x:v>
      </x:c>
      <x:c r="D608" t="str">
        <x:v>KG01</x:v>
      </x:c>
      <x:c r="E608" t="n">
        <x:v>24</x:v>
      </x:c>
      <x:c r="F608" s="52" t="n">
        <x:v>45956</x:v>
      </x:c>
      <x:c r="G608" t="str">
        <x:v>AM</x:v>
      </x:c>
      <x:c r="H608" t="str">
        <x:v>ORD-2025-00126</x:v>
      </x:c>
      <x:c r="I608" t="str">
        <x:v>Normal</x:v>
      </x:c>
      <x:c r="J608" t="str">
        <x:v>PROC_VISUAL</x:v>
      </x:c>
      <x:c r="K608" t="str">
        <x:v>Inspection</x:v>
      </x:c>
      <x:c r="L608" s="54" t="n">
        <x:v>0.008085324140159982</x:v>
      </x:c>
      <x:c r="M608" t="n">
        <x:v>185645</x:v>
      </x:c>
      <x:c r="N608" t="n">
        <x:f>L608*M608</x:f>
        <x:v>1501</x:v>
      </x:c>
      <x:c r="O608"/>
      <x:c r="P608"/>
      <x:c r="Q608"/>
      <x:c r="R608"/>
      <x:c r="S608" s="52"/>
      <x:c r="T608" t="str">
        <x:v>OK</x:v>
      </x:c>
      <x:c r="U608" t="str">
        <x:f>IF(AND(ISNUMBER(L608),L608&gt;=0,L608&lt;=1),"OK","CHECK")</x:f>
        <x:v>OK</x:v>
      </x:c>
      <x:c r="V608" t="str">
        <x:f>IF(AND(ISNUMBER(N608),N608&gt;=0),"OK","CHECK")</x:f>
        <x:v>OK</x:v>
      </x:c>
      <x:c r="W608" t="str">
        <x:f>IF(AND(T608="OK",U608="OK",V608="OK"),"OK","CHECK")</x:f>
        <x:v>OK</x:v>
      </x:c>
      <x:c r="X608" t="str">
        <x:f>IF(W608="OK","LOAD","QUARANTINE")</x:f>
        <x:v>LOAD</x:v>
      </x:c>
      <x:c r="Y608" t="str">
        <x:v>03_Process_Losses(6).xlsx</x:v>
      </x:c>
      <x:c r="Z608" t="str">
        <x:v>ENH-20260830-01</x:v>
      </x:c>
      <x:c r="AA608" t="str">
        <x:f>IF(X608="LOAD","Active","Quarantine")</x:f>
        <x:v>Active</x:v>
      </x:c>
      <x:c r="AB608"/>
      <x:c r="AC608"/>
      <x:c r="AD608"/>
      <x:c r="AE608"/>
    </x:row>
    <x:row r="609">
      <x:c r="A609" t="str">
        <x:v>PLD-000605</x:v>
      </x:c>
      <x:c r="B609" t="str">
        <x:v>LOSS-KG01-L24-20251026-AM-ORD-2025-00126</x:v>
      </x:c>
      <x:c r="C609" t="str">
        <x:v>PE-KG01-L24-20251026-AM-ORD-2025-00126</x:v>
      </x:c>
      <x:c r="D609" t="str">
        <x:v>KG01</x:v>
      </x:c>
      <x:c r="E609" t="n">
        <x:v>24</x:v>
      </x:c>
      <x:c r="F609" s="52" t="n">
        <x:v>45956</x:v>
      </x:c>
      <x:c r="G609" t="str">
        <x:v>AM</x:v>
      </x:c>
      <x:c r="H609" t="str">
        <x:v>ORD-2025-00126</x:v>
      </x:c>
      <x:c r="I609" t="str">
        <x:v>Normal</x:v>
      </x:c>
      <x:c r="J609" t="str">
        <x:v>PROC_PALLETIZER</x:v>
      </x:c>
      <x:c r="K609" t="str">
        <x:v>Palletizer</x:v>
      </x:c>
      <x:c r="L609" s="54" t="n">
        <x:v>0.004039968757574942</x:v>
      </x:c>
      <x:c r="M609" t="n">
        <x:v>185645</x:v>
      </x:c>
      <x:c r="N609" t="n">
        <x:f>L609*M609</x:f>
        <x:v>750</x:v>
      </x:c>
      <x:c r="O609"/>
      <x:c r="P609"/>
      <x:c r="Q609"/>
      <x:c r="R609"/>
      <x:c r="S609" s="52"/>
      <x:c r="T609" t="str">
        <x:v>OK</x:v>
      </x:c>
      <x:c r="U609" t="str">
        <x:f>IF(AND(ISNUMBER(L609),L609&gt;=0,L609&lt;=1),"OK","CHECK")</x:f>
        <x:v>OK</x:v>
      </x:c>
      <x:c r="V609" t="str">
        <x:f>IF(AND(ISNUMBER(N609),N609&gt;=0),"OK","CHECK")</x:f>
        <x:v>OK</x:v>
      </x:c>
      <x:c r="W609" t="str">
        <x:f>IF(AND(T609="OK",U609="OK",V609="OK"),"OK","CHECK")</x:f>
        <x:v>OK</x:v>
      </x:c>
      <x:c r="X609" t="str">
        <x:f>IF(W609="OK","LOAD","QUARANTINE")</x:f>
        <x:v>LOAD</x:v>
      </x:c>
      <x:c r="Y609" t="str">
        <x:v>03_Process_Losses(6).xlsx</x:v>
      </x:c>
      <x:c r="Z609" t="str">
        <x:v>ENH-20260830-01</x:v>
      </x:c>
      <x:c r="AA609" t="str">
        <x:f>IF(X609="LOAD","Active","Quarantine")</x:f>
        <x:v>Active</x:v>
      </x:c>
      <x:c r="AB609"/>
      <x:c r="AC609"/>
      <x:c r="AD609"/>
      <x:c r="AE609"/>
    </x:row>
    <x:row r="610">
      <x:c r="A610" t="str">
        <x:v>PLD-000606</x:v>
      </x:c>
      <x:c r="B610" t="str">
        <x:v>LOSS-KG01-L24-20251026-PM-ORD-2025-00126</x:v>
      </x:c>
      <x:c r="C610" t="str">
        <x:v>PE-KG01-L24-20251026-PM-ORD-2025-00126</x:v>
      </x:c>
      <x:c r="D610" t="str">
        <x:v>KG01</x:v>
      </x:c>
      <x:c r="E610" t="n">
        <x:v>24</x:v>
      </x:c>
      <x:c r="F610" s="52" t="n">
        <x:v>45956</x:v>
      </x:c>
      <x:c r="G610" t="str">
        <x:v>PM</x:v>
      </x:c>
      <x:c r="H610" t="str">
        <x:v>ORD-2025-00126</x:v>
      </x:c>
      <x:c r="I610" t="str">
        <x:v>Normal</x:v>
      </x:c>
      <x:c r="J610" t="str">
        <x:v>PROC_FIXED</x:v>
      </x:c>
      <x:c r="K610" t="str">
        <x:v>Fixed Losses</x:v>
      </x:c>
      <x:c r="L610" s="54" t="n">
        <x:v>0.012550121346417642</x:v>
      </x:c>
      <x:c r="M610" t="n">
        <x:v>151632</x:v>
      </x:c>
      <x:c r="N610" t="n">
        <x:f>L610*M610</x:f>
        <x:v>1903</x:v>
      </x:c>
      <x:c r="O610"/>
      <x:c r="P610"/>
      <x:c r="Q610"/>
      <x:c r="R610"/>
      <x:c r="S610" s="52"/>
      <x:c r="T610" t="str">
        <x:v>OK</x:v>
      </x:c>
      <x:c r="U610" t="str">
        <x:f>IF(AND(ISNUMBER(L610),L610&gt;=0,L610&lt;=1),"OK","CHECK")</x:f>
        <x:v>OK</x:v>
      </x:c>
      <x:c r="V610" t="str">
        <x:f>IF(AND(ISNUMBER(N610),N610&gt;=0),"OK","CHECK")</x:f>
        <x:v>OK</x:v>
      </x:c>
      <x:c r="W610" t="str">
        <x:f>IF(AND(T610="OK",U610="OK",V610="OK"),"OK","CHECK")</x:f>
        <x:v>OK</x:v>
      </x:c>
      <x:c r="X610" t="str">
        <x:f>IF(W610="OK","LOAD","QUARANTINE")</x:f>
        <x:v>LOAD</x:v>
      </x:c>
      <x:c r="Y610" t="str">
        <x:v>03_Process_Losses(6).xlsx</x:v>
      </x:c>
      <x:c r="Z610" t="str">
        <x:v>ENH-20260830-01</x:v>
      </x:c>
      <x:c r="AA610" t="str">
        <x:f>IF(X610="LOAD","Active","Quarantine")</x:f>
        <x:v>Active</x:v>
      </x:c>
      <x:c r="AB610"/>
      <x:c r="AC610"/>
      <x:c r="AD610"/>
      <x:c r="AE610"/>
    </x:row>
    <x:row r="611">
      <x:c r="A611" t="str">
        <x:v>PLD-000607</x:v>
      </x:c>
      <x:c r="B611" t="str">
        <x:v>LOSS-KG01-L24-20251026-PM-ORD-2025-00126</x:v>
      </x:c>
      <x:c r="C611" t="str">
        <x:v>PE-KG01-L24-20251026-PM-ORD-2025-00126</x:v>
      </x:c>
      <x:c r="D611" t="str">
        <x:v>KG01</x:v>
      </x:c>
      <x:c r="E611" t="n">
        <x:v>24</x:v>
      </x:c>
      <x:c r="F611" s="52" t="n">
        <x:v>45956</x:v>
      </x:c>
      <x:c r="G611" t="str">
        <x:v>PM</x:v>
      </x:c>
      <x:c r="H611" t="str">
        <x:v>ORD-2025-00126</x:v>
      </x:c>
      <x:c r="I611" t="str">
        <x:v>Normal</x:v>
      </x:c>
      <x:c r="J611" t="str">
        <x:v>PROC_IS</x:v>
      </x:c>
      <x:c r="K611" t="str">
        <x:v>IS Machine</x:v>
      </x:c>
      <x:c r="L611" s="54" t="n">
        <x:v>0.008177693362878548</x:v>
      </x:c>
      <x:c r="M611" t="n">
        <x:v>151632</x:v>
      </x:c>
      <x:c r="N611" t="n">
        <x:f>L611*M611</x:f>
        <x:v>1240</x:v>
      </x:c>
      <x:c r="O611"/>
      <x:c r="P611"/>
      <x:c r="Q611"/>
      <x:c r="R611"/>
      <x:c r="S611" s="52"/>
      <x:c r="T611" t="str">
        <x:v>OK</x:v>
      </x:c>
      <x:c r="U611" t="str">
        <x:f>IF(AND(ISNUMBER(L611),L611&gt;=0,L611&lt;=1),"OK","CHECK")</x:f>
        <x:v>OK</x:v>
      </x:c>
      <x:c r="V611" t="str">
        <x:f>IF(AND(ISNUMBER(N611),N611&gt;=0),"OK","CHECK")</x:f>
        <x:v>OK</x:v>
      </x:c>
      <x:c r="W611" t="str">
        <x:f>IF(AND(T611="OK",U611="OK",V611="OK"),"OK","CHECK")</x:f>
        <x:v>OK</x:v>
      </x:c>
      <x:c r="X611" t="str">
        <x:f>IF(W611="OK","LOAD","QUARANTINE")</x:f>
        <x:v>LOAD</x:v>
      </x:c>
      <x:c r="Y611" t="str">
        <x:v>03_Process_Losses(6).xlsx</x:v>
      </x:c>
      <x:c r="Z611" t="str">
        <x:v>ENH-20260830-01</x:v>
      </x:c>
      <x:c r="AA611" t="str">
        <x:f>IF(X611="LOAD","Active","Quarantine")</x:f>
        <x:v>Active</x:v>
      </x:c>
      <x:c r="AB611"/>
      <x:c r="AC611"/>
      <x:c r="AD611"/>
      <x:c r="AE611"/>
    </x:row>
    <x:row r="612">
      <x:c r="A612" t="str">
        <x:v>PLD-000608</x:v>
      </x:c>
      <x:c r="B612" t="str">
        <x:v>LOSS-KG01-L24-20251026-PM-ORD-2025-00126</x:v>
      </x:c>
      <x:c r="C612" t="str">
        <x:v>PE-KG01-L24-20251026-PM-ORD-2025-00126</x:v>
      </x:c>
      <x:c r="D612" t="str">
        <x:v>KG01</x:v>
      </x:c>
      <x:c r="E612" t="n">
        <x:v>24</x:v>
      </x:c>
      <x:c r="F612" s="52" t="n">
        <x:v>45956</x:v>
      </x:c>
      <x:c r="G612" t="str">
        <x:v>PM</x:v>
      </x:c>
      <x:c r="H612" t="str">
        <x:v>ORD-2025-00126</x:v>
      </x:c>
      <x:c r="I612" t="str">
        <x:v>Normal</x:v>
      </x:c>
      <x:c r="J612" t="str">
        <x:v>PROC_HE_CONVEYER</x:v>
      </x:c>
      <x:c r="K612" t="str">
        <x:v>Hot End</x:v>
      </x:c>
      <x:c r="L612" s="54" t="n">
        <x:v>0.0034689247652210614</x:v>
      </x:c>
      <x:c r="M612" t="n">
        <x:v>151632</x:v>
      </x:c>
      <x:c r="N612" t="n">
        <x:f>L612*M612</x:f>
        <x:v>526</x:v>
      </x:c>
      <x:c r="O612"/>
      <x:c r="P612"/>
      <x:c r="Q612"/>
      <x:c r="R612"/>
      <x:c r="S612" s="52"/>
      <x:c r="T612" t="str">
        <x:v>OK</x:v>
      </x:c>
      <x:c r="U612" t="str">
        <x:f>IF(AND(ISNUMBER(L612),L612&gt;=0,L612&lt;=1),"OK","CHECK")</x:f>
        <x:v>OK</x:v>
      </x:c>
      <x:c r="V612" t="str">
        <x:f>IF(AND(ISNUMBER(N612),N612&gt;=0),"OK","CHECK")</x:f>
        <x:v>OK</x:v>
      </x:c>
      <x:c r="W612" t="str">
        <x:f>IF(AND(T612="OK",U612="OK",V612="OK"),"OK","CHECK")</x:f>
        <x:v>OK</x:v>
      </x:c>
      <x:c r="X612" t="str">
        <x:f>IF(W612="OK","LOAD","QUARANTINE")</x:f>
        <x:v>LOAD</x:v>
      </x:c>
      <x:c r="Y612" t="str">
        <x:v>03_Process_Losses(6).xlsx</x:v>
      </x:c>
      <x:c r="Z612" t="str">
        <x:v>ENH-20260830-01</x:v>
      </x:c>
      <x:c r="AA612" t="str">
        <x:f>IF(X612="LOAD","Active","Quarantine")</x:f>
        <x:v>Active</x:v>
      </x:c>
      <x:c r="AB612"/>
      <x:c r="AC612"/>
      <x:c r="AD612"/>
      <x:c r="AE612"/>
    </x:row>
    <x:row r="613">
      <x:c r="A613" t="str">
        <x:v>PLD-000609</x:v>
      </x:c>
      <x:c r="B613" t="str">
        <x:v>LOSS-KG01-L24-20251026-PM-ORD-2025-00126</x:v>
      </x:c>
      <x:c r="C613" t="str">
        <x:v>PE-KG01-L24-20251026-PM-ORD-2025-00126</x:v>
      </x:c>
      <x:c r="D613" t="str">
        <x:v>KG01</x:v>
      </x:c>
      <x:c r="E613" t="n">
        <x:v>24</x:v>
      </x:c>
      <x:c r="F613" s="52" t="n">
        <x:v>45956</x:v>
      </x:c>
      <x:c r="G613" t="str">
        <x:v>PM</x:v>
      </x:c>
      <x:c r="H613" t="str">
        <x:v>ORD-2025-00126</x:v>
      </x:c>
      <x:c r="I613" t="str">
        <x:v>Normal</x:v>
      </x:c>
      <x:c r="J613" t="str">
        <x:v>PROC_STUCKDOWN</x:v>
      </x:c>
      <x:c r="K613" t="str">
        <x:v>Forming</x:v>
      </x:c>
      <x:c r="L613" s="54" t="n">
        <x:v>0.0021631317927614225</x:v>
      </x:c>
      <x:c r="M613" t="n">
        <x:v>151632</x:v>
      </x:c>
      <x:c r="N613" t="n">
        <x:f>L613*M613</x:f>
        <x:v>328</x:v>
      </x:c>
      <x:c r="O613"/>
      <x:c r="P613"/>
      <x:c r="Q613"/>
      <x:c r="R613"/>
      <x:c r="S613" s="52"/>
      <x:c r="T613" t="str">
        <x:v>OK</x:v>
      </x:c>
      <x:c r="U613" t="str">
        <x:f>IF(AND(ISNUMBER(L613),L613&gt;=0,L613&lt;=1),"OK","CHECK")</x:f>
        <x:v>OK</x:v>
      </x:c>
      <x:c r="V613" t="str">
        <x:f>IF(AND(ISNUMBER(N613),N613&gt;=0),"OK","CHECK")</x:f>
        <x:v>OK</x:v>
      </x:c>
      <x:c r="W613" t="str">
        <x:f>IF(AND(T613="OK",U613="OK",V613="OK"),"OK","CHECK")</x:f>
        <x:v>OK</x:v>
      </x:c>
      <x:c r="X613" t="str">
        <x:f>IF(W613="OK","LOAD","QUARANTINE")</x:f>
        <x:v>LOAD</x:v>
      </x:c>
      <x:c r="Y613" t="str">
        <x:v>03_Process_Losses(6).xlsx</x:v>
      </x:c>
      <x:c r="Z613" t="str">
        <x:v>ENH-20260830-01</x:v>
      </x:c>
      <x:c r="AA613" t="str">
        <x:f>IF(X613="LOAD","Active","Quarantine")</x:f>
        <x:v>Active</x:v>
      </x:c>
      <x:c r="AB613"/>
      <x:c r="AC613"/>
      <x:c r="AD613"/>
      <x:c r="AE613"/>
    </x:row>
    <x:row r="614">
      <x:c r="A614" t="str">
        <x:v>PLD-000610</x:v>
      </x:c>
      <x:c r="B614" t="str">
        <x:v>LOSS-KG01-L24-20251026-PM-ORD-2025-00126</x:v>
      </x:c>
      <x:c r="C614" t="str">
        <x:v>PE-KG01-L24-20251026-PM-ORD-2025-00126</x:v>
      </x:c>
      <x:c r="D614" t="str">
        <x:v>KG01</x:v>
      </x:c>
      <x:c r="E614" t="n">
        <x:v>24</x:v>
      </x:c>
      <x:c r="F614" s="52" t="n">
        <x:v>45956</x:v>
      </x:c>
      <x:c r="G614" t="str">
        <x:v>PM</x:v>
      </x:c>
      <x:c r="H614" t="str">
        <x:v>ORD-2025-00126</x:v>
      </x:c>
      <x:c r="I614" t="str">
        <x:v>Normal</x:v>
      </x:c>
      <x:c r="J614" t="str">
        <x:v>PROC_LEHR</x:v>
      </x:c>
      <x:c r="K614" t="str">
        <x:v>Lehr</x:v>
      </x:c>
      <x:c r="L614" s="54" t="n">
        <x:v>0.005928827688086947</x:v>
      </x:c>
      <x:c r="M614" t="n">
        <x:v>151632</x:v>
      </x:c>
      <x:c r="N614" t="n">
        <x:f>L614*M614</x:f>
        <x:v>899</x:v>
      </x:c>
      <x:c r="O614"/>
      <x:c r="P614"/>
      <x:c r="Q614"/>
      <x:c r="R614"/>
      <x:c r="S614" s="52"/>
      <x:c r="T614" t="str">
        <x:v>OK</x:v>
      </x:c>
      <x:c r="U614" t="str">
        <x:f>IF(AND(ISNUMBER(L614),L614&gt;=0,L614&lt;=1),"OK","CHECK")</x:f>
        <x:v>OK</x:v>
      </x:c>
      <x:c r="V614" t="str">
        <x:f>IF(AND(ISNUMBER(N614),N614&gt;=0),"OK","CHECK")</x:f>
        <x:v>OK</x:v>
      </x:c>
      <x:c r="W614" t="str">
        <x:f>IF(AND(T614="OK",U614="OK",V614="OK"),"OK","CHECK")</x:f>
        <x:v>OK</x:v>
      </x:c>
      <x:c r="X614" t="str">
        <x:f>IF(W614="OK","LOAD","QUARANTINE")</x:f>
        <x:v>LOAD</x:v>
      </x:c>
      <x:c r="Y614" t="str">
        <x:v>03_Process_Losses(6).xlsx</x:v>
      </x:c>
      <x:c r="Z614" t="str">
        <x:v>ENH-20260830-01</x:v>
      </x:c>
      <x:c r="AA614" t="str">
        <x:f>IF(X614="LOAD","Active","Quarantine")</x:f>
        <x:v>Active</x:v>
      </x:c>
      <x:c r="AB614"/>
      <x:c r="AC614"/>
      <x:c r="AD614"/>
      <x:c r="AE614"/>
    </x:row>
    <x:row r="615">
      <x:c r="A615" t="str">
        <x:v>PLD-000611</x:v>
      </x:c>
      <x:c r="B615" t="str">
        <x:v>LOSS-KG01-L24-20251026-PM-ORD-2025-00126</x:v>
      </x:c>
      <x:c r="C615" t="str">
        <x:v>PE-KG01-L24-20251026-PM-ORD-2025-00126</x:v>
      </x:c>
      <x:c r="D615" t="str">
        <x:v>KG01</x:v>
      </x:c>
      <x:c r="E615" t="n">
        <x:v>24</x:v>
      </x:c>
      <x:c r="F615" s="52" t="n">
        <x:v>45956</x:v>
      </x:c>
      <x:c r="G615" t="str">
        <x:v>PM</x:v>
      </x:c>
      <x:c r="H615" t="str">
        <x:v>ORD-2025-00126</x:v>
      </x:c>
      <x:c r="I615" t="str">
        <x:v>Normal</x:v>
      </x:c>
      <x:c r="J615" t="str">
        <x:v>PROC_EVO16</x:v>
      </x:c>
      <x:c r="K615" t="str">
        <x:v>Inspection</x:v>
      </x:c>
      <x:c r="L615" s="54" t="n">
        <x:v>0.0004814287221694629</x:v>
      </x:c>
      <x:c r="M615" t="n">
        <x:v>151632</x:v>
      </x:c>
      <x:c r="N615" t="n">
        <x:f>L615*M615</x:f>
        <x:v>73</x:v>
      </x:c>
      <x:c r="O615"/>
      <x:c r="P615"/>
      <x:c r="Q615"/>
      <x:c r="R615"/>
      <x:c r="S615" s="52"/>
      <x:c r="T615" t="str">
        <x:v>OK</x:v>
      </x:c>
      <x:c r="U615" t="str">
        <x:f>IF(AND(ISNUMBER(L615),L615&gt;=0,L615&lt;=1),"OK","CHECK")</x:f>
        <x:v>OK</x:v>
      </x:c>
      <x:c r="V615" t="str">
        <x:f>IF(AND(ISNUMBER(N615),N615&gt;=0),"OK","CHECK")</x:f>
        <x:v>OK</x:v>
      </x:c>
      <x:c r="W615" t="str">
        <x:f>IF(AND(T615="OK",U615="OK",V615="OK"),"OK","CHECK")</x:f>
        <x:v>OK</x:v>
      </x:c>
      <x:c r="X615" t="str">
        <x:f>IF(W615="OK","LOAD","QUARANTINE")</x:f>
        <x:v>LOAD</x:v>
      </x:c>
      <x:c r="Y615" t="str">
        <x:v>03_Process_Losses(6).xlsx</x:v>
      </x:c>
      <x:c r="Z615" t="str">
        <x:v>ENH-20260830-01</x:v>
      </x:c>
      <x:c r="AA615" t="str">
        <x:f>IF(X615="LOAD","Active","Quarantine")</x:f>
        <x:v>Active</x:v>
      </x:c>
      <x:c r="AB615"/>
      <x:c r="AC615"/>
      <x:c r="AD615"/>
      <x:c r="AE615"/>
    </x:row>
    <x:row r="616">
      <x:c r="A616" t="str">
        <x:v>PLD-000612</x:v>
      </x:c>
      <x:c r="B616" t="str">
        <x:v>LOSS-KG01-L24-20251026-PM-ORD-2025-00126</x:v>
      </x:c>
      <x:c r="C616" t="str">
        <x:v>PE-KG01-L24-20251026-PM-ORD-2025-00126</x:v>
      </x:c>
      <x:c r="D616" t="str">
        <x:v>KG01</x:v>
      </x:c>
      <x:c r="E616" t="n">
        <x:v>24</x:v>
      </x:c>
      <x:c r="F616" s="52" t="n">
        <x:v>45956</x:v>
      </x:c>
      <x:c r="G616" t="str">
        <x:v>PM</x:v>
      </x:c>
      <x:c r="H616" t="str">
        <x:v>ORD-2025-00126</x:v>
      </x:c>
      <x:c r="I616" t="str">
        <x:v>Normal</x:v>
      </x:c>
      <x:c r="J616" t="str">
        <x:v>PROC_EVO12</x:v>
      </x:c>
      <x:c r="K616" t="str">
        <x:v>Inspection</x:v>
      </x:c>
      <x:c r="L616" s="54" t="n">
        <x:v>0.0036601772712883825</x:v>
      </x:c>
      <x:c r="M616" t="n">
        <x:v>151632</x:v>
      </x:c>
      <x:c r="N616" t="n">
        <x:f>L616*M616</x:f>
        <x:v>555</x:v>
      </x:c>
      <x:c r="O616"/>
      <x:c r="P616"/>
      <x:c r="Q616"/>
      <x:c r="R616"/>
      <x:c r="S616" s="52"/>
      <x:c r="T616" t="str">
        <x:v>OK</x:v>
      </x:c>
      <x:c r="U616" t="str">
        <x:f>IF(AND(ISNUMBER(L616),L616&gt;=0,L616&lt;=1),"OK","CHECK")</x:f>
        <x:v>OK</x:v>
      </x:c>
      <x:c r="V616" t="str">
        <x:f>IF(AND(ISNUMBER(N616),N616&gt;=0),"OK","CHECK")</x:f>
        <x:v>OK</x:v>
      </x:c>
      <x:c r="W616" t="str">
        <x:f>IF(AND(T616="OK",U616="OK",V616="OK"),"OK","CHECK")</x:f>
        <x:v>OK</x:v>
      </x:c>
      <x:c r="X616" t="str">
        <x:f>IF(W616="OK","LOAD","QUARANTINE")</x:f>
        <x:v>LOAD</x:v>
      </x:c>
      <x:c r="Y616" t="str">
        <x:v>03_Process_Losses(6).xlsx</x:v>
      </x:c>
      <x:c r="Z616" t="str">
        <x:v>ENH-20260830-01</x:v>
      </x:c>
      <x:c r="AA616" t="str">
        <x:f>IF(X616="LOAD","Active","Quarantine")</x:f>
        <x:v>Active</x:v>
      </x:c>
      <x:c r="AB616"/>
      <x:c r="AC616"/>
      <x:c r="AD616"/>
      <x:c r="AE616"/>
    </x:row>
    <x:row r="617">
      <x:c r="A617" t="str">
        <x:v>PLD-000613</x:v>
      </x:c>
      <x:c r="B617" t="str">
        <x:v>LOSS-KG01-L24-20251026-PM-ORD-2025-00126</x:v>
      </x:c>
      <x:c r="C617" t="str">
        <x:v>PE-KG01-L24-20251026-PM-ORD-2025-00126</x:v>
      </x:c>
      <x:c r="D617" t="str">
        <x:v>KG01</x:v>
      </x:c>
      <x:c r="E617" t="n">
        <x:v>24</x:v>
      </x:c>
      <x:c r="F617" s="52" t="n">
        <x:v>45956</x:v>
      </x:c>
      <x:c r="G617" t="str">
        <x:v>PM</x:v>
      </x:c>
      <x:c r="H617" t="str">
        <x:v>ORD-2025-00126</x:v>
      </x:c>
      <x:c r="I617" t="str">
        <x:v>Normal</x:v>
      </x:c>
      <x:c r="J617" t="str">
        <x:v>PROC_EVO5</x:v>
      </x:c>
      <x:c r="K617" t="str">
        <x:v>Inspection</x:v>
      </x:c>
      <x:c r="L617" s="54" t="n">
        <x:v>0.0015563997045478528</x:v>
      </x:c>
      <x:c r="M617" t="n">
        <x:v>151632</x:v>
      </x:c>
      <x:c r="N617" t="n">
        <x:f>L617*M617</x:f>
        <x:v>236</x:v>
      </x:c>
      <x:c r="O617"/>
      <x:c r="P617"/>
      <x:c r="Q617"/>
      <x:c r="R617"/>
      <x:c r="S617" s="52"/>
      <x:c r="T617" t="str">
        <x:v>OK</x:v>
      </x:c>
      <x:c r="U617" t="str">
        <x:f>IF(AND(ISNUMBER(L617),L617&gt;=0,L617&lt;=1),"OK","CHECK")</x:f>
        <x:v>OK</x:v>
      </x:c>
      <x:c r="V617" t="str">
        <x:f>IF(AND(ISNUMBER(N617),N617&gt;=0),"OK","CHECK")</x:f>
        <x:v>OK</x:v>
      </x:c>
      <x:c r="W617" t="str">
        <x:f>IF(AND(T617="OK",U617="OK",V617="OK"),"OK","CHECK")</x:f>
        <x:v>OK</x:v>
      </x:c>
      <x:c r="X617" t="str">
        <x:f>IF(W617="OK","LOAD","QUARANTINE")</x:f>
        <x:v>LOAD</x:v>
      </x:c>
      <x:c r="Y617" t="str">
        <x:v>03_Process_Losses(6).xlsx</x:v>
      </x:c>
      <x:c r="Z617" t="str">
        <x:v>ENH-20260830-01</x:v>
      </x:c>
      <x:c r="AA617" t="str">
        <x:f>IF(X617="LOAD","Active","Quarantine")</x:f>
        <x:v>Active</x:v>
      </x:c>
      <x:c r="AB617"/>
      <x:c r="AC617"/>
      <x:c r="AD617"/>
      <x:c r="AE617"/>
    </x:row>
    <x:row r="618">
      <x:c r="A618" t="str">
        <x:v>PLD-000614</x:v>
      </x:c>
      <x:c r="B618" t="str">
        <x:v>LOSS-KG01-L24-20251026-PM-ORD-2025-00126</x:v>
      </x:c>
      <x:c r="C618" t="str">
        <x:v>PE-KG01-L24-20251026-PM-ORD-2025-00126</x:v>
      </x:c>
      <x:c r="D618" t="str">
        <x:v>KG01</x:v>
      </x:c>
      <x:c r="E618" t="n">
        <x:v>24</x:v>
      </x:c>
      <x:c r="F618" s="52" t="n">
        <x:v>45956</x:v>
      </x:c>
      <x:c r="G618" t="str">
        <x:v>PM</x:v>
      </x:c>
      <x:c r="H618" t="str">
        <x:v>ORD-2025-00126</x:v>
      </x:c>
      <x:c r="I618" t="str">
        <x:v>Normal</x:v>
      </x:c>
      <x:c r="J618" t="str">
        <x:v>PROC_SANLI</x:v>
      </x:c>
      <x:c r="K618" t="str">
        <x:v>Inspection</x:v>
      </x:c>
      <x:c r="L618" s="54" t="n">
        <x:v>0.0036469874432837395</x:v>
      </x:c>
      <x:c r="M618" t="n">
        <x:v>151632</x:v>
      </x:c>
      <x:c r="N618" t="n">
        <x:f>L618*M618</x:f>
        <x:v>553</x:v>
      </x:c>
      <x:c r="O618"/>
      <x:c r="P618"/>
      <x:c r="Q618"/>
      <x:c r="R618"/>
      <x:c r="S618" s="52"/>
      <x:c r="T618" t="str">
        <x:v>OK</x:v>
      </x:c>
      <x:c r="U618" t="str">
        <x:f>IF(AND(ISNUMBER(L618),L618&gt;=0,L618&lt;=1),"OK","CHECK")</x:f>
        <x:v>OK</x:v>
      </x:c>
      <x:c r="V618" t="str">
        <x:f>IF(AND(ISNUMBER(N618),N618&gt;=0),"OK","CHECK")</x:f>
        <x:v>OK</x:v>
      </x:c>
      <x:c r="W618" t="str">
        <x:f>IF(AND(T618="OK",U618="OK",V618="OK"),"OK","CHECK")</x:f>
        <x:v>OK</x:v>
      </x:c>
      <x:c r="X618" t="str">
        <x:f>IF(W618="OK","LOAD","QUARANTINE")</x:f>
        <x:v>LOAD</x:v>
      </x:c>
      <x:c r="Y618" t="str">
        <x:v>03_Process_Losses(6).xlsx</x:v>
      </x:c>
      <x:c r="Z618" t="str">
        <x:v>ENH-20260830-01</x:v>
      </x:c>
      <x:c r="AA618" t="str">
        <x:f>IF(X618="LOAD","Active","Quarantine")</x:f>
        <x:v>Active</x:v>
      </x:c>
      <x:c r="AB618"/>
      <x:c r="AC618"/>
      <x:c r="AD618"/>
      <x:c r="AE618"/>
    </x:row>
    <x:row r="619">
      <x:c r="A619" t="str">
        <x:v>PLD-000615</x:v>
      </x:c>
      <x:c r="B619" t="str">
        <x:v>LOSS-KG01-L24-20251026-PM-ORD-2025-00126</x:v>
      </x:c>
      <x:c r="C619" t="str">
        <x:v>PE-KG01-L24-20251026-PM-ORD-2025-00126</x:v>
      </x:c>
      <x:c r="D619" t="str">
        <x:v>KG01</x:v>
      </x:c>
      <x:c r="E619" t="n">
        <x:v>24</x:v>
      </x:c>
      <x:c r="F619" s="52" t="n">
        <x:v>45956</x:v>
      </x:c>
      <x:c r="G619" t="str">
        <x:v>PM</x:v>
      </x:c>
      <x:c r="H619" t="str">
        <x:v>ORD-2025-00126</x:v>
      </x:c>
      <x:c r="I619" t="str">
        <x:v>Normal</x:v>
      </x:c>
      <x:c r="J619" t="str">
        <x:v>PROC_VISUAL</x:v>
      </x:c>
      <x:c r="K619" t="str">
        <x:v>Inspection</x:v>
      </x:c>
      <x:c r="L619" s="54" t="n">
        <x:v>0.00290176216102142</x:v>
      </x:c>
      <x:c r="M619" t="n">
        <x:v>151632</x:v>
      </x:c>
      <x:c r="N619" t="n">
        <x:f>L619*M619</x:f>
        <x:v>440</x:v>
      </x:c>
      <x:c r="O619"/>
      <x:c r="P619"/>
      <x:c r="Q619"/>
      <x:c r="R619"/>
      <x:c r="S619" s="52"/>
      <x:c r="T619" t="str">
        <x:v>OK</x:v>
      </x:c>
      <x:c r="U619" t="str">
        <x:f>IF(AND(ISNUMBER(L619),L619&gt;=0,L619&lt;=1),"OK","CHECK")</x:f>
        <x:v>OK</x:v>
      </x:c>
      <x:c r="V619" t="str">
        <x:f>IF(AND(ISNUMBER(N619),N619&gt;=0),"OK","CHECK")</x:f>
        <x:v>OK</x:v>
      </x:c>
      <x:c r="W619" t="str">
        <x:f>IF(AND(T619="OK",U619="OK",V619="OK"),"OK","CHECK")</x:f>
        <x:v>OK</x:v>
      </x:c>
      <x:c r="X619" t="str">
        <x:f>IF(W619="OK","LOAD","QUARANTINE")</x:f>
        <x:v>LOAD</x:v>
      </x:c>
      <x:c r="Y619" t="str">
        <x:v>03_Process_Losses(6).xlsx</x:v>
      </x:c>
      <x:c r="Z619" t="str">
        <x:v>ENH-20260830-01</x:v>
      </x:c>
      <x:c r="AA619" t="str">
        <x:f>IF(X619="LOAD","Active","Quarantine")</x:f>
        <x:v>Active</x:v>
      </x:c>
      <x:c r="AB619"/>
      <x:c r="AC619"/>
      <x:c r="AD619"/>
      <x:c r="AE619"/>
    </x:row>
    <x:row r="620">
      <x:c r="A620" t="str">
        <x:v>PLD-000616</x:v>
      </x:c>
      <x:c r="B620" t="str">
        <x:v>LOSS-KG01-L24-20251026-PM-ORD-2025-00126</x:v>
      </x:c>
      <x:c r="C620" t="str">
        <x:v>PE-KG01-L24-20251026-PM-ORD-2025-00126</x:v>
      </x:c>
      <x:c r="D620" t="str">
        <x:v>KG01</x:v>
      </x:c>
      <x:c r="E620" t="n">
        <x:v>24</x:v>
      </x:c>
      <x:c r="F620" s="52" t="n">
        <x:v>45956</x:v>
      </x:c>
      <x:c r="G620" t="str">
        <x:v>PM</x:v>
      </x:c>
      <x:c r="H620" t="str">
        <x:v>ORD-2025-00126</x:v>
      </x:c>
      <x:c r="I620" t="str">
        <x:v>Normal</x:v>
      </x:c>
      <x:c r="J620" t="str">
        <x:v>PROC_PALLETIZER</x:v>
      </x:c>
      <x:c r="K620" t="str">
        <x:v>Palletizer</x:v>
      </x:c>
      <x:c r="L620" s="54" t="n">
        <x:v>0.002189511448770708</x:v>
      </x:c>
      <x:c r="M620" t="n">
        <x:v>151632</x:v>
      </x:c>
      <x:c r="N620" t="n">
        <x:f>L620*M620</x:f>
        <x:v>332</x:v>
      </x:c>
      <x:c r="O620"/>
      <x:c r="P620"/>
      <x:c r="Q620"/>
      <x:c r="R620"/>
      <x:c r="S620" s="52"/>
      <x:c r="T620" t="str">
        <x:v>OK</x:v>
      </x:c>
      <x:c r="U620" t="str">
        <x:f>IF(AND(ISNUMBER(L620),L620&gt;=0,L620&lt;=1),"OK","CHECK")</x:f>
        <x:v>OK</x:v>
      </x:c>
      <x:c r="V620" t="str">
        <x:f>IF(AND(ISNUMBER(N620),N620&gt;=0),"OK","CHECK")</x:f>
        <x:v>OK</x:v>
      </x:c>
      <x:c r="W620" t="str">
        <x:f>IF(AND(T620="OK",U620="OK",V620="OK"),"OK","CHECK")</x:f>
        <x:v>OK</x:v>
      </x:c>
      <x:c r="X620" t="str">
        <x:f>IF(W620="OK","LOAD","QUARANTINE")</x:f>
        <x:v>LOAD</x:v>
      </x:c>
      <x:c r="Y620" t="str">
        <x:v>03_Process_Losses(6).xlsx</x:v>
      </x:c>
      <x:c r="Z620" t="str">
        <x:v>ENH-20260830-01</x:v>
      </x:c>
      <x:c r="AA620" t="str">
        <x:f>IF(X620="LOAD","Active","Quarantine")</x:f>
        <x:v>Active</x:v>
      </x:c>
      <x:c r="AB620"/>
      <x:c r="AC620"/>
      <x:c r="AD620"/>
      <x:c r="AE620"/>
    </x:row>
    <x:row r="621">
      <x:c r="A621" t="str">
        <x:v>PLD-000617</x:v>
      </x:c>
      <x:c r="B621" t="str">
        <x:v>LOSS-KG01-L25-20251020-AM-ORD-2025-00161</x:v>
      </x:c>
      <x:c r="C621" t="str">
        <x:v>PE-KG01-L25-20251020-AM-ORD-2025-00161</x:v>
      </x:c>
      <x:c r="D621" t="str">
        <x:v>KG01</x:v>
      </x:c>
      <x:c r="E621" t="n">
        <x:v>25</x:v>
      </x:c>
      <x:c r="F621" s="52" t="n">
        <x:v>45950</x:v>
      </x:c>
      <x:c r="G621" t="str">
        <x:v>AM</x:v>
      </x:c>
      <x:c r="H621" t="str">
        <x:v>ORD-2025-00161</x:v>
      </x:c>
      <x:c r="I621" t="str">
        <x:v>Normal</x:v>
      </x:c>
      <x:c r="J621" t="str">
        <x:v>PROC_FIXED</x:v>
      </x:c>
      <x:c r="K621" t="str">
        <x:v>Fixed Losses</x:v>
      </x:c>
      <x:c r="L621" s="54" t="n">
        <x:v>0.003159515717926933</x:v>
      </x:c>
      <x:c r="M621" t="n">
        <x:v>112992</x:v>
      </x:c>
      <x:c r="N621" t="n">
        <x:f>L621*M621</x:f>
        <x:v>357</x:v>
      </x:c>
      <x:c r="O621"/>
      <x:c r="P621"/>
      <x:c r="Q621"/>
      <x:c r="R621"/>
      <x:c r="S621" s="52"/>
      <x:c r="T621" t="str">
        <x:v>OK</x:v>
      </x:c>
      <x:c r="U621" t="str">
        <x:f>IF(AND(ISNUMBER(L621),L621&gt;=0,L621&lt;=1),"OK","CHECK")</x:f>
        <x:v>OK</x:v>
      </x:c>
      <x:c r="V621" t="str">
        <x:f>IF(AND(ISNUMBER(N621),N621&gt;=0),"OK","CHECK")</x:f>
        <x:v>OK</x:v>
      </x:c>
      <x:c r="W621" t="str">
        <x:f>IF(AND(T621="OK",U621="OK",V621="OK"),"OK","CHECK")</x:f>
        <x:v>OK</x:v>
      </x:c>
      <x:c r="X621" t="str">
        <x:f>IF(W621="OK","LOAD","QUARANTINE")</x:f>
        <x:v>LOAD</x:v>
      </x:c>
      <x:c r="Y621" t="str">
        <x:v>03_Process_Losses(6).xlsx</x:v>
      </x:c>
      <x:c r="Z621" t="str">
        <x:v>ENH-20260830-01</x:v>
      </x:c>
      <x:c r="AA621" t="str">
        <x:f>IF(X621="LOAD","Active","Quarantine")</x:f>
        <x:v>Active</x:v>
      </x:c>
      <x:c r="AB621"/>
      <x:c r="AC621"/>
      <x:c r="AD621"/>
      <x:c r="AE621"/>
    </x:row>
    <x:row r="622">
      <x:c r="A622" t="str">
        <x:v>PLD-000618</x:v>
      </x:c>
      <x:c r="B622" t="str">
        <x:v>LOSS-KG01-L25-20251020-AM-ORD-2025-00161</x:v>
      </x:c>
      <x:c r="C622" t="str">
        <x:v>PE-KG01-L25-20251020-AM-ORD-2025-00161</x:v>
      </x:c>
      <x:c r="D622" t="str">
        <x:v>KG01</x:v>
      </x:c>
      <x:c r="E622" t="n">
        <x:v>25</x:v>
      </x:c>
      <x:c r="F622" s="52" t="n">
        <x:v>45950</x:v>
      </x:c>
      <x:c r="G622" t="str">
        <x:v>AM</x:v>
      </x:c>
      <x:c r="H622" t="str">
        <x:v>ORD-2025-00161</x:v>
      </x:c>
      <x:c r="I622" t="str">
        <x:v>Normal</x:v>
      </x:c>
      <x:c r="J622" t="str">
        <x:v>PROC_IS</x:v>
      </x:c>
      <x:c r="K622" t="str">
        <x:v>IS Machine</x:v>
      </x:c>
      <x:c r="L622" s="54" t="n">
        <x:v>0.006646488246955537</x:v>
      </x:c>
      <x:c r="M622" t="n">
        <x:v>112992</x:v>
      </x:c>
      <x:c r="N622" t="n">
        <x:f>L622*M622</x:f>
        <x:v>751</x:v>
      </x:c>
      <x:c r="O622"/>
      <x:c r="P622"/>
      <x:c r="Q622"/>
      <x:c r="R622"/>
      <x:c r="S622" s="52"/>
      <x:c r="T622" t="str">
        <x:v>OK</x:v>
      </x:c>
      <x:c r="U622" t="str">
        <x:f>IF(AND(ISNUMBER(L622),L622&gt;=0,L622&lt;=1),"OK","CHECK")</x:f>
        <x:v>OK</x:v>
      </x:c>
      <x:c r="V622" t="str">
        <x:f>IF(AND(ISNUMBER(N622),N622&gt;=0),"OK","CHECK")</x:f>
        <x:v>OK</x:v>
      </x:c>
      <x:c r="W622" t="str">
        <x:f>IF(AND(T622="OK",U622="OK",V622="OK"),"OK","CHECK")</x:f>
        <x:v>OK</x:v>
      </x:c>
      <x:c r="X622" t="str">
        <x:f>IF(W622="OK","LOAD","QUARANTINE")</x:f>
        <x:v>LOAD</x:v>
      </x:c>
      <x:c r="Y622" t="str">
        <x:v>03_Process_Losses(6).xlsx</x:v>
      </x:c>
      <x:c r="Z622" t="str">
        <x:v>ENH-20260830-01</x:v>
      </x:c>
      <x:c r="AA622" t="str">
        <x:f>IF(X622="LOAD","Active","Quarantine")</x:f>
        <x:v>Active</x:v>
      </x:c>
      <x:c r="AB622"/>
      <x:c r="AC622"/>
      <x:c r="AD622"/>
      <x:c r="AE622"/>
    </x:row>
    <x:row r="623">
      <x:c r="A623" t="str">
        <x:v>PLD-000619</x:v>
      </x:c>
      <x:c r="B623" t="str">
        <x:v>LOSS-KG01-L25-20251020-AM-ORD-2025-00161</x:v>
      </x:c>
      <x:c r="C623" t="str">
        <x:v>PE-KG01-L25-20251020-AM-ORD-2025-00161</x:v>
      </x:c>
      <x:c r="D623" t="str">
        <x:v>KG01</x:v>
      </x:c>
      <x:c r="E623" t="n">
        <x:v>25</x:v>
      </x:c>
      <x:c r="F623" s="52" t="n">
        <x:v>45950</x:v>
      </x:c>
      <x:c r="G623" t="str">
        <x:v>AM</x:v>
      </x:c>
      <x:c r="H623" t="str">
        <x:v>ORD-2025-00161</x:v>
      </x:c>
      <x:c r="I623" t="str">
        <x:v>Normal</x:v>
      </x:c>
      <x:c r="J623" t="str">
        <x:v>PROC_HE_CONVEYER</x:v>
      </x:c>
      <x:c r="K623" t="str">
        <x:v>Hot End</x:v>
      </x:c>
      <x:c r="L623" s="54" t="n">
        <x:v>0.002708156329651657</x:v>
      </x:c>
      <x:c r="M623" t="n">
        <x:v>112992</x:v>
      </x:c>
      <x:c r="N623" t="n">
        <x:f>L623*M623</x:f>
        <x:v>306</x:v>
      </x:c>
      <x:c r="O623"/>
      <x:c r="P623"/>
      <x:c r="Q623"/>
      <x:c r="R623"/>
      <x:c r="S623" s="52"/>
      <x:c r="T623" t="str">
        <x:v>OK</x:v>
      </x:c>
      <x:c r="U623" t="str">
        <x:f>IF(AND(ISNUMBER(L623),L623&gt;=0,L623&lt;=1),"OK","CHECK")</x:f>
        <x:v>OK</x:v>
      </x:c>
      <x:c r="V623" t="str">
        <x:f>IF(AND(ISNUMBER(N623),N623&gt;=0),"OK","CHECK")</x:f>
        <x:v>OK</x:v>
      </x:c>
      <x:c r="W623" t="str">
        <x:f>IF(AND(T623="OK",U623="OK",V623="OK"),"OK","CHECK")</x:f>
        <x:v>OK</x:v>
      </x:c>
      <x:c r="X623" t="str">
        <x:f>IF(W623="OK","LOAD","QUARANTINE")</x:f>
        <x:v>LOAD</x:v>
      </x:c>
      <x:c r="Y623" t="str">
        <x:v>03_Process_Losses(6).xlsx</x:v>
      </x:c>
      <x:c r="Z623" t="str">
        <x:v>ENH-20260830-01</x:v>
      </x:c>
      <x:c r="AA623" t="str">
        <x:f>IF(X623="LOAD","Active","Quarantine")</x:f>
        <x:v>Active</x:v>
      </x:c>
      <x:c r="AB623"/>
      <x:c r="AC623"/>
      <x:c r="AD623"/>
      <x:c r="AE623"/>
    </x:row>
    <x:row r="624">
      <x:c r="A624" t="str">
        <x:v>PLD-000620</x:v>
      </x:c>
      <x:c r="B624" t="str">
        <x:v>LOSS-KG01-L25-20251020-AM-ORD-2025-00161</x:v>
      </x:c>
      <x:c r="C624" t="str">
        <x:v>PE-KG01-L25-20251020-AM-ORD-2025-00161</x:v>
      </x:c>
      <x:c r="D624" t="str">
        <x:v>KG01</x:v>
      </x:c>
      <x:c r="E624" t="n">
        <x:v>25</x:v>
      </x:c>
      <x:c r="F624" s="52" t="n">
        <x:v>45950</x:v>
      </x:c>
      <x:c r="G624" t="str">
        <x:v>AM</x:v>
      </x:c>
      <x:c r="H624" t="str">
        <x:v>ORD-2025-00161</x:v>
      </x:c>
      <x:c r="I624" t="str">
        <x:v>Normal</x:v>
      </x:c>
      <x:c r="J624" t="str">
        <x:v>PROC_STUCKDOWN</x:v>
      </x:c>
      <x:c r="K624" t="str">
        <x:v>Forming</x:v>
      </x:c>
      <x:c r="L624" s="54" t="n">
        <x:v>0.0010089209855564996</x:v>
      </x:c>
      <x:c r="M624" t="n">
        <x:v>112992</x:v>
      </x:c>
      <x:c r="N624" t="n">
        <x:f>L624*M624</x:f>
        <x:v>114.00000000000001</x:v>
      </x:c>
      <x:c r="O624"/>
      <x:c r="P624"/>
      <x:c r="Q624"/>
      <x:c r="R624"/>
      <x:c r="S624" s="52"/>
      <x:c r="T624" t="str">
        <x:v>OK</x:v>
      </x:c>
      <x:c r="U624" t="str">
        <x:f>IF(AND(ISNUMBER(L624),L624&gt;=0,L624&lt;=1),"OK","CHECK")</x:f>
        <x:v>OK</x:v>
      </x:c>
      <x:c r="V624" t="str">
        <x:f>IF(AND(ISNUMBER(N624),N624&gt;=0),"OK","CHECK")</x:f>
        <x:v>OK</x:v>
      </x:c>
      <x:c r="W624" t="str">
        <x:f>IF(AND(T624="OK",U624="OK",V624="OK"),"OK","CHECK")</x:f>
        <x:v>OK</x:v>
      </x:c>
      <x:c r="X624" t="str">
        <x:f>IF(W624="OK","LOAD","QUARANTINE")</x:f>
        <x:v>LOAD</x:v>
      </x:c>
      <x:c r="Y624" t="str">
        <x:v>03_Process_Losses(6).xlsx</x:v>
      </x:c>
      <x:c r="Z624" t="str">
        <x:v>ENH-20260830-01</x:v>
      </x:c>
      <x:c r="AA624" t="str">
        <x:f>IF(X624="LOAD","Active","Quarantine")</x:f>
        <x:v>Active</x:v>
      </x:c>
      <x:c r="AB624"/>
      <x:c r="AC624"/>
      <x:c r="AD624"/>
      <x:c r="AE624"/>
    </x:row>
    <x:row r="625">
      <x:c r="A625" t="str">
        <x:v>PLD-000621</x:v>
      </x:c>
      <x:c r="B625" t="str">
        <x:v>LOSS-KG01-L25-20251020-AM-ORD-2025-00161</x:v>
      </x:c>
      <x:c r="C625" t="str">
        <x:v>PE-KG01-L25-20251020-AM-ORD-2025-00161</x:v>
      </x:c>
      <x:c r="D625" t="str">
        <x:v>KG01</x:v>
      </x:c>
      <x:c r="E625" t="n">
        <x:v>25</x:v>
      </x:c>
      <x:c r="F625" s="52" t="n">
        <x:v>45950</x:v>
      </x:c>
      <x:c r="G625" t="str">
        <x:v>AM</x:v>
      </x:c>
      <x:c r="H625" t="str">
        <x:v>ORD-2025-00161</x:v>
      </x:c>
      <x:c r="I625" t="str">
        <x:v>Normal</x:v>
      </x:c>
      <x:c r="J625" t="str">
        <x:v>PROC_LEHR</x:v>
      </x:c>
      <x:c r="K625" t="str">
        <x:v>Lehr</x:v>
      </x:c>
      <x:c r="L625" s="54" t="n">
        <x:v>0.002062092891532144</x:v>
      </x:c>
      <x:c r="M625" t="n">
        <x:v>112992</x:v>
      </x:c>
      <x:c r="N625" t="n">
        <x:f>L625*M625</x:f>
        <x:v>233</x:v>
      </x:c>
      <x:c r="O625"/>
      <x:c r="P625"/>
      <x:c r="Q625"/>
      <x:c r="R625"/>
      <x:c r="S625" s="52"/>
      <x:c r="T625" t="str">
        <x:v>OK</x:v>
      </x:c>
      <x:c r="U625" t="str">
        <x:f>IF(AND(ISNUMBER(L625),L625&gt;=0,L625&lt;=1),"OK","CHECK")</x:f>
        <x:v>OK</x:v>
      </x:c>
      <x:c r="V625" t="str">
        <x:f>IF(AND(ISNUMBER(N625),N625&gt;=0),"OK","CHECK")</x:f>
        <x:v>OK</x:v>
      </x:c>
      <x:c r="W625" t="str">
        <x:f>IF(AND(T625="OK",U625="OK",V625="OK"),"OK","CHECK")</x:f>
        <x:v>OK</x:v>
      </x:c>
      <x:c r="X625" t="str">
        <x:f>IF(W625="OK","LOAD","QUARANTINE")</x:f>
        <x:v>LOAD</x:v>
      </x:c>
      <x:c r="Y625" t="str">
        <x:v>03_Process_Losses(6).xlsx</x:v>
      </x:c>
      <x:c r="Z625" t="str">
        <x:v>ENH-20260830-01</x:v>
      </x:c>
      <x:c r="AA625" t="str">
        <x:f>IF(X625="LOAD","Active","Quarantine")</x:f>
        <x:v>Active</x:v>
      </x:c>
      <x:c r="AB625"/>
      <x:c r="AC625"/>
      <x:c r="AD625"/>
      <x:c r="AE625"/>
    </x:row>
    <x:row r="626">
      <x:c r="A626" t="str">
        <x:v>PLD-000622</x:v>
      </x:c>
      <x:c r="B626" t="str">
        <x:v>LOSS-KG01-L25-20251020-AM-ORD-2025-00161</x:v>
      </x:c>
      <x:c r="C626" t="str">
        <x:v>PE-KG01-L25-20251020-AM-ORD-2025-00161</x:v>
      </x:c>
      <x:c r="D626" t="str">
        <x:v>KG01</x:v>
      </x:c>
      <x:c r="E626" t="n">
        <x:v>25</x:v>
      </x:c>
      <x:c r="F626" s="52" t="n">
        <x:v>45950</x:v>
      </x:c>
      <x:c r="G626" t="str">
        <x:v>AM</x:v>
      </x:c>
      <x:c r="H626" t="str">
        <x:v>ORD-2025-00161</x:v>
      </x:c>
      <x:c r="I626" t="str">
        <x:v>Normal</x:v>
      </x:c>
      <x:c r="J626" t="str">
        <x:v>PROC_EVO16</x:v>
      </x:c>
      <x:c r="K626" t="str">
        <x:v>Inspection</x:v>
      </x:c>
      <x:c r="L626" s="54" t="n">
        <x:v>0.0010089209855564996</x:v>
      </x:c>
      <x:c r="M626" t="n">
        <x:v>112992</x:v>
      </x:c>
      <x:c r="N626" t="n">
        <x:f>L626*M626</x:f>
        <x:v>114.00000000000001</x:v>
      </x:c>
      <x:c r="O626"/>
      <x:c r="P626"/>
      <x:c r="Q626"/>
      <x:c r="R626"/>
      <x:c r="S626" s="52"/>
      <x:c r="T626" t="str">
        <x:v>OK</x:v>
      </x:c>
      <x:c r="U626" t="str">
        <x:f>IF(AND(ISNUMBER(L626),L626&gt;=0,L626&lt;=1),"OK","CHECK")</x:f>
        <x:v>OK</x:v>
      </x:c>
      <x:c r="V626" t="str">
        <x:f>IF(AND(ISNUMBER(N626),N626&gt;=0),"OK","CHECK")</x:f>
        <x:v>OK</x:v>
      </x:c>
      <x:c r="W626" t="str">
        <x:f>IF(AND(T626="OK",U626="OK",V626="OK"),"OK","CHECK")</x:f>
        <x:v>OK</x:v>
      </x:c>
      <x:c r="X626" t="str">
        <x:f>IF(W626="OK","LOAD","QUARANTINE")</x:f>
        <x:v>LOAD</x:v>
      </x:c>
      <x:c r="Y626" t="str">
        <x:v>03_Process_Losses(6).xlsx</x:v>
      </x:c>
      <x:c r="Z626" t="str">
        <x:v>ENH-20260830-01</x:v>
      </x:c>
      <x:c r="AA626" t="str">
        <x:f>IF(X626="LOAD","Active","Quarantine")</x:f>
        <x:v>Active</x:v>
      </x:c>
      <x:c r="AB626"/>
      <x:c r="AC626"/>
      <x:c r="AD626"/>
      <x:c r="AE626"/>
    </x:row>
    <x:row r="627">
      <x:c r="A627" t="str">
        <x:v>PLD-000623</x:v>
      </x:c>
      <x:c r="B627" t="str">
        <x:v>LOSS-KG01-L25-20251020-AM-ORD-2025-00161</x:v>
      </x:c>
      <x:c r="C627" t="str">
        <x:v>PE-KG01-L25-20251020-AM-ORD-2025-00161</x:v>
      </x:c>
      <x:c r="D627" t="str">
        <x:v>KG01</x:v>
      </x:c>
      <x:c r="E627" t="n">
        <x:v>25</x:v>
      </x:c>
      <x:c r="F627" s="52" t="n">
        <x:v>45950</x:v>
      </x:c>
      <x:c r="G627" t="str">
        <x:v>AM</x:v>
      </x:c>
      <x:c r="H627" t="str">
        <x:v>ORD-2025-00161</x:v>
      </x:c>
      <x:c r="I627" t="str">
        <x:v>Normal</x:v>
      </x:c>
      <x:c r="J627" t="str">
        <x:v>PROC_EVO12</x:v>
      </x:c>
      <x:c r="K627" t="str">
        <x:v>Inspection</x:v>
      </x:c>
      <x:c r="L627" s="54" t="n">
        <x:v>0.0008142169357122629</x:v>
      </x:c>
      <x:c r="M627" t="n">
        <x:v>112992</x:v>
      </x:c>
      <x:c r="N627" t="n">
        <x:f>L627*M627</x:f>
        <x:v>92</x:v>
      </x:c>
      <x:c r="O627"/>
      <x:c r="P627"/>
      <x:c r="Q627"/>
      <x:c r="R627"/>
      <x:c r="S627" s="52"/>
      <x:c r="T627" t="str">
        <x:v>OK</x:v>
      </x:c>
      <x:c r="U627" t="str">
        <x:f>IF(AND(ISNUMBER(L627),L627&gt;=0,L627&lt;=1),"OK","CHECK")</x:f>
        <x:v>OK</x:v>
      </x:c>
      <x:c r="V627" t="str">
        <x:f>IF(AND(ISNUMBER(N627),N627&gt;=0),"OK","CHECK")</x:f>
        <x:v>OK</x:v>
      </x:c>
      <x:c r="W627" t="str">
        <x:f>IF(AND(T627="OK",U627="OK",V627="OK"),"OK","CHECK")</x:f>
        <x:v>OK</x:v>
      </x:c>
      <x:c r="X627" t="str">
        <x:f>IF(W627="OK","LOAD","QUARANTINE")</x:f>
        <x:v>LOAD</x:v>
      </x:c>
      <x:c r="Y627" t="str">
        <x:v>03_Process_Losses(6).xlsx</x:v>
      </x:c>
      <x:c r="Z627" t="str">
        <x:v>ENH-20260830-01</x:v>
      </x:c>
      <x:c r="AA627" t="str">
        <x:f>IF(X627="LOAD","Active","Quarantine")</x:f>
        <x:v>Active</x:v>
      </x:c>
      <x:c r="AB627"/>
      <x:c r="AC627"/>
      <x:c r="AD627"/>
      <x:c r="AE627"/>
    </x:row>
    <x:row r="628">
      <x:c r="A628" t="str">
        <x:v>PLD-000624</x:v>
      </x:c>
      <x:c r="B628" t="str">
        <x:v>LOSS-KG01-L25-20251020-AM-ORD-2025-00161</x:v>
      </x:c>
      <x:c r="C628" t="str">
        <x:v>PE-KG01-L25-20251020-AM-ORD-2025-00161</x:v>
      </x:c>
      <x:c r="D628" t="str">
        <x:v>KG01</x:v>
      </x:c>
      <x:c r="E628" t="n">
        <x:v>25</x:v>
      </x:c>
      <x:c r="F628" s="52" t="n">
        <x:v>45950</x:v>
      </x:c>
      <x:c r="G628" t="str">
        <x:v>AM</x:v>
      </x:c>
      <x:c r="H628" t="str">
        <x:v>ORD-2025-00161</x:v>
      </x:c>
      <x:c r="I628" t="str">
        <x:v>Normal</x:v>
      </x:c>
      <x:c r="J628" t="str">
        <x:v>PROC_EVO5</x:v>
      </x:c>
      <x:c r="K628" t="str">
        <x:v>Inspection</x:v>
      </x:c>
      <x:c r="L628" s="54" t="n">
        <x:v>0.0013540781648258284</x:v>
      </x:c>
      <x:c r="M628" t="n">
        <x:v>112992</x:v>
      </x:c>
      <x:c r="N628" t="n">
        <x:f>L628*M628</x:f>
        <x:v>153</x:v>
      </x:c>
      <x:c r="O628"/>
      <x:c r="P628"/>
      <x:c r="Q628"/>
      <x:c r="R628"/>
      <x:c r="S628" s="52"/>
      <x:c r="T628" t="str">
        <x:v>OK</x:v>
      </x:c>
      <x:c r="U628" t="str">
        <x:f>IF(AND(ISNUMBER(L628),L628&gt;=0,L628&lt;=1),"OK","CHECK")</x:f>
        <x:v>OK</x:v>
      </x:c>
      <x:c r="V628" t="str">
        <x:f>IF(AND(ISNUMBER(N628),N628&gt;=0),"OK","CHECK")</x:f>
        <x:v>OK</x:v>
      </x:c>
      <x:c r="W628" t="str">
        <x:f>IF(AND(T628="OK",U628="OK",V628="OK"),"OK","CHECK")</x:f>
        <x:v>OK</x:v>
      </x:c>
      <x:c r="X628" t="str">
        <x:f>IF(W628="OK","LOAD","QUARANTINE")</x:f>
        <x:v>LOAD</x:v>
      </x:c>
      <x:c r="Y628" t="str">
        <x:v>03_Process_Losses(6).xlsx</x:v>
      </x:c>
      <x:c r="Z628" t="str">
        <x:v>ENH-20260830-01</x:v>
      </x:c>
      <x:c r="AA628" t="str">
        <x:f>IF(X628="LOAD","Active","Quarantine")</x:f>
        <x:v>Active</x:v>
      </x:c>
      <x:c r="AB628"/>
      <x:c r="AC628"/>
      <x:c r="AD628"/>
      <x:c r="AE628"/>
    </x:row>
    <x:row r="629">
      <x:c r="A629" t="str">
        <x:v>PLD-000625</x:v>
      </x:c>
      <x:c r="B629" t="str">
        <x:v>LOSS-KG01-L25-20251020-AM-ORD-2025-00161</x:v>
      </x:c>
      <x:c r="C629" t="str">
        <x:v>PE-KG01-L25-20251020-AM-ORD-2025-00161</x:v>
      </x:c>
      <x:c r="D629" t="str">
        <x:v>KG01</x:v>
      </x:c>
      <x:c r="E629" t="n">
        <x:v>25</x:v>
      </x:c>
      <x:c r="F629" s="52" t="n">
        <x:v>45950</x:v>
      </x:c>
      <x:c r="G629" t="str">
        <x:v>AM</x:v>
      </x:c>
      <x:c r="H629" t="str">
        <x:v>ORD-2025-00161</x:v>
      </x:c>
      <x:c r="I629" t="str">
        <x:v>Normal</x:v>
      </x:c>
      <x:c r="J629" t="str">
        <x:v>PROC_SANLI</x:v>
      </x:c>
      <x:c r="K629" t="str">
        <x:v>Inspection</x:v>
      </x:c>
      <x:c r="L629" s="54" t="n">
        <x:v>0.0021505947323704334</x:v>
      </x:c>
      <x:c r="M629" t="n">
        <x:v>112992</x:v>
      </x:c>
      <x:c r="N629" t="n">
        <x:f>L629*M629</x:f>
        <x:v>243</x:v>
      </x:c>
      <x:c r="O629"/>
      <x:c r="P629"/>
      <x:c r="Q629"/>
      <x:c r="R629"/>
      <x:c r="S629" s="52"/>
      <x:c r="T629" t="str">
        <x:v>OK</x:v>
      </x:c>
      <x:c r="U629" t="str">
        <x:f>IF(AND(ISNUMBER(L629),L629&gt;=0,L629&lt;=1),"OK","CHECK")</x:f>
        <x:v>OK</x:v>
      </x:c>
      <x:c r="V629" t="str">
        <x:f>IF(AND(ISNUMBER(N629),N629&gt;=0),"OK","CHECK")</x:f>
        <x:v>OK</x:v>
      </x:c>
      <x:c r="W629" t="str">
        <x:f>IF(AND(T629="OK",U629="OK",V629="OK"),"OK","CHECK")</x:f>
        <x:v>OK</x:v>
      </x:c>
      <x:c r="X629" t="str">
        <x:f>IF(W629="OK","LOAD","QUARANTINE")</x:f>
        <x:v>LOAD</x:v>
      </x:c>
      <x:c r="Y629" t="str">
        <x:v>03_Process_Losses(6).xlsx</x:v>
      </x:c>
      <x:c r="Z629" t="str">
        <x:v>ENH-20260830-01</x:v>
      </x:c>
      <x:c r="AA629" t="str">
        <x:f>IF(X629="LOAD","Active","Quarantine")</x:f>
        <x:v>Active</x:v>
      </x:c>
      <x:c r="AB629"/>
      <x:c r="AC629"/>
      <x:c r="AD629"/>
      <x:c r="AE629"/>
    </x:row>
    <x:row r="630">
      <x:c r="A630" t="str">
        <x:v>PLD-000626</x:v>
      </x:c>
      <x:c r="B630" t="str">
        <x:v>LOSS-KG01-L25-20251020-AM-ORD-2025-00161</x:v>
      </x:c>
      <x:c r="C630" t="str">
        <x:v>PE-KG01-L25-20251020-AM-ORD-2025-00161</x:v>
      </x:c>
      <x:c r="D630" t="str">
        <x:v>KG01</x:v>
      </x:c>
      <x:c r="E630" t="n">
        <x:v>25</x:v>
      </x:c>
      <x:c r="F630" s="52" t="n">
        <x:v>45950</x:v>
      </x:c>
      <x:c r="G630" t="str">
        <x:v>AM</x:v>
      </x:c>
      <x:c r="H630" t="str">
        <x:v>ORD-2025-00161</x:v>
      </x:c>
      <x:c r="I630" t="str">
        <x:v>Normal</x:v>
      </x:c>
      <x:c r="J630" t="str">
        <x:v>PROC_VISUAL</x:v>
      </x:c>
      <x:c r="K630" t="str">
        <x:v>Inspection</x:v>
      </x:c>
      <x:c r="L630" s="54" t="n">
        <x:v>0.002336448598130841</x:v>
      </x:c>
      <x:c r="M630" t="n">
        <x:v>112992</x:v>
      </x:c>
      <x:c r="N630" t="n">
        <x:f>L630*M630</x:f>
        <x:v>264</x:v>
      </x:c>
      <x:c r="O630"/>
      <x:c r="P630"/>
      <x:c r="Q630"/>
      <x:c r="R630"/>
      <x:c r="S630" s="52"/>
      <x:c r="T630" t="str">
        <x:v>OK</x:v>
      </x:c>
      <x:c r="U630" t="str">
        <x:f>IF(AND(ISNUMBER(L630),L630&gt;=0,L630&lt;=1),"OK","CHECK")</x:f>
        <x:v>OK</x:v>
      </x:c>
      <x:c r="V630" t="str">
        <x:f>IF(AND(ISNUMBER(N630),N630&gt;=0),"OK","CHECK")</x:f>
        <x:v>OK</x:v>
      </x:c>
      <x:c r="W630" t="str">
        <x:f>IF(AND(T630="OK",U630="OK",V630="OK"),"OK","CHECK")</x:f>
        <x:v>OK</x:v>
      </x:c>
      <x:c r="X630" t="str">
        <x:f>IF(W630="OK","LOAD","QUARANTINE")</x:f>
        <x:v>LOAD</x:v>
      </x:c>
      <x:c r="Y630" t="str">
        <x:v>03_Process_Losses(6).xlsx</x:v>
      </x:c>
      <x:c r="Z630" t="str">
        <x:v>ENH-20260830-01</x:v>
      </x:c>
      <x:c r="AA630" t="str">
        <x:f>IF(X630="LOAD","Active","Quarantine")</x:f>
        <x:v>Active</x:v>
      </x:c>
      <x:c r="AB630"/>
      <x:c r="AC630"/>
      <x:c r="AD630"/>
      <x:c r="AE630"/>
    </x:row>
    <x:row r="631">
      <x:c r="A631" t="str">
        <x:v>PLD-000627</x:v>
      </x:c>
      <x:c r="B631" t="str">
        <x:v>LOSS-KG01-L25-20251020-AM-ORD-2025-00161</x:v>
      </x:c>
      <x:c r="C631" t="str">
        <x:v>PE-KG01-L25-20251020-AM-ORD-2025-00161</x:v>
      </x:c>
      <x:c r="D631" t="str">
        <x:v>KG01</x:v>
      </x:c>
      <x:c r="E631" t="n">
        <x:v>25</x:v>
      </x:c>
      <x:c r="F631" s="52" t="n">
        <x:v>45950</x:v>
      </x:c>
      <x:c r="G631" t="str">
        <x:v>AM</x:v>
      </x:c>
      <x:c r="H631" t="str">
        <x:v>ORD-2025-00161</x:v>
      </x:c>
      <x:c r="I631" t="str">
        <x:v>Normal</x:v>
      </x:c>
      <x:c r="J631" t="str">
        <x:v>PROC_PALLETIZER</x:v>
      </x:c>
      <x:c r="K631" t="str">
        <x:v>Palletizer</x:v>
      </x:c>
      <x:c r="L631" s="54" t="n">
        <x:v>0.0010797224582271311</x:v>
      </x:c>
      <x:c r="M631" t="n">
        <x:v>112992</x:v>
      </x:c>
      <x:c r="N631" t="n">
        <x:f>L631*M631</x:f>
        <x:v>122</x:v>
      </x:c>
      <x:c r="O631"/>
      <x:c r="P631"/>
      <x:c r="Q631"/>
      <x:c r="R631"/>
      <x:c r="S631" s="52"/>
      <x:c r="T631" t="str">
        <x:v>OK</x:v>
      </x:c>
      <x:c r="U631" t="str">
        <x:f>IF(AND(ISNUMBER(L631),L631&gt;=0,L631&lt;=1),"OK","CHECK")</x:f>
        <x:v>OK</x:v>
      </x:c>
      <x:c r="V631" t="str">
        <x:f>IF(AND(ISNUMBER(N631),N631&gt;=0),"OK","CHECK")</x:f>
        <x:v>OK</x:v>
      </x:c>
      <x:c r="W631" t="str">
        <x:f>IF(AND(T631="OK",U631="OK",V631="OK"),"OK","CHECK")</x:f>
        <x:v>OK</x:v>
      </x:c>
      <x:c r="X631" t="str">
        <x:f>IF(W631="OK","LOAD","QUARANTINE")</x:f>
        <x:v>LOAD</x:v>
      </x:c>
      <x:c r="Y631" t="str">
        <x:v>03_Process_Losses(6).xlsx</x:v>
      </x:c>
      <x:c r="Z631" t="str">
        <x:v>ENH-20260830-01</x:v>
      </x:c>
      <x:c r="AA631" t="str">
        <x:f>IF(X631="LOAD","Active","Quarantine")</x:f>
        <x:v>Active</x:v>
      </x:c>
      <x:c r="AB631"/>
      <x:c r="AC631"/>
      <x:c r="AD631"/>
      <x:c r="AE631"/>
    </x:row>
    <x:row r="632">
      <x:c r="A632" t="str">
        <x:v>PLD-000628</x:v>
      </x:c>
      <x:c r="B632" t="str">
        <x:v>LOSS-KG01-L25-20251020-PM-ORD-2025-00161</x:v>
      </x:c>
      <x:c r="C632" t="str">
        <x:v>PE-KG01-L25-20251020-PM-ORD-2025-00161</x:v>
      </x:c>
      <x:c r="D632" t="str">
        <x:v>KG01</x:v>
      </x:c>
      <x:c r="E632" t="n">
        <x:v>25</x:v>
      </x:c>
      <x:c r="F632" s="52" t="n">
        <x:v>45950</x:v>
      </x:c>
      <x:c r="G632" t="str">
        <x:v>PM</x:v>
      </x:c>
      <x:c r="H632" t="str">
        <x:v>ORD-2025-00161</x:v>
      </x:c>
      <x:c r="I632" t="str">
        <x:v>Normal</x:v>
      </x:c>
      <x:c r="J632" t="str">
        <x:v>PROC_FIXED</x:v>
      </x:c>
      <x:c r="K632" t="str">
        <x:v>Fixed Losses</x:v>
      </x:c>
      <x:c r="L632" s="54" t="n">
        <x:v>0.004547742306586137</x:v>
      </x:c>
      <x:c r="M632" t="n">
        <x:v>111264</x:v>
      </x:c>
      <x:c r="N632" t="n">
        <x:f>L632*M632</x:f>
        <x:v>505.99999999999994</x:v>
      </x:c>
      <x:c r="O632"/>
      <x:c r="P632"/>
      <x:c r="Q632"/>
      <x:c r="R632"/>
      <x:c r="S632" s="52"/>
      <x:c r="T632" t="str">
        <x:v>OK</x:v>
      </x:c>
      <x:c r="U632" t="str">
        <x:f>IF(AND(ISNUMBER(L632),L632&gt;=0,L632&lt;=1),"OK","CHECK")</x:f>
        <x:v>OK</x:v>
      </x:c>
      <x:c r="V632" t="str">
        <x:f>IF(AND(ISNUMBER(N632),N632&gt;=0),"OK","CHECK")</x:f>
        <x:v>OK</x:v>
      </x:c>
      <x:c r="W632" t="str">
        <x:f>IF(AND(T632="OK",U632="OK",V632="OK"),"OK","CHECK")</x:f>
        <x:v>OK</x:v>
      </x:c>
      <x:c r="X632" t="str">
        <x:f>IF(W632="OK","LOAD","QUARANTINE")</x:f>
        <x:v>LOAD</x:v>
      </x:c>
      <x:c r="Y632" t="str">
        <x:v>03_Process_Losses(6).xlsx</x:v>
      </x:c>
      <x:c r="Z632" t="str">
        <x:v>ENH-20260830-01</x:v>
      </x:c>
      <x:c r="AA632" t="str">
        <x:f>IF(X632="LOAD","Active","Quarantine")</x:f>
        <x:v>Active</x:v>
      </x:c>
      <x:c r="AB632"/>
      <x:c r="AC632"/>
      <x:c r="AD632"/>
      <x:c r="AE632"/>
    </x:row>
    <x:row r="633">
      <x:c r="A633" t="str">
        <x:v>PLD-000629</x:v>
      </x:c>
      <x:c r="B633" t="str">
        <x:v>LOSS-KG01-L25-20251020-PM-ORD-2025-00161</x:v>
      </x:c>
      <x:c r="C633" t="str">
        <x:v>PE-KG01-L25-20251020-PM-ORD-2025-00161</x:v>
      </x:c>
      <x:c r="D633" t="str">
        <x:v>KG01</x:v>
      </x:c>
      <x:c r="E633" t="n">
        <x:v>25</x:v>
      </x:c>
      <x:c r="F633" s="52" t="n">
        <x:v>45950</x:v>
      </x:c>
      <x:c r="G633" t="str">
        <x:v>PM</x:v>
      </x:c>
      <x:c r="H633" t="str">
        <x:v>ORD-2025-00161</x:v>
      </x:c>
      <x:c r="I633" t="str">
        <x:v>Normal</x:v>
      </x:c>
      <x:c r="J633" t="str">
        <x:v>PROC_IS</x:v>
      </x:c>
      <x:c r="K633" t="str">
        <x:v>IS Machine</x:v>
      </x:c>
      <x:c r="L633" s="54" t="n">
        <x:v>0.011881650848432557</x:v>
      </x:c>
      <x:c r="M633" t="n">
        <x:v>111264</x:v>
      </x:c>
      <x:c r="N633" t="n">
        <x:f>L633*M633</x:f>
        <x:v>1322</x:v>
      </x:c>
      <x:c r="O633"/>
      <x:c r="P633"/>
      <x:c r="Q633"/>
      <x:c r="R633"/>
      <x:c r="S633" s="52"/>
      <x:c r="T633" t="str">
        <x:v>OK</x:v>
      </x:c>
      <x:c r="U633" t="str">
        <x:f>IF(AND(ISNUMBER(L633),L633&gt;=0,L633&lt;=1),"OK","CHECK")</x:f>
        <x:v>OK</x:v>
      </x:c>
      <x:c r="V633" t="str">
        <x:f>IF(AND(ISNUMBER(N633),N633&gt;=0),"OK","CHECK")</x:f>
        <x:v>OK</x:v>
      </x:c>
      <x:c r="W633" t="str">
        <x:f>IF(AND(T633="OK",U633="OK",V633="OK"),"OK","CHECK")</x:f>
        <x:v>OK</x:v>
      </x:c>
      <x:c r="X633" t="str">
        <x:f>IF(W633="OK","LOAD","QUARANTINE")</x:f>
        <x:v>LOAD</x:v>
      </x:c>
      <x:c r="Y633" t="str">
        <x:v>03_Process_Losses(6).xlsx</x:v>
      </x:c>
      <x:c r="Z633" t="str">
        <x:v>ENH-20260830-01</x:v>
      </x:c>
      <x:c r="AA633" t="str">
        <x:f>IF(X633="LOAD","Active","Quarantine")</x:f>
        <x:v>Active</x:v>
      </x:c>
      <x:c r="AB633"/>
      <x:c r="AC633"/>
      <x:c r="AD633"/>
      <x:c r="AE633"/>
    </x:row>
    <x:row r="634">
      <x:c r="A634" t="str">
        <x:v>PLD-000630</x:v>
      </x:c>
      <x:c r="B634" t="str">
        <x:v>LOSS-KG01-L25-20251020-PM-ORD-2025-00161</x:v>
      </x:c>
      <x:c r="C634" t="str">
        <x:v>PE-KG01-L25-20251020-PM-ORD-2025-00161</x:v>
      </x:c>
      <x:c r="D634" t="str">
        <x:v>KG01</x:v>
      </x:c>
      <x:c r="E634" t="n">
        <x:v>25</x:v>
      </x:c>
      <x:c r="F634" s="52" t="n">
        <x:v>45950</x:v>
      </x:c>
      <x:c r="G634" t="str">
        <x:v>PM</x:v>
      </x:c>
      <x:c r="H634" t="str">
        <x:v>ORD-2025-00161</x:v>
      </x:c>
      <x:c r="I634" t="str">
        <x:v>Normal</x:v>
      </x:c>
      <x:c r="J634" t="str">
        <x:v>PROC_HE_CONVEYER</x:v>
      </x:c>
      <x:c r="K634" t="str">
        <x:v>Hot End</x:v>
      </x:c>
      <x:c r="L634" s="54" t="n">
        <x:v>0.003379350014380213</x:v>
      </x:c>
      <x:c r="M634" t="n">
        <x:v>111264</x:v>
      </x:c>
      <x:c r="N634" t="n">
        <x:f>L634*M634</x:f>
        <x:v>376</x:v>
      </x:c>
      <x:c r="O634"/>
      <x:c r="P634"/>
      <x:c r="Q634"/>
      <x:c r="R634"/>
      <x:c r="S634" s="52"/>
      <x:c r="T634" t="str">
        <x:v>OK</x:v>
      </x:c>
      <x:c r="U634" t="str">
        <x:f>IF(AND(ISNUMBER(L634),L634&gt;=0,L634&lt;=1),"OK","CHECK")</x:f>
        <x:v>OK</x:v>
      </x:c>
      <x:c r="V634" t="str">
        <x:f>IF(AND(ISNUMBER(N634),N634&gt;=0),"OK","CHECK")</x:f>
        <x:v>OK</x:v>
      </x:c>
      <x:c r="W634" t="str">
        <x:f>IF(AND(T634="OK",U634="OK",V634="OK"),"OK","CHECK")</x:f>
        <x:v>OK</x:v>
      </x:c>
      <x:c r="X634" t="str">
        <x:f>IF(W634="OK","LOAD","QUARANTINE")</x:f>
        <x:v>LOAD</x:v>
      </x:c>
      <x:c r="Y634" t="str">
        <x:v>03_Process_Losses(6).xlsx</x:v>
      </x:c>
      <x:c r="Z634" t="str">
        <x:v>ENH-20260830-01</x:v>
      </x:c>
      <x:c r="AA634" t="str">
        <x:f>IF(X634="LOAD","Active","Quarantine")</x:f>
        <x:v>Active</x:v>
      </x:c>
      <x:c r="AB634"/>
      <x:c r="AC634"/>
      <x:c r="AD634"/>
      <x:c r="AE634"/>
    </x:row>
    <x:row r="635">
      <x:c r="A635" t="str">
        <x:v>PLD-000631</x:v>
      </x:c>
      <x:c r="B635" t="str">
        <x:v>LOSS-KG01-L25-20251020-PM-ORD-2025-00161</x:v>
      </x:c>
      <x:c r="C635" t="str">
        <x:v>PE-KG01-L25-20251020-PM-ORD-2025-00161</x:v>
      </x:c>
      <x:c r="D635" t="str">
        <x:v>KG01</x:v>
      </x:c>
      <x:c r="E635" t="n">
        <x:v>25</x:v>
      </x:c>
      <x:c r="F635" s="52" t="n">
        <x:v>45950</x:v>
      </x:c>
      <x:c r="G635" t="str">
        <x:v>PM</x:v>
      </x:c>
      <x:c r="H635" t="str">
        <x:v>ORD-2025-00161</x:v>
      </x:c>
      <x:c r="I635" t="str">
        <x:v>Normal</x:v>
      </x:c>
      <x:c r="J635" t="str">
        <x:v>PROC_STUCKDOWN</x:v>
      </x:c>
      <x:c r="K635" t="str">
        <x:v>Forming</x:v>
      </x:c>
      <x:c r="L635" s="54" t="n">
        <x:v>0.00386468219729652</x:v>
      </x:c>
      <x:c r="M635" t="n">
        <x:v>111264</x:v>
      </x:c>
      <x:c r="N635" t="n">
        <x:f>L635*M635</x:f>
        <x:v>430</x:v>
      </x:c>
      <x:c r="O635"/>
      <x:c r="P635"/>
      <x:c r="Q635"/>
      <x:c r="R635"/>
      <x:c r="S635" s="52"/>
      <x:c r="T635" t="str">
        <x:v>OK</x:v>
      </x:c>
      <x:c r="U635" t="str">
        <x:f>IF(AND(ISNUMBER(L635),L635&gt;=0,L635&lt;=1),"OK","CHECK")</x:f>
        <x:v>OK</x:v>
      </x:c>
      <x:c r="V635" t="str">
        <x:f>IF(AND(ISNUMBER(N635),N635&gt;=0),"OK","CHECK")</x:f>
        <x:v>OK</x:v>
      </x:c>
      <x:c r="W635" t="str">
        <x:f>IF(AND(T635="OK",U635="OK",V635="OK"),"OK","CHECK")</x:f>
        <x:v>OK</x:v>
      </x:c>
      <x:c r="X635" t="str">
        <x:f>IF(W635="OK","LOAD","QUARANTINE")</x:f>
        <x:v>LOAD</x:v>
      </x:c>
      <x:c r="Y635" t="str">
        <x:v>03_Process_Losses(6).xlsx</x:v>
      </x:c>
      <x:c r="Z635" t="str">
        <x:v>ENH-20260830-01</x:v>
      </x:c>
      <x:c r="AA635" t="str">
        <x:f>IF(X635="LOAD","Active","Quarantine")</x:f>
        <x:v>Active</x:v>
      </x:c>
      <x:c r="AB635"/>
      <x:c r="AC635"/>
      <x:c r="AD635"/>
      <x:c r="AE635"/>
    </x:row>
    <x:row r="636">
      <x:c r="A636" t="str">
        <x:v>PLD-000632</x:v>
      </x:c>
      <x:c r="B636" t="str">
        <x:v>LOSS-KG01-L25-20251020-PM-ORD-2025-00161</x:v>
      </x:c>
      <x:c r="C636" t="str">
        <x:v>PE-KG01-L25-20251020-PM-ORD-2025-00161</x:v>
      </x:c>
      <x:c r="D636" t="str">
        <x:v>KG01</x:v>
      </x:c>
      <x:c r="E636" t="n">
        <x:v>25</x:v>
      </x:c>
      <x:c r="F636" s="52" t="n">
        <x:v>45950</x:v>
      </x:c>
      <x:c r="G636" t="str">
        <x:v>PM</x:v>
      </x:c>
      <x:c r="H636" t="str">
        <x:v>ORD-2025-00161</x:v>
      </x:c>
      <x:c r="I636" t="str">
        <x:v>Normal</x:v>
      </x:c>
      <x:c r="J636" t="str">
        <x:v>PROC_LEHR</x:v>
      </x:c>
      <x:c r="K636" t="str">
        <x:v>Lehr</x:v>
      </x:c>
      <x:c r="L636" s="54" t="n">
        <x:v>0.0026154012079378777</x:v>
      </x:c>
      <x:c r="M636" t="n">
        <x:v>111264</x:v>
      </x:c>
      <x:c r="N636" t="n">
        <x:f>L636*M636</x:f>
        <x:v>291</x:v>
      </x:c>
      <x:c r="O636"/>
      <x:c r="P636"/>
      <x:c r="Q636"/>
      <x:c r="R636"/>
      <x:c r="S636" s="52"/>
      <x:c r="T636" t="str">
        <x:v>OK</x:v>
      </x:c>
      <x:c r="U636" t="str">
        <x:f>IF(AND(ISNUMBER(L636),L636&gt;=0,L636&lt;=1),"OK","CHECK")</x:f>
        <x:v>OK</x:v>
      </x:c>
      <x:c r="V636" t="str">
        <x:f>IF(AND(ISNUMBER(N636),N636&gt;=0),"OK","CHECK")</x:f>
        <x:v>OK</x:v>
      </x:c>
      <x:c r="W636" t="str">
        <x:f>IF(AND(T636="OK",U636="OK",V636="OK"),"OK","CHECK")</x:f>
        <x:v>OK</x:v>
      </x:c>
      <x:c r="X636" t="str">
        <x:f>IF(W636="OK","LOAD","QUARANTINE")</x:f>
        <x:v>LOAD</x:v>
      </x:c>
      <x:c r="Y636" t="str">
        <x:v>03_Process_Losses(6).xlsx</x:v>
      </x:c>
      <x:c r="Z636" t="str">
        <x:v>ENH-20260830-01</x:v>
      </x:c>
      <x:c r="AA636" t="str">
        <x:f>IF(X636="LOAD","Active","Quarantine")</x:f>
        <x:v>Active</x:v>
      </x:c>
      <x:c r="AB636"/>
      <x:c r="AC636"/>
      <x:c r="AD636"/>
      <x:c r="AE636"/>
    </x:row>
    <x:row r="637">
      <x:c r="A637" t="str">
        <x:v>PLD-000633</x:v>
      </x:c>
      <x:c r="B637" t="str">
        <x:v>LOSS-KG01-L25-20251020-PM-ORD-2025-00161</x:v>
      </x:c>
      <x:c r="C637" t="str">
        <x:v>PE-KG01-L25-20251020-PM-ORD-2025-00161</x:v>
      </x:c>
      <x:c r="D637" t="str">
        <x:v>KG01</x:v>
      </x:c>
      <x:c r="E637" t="n">
        <x:v>25</x:v>
      </x:c>
      <x:c r="F637" s="52" t="n">
        <x:v>45950</x:v>
      </x:c>
      <x:c r="G637" t="str">
        <x:v>PM</x:v>
      </x:c>
      <x:c r="H637" t="str">
        <x:v>ORD-2025-00161</x:v>
      </x:c>
      <x:c r="I637" t="str">
        <x:v>Normal</x:v>
      </x:c>
      <x:c r="J637" t="str">
        <x:v>PROC_EVO16</x:v>
      </x:c>
      <x:c r="K637" t="str">
        <x:v>Inspection</x:v>
      </x:c>
      <x:c r="L637" s="54" t="n">
        <x:v>0.0029569312625826864</x:v>
      </x:c>
      <x:c r="M637" t="n">
        <x:v>111264</x:v>
      </x:c>
      <x:c r="N637" t="n">
        <x:f>L637*M637</x:f>
        <x:v>329</x:v>
      </x:c>
      <x:c r="O637"/>
      <x:c r="P637"/>
      <x:c r="Q637"/>
      <x:c r="R637"/>
      <x:c r="S637" s="52"/>
      <x:c r="T637" t="str">
        <x:v>OK</x:v>
      </x:c>
      <x:c r="U637" t="str">
        <x:f>IF(AND(ISNUMBER(L637),L637&gt;=0,L637&lt;=1),"OK","CHECK")</x:f>
        <x:v>OK</x:v>
      </x:c>
      <x:c r="V637" t="str">
        <x:f>IF(AND(ISNUMBER(N637),N637&gt;=0),"OK","CHECK")</x:f>
        <x:v>OK</x:v>
      </x:c>
      <x:c r="W637" t="str">
        <x:f>IF(AND(T637="OK",U637="OK",V637="OK"),"OK","CHECK")</x:f>
        <x:v>OK</x:v>
      </x:c>
      <x:c r="X637" t="str">
        <x:f>IF(W637="OK","LOAD","QUARANTINE")</x:f>
        <x:v>LOAD</x:v>
      </x:c>
      <x:c r="Y637" t="str">
        <x:v>03_Process_Losses(6).xlsx</x:v>
      </x:c>
      <x:c r="Z637" t="str">
        <x:v>ENH-20260830-01</x:v>
      </x:c>
      <x:c r="AA637" t="str">
        <x:f>IF(X637="LOAD","Active","Quarantine")</x:f>
        <x:v>Active</x:v>
      </x:c>
      <x:c r="AB637"/>
      <x:c r="AC637"/>
      <x:c r="AD637"/>
      <x:c r="AE637"/>
    </x:row>
    <x:row r="638">
      <x:c r="A638" t="str">
        <x:v>PLD-000634</x:v>
      </x:c>
      <x:c r="B638" t="str">
        <x:v>LOSS-KG01-L25-20251020-PM-ORD-2025-00161</x:v>
      </x:c>
      <x:c r="C638" t="str">
        <x:v>PE-KG01-L25-20251020-PM-ORD-2025-00161</x:v>
      </x:c>
      <x:c r="D638" t="str">
        <x:v>KG01</x:v>
      </x:c>
      <x:c r="E638" t="n">
        <x:v>25</x:v>
      </x:c>
      <x:c r="F638" s="52" t="n">
        <x:v>45950</x:v>
      </x:c>
      <x:c r="G638" t="str">
        <x:v>PM</x:v>
      </x:c>
      <x:c r="H638" t="str">
        <x:v>ORD-2025-00161</x:v>
      </x:c>
      <x:c r="I638" t="str">
        <x:v>Normal</x:v>
      </x:c>
      <x:c r="J638" t="str">
        <x:v>PROC_EVO12</x:v>
      </x:c>
      <x:c r="K638" t="str">
        <x:v>Inspection</x:v>
      </x:c>
      <x:c r="L638" s="54" t="n">
        <x:v>0.0014470089157319528</x:v>
      </x:c>
      <x:c r="M638" t="n">
        <x:v>111264</x:v>
      </x:c>
      <x:c r="N638" t="n">
        <x:f>L638*M638</x:f>
        <x:v>161</x:v>
      </x:c>
      <x:c r="O638"/>
      <x:c r="P638"/>
      <x:c r="Q638"/>
      <x:c r="R638"/>
      <x:c r="S638" s="52"/>
      <x:c r="T638" t="str">
        <x:v>OK</x:v>
      </x:c>
      <x:c r="U638" t="str">
        <x:f>IF(AND(ISNUMBER(L638),L638&gt;=0,L638&lt;=1),"OK","CHECK")</x:f>
        <x:v>OK</x:v>
      </x:c>
      <x:c r="V638" t="str">
        <x:f>IF(AND(ISNUMBER(N638),N638&gt;=0),"OK","CHECK")</x:f>
        <x:v>OK</x:v>
      </x:c>
      <x:c r="W638" t="str">
        <x:f>IF(AND(T638="OK",U638="OK",V638="OK"),"OK","CHECK")</x:f>
        <x:v>OK</x:v>
      </x:c>
      <x:c r="X638" t="str">
        <x:f>IF(W638="OK","LOAD","QUARANTINE")</x:f>
        <x:v>LOAD</x:v>
      </x:c>
      <x:c r="Y638" t="str">
        <x:v>03_Process_Losses(6).xlsx</x:v>
      </x:c>
      <x:c r="Z638" t="str">
        <x:v>ENH-20260830-01</x:v>
      </x:c>
      <x:c r="AA638" t="str">
        <x:f>IF(X638="LOAD","Active","Quarantine")</x:f>
        <x:v>Active</x:v>
      </x:c>
      <x:c r="AB638"/>
      <x:c r="AC638"/>
      <x:c r="AD638"/>
      <x:c r="AE638"/>
    </x:row>
    <x:row r="639">
      <x:c r="A639" t="str">
        <x:v>PLD-000635</x:v>
      </x:c>
      <x:c r="B639" t="str">
        <x:v>LOSS-KG01-L25-20251020-PM-ORD-2025-00161</x:v>
      </x:c>
      <x:c r="C639" t="str">
        <x:v>PE-KG01-L25-20251020-PM-ORD-2025-00161</x:v>
      </x:c>
      <x:c r="D639" t="str">
        <x:v>KG01</x:v>
      </x:c>
      <x:c r="E639" t="n">
        <x:v>25</x:v>
      </x:c>
      <x:c r="F639" s="52" t="n">
        <x:v>45950</x:v>
      </x:c>
      <x:c r="G639" t="str">
        <x:v>PM</x:v>
      </x:c>
      <x:c r="H639" t="str">
        <x:v>ORD-2025-00161</x:v>
      </x:c>
      <x:c r="I639" t="str">
        <x:v>Normal</x:v>
      </x:c>
      <x:c r="J639" t="str">
        <x:v>PROC_EVO5</x:v>
      </x:c>
      <x:c r="K639" t="str">
        <x:v>Inspection</x:v>
      </x:c>
      <x:c r="L639" s="54" t="n">
        <x:v>0.002759203336209376</x:v>
      </x:c>
      <x:c r="M639" t="n">
        <x:v>111264</x:v>
      </x:c>
      <x:c r="N639" t="n">
        <x:f>L639*M639</x:f>
        <x:v>307</x:v>
      </x:c>
      <x:c r="O639"/>
      <x:c r="P639"/>
      <x:c r="Q639"/>
      <x:c r="R639"/>
      <x:c r="S639" s="52"/>
      <x:c r="T639" t="str">
        <x:v>OK</x:v>
      </x:c>
      <x:c r="U639" t="str">
        <x:f>IF(AND(ISNUMBER(L639),L639&gt;=0,L639&lt;=1),"OK","CHECK")</x:f>
        <x:v>OK</x:v>
      </x:c>
      <x:c r="V639" t="str">
        <x:f>IF(AND(ISNUMBER(N639),N639&gt;=0),"OK","CHECK")</x:f>
        <x:v>OK</x:v>
      </x:c>
      <x:c r="W639" t="str">
        <x:f>IF(AND(T639="OK",U639="OK",V639="OK"),"OK","CHECK")</x:f>
        <x:v>OK</x:v>
      </x:c>
      <x:c r="X639" t="str">
        <x:f>IF(W639="OK","LOAD","QUARANTINE")</x:f>
        <x:v>LOAD</x:v>
      </x:c>
      <x:c r="Y639" t="str">
        <x:v>03_Process_Losses(6).xlsx</x:v>
      </x:c>
      <x:c r="Z639" t="str">
        <x:v>ENH-20260830-01</x:v>
      </x:c>
      <x:c r="AA639" t="str">
        <x:f>IF(X639="LOAD","Active","Quarantine")</x:f>
        <x:v>Active</x:v>
      </x:c>
      <x:c r="AB639"/>
      <x:c r="AC639"/>
      <x:c r="AD639"/>
      <x:c r="AE639"/>
    </x:row>
    <x:row r="640">
      <x:c r="A640" t="str">
        <x:v>PLD-000636</x:v>
      </x:c>
      <x:c r="B640" t="str">
        <x:v>LOSS-KG01-L25-20251020-PM-ORD-2025-00161</x:v>
      </x:c>
      <x:c r="C640" t="str">
        <x:v>PE-KG01-L25-20251020-PM-ORD-2025-00161</x:v>
      </x:c>
      <x:c r="D640" t="str">
        <x:v>KG01</x:v>
      </x:c>
      <x:c r="E640" t="n">
        <x:v>25</x:v>
      </x:c>
      <x:c r="F640" s="52" t="n">
        <x:v>45950</x:v>
      </x:c>
      <x:c r="G640" t="str">
        <x:v>PM</x:v>
      </x:c>
      <x:c r="H640" t="str">
        <x:v>ORD-2025-00161</x:v>
      </x:c>
      <x:c r="I640" t="str">
        <x:v>Normal</x:v>
      </x:c>
      <x:c r="J640" t="str">
        <x:v>PROC_SANLI</x:v>
      </x:c>
      <x:c r="K640" t="str">
        <x:v>Inspection</x:v>
      </x:c>
      <x:c r="L640" s="54" t="n">
        <x:v>0.003702904802991084</x:v>
      </x:c>
      <x:c r="M640" t="n">
        <x:v>111264</x:v>
      </x:c>
      <x:c r="N640" t="n">
        <x:f>L640*M640</x:f>
        <x:v>412</x:v>
      </x:c>
      <x:c r="O640"/>
      <x:c r="P640"/>
      <x:c r="Q640"/>
      <x:c r="R640"/>
      <x:c r="S640" s="52"/>
      <x:c r="T640" t="str">
        <x:v>OK</x:v>
      </x:c>
      <x:c r="U640" t="str">
        <x:f>IF(AND(ISNUMBER(L640),L640&gt;=0,L640&lt;=1),"OK","CHECK")</x:f>
        <x:v>OK</x:v>
      </x:c>
      <x:c r="V640" t="str">
        <x:f>IF(AND(ISNUMBER(N640),N640&gt;=0),"OK","CHECK")</x:f>
        <x:v>OK</x:v>
      </x:c>
      <x:c r="W640" t="str">
        <x:f>IF(AND(T640="OK",U640="OK",V640="OK"),"OK","CHECK")</x:f>
        <x:v>OK</x:v>
      </x:c>
      <x:c r="X640" t="str">
        <x:f>IF(W640="OK","LOAD","QUARANTINE")</x:f>
        <x:v>LOAD</x:v>
      </x:c>
      <x:c r="Y640" t="str">
        <x:v>03_Process_Losses(6).xlsx</x:v>
      </x:c>
      <x:c r="Z640" t="str">
        <x:v>ENH-20260830-01</x:v>
      </x:c>
      <x:c r="AA640" t="str">
        <x:f>IF(X640="LOAD","Active","Quarantine")</x:f>
        <x:v>Active</x:v>
      </x:c>
      <x:c r="AB640"/>
      <x:c r="AC640"/>
      <x:c r="AD640"/>
      <x:c r="AE640"/>
    </x:row>
    <x:row r="641">
      <x:c r="A641" t="str">
        <x:v>PLD-000637</x:v>
      </x:c>
      <x:c r="B641" t="str">
        <x:v>LOSS-KG01-L25-20251020-PM-ORD-2025-00161</x:v>
      </x:c>
      <x:c r="C641" t="str">
        <x:v>PE-KG01-L25-20251020-PM-ORD-2025-00161</x:v>
      </x:c>
      <x:c r="D641" t="str">
        <x:v>KG01</x:v>
      </x:c>
      <x:c r="E641" t="n">
        <x:v>25</x:v>
      </x:c>
      <x:c r="F641" s="52" t="n">
        <x:v>45950</x:v>
      </x:c>
      <x:c r="G641" t="str">
        <x:v>PM</x:v>
      </x:c>
      <x:c r="H641" t="str">
        <x:v>ORD-2025-00161</x:v>
      </x:c>
      <x:c r="I641" t="str">
        <x:v>Normal</x:v>
      </x:c>
      <x:c r="J641" t="str">
        <x:v>PROC_VISUAL</x:v>
      </x:c>
      <x:c r="K641" t="str">
        <x:v>Inspection</x:v>
      </x:c>
      <x:c r="L641" s="54" t="n">
        <x:v>0.012438884095484614</x:v>
      </x:c>
      <x:c r="M641" t="n">
        <x:v>111264</x:v>
      </x:c>
      <x:c r="N641" t="n">
        <x:f>L641*M641</x:f>
        <x:v>1384</x:v>
      </x:c>
      <x:c r="O641"/>
      <x:c r="P641"/>
      <x:c r="Q641"/>
      <x:c r="R641"/>
      <x:c r="S641" s="52"/>
      <x:c r="T641" t="str">
        <x:v>OK</x:v>
      </x:c>
      <x:c r="U641" t="str">
        <x:f>IF(AND(ISNUMBER(L641),L641&gt;=0,L641&lt;=1),"OK","CHECK")</x:f>
        <x:v>OK</x:v>
      </x:c>
      <x:c r="V641" t="str">
        <x:f>IF(AND(ISNUMBER(N641),N641&gt;=0),"OK","CHECK")</x:f>
        <x:v>OK</x:v>
      </x:c>
      <x:c r="W641" t="str">
        <x:f>IF(AND(T641="OK",U641="OK",V641="OK"),"OK","CHECK")</x:f>
        <x:v>OK</x:v>
      </x:c>
      <x:c r="X641" t="str">
        <x:f>IF(W641="OK","LOAD","QUARANTINE")</x:f>
        <x:v>LOAD</x:v>
      </x:c>
      <x:c r="Y641" t="str">
        <x:v>03_Process_Losses(6).xlsx</x:v>
      </x:c>
      <x:c r="Z641" t="str">
        <x:v>ENH-20260830-01</x:v>
      </x:c>
      <x:c r="AA641" t="str">
        <x:f>IF(X641="LOAD","Active","Quarantine")</x:f>
        <x:v>Active</x:v>
      </x:c>
      <x:c r="AB641"/>
      <x:c r="AC641"/>
      <x:c r="AD641"/>
      <x:c r="AE641"/>
    </x:row>
    <x:row r="642">
      <x:c r="A642" t="str">
        <x:v>PLD-000638</x:v>
      </x:c>
      <x:c r="B642" t="str">
        <x:v>LOSS-KG01-L25-20251020-PM-ORD-2025-00161</x:v>
      </x:c>
      <x:c r="C642" t="str">
        <x:v>PE-KG01-L25-20251020-PM-ORD-2025-00161</x:v>
      </x:c>
      <x:c r="D642" t="str">
        <x:v>KG01</x:v>
      </x:c>
      <x:c r="E642" t="n">
        <x:v>25</x:v>
      </x:c>
      <x:c r="F642" s="52" t="n">
        <x:v>45950</x:v>
      </x:c>
      <x:c r="G642" t="str">
        <x:v>PM</x:v>
      </x:c>
      <x:c r="H642" t="str">
        <x:v>ORD-2025-00161</x:v>
      </x:c>
      <x:c r="I642" t="str">
        <x:v>Normal</x:v>
      </x:c>
      <x:c r="J642" t="str">
        <x:v>PROC_PALLETIZER</x:v>
      </x:c>
      <x:c r="K642" t="str">
        <x:v>Palletizer</x:v>
      </x:c>
      <x:c r="L642" s="54" t="n">
        <x:v>0.003577077940753523</x:v>
      </x:c>
      <x:c r="M642" t="n">
        <x:v>111264</x:v>
      </x:c>
      <x:c r="N642" t="n">
        <x:f>L642*M642</x:f>
        <x:v>398</x:v>
      </x:c>
      <x:c r="O642"/>
      <x:c r="P642"/>
      <x:c r="Q642"/>
      <x:c r="R642"/>
      <x:c r="S642" s="52"/>
      <x:c r="T642" t="str">
        <x:v>OK</x:v>
      </x:c>
      <x:c r="U642" t="str">
        <x:f>IF(AND(ISNUMBER(L642),L642&gt;=0,L642&lt;=1),"OK","CHECK")</x:f>
        <x:v>OK</x:v>
      </x:c>
      <x:c r="V642" t="str">
        <x:f>IF(AND(ISNUMBER(N642),N642&gt;=0),"OK","CHECK")</x:f>
        <x:v>OK</x:v>
      </x:c>
      <x:c r="W642" t="str">
        <x:f>IF(AND(T642="OK",U642="OK",V642="OK"),"OK","CHECK")</x:f>
        <x:v>OK</x:v>
      </x:c>
      <x:c r="X642" t="str">
        <x:f>IF(W642="OK","LOAD","QUARANTINE")</x:f>
        <x:v>LOAD</x:v>
      </x:c>
      <x:c r="Y642" t="str">
        <x:v>03_Process_Losses(6).xlsx</x:v>
      </x:c>
      <x:c r="Z642" t="str">
        <x:v>ENH-20260830-01</x:v>
      </x:c>
      <x:c r="AA642" t="str">
        <x:f>IF(X642="LOAD","Active","Quarantine")</x:f>
        <x:v>Active</x:v>
      </x:c>
      <x:c r="AB642"/>
      <x:c r="AC642"/>
      <x:c r="AD642"/>
      <x:c r="AE642"/>
    </x:row>
    <x:row r="643">
      <x:c r="A643" t="str">
        <x:v>PLD-000639</x:v>
      </x:c>
      <x:c r="B643" t="str">
        <x:v>LOSS-KG01-L25-20251021-AM-ORD-2025-00161</x:v>
      </x:c>
      <x:c r="C643" t="str">
        <x:v>PE-KG01-L25-20251021-AM-ORD-2025-00161</x:v>
      </x:c>
      <x:c r="D643" t="str">
        <x:v>KG01</x:v>
      </x:c>
      <x:c r="E643" t="n">
        <x:v>25</x:v>
      </x:c>
      <x:c r="F643" s="52" t="n">
        <x:v>45951</x:v>
      </x:c>
      <x:c r="G643" t="str">
        <x:v>AM</x:v>
      </x:c>
      <x:c r="H643" t="str">
        <x:v>ORD-2025-00161</x:v>
      </x:c>
      <x:c r="I643" t="str">
        <x:v>Normal</x:v>
      </x:c>
      <x:c r="J643" t="str">
        <x:v>PROC_FIXED</x:v>
      </x:c>
      <x:c r="K643" t="str">
        <x:v>Fixed Losses</x:v>
      </x:c>
      <x:c r="L643" s="54" t="n">
        <x:v>0.007667213627129239</x:v>
      </x:c>
      <x:c r="M643" t="n">
        <x:v>102384</x:v>
      </x:c>
      <x:c r="N643" t="n">
        <x:f>L643*M643</x:f>
        <x:v>785</x:v>
      </x:c>
      <x:c r="O643"/>
      <x:c r="P643"/>
      <x:c r="Q643"/>
      <x:c r="R643"/>
      <x:c r="S643" s="52"/>
      <x:c r="T643" t="str">
        <x:v>OK</x:v>
      </x:c>
      <x:c r="U643" t="str">
        <x:f>IF(AND(ISNUMBER(L643),L643&gt;=0,L643&lt;=1),"OK","CHECK")</x:f>
        <x:v>OK</x:v>
      </x:c>
      <x:c r="V643" t="str">
        <x:f>IF(AND(ISNUMBER(N643),N643&gt;=0),"OK","CHECK")</x:f>
        <x:v>OK</x:v>
      </x:c>
      <x:c r="W643" t="str">
        <x:f>IF(AND(T643="OK",U643="OK",V643="OK"),"OK","CHECK")</x:f>
        <x:v>OK</x:v>
      </x:c>
      <x:c r="X643" t="str">
        <x:f>IF(W643="OK","LOAD","QUARANTINE")</x:f>
        <x:v>LOAD</x:v>
      </x:c>
      <x:c r="Y643" t="str">
        <x:v>03_Process_Losses(6).xlsx</x:v>
      </x:c>
      <x:c r="Z643" t="str">
        <x:v>ENH-20260830-01</x:v>
      </x:c>
      <x:c r="AA643" t="str">
        <x:f>IF(X643="LOAD","Active","Quarantine")</x:f>
        <x:v>Active</x:v>
      </x:c>
      <x:c r="AB643"/>
      <x:c r="AC643"/>
      <x:c r="AD643"/>
      <x:c r="AE643"/>
    </x:row>
    <x:row r="644">
      <x:c r="A644" t="str">
        <x:v>PLD-000640</x:v>
      </x:c>
      <x:c r="B644" t="str">
        <x:v>LOSS-KG01-L25-20251021-AM-ORD-2025-00161</x:v>
      </x:c>
      <x:c r="C644" t="str">
        <x:v>PE-KG01-L25-20251021-AM-ORD-2025-00161</x:v>
      </x:c>
      <x:c r="D644" t="str">
        <x:v>KG01</x:v>
      </x:c>
      <x:c r="E644" t="n">
        <x:v>25</x:v>
      </x:c>
      <x:c r="F644" s="52" t="n">
        <x:v>45951</x:v>
      </x:c>
      <x:c r="G644" t="str">
        <x:v>AM</x:v>
      </x:c>
      <x:c r="H644" t="str">
        <x:v>ORD-2025-00161</x:v>
      </x:c>
      <x:c r="I644" t="str">
        <x:v>Normal</x:v>
      </x:c>
      <x:c r="J644" t="str">
        <x:v>PROC_IS</x:v>
      </x:c>
      <x:c r="K644" t="str">
        <x:v>IS Machine</x:v>
      </x:c>
      <x:c r="L644" s="54" t="n">
        <x:v>0.008253242694170965</x:v>
      </x:c>
      <x:c r="M644" t="n">
        <x:v>102384</x:v>
      </x:c>
      <x:c r="N644" t="n">
        <x:f>L644*M644</x:f>
        <x:v>845</x:v>
      </x:c>
      <x:c r="O644"/>
      <x:c r="P644"/>
      <x:c r="Q644"/>
      <x:c r="R644"/>
      <x:c r="S644" s="52"/>
      <x:c r="T644" t="str">
        <x:v>OK</x:v>
      </x:c>
      <x:c r="U644" t="str">
        <x:f>IF(AND(ISNUMBER(L644),L644&gt;=0,L644&lt;=1),"OK","CHECK")</x:f>
        <x:v>OK</x:v>
      </x:c>
      <x:c r="V644" t="str">
        <x:f>IF(AND(ISNUMBER(N644),N644&gt;=0),"OK","CHECK")</x:f>
        <x:v>OK</x:v>
      </x:c>
      <x:c r="W644" t="str">
        <x:f>IF(AND(T644="OK",U644="OK",V644="OK"),"OK","CHECK")</x:f>
        <x:v>OK</x:v>
      </x:c>
      <x:c r="X644" t="str">
        <x:f>IF(W644="OK","LOAD","QUARANTINE")</x:f>
        <x:v>LOAD</x:v>
      </x:c>
      <x:c r="Y644" t="str">
        <x:v>03_Process_Losses(6).xlsx</x:v>
      </x:c>
      <x:c r="Z644" t="str">
        <x:v>ENH-20260830-01</x:v>
      </x:c>
      <x:c r="AA644" t="str">
        <x:f>IF(X644="LOAD","Active","Quarantine")</x:f>
        <x:v>Active</x:v>
      </x:c>
      <x:c r="AB644"/>
      <x:c r="AC644"/>
      <x:c r="AD644"/>
      <x:c r="AE644"/>
    </x:row>
    <x:row r="645">
      <x:c r="A645" t="str">
        <x:v>PLD-000641</x:v>
      </x:c>
      <x:c r="B645" t="str">
        <x:v>LOSS-KG01-L25-20251021-AM-ORD-2025-00161</x:v>
      </x:c>
      <x:c r="C645" t="str">
        <x:v>PE-KG01-L25-20251021-AM-ORD-2025-00161</x:v>
      </x:c>
      <x:c r="D645" t="str">
        <x:v>KG01</x:v>
      </x:c>
      <x:c r="E645" t="n">
        <x:v>25</x:v>
      </x:c>
      <x:c r="F645" s="52" t="n">
        <x:v>45951</x:v>
      </x:c>
      <x:c r="G645" t="str">
        <x:v>AM</x:v>
      </x:c>
      <x:c r="H645" t="str">
        <x:v>ORD-2025-00161</x:v>
      </x:c>
      <x:c r="I645" t="str">
        <x:v>Normal</x:v>
      </x:c>
      <x:c r="J645" t="str">
        <x:v>PROC_HE_CONVEYER</x:v>
      </x:c>
      <x:c r="K645" t="str">
        <x:v>Hot End</x:v>
      </x:c>
      <x:c r="L645" s="54" t="n">
        <x:v>0.0027152680106266604</x:v>
      </x:c>
      <x:c r="M645" t="n">
        <x:v>102384</x:v>
      </x:c>
      <x:c r="N645" t="n">
        <x:f>L645*M645</x:f>
        <x:v>278</x:v>
      </x:c>
      <x:c r="O645"/>
      <x:c r="P645"/>
      <x:c r="Q645"/>
      <x:c r="R645"/>
      <x:c r="S645" s="52"/>
      <x:c r="T645" t="str">
        <x:v>OK</x:v>
      </x:c>
      <x:c r="U645" t="str">
        <x:f>IF(AND(ISNUMBER(L645),L645&gt;=0,L645&lt;=1),"OK","CHECK")</x:f>
        <x:v>OK</x:v>
      </x:c>
      <x:c r="V645" t="str">
        <x:f>IF(AND(ISNUMBER(N645),N645&gt;=0),"OK","CHECK")</x:f>
        <x:v>OK</x:v>
      </x:c>
      <x:c r="W645" t="str">
        <x:f>IF(AND(T645="OK",U645="OK",V645="OK"),"OK","CHECK")</x:f>
        <x:v>OK</x:v>
      </x:c>
      <x:c r="X645" t="str">
        <x:f>IF(W645="OK","LOAD","QUARANTINE")</x:f>
        <x:v>LOAD</x:v>
      </x:c>
      <x:c r="Y645" t="str">
        <x:v>03_Process_Losses(6).xlsx</x:v>
      </x:c>
      <x:c r="Z645" t="str">
        <x:v>ENH-20260830-01</x:v>
      </x:c>
      <x:c r="AA645" t="str">
        <x:f>IF(X645="LOAD","Active","Quarantine")</x:f>
        <x:v>Active</x:v>
      </x:c>
      <x:c r="AB645"/>
      <x:c r="AC645"/>
      <x:c r="AD645"/>
      <x:c r="AE645"/>
    </x:row>
    <x:row r="646">
      <x:c r="A646" t="str">
        <x:v>PLD-000642</x:v>
      </x:c>
      <x:c r="B646" t="str">
        <x:v>LOSS-KG01-L25-20251021-AM-ORD-2025-00161</x:v>
      </x:c>
      <x:c r="C646" t="str">
        <x:v>PE-KG01-L25-20251021-AM-ORD-2025-00161</x:v>
      </x:c>
      <x:c r="D646" t="str">
        <x:v>KG01</x:v>
      </x:c>
      <x:c r="E646" t="n">
        <x:v>25</x:v>
      </x:c>
      <x:c r="F646" s="52" t="n">
        <x:v>45951</x:v>
      </x:c>
      <x:c r="G646" t="str">
        <x:v>AM</x:v>
      </x:c>
      <x:c r="H646" t="str">
        <x:v>ORD-2025-00161</x:v>
      </x:c>
      <x:c r="I646" t="str">
        <x:v>Normal</x:v>
      </x:c>
      <x:c r="J646" t="str">
        <x:v>PROC_STUCKDOWN</x:v>
      </x:c>
      <x:c r="K646" t="str">
        <x:v>Forming</x:v>
      </x:c>
      <x:c r="L646" s="54" t="n">
        <x:v>0.0047761368963900605</x:v>
      </x:c>
      <x:c r="M646" t="n">
        <x:v>102384</x:v>
      </x:c>
      <x:c r="N646" t="n">
        <x:f>L646*M646</x:f>
        <x:v>488.99999999999994</x:v>
      </x:c>
      <x:c r="O646"/>
      <x:c r="P646"/>
      <x:c r="Q646"/>
      <x:c r="R646"/>
      <x:c r="S646" s="52"/>
      <x:c r="T646" t="str">
        <x:v>OK</x:v>
      </x:c>
      <x:c r="U646" t="str">
        <x:f>IF(AND(ISNUMBER(L646),L646&gt;=0,L646&lt;=1),"OK","CHECK")</x:f>
        <x:v>OK</x:v>
      </x:c>
      <x:c r="V646" t="str">
        <x:f>IF(AND(ISNUMBER(N646),N646&gt;=0),"OK","CHECK")</x:f>
        <x:v>OK</x:v>
      </x:c>
      <x:c r="W646" t="str">
        <x:f>IF(AND(T646="OK",U646="OK",V646="OK"),"OK","CHECK")</x:f>
        <x:v>OK</x:v>
      </x:c>
      <x:c r="X646" t="str">
        <x:f>IF(W646="OK","LOAD","QUARANTINE")</x:f>
        <x:v>LOAD</x:v>
      </x:c>
      <x:c r="Y646" t="str">
        <x:v>03_Process_Losses(6).xlsx</x:v>
      </x:c>
      <x:c r="Z646" t="str">
        <x:v>ENH-20260830-01</x:v>
      </x:c>
      <x:c r="AA646" t="str">
        <x:f>IF(X646="LOAD","Active","Quarantine")</x:f>
        <x:v>Active</x:v>
      </x:c>
      <x:c r="AB646"/>
      <x:c r="AC646"/>
      <x:c r="AD646"/>
      <x:c r="AE646"/>
    </x:row>
    <x:row r="647">
      <x:c r="A647" t="str">
        <x:v>PLD-000643</x:v>
      </x:c>
      <x:c r="B647" t="str">
        <x:v>LOSS-KG01-L25-20251021-AM-ORD-2025-00161</x:v>
      </x:c>
      <x:c r="C647" t="str">
        <x:v>PE-KG01-L25-20251021-AM-ORD-2025-00161</x:v>
      </x:c>
      <x:c r="D647" t="str">
        <x:v>KG01</x:v>
      </x:c>
      <x:c r="E647" t="n">
        <x:v>25</x:v>
      </x:c>
      <x:c r="F647" s="52" t="n">
        <x:v>45951</x:v>
      </x:c>
      <x:c r="G647" t="str">
        <x:v>AM</x:v>
      </x:c>
      <x:c r="H647" t="str">
        <x:v>ORD-2025-00161</x:v>
      </x:c>
      <x:c r="I647" t="str">
        <x:v>Normal</x:v>
      </x:c>
      <x:c r="J647" t="str">
        <x:v>PROC_LEHR</x:v>
      </x:c>
      <x:c r="K647" t="str">
        <x:v>Lehr</x:v>
      </x:c>
      <x:c r="L647" s="54" t="n">
        <x:v>0.002119471792467573</x:v>
      </x:c>
      <x:c r="M647" t="n">
        <x:v>102384</x:v>
      </x:c>
      <x:c r="N647" t="n">
        <x:f>L647*M647</x:f>
        <x:v>216.99999999999997</x:v>
      </x:c>
      <x:c r="O647"/>
      <x:c r="P647"/>
      <x:c r="Q647"/>
      <x:c r="R647"/>
      <x:c r="S647" s="52"/>
      <x:c r="T647" t="str">
        <x:v>OK</x:v>
      </x:c>
      <x:c r="U647" t="str">
        <x:f>IF(AND(ISNUMBER(L647),L647&gt;=0,L647&lt;=1),"OK","CHECK")</x:f>
        <x:v>OK</x:v>
      </x:c>
      <x:c r="V647" t="str">
        <x:f>IF(AND(ISNUMBER(N647),N647&gt;=0),"OK","CHECK")</x:f>
        <x:v>OK</x:v>
      </x:c>
      <x:c r="W647" t="str">
        <x:f>IF(AND(T647="OK",U647="OK",V647="OK"),"OK","CHECK")</x:f>
        <x:v>OK</x:v>
      </x:c>
      <x:c r="X647" t="str">
        <x:f>IF(W647="OK","LOAD","QUARANTINE")</x:f>
        <x:v>LOAD</x:v>
      </x:c>
      <x:c r="Y647" t="str">
        <x:v>03_Process_Losses(6).xlsx</x:v>
      </x:c>
      <x:c r="Z647" t="str">
        <x:v>ENH-20260830-01</x:v>
      </x:c>
      <x:c r="AA647" t="str">
        <x:f>IF(X647="LOAD","Active","Quarantine")</x:f>
        <x:v>Active</x:v>
      </x:c>
      <x:c r="AB647"/>
      <x:c r="AC647"/>
      <x:c r="AD647"/>
      <x:c r="AE647"/>
    </x:row>
    <x:row r="648">
      <x:c r="A648" t="str">
        <x:v>PLD-000644</x:v>
      </x:c>
      <x:c r="B648" t="str">
        <x:v>LOSS-KG01-L25-20251021-AM-ORD-2025-00161</x:v>
      </x:c>
      <x:c r="C648" t="str">
        <x:v>PE-KG01-L25-20251021-AM-ORD-2025-00161</x:v>
      </x:c>
      <x:c r="D648" t="str">
        <x:v>KG01</x:v>
      </x:c>
      <x:c r="E648" t="n">
        <x:v>25</x:v>
      </x:c>
      <x:c r="F648" s="52" t="n">
        <x:v>45951</x:v>
      </x:c>
      <x:c r="G648" t="str">
        <x:v>AM</x:v>
      </x:c>
      <x:c r="H648" t="str">
        <x:v>ORD-2025-00161</x:v>
      </x:c>
      <x:c r="I648" t="str">
        <x:v>Normal</x:v>
      </x:c>
      <x:c r="J648" t="str">
        <x:v>PROC_EVO16</x:v>
      </x:c>
      <x:c r="K648" t="str">
        <x:v>Inspection</x:v>
      </x:c>
      <x:c r="L648" s="54" t="n">
        <x:v>0.0018166901078293482</x:v>
      </x:c>
      <x:c r="M648" t="n">
        <x:v>102384</x:v>
      </x:c>
      <x:c r="N648" t="n">
        <x:f>L648*M648</x:f>
        <x:v>186</x:v>
      </x:c>
      <x:c r="O648"/>
      <x:c r="P648"/>
      <x:c r="Q648"/>
      <x:c r="R648"/>
      <x:c r="S648" s="52"/>
      <x:c r="T648" t="str">
        <x:v>OK</x:v>
      </x:c>
      <x:c r="U648" t="str">
        <x:f>IF(AND(ISNUMBER(L648),L648&gt;=0,L648&lt;=1),"OK","CHECK")</x:f>
        <x:v>OK</x:v>
      </x:c>
      <x:c r="V648" t="str">
        <x:f>IF(AND(ISNUMBER(N648),N648&gt;=0),"OK","CHECK")</x:f>
        <x:v>OK</x:v>
      </x:c>
      <x:c r="W648" t="str">
        <x:f>IF(AND(T648="OK",U648="OK",V648="OK"),"OK","CHECK")</x:f>
        <x:v>OK</x:v>
      </x:c>
      <x:c r="X648" t="str">
        <x:f>IF(W648="OK","LOAD","QUARANTINE")</x:f>
        <x:v>LOAD</x:v>
      </x:c>
      <x:c r="Y648" t="str">
        <x:v>03_Process_Losses(6).xlsx</x:v>
      </x:c>
      <x:c r="Z648" t="str">
        <x:v>ENH-20260830-01</x:v>
      </x:c>
      <x:c r="AA648" t="str">
        <x:f>IF(X648="LOAD","Active","Quarantine")</x:f>
        <x:v>Active</x:v>
      </x:c>
      <x:c r="AB648"/>
      <x:c r="AC648"/>
      <x:c r="AD648"/>
      <x:c r="AE648"/>
    </x:row>
    <x:row r="649">
      <x:c r="A649" t="str">
        <x:v>PLD-000645</x:v>
      </x:c>
      <x:c r="B649" t="str">
        <x:v>LOSS-KG01-L25-20251021-AM-ORD-2025-00161</x:v>
      </x:c>
      <x:c r="C649" t="str">
        <x:v>PE-KG01-L25-20251021-AM-ORD-2025-00161</x:v>
      </x:c>
      <x:c r="D649" t="str">
        <x:v>KG01</x:v>
      </x:c>
      <x:c r="E649" t="n">
        <x:v>25</x:v>
      </x:c>
      <x:c r="F649" s="52" t="n">
        <x:v>45951</x:v>
      </x:c>
      <x:c r="G649" t="str">
        <x:v>AM</x:v>
      </x:c>
      <x:c r="H649" t="str">
        <x:v>ORD-2025-00161</x:v>
      </x:c>
      <x:c r="I649" t="str">
        <x:v>Normal</x:v>
      </x:c>
      <x:c r="J649" t="str">
        <x:v>PROC_EVO12</x:v>
      </x:c>
      <x:c r="K649" t="str">
        <x:v>Inspection</x:v>
      </x:c>
      <x:c r="L649" s="54" t="n">
        <x:v>0.0036333802156586965</x:v>
      </x:c>
      <x:c r="M649" t="n">
        <x:v>102384</x:v>
      </x:c>
      <x:c r="N649" t="n">
        <x:f>L649*M649</x:f>
        <x:v>372</x:v>
      </x:c>
      <x:c r="O649"/>
      <x:c r="P649"/>
      <x:c r="Q649"/>
      <x:c r="R649"/>
      <x:c r="S649" s="52"/>
      <x:c r="T649" t="str">
        <x:v>OK</x:v>
      </x:c>
      <x:c r="U649" t="str">
        <x:f>IF(AND(ISNUMBER(L649),L649&gt;=0,L649&lt;=1),"OK","CHECK")</x:f>
        <x:v>OK</x:v>
      </x:c>
      <x:c r="V649" t="str">
        <x:f>IF(AND(ISNUMBER(N649),N649&gt;=0),"OK","CHECK")</x:f>
        <x:v>OK</x:v>
      </x:c>
      <x:c r="W649" t="str">
        <x:f>IF(AND(T649="OK",U649="OK",V649="OK"),"OK","CHECK")</x:f>
        <x:v>OK</x:v>
      </x:c>
      <x:c r="X649" t="str">
        <x:f>IF(W649="OK","LOAD","QUARANTINE")</x:f>
        <x:v>LOAD</x:v>
      </x:c>
      <x:c r="Y649" t="str">
        <x:v>03_Process_Losses(6).xlsx</x:v>
      </x:c>
      <x:c r="Z649" t="str">
        <x:v>ENH-20260830-01</x:v>
      </x:c>
      <x:c r="AA649" t="str">
        <x:f>IF(X649="LOAD","Active","Quarantine")</x:f>
        <x:v>Active</x:v>
      </x:c>
      <x:c r="AB649"/>
      <x:c r="AC649"/>
      <x:c r="AD649"/>
      <x:c r="AE649"/>
    </x:row>
    <x:row r="650">
      <x:c r="A650" t="str">
        <x:v>PLD-000646</x:v>
      </x:c>
      <x:c r="B650" t="str">
        <x:v>LOSS-KG01-L25-20251021-AM-ORD-2025-00161</x:v>
      </x:c>
      <x:c r="C650" t="str">
        <x:v>PE-KG01-L25-20251021-AM-ORD-2025-00161</x:v>
      </x:c>
      <x:c r="D650" t="str">
        <x:v>KG01</x:v>
      </x:c>
      <x:c r="E650" t="n">
        <x:v>25</x:v>
      </x:c>
      <x:c r="F650" s="52" t="n">
        <x:v>45951</x:v>
      </x:c>
      <x:c r="G650" t="str">
        <x:v>AM</x:v>
      </x:c>
      <x:c r="H650" t="str">
        <x:v>ORD-2025-00161</x:v>
      </x:c>
      <x:c r="I650" t="str">
        <x:v>Normal</x:v>
      </x:c>
      <x:c r="J650" t="str">
        <x:v>PROC_EVO5</x:v>
      </x:c>
      <x:c r="K650" t="str">
        <x:v>Inspection</x:v>
      </x:c>
      <x:c r="L650" s="54" t="n">
        <x:v>0.0014943741209563993</x:v>
      </x:c>
      <x:c r="M650" t="n">
        <x:v>102384</x:v>
      </x:c>
      <x:c r="N650" t="n">
        <x:f>L650*M650</x:f>
        <x:v>153</x:v>
      </x:c>
      <x:c r="O650"/>
      <x:c r="P650"/>
      <x:c r="Q650"/>
      <x:c r="R650"/>
      <x:c r="S650" s="52"/>
      <x:c r="T650" t="str">
        <x:v>OK</x:v>
      </x:c>
      <x:c r="U650" t="str">
        <x:f>IF(AND(ISNUMBER(L650),L650&gt;=0,L650&lt;=1),"OK","CHECK")</x:f>
        <x:v>OK</x:v>
      </x:c>
      <x:c r="V650" t="str">
        <x:f>IF(AND(ISNUMBER(N650),N650&gt;=0),"OK","CHECK")</x:f>
        <x:v>OK</x:v>
      </x:c>
      <x:c r="W650" t="str">
        <x:f>IF(AND(T650="OK",U650="OK",V650="OK"),"OK","CHECK")</x:f>
        <x:v>OK</x:v>
      </x:c>
      <x:c r="X650" t="str">
        <x:f>IF(W650="OK","LOAD","QUARANTINE")</x:f>
        <x:v>LOAD</x:v>
      </x:c>
      <x:c r="Y650" t="str">
        <x:v>03_Process_Losses(6).xlsx</x:v>
      </x:c>
      <x:c r="Z650" t="str">
        <x:v>ENH-20260830-01</x:v>
      </x:c>
      <x:c r="AA650" t="str">
        <x:f>IF(X650="LOAD","Active","Quarantine")</x:f>
        <x:v>Active</x:v>
      </x:c>
      <x:c r="AB650"/>
      <x:c r="AC650"/>
      <x:c r="AD650"/>
      <x:c r="AE650"/>
    </x:row>
    <x:row r="651">
      <x:c r="A651" t="str">
        <x:v>PLD-000647</x:v>
      </x:c>
      <x:c r="B651" t="str">
        <x:v>LOSS-KG01-L25-20251021-AM-ORD-2025-00161</x:v>
      </x:c>
      <x:c r="C651" t="str">
        <x:v>PE-KG01-L25-20251021-AM-ORD-2025-00161</x:v>
      </x:c>
      <x:c r="D651" t="str">
        <x:v>KG01</x:v>
      </x:c>
      <x:c r="E651" t="n">
        <x:v>25</x:v>
      </x:c>
      <x:c r="F651" s="52" t="n">
        <x:v>45951</x:v>
      </x:c>
      <x:c r="G651" t="str">
        <x:v>AM</x:v>
      </x:c>
      <x:c r="H651" t="str">
        <x:v>ORD-2025-00161</x:v>
      </x:c>
      <x:c r="I651" t="str">
        <x:v>Normal</x:v>
      </x:c>
      <x:c r="J651" t="str">
        <x:v>PROC_SANLI</x:v>
      </x:c>
      <x:c r="K651" t="str">
        <x:v>Inspection</x:v>
      </x:c>
      <x:c r="L651" s="54" t="n">
        <x:v>0.004492889513986561</x:v>
      </x:c>
      <x:c r="M651" t="n">
        <x:v>102384</x:v>
      </x:c>
      <x:c r="N651" t="n">
        <x:f>L651*M651</x:f>
        <x:v>460.00000000000006</x:v>
      </x:c>
      <x:c r="O651"/>
      <x:c r="P651"/>
      <x:c r="Q651"/>
      <x:c r="R651"/>
      <x:c r="S651" s="52"/>
      <x:c r="T651" t="str">
        <x:v>OK</x:v>
      </x:c>
      <x:c r="U651" t="str">
        <x:f>IF(AND(ISNUMBER(L651),L651&gt;=0,L651&lt;=1),"OK","CHECK")</x:f>
        <x:v>OK</x:v>
      </x:c>
      <x:c r="V651" t="str">
        <x:f>IF(AND(ISNUMBER(N651),N651&gt;=0),"OK","CHECK")</x:f>
        <x:v>OK</x:v>
      </x:c>
      <x:c r="W651" t="str">
        <x:f>IF(AND(T651="OK",U651="OK",V651="OK"),"OK","CHECK")</x:f>
        <x:v>OK</x:v>
      </x:c>
      <x:c r="X651" t="str">
        <x:f>IF(W651="OK","LOAD","QUARANTINE")</x:f>
        <x:v>LOAD</x:v>
      </x:c>
      <x:c r="Y651" t="str">
        <x:v>03_Process_Losses(6).xlsx</x:v>
      </x:c>
      <x:c r="Z651" t="str">
        <x:v>ENH-20260830-01</x:v>
      </x:c>
      <x:c r="AA651" t="str">
        <x:f>IF(X651="LOAD","Active","Quarantine")</x:f>
        <x:v>Active</x:v>
      </x:c>
      <x:c r="AB651"/>
      <x:c r="AC651"/>
      <x:c r="AD651"/>
      <x:c r="AE651"/>
    </x:row>
    <x:row r="652">
      <x:c r="A652" t="str">
        <x:v>PLD-000648</x:v>
      </x:c>
      <x:c r="B652" t="str">
        <x:v>LOSS-KG01-L25-20251021-AM-ORD-2025-00161</x:v>
      </x:c>
      <x:c r="C652" t="str">
        <x:v>PE-KG01-L25-20251021-AM-ORD-2025-00161</x:v>
      </x:c>
      <x:c r="D652" t="str">
        <x:v>KG01</x:v>
      </x:c>
      <x:c r="E652" t="n">
        <x:v>25</x:v>
      </x:c>
      <x:c r="F652" s="52" t="n">
        <x:v>45951</x:v>
      </x:c>
      <x:c r="G652" t="str">
        <x:v>AM</x:v>
      </x:c>
      <x:c r="H652" t="str">
        <x:v>ORD-2025-00161</x:v>
      </x:c>
      <x:c r="I652" t="str">
        <x:v>Normal</x:v>
      </x:c>
      <x:c r="J652" t="str">
        <x:v>PROC_VISUAL</x:v>
      </x:c>
      <x:c r="K652" t="str">
        <x:v>Inspection</x:v>
      </x:c>
      <x:c r="L652" s="54" t="n">
        <x:v>0.011115017971558056</x:v>
      </x:c>
      <x:c r="M652" t="n">
        <x:v>102384</x:v>
      </x:c>
      <x:c r="N652" t="n">
        <x:f>L652*M652</x:f>
        <x:v>1138</x:v>
      </x:c>
      <x:c r="O652"/>
      <x:c r="P652"/>
      <x:c r="Q652"/>
      <x:c r="R652"/>
      <x:c r="S652" s="52"/>
      <x:c r="T652" t="str">
        <x:v>OK</x:v>
      </x:c>
      <x:c r="U652" t="str">
        <x:f>IF(AND(ISNUMBER(L652),L652&gt;=0,L652&lt;=1),"OK","CHECK")</x:f>
        <x:v>OK</x:v>
      </x:c>
      <x:c r="V652" t="str">
        <x:f>IF(AND(ISNUMBER(N652),N652&gt;=0),"OK","CHECK")</x:f>
        <x:v>OK</x:v>
      </x:c>
      <x:c r="W652" t="str">
        <x:f>IF(AND(T652="OK",U652="OK",V652="OK"),"OK","CHECK")</x:f>
        <x:v>OK</x:v>
      </x:c>
      <x:c r="X652" t="str">
        <x:f>IF(W652="OK","LOAD","QUARANTINE")</x:f>
        <x:v>LOAD</x:v>
      </x:c>
      <x:c r="Y652" t="str">
        <x:v>03_Process_Losses(6).xlsx</x:v>
      </x:c>
      <x:c r="Z652" t="str">
        <x:v>ENH-20260830-01</x:v>
      </x:c>
      <x:c r="AA652" t="str">
        <x:f>IF(X652="LOAD","Active","Quarantine")</x:f>
        <x:v>Active</x:v>
      </x:c>
      <x:c r="AB652"/>
      <x:c r="AC652"/>
      <x:c r="AD652"/>
      <x:c r="AE652"/>
    </x:row>
    <x:row r="653">
      <x:c r="A653" t="str">
        <x:v>PLD-000649</x:v>
      </x:c>
      <x:c r="B653" t="str">
        <x:v>LOSS-KG01-L25-20251021-AM-ORD-2025-00161</x:v>
      </x:c>
      <x:c r="C653" t="str">
        <x:v>PE-KG01-L25-20251021-AM-ORD-2025-00161</x:v>
      </x:c>
      <x:c r="D653" t="str">
        <x:v>KG01</x:v>
      </x:c>
      <x:c r="E653" t="n">
        <x:v>25</x:v>
      </x:c>
      <x:c r="F653" s="52" t="n">
        <x:v>45951</x:v>
      </x:c>
      <x:c r="G653" t="str">
        <x:v>AM</x:v>
      </x:c>
      <x:c r="H653" t="str">
        <x:v>ORD-2025-00161</x:v>
      </x:c>
      <x:c r="I653" t="str">
        <x:v>Normal</x:v>
      </x:c>
      <x:c r="J653" t="str">
        <x:v>PROC_PALLETIZER</x:v>
      </x:c>
      <x:c r="K653" t="str">
        <x:v>Palletizer</x:v>
      </x:c>
      <x:c r="L653" s="54" t="n">
        <x:v>0.0033696671354899203</x:v>
      </x:c>
      <x:c r="M653" t="n">
        <x:v>102384</x:v>
      </x:c>
      <x:c r="N653" t="n">
        <x:f>L653*M653</x:f>
        <x:v>345</x:v>
      </x:c>
      <x:c r="O653"/>
      <x:c r="P653"/>
      <x:c r="Q653"/>
      <x:c r="R653"/>
      <x:c r="S653" s="52"/>
      <x:c r="T653" t="str">
        <x:v>OK</x:v>
      </x:c>
      <x:c r="U653" t="str">
        <x:f>IF(AND(ISNUMBER(L653),L653&gt;=0,L653&lt;=1),"OK","CHECK")</x:f>
        <x:v>OK</x:v>
      </x:c>
      <x:c r="V653" t="str">
        <x:f>IF(AND(ISNUMBER(N653),N653&gt;=0),"OK","CHECK")</x:f>
        <x:v>OK</x:v>
      </x:c>
      <x:c r="W653" t="str">
        <x:f>IF(AND(T653="OK",U653="OK",V653="OK"),"OK","CHECK")</x:f>
        <x:v>OK</x:v>
      </x:c>
      <x:c r="X653" t="str">
        <x:f>IF(W653="OK","LOAD","QUARANTINE")</x:f>
        <x:v>LOAD</x:v>
      </x:c>
      <x:c r="Y653" t="str">
        <x:v>03_Process_Losses(6).xlsx</x:v>
      </x:c>
      <x:c r="Z653" t="str">
        <x:v>ENH-20260830-01</x:v>
      </x:c>
      <x:c r="AA653" t="str">
        <x:f>IF(X653="LOAD","Active","Quarantine")</x:f>
        <x:v>Active</x:v>
      </x:c>
      <x:c r="AB653"/>
      <x:c r="AC653"/>
      <x:c r="AD653"/>
      <x:c r="AE653"/>
    </x:row>
    <x:row r="654">
      <x:c r="A654" t="str">
        <x:v>PLD-000650</x:v>
      </x:c>
      <x:c r="B654" t="str">
        <x:v>LOSS-KG01-L25-20251021-PM-ORD-2025-00161</x:v>
      </x:c>
      <x:c r="C654" t="str">
        <x:v>PE-KG01-L25-20251021-PM-ORD-2025-00161</x:v>
      </x:c>
      <x:c r="D654" t="str">
        <x:v>KG01</x:v>
      </x:c>
      <x:c r="E654" t="n">
        <x:v>25</x:v>
      </x:c>
      <x:c r="F654" s="52" t="n">
        <x:v>45951</x:v>
      </x:c>
      <x:c r="G654" t="str">
        <x:v>PM</x:v>
      </x:c>
      <x:c r="H654" t="str">
        <x:v>ORD-2025-00161</x:v>
      </x:c>
      <x:c r="I654" t="str">
        <x:v>Normal</x:v>
      </x:c>
      <x:c r="J654" t="str">
        <x:v>PROC_FIXED</x:v>
      </x:c>
      <x:c r="K654" t="str">
        <x:v>Fixed Losses</x:v>
      </x:c>
      <x:c r="L654" s="54" t="n">
        <x:v>0.008312127256113737</x:v>
      </x:c>
      <x:c r="M654" t="n">
        <x:v>101779</x:v>
      </x:c>
      <x:c r="N654" t="n">
        <x:f>L654*M654</x:f>
        <x:v>846</x:v>
      </x:c>
      <x:c r="O654"/>
      <x:c r="P654"/>
      <x:c r="Q654"/>
      <x:c r="R654"/>
      <x:c r="S654" s="52"/>
      <x:c r="T654" t="str">
        <x:v>OK</x:v>
      </x:c>
      <x:c r="U654" t="str">
        <x:f>IF(AND(ISNUMBER(L654),L654&gt;=0,L654&lt;=1),"OK","CHECK")</x:f>
        <x:v>OK</x:v>
      </x:c>
      <x:c r="V654" t="str">
        <x:f>IF(AND(ISNUMBER(N654),N654&gt;=0),"OK","CHECK")</x:f>
        <x:v>OK</x:v>
      </x:c>
      <x:c r="W654" t="str">
        <x:f>IF(AND(T654="OK",U654="OK",V654="OK"),"OK","CHECK")</x:f>
        <x:v>OK</x:v>
      </x:c>
      <x:c r="X654" t="str">
        <x:f>IF(W654="OK","LOAD","QUARANTINE")</x:f>
        <x:v>LOAD</x:v>
      </x:c>
      <x:c r="Y654" t="str">
        <x:v>03_Process_Losses(6).xlsx</x:v>
      </x:c>
      <x:c r="Z654" t="str">
        <x:v>ENH-20260830-01</x:v>
      </x:c>
      <x:c r="AA654" t="str">
        <x:f>IF(X654="LOAD","Active","Quarantine")</x:f>
        <x:v>Active</x:v>
      </x:c>
      <x:c r="AB654"/>
      <x:c r="AC654"/>
      <x:c r="AD654"/>
      <x:c r="AE654"/>
    </x:row>
    <x:row r="655">
      <x:c r="A655" t="str">
        <x:v>PLD-000651</x:v>
      </x:c>
      <x:c r="B655" t="str">
        <x:v>LOSS-KG01-L25-20251021-PM-ORD-2025-00161</x:v>
      </x:c>
      <x:c r="C655" t="str">
        <x:v>PE-KG01-L25-20251021-PM-ORD-2025-00161</x:v>
      </x:c>
      <x:c r="D655" t="str">
        <x:v>KG01</x:v>
      </x:c>
      <x:c r="E655" t="n">
        <x:v>25</x:v>
      </x:c>
      <x:c r="F655" s="52" t="n">
        <x:v>45951</x:v>
      </x:c>
      <x:c r="G655" t="str">
        <x:v>PM</x:v>
      </x:c>
      <x:c r="H655" t="str">
        <x:v>ORD-2025-00161</x:v>
      </x:c>
      <x:c r="I655" t="str">
        <x:v>Normal</x:v>
      </x:c>
      <x:c r="J655" t="str">
        <x:v>PROC_IS</x:v>
      </x:c>
      <x:c r="K655" t="str">
        <x:v>IS Machine</x:v>
      </x:c>
      <x:c r="L655" s="54" t="n">
        <x:v>0.008233525579932992</x:v>
      </x:c>
      <x:c r="M655" t="n">
        <x:v>101779</x:v>
      </x:c>
      <x:c r="N655" t="n">
        <x:f>L655*M655</x:f>
        <x:v>838</x:v>
      </x:c>
      <x:c r="O655"/>
      <x:c r="P655"/>
      <x:c r="Q655"/>
      <x:c r="R655"/>
      <x:c r="S655" s="52"/>
      <x:c r="T655" t="str">
        <x:v>OK</x:v>
      </x:c>
      <x:c r="U655" t="str">
        <x:f>IF(AND(ISNUMBER(L655),L655&gt;=0,L655&lt;=1),"OK","CHECK")</x:f>
        <x:v>OK</x:v>
      </x:c>
      <x:c r="V655" t="str">
        <x:f>IF(AND(ISNUMBER(N655),N655&gt;=0),"OK","CHECK")</x:f>
        <x:v>OK</x:v>
      </x:c>
      <x:c r="W655" t="str">
        <x:f>IF(AND(T655="OK",U655="OK",V655="OK"),"OK","CHECK")</x:f>
        <x:v>OK</x:v>
      </x:c>
      <x:c r="X655" t="str">
        <x:f>IF(W655="OK","LOAD","QUARANTINE")</x:f>
        <x:v>LOAD</x:v>
      </x:c>
      <x:c r="Y655" t="str">
        <x:v>03_Process_Losses(6).xlsx</x:v>
      </x:c>
      <x:c r="Z655" t="str">
        <x:v>ENH-20260830-01</x:v>
      </x:c>
      <x:c r="AA655" t="str">
        <x:f>IF(X655="LOAD","Active","Quarantine")</x:f>
        <x:v>Active</x:v>
      </x:c>
      <x:c r="AB655"/>
      <x:c r="AC655"/>
      <x:c r="AD655"/>
      <x:c r="AE655"/>
    </x:row>
    <x:row r="656">
      <x:c r="A656" t="str">
        <x:v>PLD-000652</x:v>
      </x:c>
      <x:c r="B656" t="str">
        <x:v>LOSS-KG01-L25-20251021-PM-ORD-2025-00161</x:v>
      </x:c>
      <x:c r="C656" t="str">
        <x:v>PE-KG01-L25-20251021-PM-ORD-2025-00161</x:v>
      </x:c>
      <x:c r="D656" t="str">
        <x:v>KG01</x:v>
      </x:c>
      <x:c r="E656" t="n">
        <x:v>25</x:v>
      </x:c>
      <x:c r="F656" s="52" t="n">
        <x:v>45951</x:v>
      </x:c>
      <x:c r="G656" t="str">
        <x:v>PM</x:v>
      </x:c>
      <x:c r="H656" t="str">
        <x:v>ORD-2025-00161</x:v>
      </x:c>
      <x:c r="I656" t="str">
        <x:v>Normal</x:v>
      </x:c>
      <x:c r="J656" t="str">
        <x:v>PROC_HE_CONVEYER</x:v>
      </x:c>
      <x:c r="K656" t="str">
        <x:v>Hot End</x:v>
      </x:c>
      <x:c r="L656" s="54" t="n">
        <x:v>0.006612366008705135</x:v>
      </x:c>
      <x:c r="M656" t="n">
        <x:v>101779</x:v>
      </x:c>
      <x:c r="N656" t="n">
        <x:f>L656*M656</x:f>
        <x:v>673</x:v>
      </x:c>
      <x:c r="O656"/>
      <x:c r="P656"/>
      <x:c r="Q656"/>
      <x:c r="R656"/>
      <x:c r="S656" s="52"/>
      <x:c r="T656" t="str">
        <x:v>OK</x:v>
      </x:c>
      <x:c r="U656" t="str">
        <x:f>IF(AND(ISNUMBER(L656),L656&gt;=0,L656&lt;=1),"OK","CHECK")</x:f>
        <x:v>OK</x:v>
      </x:c>
      <x:c r="V656" t="str">
        <x:f>IF(AND(ISNUMBER(N656),N656&gt;=0),"OK","CHECK")</x:f>
        <x:v>OK</x:v>
      </x:c>
      <x:c r="W656" t="str">
        <x:f>IF(AND(T656="OK",U656="OK",V656="OK"),"OK","CHECK")</x:f>
        <x:v>OK</x:v>
      </x:c>
      <x:c r="X656" t="str">
        <x:f>IF(W656="OK","LOAD","QUARANTINE")</x:f>
        <x:v>LOAD</x:v>
      </x:c>
      <x:c r="Y656" t="str">
        <x:v>03_Process_Losses(6).xlsx</x:v>
      </x:c>
      <x:c r="Z656" t="str">
        <x:v>ENH-20260830-01</x:v>
      </x:c>
      <x:c r="AA656" t="str">
        <x:f>IF(X656="LOAD","Active","Quarantine")</x:f>
        <x:v>Active</x:v>
      </x:c>
      <x:c r="AB656"/>
      <x:c r="AC656"/>
      <x:c r="AD656"/>
      <x:c r="AE656"/>
    </x:row>
    <x:row r="657">
      <x:c r="A657" t="str">
        <x:v>PLD-000653</x:v>
      </x:c>
      <x:c r="B657" t="str">
        <x:v>LOSS-KG01-L25-20251021-PM-ORD-2025-00161</x:v>
      </x:c>
      <x:c r="C657" t="str">
        <x:v>PE-KG01-L25-20251021-PM-ORD-2025-00161</x:v>
      </x:c>
      <x:c r="D657" t="str">
        <x:v>KG01</x:v>
      </x:c>
      <x:c r="E657" t="n">
        <x:v>25</x:v>
      </x:c>
      <x:c r="F657" s="52" t="n">
        <x:v>45951</x:v>
      </x:c>
      <x:c r="G657" t="str">
        <x:v>PM</x:v>
      </x:c>
      <x:c r="H657" t="str">
        <x:v>ORD-2025-00161</x:v>
      </x:c>
      <x:c r="I657" t="str">
        <x:v>Normal</x:v>
      </x:c>
      <x:c r="J657" t="str">
        <x:v>PROC_STUCKDOWN</x:v>
      </x:c>
      <x:c r="K657" t="str">
        <x:v>Forming</x:v>
      </x:c>
      <x:c r="L657" s="54" t="n">
        <x:v>0.005678971104058794</x:v>
      </x:c>
      <x:c r="M657" t="n">
        <x:v>101779</x:v>
      </x:c>
      <x:c r="N657" t="n">
        <x:f>L657*M657</x:f>
        <x:v>578</x:v>
      </x:c>
      <x:c r="O657"/>
      <x:c r="P657"/>
      <x:c r="Q657"/>
      <x:c r="R657"/>
      <x:c r="S657" s="52"/>
      <x:c r="T657" t="str">
        <x:v>OK</x:v>
      </x:c>
      <x:c r="U657" t="str">
        <x:f>IF(AND(ISNUMBER(L657),L657&gt;=0,L657&lt;=1),"OK","CHECK")</x:f>
        <x:v>OK</x:v>
      </x:c>
      <x:c r="V657" t="str">
        <x:f>IF(AND(ISNUMBER(N657),N657&gt;=0),"OK","CHECK")</x:f>
        <x:v>OK</x:v>
      </x:c>
      <x:c r="W657" t="str">
        <x:f>IF(AND(T657="OK",U657="OK",V657="OK"),"OK","CHECK")</x:f>
        <x:v>OK</x:v>
      </x:c>
      <x:c r="X657" t="str">
        <x:f>IF(W657="OK","LOAD","QUARANTINE")</x:f>
        <x:v>LOAD</x:v>
      </x:c>
      <x:c r="Y657" t="str">
        <x:v>03_Process_Losses(6).xlsx</x:v>
      </x:c>
      <x:c r="Z657" t="str">
        <x:v>ENH-20260830-01</x:v>
      </x:c>
      <x:c r="AA657" t="str">
        <x:f>IF(X657="LOAD","Active","Quarantine")</x:f>
        <x:v>Active</x:v>
      </x:c>
      <x:c r="AB657"/>
      <x:c r="AC657"/>
      <x:c r="AD657"/>
      <x:c r="AE657"/>
    </x:row>
    <x:row r="658">
      <x:c r="A658" t="str">
        <x:v>PLD-000654</x:v>
      </x:c>
      <x:c r="B658" t="str">
        <x:v>LOSS-KG01-L25-20251021-PM-ORD-2025-00161</x:v>
      </x:c>
      <x:c r="C658" t="str">
        <x:v>PE-KG01-L25-20251021-PM-ORD-2025-00161</x:v>
      </x:c>
      <x:c r="D658" t="str">
        <x:v>KG01</x:v>
      </x:c>
      <x:c r="E658" t="n">
        <x:v>25</x:v>
      </x:c>
      <x:c r="F658" s="52" t="n">
        <x:v>45951</x:v>
      </x:c>
      <x:c r="G658" t="str">
        <x:v>PM</x:v>
      </x:c>
      <x:c r="H658" t="str">
        <x:v>ORD-2025-00161</x:v>
      </x:c>
      <x:c r="I658" t="str">
        <x:v>Normal</x:v>
      </x:c>
      <x:c r="J658" t="str">
        <x:v>PROC_LEHR</x:v>
      </x:c>
      <x:c r="K658" t="str">
        <x:v>Lehr</x:v>
      </x:c>
      <x:c r="L658" s="54" t="n">
        <x:v>0.002436651961603081</x:v>
      </x:c>
      <x:c r="M658" t="n">
        <x:v>101779</x:v>
      </x:c>
      <x:c r="N658" t="n">
        <x:f>L658*M658</x:f>
        <x:v>248</x:v>
      </x:c>
      <x:c r="O658"/>
      <x:c r="P658"/>
      <x:c r="Q658"/>
      <x:c r="R658"/>
      <x:c r="S658" s="52"/>
      <x:c r="T658" t="str">
        <x:v>OK</x:v>
      </x:c>
      <x:c r="U658" t="str">
        <x:f>IF(AND(ISNUMBER(L658),L658&gt;=0,L658&lt;=1),"OK","CHECK")</x:f>
        <x:v>OK</x:v>
      </x:c>
      <x:c r="V658" t="str">
        <x:f>IF(AND(ISNUMBER(N658),N658&gt;=0),"OK","CHECK")</x:f>
        <x:v>OK</x:v>
      </x:c>
      <x:c r="W658" t="str">
        <x:f>IF(AND(T658="OK",U658="OK",V658="OK"),"OK","CHECK")</x:f>
        <x:v>OK</x:v>
      </x:c>
      <x:c r="X658" t="str">
        <x:f>IF(W658="OK","LOAD","QUARANTINE")</x:f>
        <x:v>LOAD</x:v>
      </x:c>
      <x:c r="Y658" t="str">
        <x:v>03_Process_Losses(6).xlsx</x:v>
      </x:c>
      <x:c r="Z658" t="str">
        <x:v>ENH-20260830-01</x:v>
      </x:c>
      <x:c r="AA658" t="str">
        <x:f>IF(X658="LOAD","Active","Quarantine")</x:f>
        <x:v>Active</x:v>
      </x:c>
      <x:c r="AB658"/>
      <x:c r="AC658"/>
      <x:c r="AD658"/>
      <x:c r="AE658"/>
    </x:row>
    <x:row r="659">
      <x:c r="A659" t="str">
        <x:v>PLD-000655</x:v>
      </x:c>
      <x:c r="B659" t="str">
        <x:v>LOSS-KG01-L25-20251021-PM-ORD-2025-00161</x:v>
      </x:c>
      <x:c r="C659" t="str">
        <x:v>PE-KG01-L25-20251021-PM-ORD-2025-00161</x:v>
      </x:c>
      <x:c r="D659" t="str">
        <x:v>KG01</x:v>
      </x:c>
      <x:c r="E659" t="n">
        <x:v>25</x:v>
      </x:c>
      <x:c r="F659" s="52" t="n">
        <x:v>45951</x:v>
      </x:c>
      <x:c r="G659" t="str">
        <x:v>PM</x:v>
      </x:c>
      <x:c r="H659" t="str">
        <x:v>ORD-2025-00161</x:v>
      </x:c>
      <x:c r="I659" t="str">
        <x:v>Normal</x:v>
      </x:c>
      <x:c r="J659" t="str">
        <x:v>PROC_EVO16</x:v>
      </x:c>
      <x:c r="K659" t="str">
        <x:v>Inspection</x:v>
      </x:c>
      <x:c r="L659" s="54" t="n">
        <x:v>0.0018569645997700902</x:v>
      </x:c>
      <x:c r="M659" t="n">
        <x:v>101779</x:v>
      </x:c>
      <x:c r="N659" t="n">
        <x:f>L659*M659</x:f>
        <x:v>189</x:v>
      </x:c>
      <x:c r="O659"/>
      <x:c r="P659"/>
      <x:c r="Q659"/>
      <x:c r="R659"/>
      <x:c r="S659" s="52"/>
      <x:c r="T659" t="str">
        <x:v>OK</x:v>
      </x:c>
      <x:c r="U659" t="str">
        <x:f>IF(AND(ISNUMBER(L659),L659&gt;=0,L659&lt;=1),"OK","CHECK")</x:f>
        <x:v>OK</x:v>
      </x:c>
      <x:c r="V659" t="str">
        <x:f>IF(AND(ISNUMBER(N659),N659&gt;=0),"OK","CHECK")</x:f>
        <x:v>OK</x:v>
      </x:c>
      <x:c r="W659" t="str">
        <x:f>IF(AND(T659="OK",U659="OK",V659="OK"),"OK","CHECK")</x:f>
        <x:v>OK</x:v>
      </x:c>
      <x:c r="X659" t="str">
        <x:f>IF(W659="OK","LOAD","QUARANTINE")</x:f>
        <x:v>LOAD</x:v>
      </x:c>
      <x:c r="Y659" t="str">
        <x:v>03_Process_Losses(6).xlsx</x:v>
      </x:c>
      <x:c r="Z659" t="str">
        <x:v>ENH-20260830-01</x:v>
      </x:c>
      <x:c r="AA659" t="str">
        <x:f>IF(X659="LOAD","Active","Quarantine")</x:f>
        <x:v>Active</x:v>
      </x:c>
      <x:c r="AB659"/>
      <x:c r="AC659"/>
      <x:c r="AD659"/>
      <x:c r="AE659"/>
    </x:row>
    <x:row r="660">
      <x:c r="A660" t="str">
        <x:v>PLD-000656</x:v>
      </x:c>
      <x:c r="B660" t="str">
        <x:v>LOSS-KG01-L25-20251021-PM-ORD-2025-00161</x:v>
      </x:c>
      <x:c r="C660" t="str">
        <x:v>PE-KG01-L25-20251021-PM-ORD-2025-00161</x:v>
      </x:c>
      <x:c r="D660" t="str">
        <x:v>KG01</x:v>
      </x:c>
      <x:c r="E660" t="n">
        <x:v>25</x:v>
      </x:c>
      <x:c r="F660" s="52" t="n">
        <x:v>45951</x:v>
      </x:c>
      <x:c r="G660" t="str">
        <x:v>PM</x:v>
      </x:c>
      <x:c r="H660" t="str">
        <x:v>ORD-2025-00161</x:v>
      </x:c>
      <x:c r="I660" t="str">
        <x:v>Normal</x:v>
      </x:c>
      <x:c r="J660" t="str">
        <x:v>PROC_EVO12</x:v>
      </x:c>
      <x:c r="K660" t="str">
        <x:v>Inspection</x:v>
      </x:c>
      <x:c r="L660" s="54" t="n">
        <x:v>0.0011888503522337614</x:v>
      </x:c>
      <x:c r="M660" t="n">
        <x:v>101779</x:v>
      </x:c>
      <x:c r="N660" t="n">
        <x:f>L660*M660</x:f>
        <x:v>121</x:v>
      </x:c>
      <x:c r="O660"/>
      <x:c r="P660"/>
      <x:c r="Q660"/>
      <x:c r="R660"/>
      <x:c r="S660" s="52"/>
      <x:c r="T660" t="str">
        <x:v>OK</x:v>
      </x:c>
      <x:c r="U660" t="str">
        <x:f>IF(AND(ISNUMBER(L660),L660&gt;=0,L660&lt;=1),"OK","CHECK")</x:f>
        <x:v>OK</x:v>
      </x:c>
      <x:c r="V660" t="str">
        <x:f>IF(AND(ISNUMBER(N660),N660&gt;=0),"OK","CHECK")</x:f>
        <x:v>OK</x:v>
      </x:c>
      <x:c r="W660" t="str">
        <x:f>IF(AND(T660="OK",U660="OK",V660="OK"),"OK","CHECK")</x:f>
        <x:v>OK</x:v>
      </x:c>
      <x:c r="X660" t="str">
        <x:f>IF(W660="OK","LOAD","QUARANTINE")</x:f>
        <x:v>LOAD</x:v>
      </x:c>
      <x:c r="Y660" t="str">
        <x:v>03_Process_Losses(6).xlsx</x:v>
      </x:c>
      <x:c r="Z660" t="str">
        <x:v>ENH-20260830-01</x:v>
      </x:c>
      <x:c r="AA660" t="str">
        <x:f>IF(X660="LOAD","Active","Quarantine")</x:f>
        <x:v>Active</x:v>
      </x:c>
      <x:c r="AB660"/>
      <x:c r="AC660"/>
      <x:c r="AD660"/>
      <x:c r="AE660"/>
    </x:row>
    <x:row r="661">
      <x:c r="A661" t="str">
        <x:v>PLD-000657</x:v>
      </x:c>
      <x:c r="B661" t="str">
        <x:v>LOSS-KG01-L25-20251021-PM-ORD-2025-00161</x:v>
      </x:c>
      <x:c r="C661" t="str">
        <x:v>PE-KG01-L25-20251021-PM-ORD-2025-00161</x:v>
      </x:c>
      <x:c r="D661" t="str">
        <x:v>KG01</x:v>
      </x:c>
      <x:c r="E661" t="n">
        <x:v>25</x:v>
      </x:c>
      <x:c r="F661" s="52" t="n">
        <x:v>45951</x:v>
      </x:c>
      <x:c r="G661" t="str">
        <x:v>PM</x:v>
      </x:c>
      <x:c r="H661" t="str">
        <x:v>ORD-2025-00161</x:v>
      </x:c>
      <x:c r="I661" t="str">
        <x:v>Normal</x:v>
      </x:c>
      <x:c r="J661" t="str">
        <x:v>PROC_EVO5</x:v>
      </x:c>
      <x:c r="K661" t="str">
        <x:v>Inspection</x:v>
      </x:c>
      <x:c r="L661" s="54" t="n">
        <x:v>0.0020436435806993583</x:v>
      </x:c>
      <x:c r="M661" t="n">
        <x:v>101779</x:v>
      </x:c>
      <x:c r="N661" t="n">
        <x:f>L661*M661</x:f>
        <x:v>208</x:v>
      </x:c>
      <x:c r="O661"/>
      <x:c r="P661"/>
      <x:c r="Q661"/>
      <x:c r="R661"/>
      <x:c r="S661" s="52"/>
      <x:c r="T661" t="str">
        <x:v>OK</x:v>
      </x:c>
      <x:c r="U661" t="str">
        <x:f>IF(AND(ISNUMBER(L661),L661&gt;=0,L661&lt;=1),"OK","CHECK")</x:f>
        <x:v>OK</x:v>
      </x:c>
      <x:c r="V661" t="str">
        <x:f>IF(AND(ISNUMBER(N661),N661&gt;=0),"OK","CHECK")</x:f>
        <x:v>OK</x:v>
      </x:c>
      <x:c r="W661" t="str">
        <x:f>IF(AND(T661="OK",U661="OK",V661="OK"),"OK","CHECK")</x:f>
        <x:v>OK</x:v>
      </x:c>
      <x:c r="X661" t="str">
        <x:f>IF(W661="OK","LOAD","QUARANTINE")</x:f>
        <x:v>LOAD</x:v>
      </x:c>
      <x:c r="Y661" t="str">
        <x:v>03_Process_Losses(6).xlsx</x:v>
      </x:c>
      <x:c r="Z661" t="str">
        <x:v>ENH-20260830-01</x:v>
      </x:c>
      <x:c r="AA661" t="str">
        <x:f>IF(X661="LOAD","Active","Quarantine")</x:f>
        <x:v>Active</x:v>
      </x:c>
      <x:c r="AB661"/>
      <x:c r="AC661"/>
      <x:c r="AD661"/>
      <x:c r="AE661"/>
    </x:row>
    <x:row r="662">
      <x:c r="A662" t="str">
        <x:v>PLD-000658</x:v>
      </x:c>
      <x:c r="B662" t="str">
        <x:v>LOSS-KG01-L25-20251021-PM-ORD-2025-00161</x:v>
      </x:c>
      <x:c r="C662" t="str">
        <x:v>PE-KG01-L25-20251021-PM-ORD-2025-00161</x:v>
      </x:c>
      <x:c r="D662" t="str">
        <x:v>KG01</x:v>
      </x:c>
      <x:c r="E662" t="n">
        <x:v>25</x:v>
      </x:c>
      <x:c r="F662" s="52" t="n">
        <x:v>45951</x:v>
      </x:c>
      <x:c r="G662" t="str">
        <x:v>PM</x:v>
      </x:c>
      <x:c r="H662" t="str">
        <x:v>ORD-2025-00161</x:v>
      </x:c>
      <x:c r="I662" t="str">
        <x:v>Normal</x:v>
      </x:c>
      <x:c r="J662" t="str">
        <x:v>PROC_SANLI</x:v>
      </x:c>
      <x:c r="K662" t="str">
        <x:v>Inspection</x:v>
      </x:c>
      <x:c r="L662" s="54" t="n">
        <x:v>0.0032914451900686783</x:v>
      </x:c>
      <x:c r="M662" t="n">
        <x:v>101779</x:v>
      </x:c>
      <x:c r="N662" t="n">
        <x:f>L662*M662</x:f>
        <x:v>335</x:v>
      </x:c>
      <x:c r="O662"/>
      <x:c r="P662"/>
      <x:c r="Q662"/>
      <x:c r="R662"/>
      <x:c r="S662" s="52"/>
      <x:c r="T662" t="str">
        <x:v>OK</x:v>
      </x:c>
      <x:c r="U662" t="str">
        <x:f>IF(AND(ISNUMBER(L662),L662&gt;=0,L662&lt;=1),"OK","CHECK")</x:f>
        <x:v>OK</x:v>
      </x:c>
      <x:c r="V662" t="str">
        <x:f>IF(AND(ISNUMBER(N662),N662&gt;=0),"OK","CHECK")</x:f>
        <x:v>OK</x:v>
      </x:c>
      <x:c r="W662" t="str">
        <x:f>IF(AND(T662="OK",U662="OK",V662="OK"),"OK","CHECK")</x:f>
        <x:v>OK</x:v>
      </x:c>
      <x:c r="X662" t="str">
        <x:f>IF(W662="OK","LOAD","QUARANTINE")</x:f>
        <x:v>LOAD</x:v>
      </x:c>
      <x:c r="Y662" t="str">
        <x:v>03_Process_Losses(6).xlsx</x:v>
      </x:c>
      <x:c r="Z662" t="str">
        <x:v>ENH-20260830-01</x:v>
      </x:c>
      <x:c r="AA662" t="str">
        <x:f>IF(X662="LOAD","Active","Quarantine")</x:f>
        <x:v>Active</x:v>
      </x:c>
      <x:c r="AB662"/>
      <x:c r="AC662"/>
      <x:c r="AD662"/>
      <x:c r="AE662"/>
    </x:row>
    <x:row r="663">
      <x:c r="A663" t="str">
        <x:v>PLD-000659</x:v>
      </x:c>
      <x:c r="B663" t="str">
        <x:v>LOSS-KG01-L25-20251021-PM-ORD-2025-00161</x:v>
      </x:c>
      <x:c r="C663" t="str">
        <x:v>PE-KG01-L25-20251021-PM-ORD-2025-00161</x:v>
      </x:c>
      <x:c r="D663" t="str">
        <x:v>KG01</x:v>
      </x:c>
      <x:c r="E663" t="n">
        <x:v>25</x:v>
      </x:c>
      <x:c r="F663" s="52" t="n">
        <x:v>45951</x:v>
      </x:c>
      <x:c r="G663" t="str">
        <x:v>PM</x:v>
      </x:c>
      <x:c r="H663" t="str">
        <x:v>ORD-2025-00161</x:v>
      </x:c>
      <x:c r="I663" t="str">
        <x:v>Normal</x:v>
      </x:c>
      <x:c r="J663" t="str">
        <x:v>PROC_VISUAL</x:v>
      </x:c>
      <x:c r="K663" t="str">
        <x:v>Inspection</x:v>
      </x:c>
      <x:c r="L663" s="54" t="n">
        <x:v>0.0109158077796009</x:v>
      </x:c>
      <x:c r="M663" t="n">
        <x:v>101779</x:v>
      </x:c>
      <x:c r="N663" t="n">
        <x:f>L663*M663</x:f>
        <x:v>1111</x:v>
      </x:c>
      <x:c r="O663"/>
      <x:c r="P663"/>
      <x:c r="Q663"/>
      <x:c r="R663"/>
      <x:c r="S663" s="52"/>
      <x:c r="T663" t="str">
        <x:v>OK</x:v>
      </x:c>
      <x:c r="U663" t="str">
        <x:f>IF(AND(ISNUMBER(L663),L663&gt;=0,L663&lt;=1),"OK","CHECK")</x:f>
        <x:v>OK</x:v>
      </x:c>
      <x:c r="V663" t="str">
        <x:f>IF(AND(ISNUMBER(N663),N663&gt;=0),"OK","CHECK")</x:f>
        <x:v>OK</x:v>
      </x:c>
      <x:c r="W663" t="str">
        <x:f>IF(AND(T663="OK",U663="OK",V663="OK"),"OK","CHECK")</x:f>
        <x:v>OK</x:v>
      </x:c>
      <x:c r="X663" t="str">
        <x:f>IF(W663="OK","LOAD","QUARANTINE")</x:f>
        <x:v>LOAD</x:v>
      </x:c>
      <x:c r="Y663" t="str">
        <x:v>03_Process_Losses(6).xlsx</x:v>
      </x:c>
      <x:c r="Z663" t="str">
        <x:v>ENH-20260830-01</x:v>
      </x:c>
      <x:c r="AA663" t="str">
        <x:f>IF(X663="LOAD","Active","Quarantine")</x:f>
        <x:v>Active</x:v>
      </x:c>
      <x:c r="AB663"/>
      <x:c r="AC663"/>
      <x:c r="AD663"/>
      <x:c r="AE663"/>
    </x:row>
    <x:row r="664">
      <x:c r="A664" t="str">
        <x:v>PLD-000660</x:v>
      </x:c>
      <x:c r="B664" t="str">
        <x:v>LOSS-KG01-L25-20251021-PM-ORD-2025-00161</x:v>
      </x:c>
      <x:c r="C664" t="str">
        <x:v>PE-KG01-L25-20251021-PM-ORD-2025-00161</x:v>
      </x:c>
      <x:c r="D664" t="str">
        <x:v>KG01</x:v>
      </x:c>
      <x:c r="E664" t="n">
        <x:v>25</x:v>
      </x:c>
      <x:c r="F664" s="52" t="n">
        <x:v>45951</x:v>
      </x:c>
      <x:c r="G664" t="str">
        <x:v>PM</x:v>
      </x:c>
      <x:c r="H664" t="str">
        <x:v>ORD-2025-00161</x:v>
      </x:c>
      <x:c r="I664" t="str">
        <x:v>Normal</x:v>
      </x:c>
      <x:c r="J664" t="str">
        <x:v>PROC_PALLETIZER</x:v>
      </x:c>
      <x:c r="K664" t="str">
        <x:v>Palletizer</x:v>
      </x:c>
      <x:c r="L664" s="54" t="n">
        <x:v>0.00633726014207253</x:v>
      </x:c>
      <x:c r="M664" t="n">
        <x:v>101779</x:v>
      </x:c>
      <x:c r="N664" t="n">
        <x:f>L664*M664</x:f>
        <x:v>645</x:v>
      </x:c>
      <x:c r="O664"/>
      <x:c r="P664"/>
      <x:c r="Q664"/>
      <x:c r="R664"/>
      <x:c r="S664" s="52"/>
      <x:c r="T664" t="str">
        <x:v>OK</x:v>
      </x:c>
      <x:c r="U664" t="str">
        <x:f>IF(AND(ISNUMBER(L664),L664&gt;=0,L664&lt;=1),"OK","CHECK")</x:f>
        <x:v>OK</x:v>
      </x:c>
      <x:c r="V664" t="str">
        <x:f>IF(AND(ISNUMBER(N664),N664&gt;=0),"OK","CHECK")</x:f>
        <x:v>OK</x:v>
      </x:c>
      <x:c r="W664" t="str">
        <x:f>IF(AND(T664="OK",U664="OK",V664="OK"),"OK","CHECK")</x:f>
        <x:v>OK</x:v>
      </x:c>
      <x:c r="X664" t="str">
        <x:f>IF(W664="OK","LOAD","QUARANTINE")</x:f>
        <x:v>LOAD</x:v>
      </x:c>
      <x:c r="Y664" t="str">
        <x:v>03_Process_Losses(6).xlsx</x:v>
      </x:c>
      <x:c r="Z664" t="str">
        <x:v>ENH-20260830-01</x:v>
      </x:c>
      <x:c r="AA664" t="str">
        <x:f>IF(X664="LOAD","Active","Quarantine")</x:f>
        <x:v>Active</x:v>
      </x:c>
      <x:c r="AB664"/>
      <x:c r="AC664"/>
      <x:c r="AD664"/>
      <x:c r="AE664"/>
    </x:row>
    <x:row r="665">
      <x:c r="A665" t="str">
        <x:v>PLD-000661</x:v>
      </x:c>
      <x:c r="B665" t="str">
        <x:v>LOSS-KG01-L25-20251022-AM-ORD-2025-00161</x:v>
      </x:c>
      <x:c r="C665" t="str">
        <x:v>PE-KG01-L25-20251022-AM-ORD-2025-00161</x:v>
      </x:c>
      <x:c r="D665" t="str">
        <x:v>KG01</x:v>
      </x:c>
      <x:c r="E665" t="n">
        <x:v>25</x:v>
      </x:c>
      <x:c r="F665" s="52" t="n">
        <x:v>45952</x:v>
      </x:c>
      <x:c r="G665" t="str">
        <x:v>AM</x:v>
      </x:c>
      <x:c r="H665" t="str">
        <x:v>ORD-2025-00161</x:v>
      </x:c>
      <x:c r="I665" t="str">
        <x:v>Normal</x:v>
      </x:c>
      <x:c r="J665" t="str">
        <x:v>PROC_FIXED</x:v>
      </x:c>
      <x:c r="K665" t="str">
        <x:v>Fixed Losses</x:v>
      </x:c>
      <x:c r="L665" s="54" t="n">
        <x:v>0.00604917983203444</x:v>
      </x:c>
      <x:c r="M665" t="n">
        <x:v>99187</x:v>
      </x:c>
      <x:c r="N665" t="n">
        <x:f>L665*M665</x:f>
        <x:v>600</x:v>
      </x:c>
      <x:c r="O665"/>
      <x:c r="P665"/>
      <x:c r="Q665"/>
      <x:c r="R665"/>
      <x:c r="S665" s="52"/>
      <x:c r="T665" t="str">
        <x:v>OK</x:v>
      </x:c>
      <x:c r="U665" t="str">
        <x:f>IF(AND(ISNUMBER(L665),L665&gt;=0,L665&lt;=1),"OK","CHECK")</x:f>
        <x:v>OK</x:v>
      </x:c>
      <x:c r="V665" t="str">
        <x:f>IF(AND(ISNUMBER(N665),N665&gt;=0),"OK","CHECK")</x:f>
        <x:v>OK</x:v>
      </x:c>
      <x:c r="W665" t="str">
        <x:f>IF(AND(T665="OK",U665="OK",V665="OK"),"OK","CHECK")</x:f>
        <x:v>OK</x:v>
      </x:c>
      <x:c r="X665" t="str">
        <x:f>IF(W665="OK","LOAD","QUARANTINE")</x:f>
        <x:v>LOAD</x:v>
      </x:c>
      <x:c r="Y665" t="str">
        <x:v>03_Process_Losses(6).xlsx</x:v>
      </x:c>
      <x:c r="Z665" t="str">
        <x:v>ENH-20260830-01</x:v>
      </x:c>
      <x:c r="AA665" t="str">
        <x:f>IF(X665="LOAD","Active","Quarantine")</x:f>
        <x:v>Active</x:v>
      </x:c>
      <x:c r="AB665"/>
      <x:c r="AC665"/>
      <x:c r="AD665"/>
      <x:c r="AE665"/>
    </x:row>
    <x:row r="666">
      <x:c r="A666" t="str">
        <x:v>PLD-000662</x:v>
      </x:c>
      <x:c r="B666" t="str">
        <x:v>LOSS-KG01-L25-20251022-AM-ORD-2025-00161</x:v>
      </x:c>
      <x:c r="C666" t="str">
        <x:v>PE-KG01-L25-20251022-AM-ORD-2025-00161</x:v>
      </x:c>
      <x:c r="D666" t="str">
        <x:v>KG01</x:v>
      </x:c>
      <x:c r="E666" t="n">
        <x:v>25</x:v>
      </x:c>
      <x:c r="F666" s="52" t="n">
        <x:v>45952</x:v>
      </x:c>
      <x:c r="G666" t="str">
        <x:v>AM</x:v>
      </x:c>
      <x:c r="H666" t="str">
        <x:v>ORD-2025-00161</x:v>
      </x:c>
      <x:c r="I666" t="str">
        <x:v>Normal</x:v>
      </x:c>
      <x:c r="J666" t="str">
        <x:v>PROC_IS</x:v>
      </x:c>
      <x:c r="K666" t="str">
        <x:v>IS Machine</x:v>
      </x:c>
      <x:c r="L666" s="54" t="n">
        <x:v>0.009477048403520623</x:v>
      </x:c>
      <x:c r="M666" t="n">
        <x:v>99187</x:v>
      </x:c>
      <x:c r="N666" t="n">
        <x:f>L666*M666</x:f>
        <x:v>940</x:v>
      </x:c>
      <x:c r="O666"/>
      <x:c r="P666"/>
      <x:c r="Q666"/>
      <x:c r="R666"/>
      <x:c r="S666" s="52"/>
      <x:c r="T666" t="str">
        <x:v>OK</x:v>
      </x:c>
      <x:c r="U666" t="str">
        <x:f>IF(AND(ISNUMBER(L666),L666&gt;=0,L666&lt;=1),"OK","CHECK")</x:f>
        <x:v>OK</x:v>
      </x:c>
      <x:c r="V666" t="str">
        <x:f>IF(AND(ISNUMBER(N666),N666&gt;=0),"OK","CHECK")</x:f>
        <x:v>OK</x:v>
      </x:c>
      <x:c r="W666" t="str">
        <x:f>IF(AND(T666="OK",U666="OK",V666="OK"),"OK","CHECK")</x:f>
        <x:v>OK</x:v>
      </x:c>
      <x:c r="X666" t="str">
        <x:f>IF(W666="OK","LOAD","QUARANTINE")</x:f>
        <x:v>LOAD</x:v>
      </x:c>
      <x:c r="Y666" t="str">
        <x:v>03_Process_Losses(6).xlsx</x:v>
      </x:c>
      <x:c r="Z666" t="str">
        <x:v>ENH-20260830-01</x:v>
      </x:c>
      <x:c r="AA666" t="str">
        <x:f>IF(X666="LOAD","Active","Quarantine")</x:f>
        <x:v>Active</x:v>
      </x:c>
      <x:c r="AB666"/>
      <x:c r="AC666"/>
      <x:c r="AD666"/>
      <x:c r="AE666"/>
    </x:row>
    <x:row r="667">
      <x:c r="A667" t="str">
        <x:v>PLD-000663</x:v>
      </x:c>
      <x:c r="B667" t="str">
        <x:v>LOSS-KG01-L25-20251022-AM-ORD-2025-00161</x:v>
      </x:c>
      <x:c r="C667" t="str">
        <x:v>PE-KG01-L25-20251022-AM-ORD-2025-00161</x:v>
      </x:c>
      <x:c r="D667" t="str">
        <x:v>KG01</x:v>
      </x:c>
      <x:c r="E667" t="n">
        <x:v>25</x:v>
      </x:c>
      <x:c r="F667" s="52" t="n">
        <x:v>45952</x:v>
      </x:c>
      <x:c r="G667" t="str">
        <x:v>AM</x:v>
      </x:c>
      <x:c r="H667" t="str">
        <x:v>ORD-2025-00161</x:v>
      </x:c>
      <x:c r="I667" t="str">
        <x:v>Normal</x:v>
      </x:c>
      <x:c r="J667" t="str">
        <x:v>PROC_HE_CONVEYER</x:v>
      </x:c>
      <x:c r="K667" t="str">
        <x:v>Hot End</x:v>
      </x:c>
      <x:c r="L667" s="54" t="n">
        <x:v>0.0035690161009003197</x:v>
      </x:c>
      <x:c r="M667" t="n">
        <x:v>99187</x:v>
      </x:c>
      <x:c r="N667" t="n">
        <x:f>L667*M667</x:f>
        <x:v>354</x:v>
      </x:c>
      <x:c r="O667"/>
      <x:c r="P667"/>
      <x:c r="Q667"/>
      <x:c r="R667"/>
      <x:c r="S667" s="52"/>
      <x:c r="T667" t="str">
        <x:v>OK</x:v>
      </x:c>
      <x:c r="U667" t="str">
        <x:f>IF(AND(ISNUMBER(L667),L667&gt;=0,L667&lt;=1),"OK","CHECK")</x:f>
        <x:v>OK</x:v>
      </x:c>
      <x:c r="V667" t="str">
        <x:f>IF(AND(ISNUMBER(N667),N667&gt;=0),"OK","CHECK")</x:f>
        <x:v>OK</x:v>
      </x:c>
      <x:c r="W667" t="str">
        <x:f>IF(AND(T667="OK",U667="OK",V667="OK"),"OK","CHECK")</x:f>
        <x:v>OK</x:v>
      </x:c>
      <x:c r="X667" t="str">
        <x:f>IF(W667="OK","LOAD","QUARANTINE")</x:f>
        <x:v>LOAD</x:v>
      </x:c>
      <x:c r="Y667" t="str">
        <x:v>03_Process_Losses(6).xlsx</x:v>
      </x:c>
      <x:c r="Z667" t="str">
        <x:v>ENH-20260830-01</x:v>
      </x:c>
      <x:c r="AA667" t="str">
        <x:f>IF(X667="LOAD","Active","Quarantine")</x:f>
        <x:v>Active</x:v>
      </x:c>
      <x:c r="AB667"/>
      <x:c r="AC667"/>
      <x:c r="AD667"/>
      <x:c r="AE667"/>
    </x:row>
    <x:row r="668">
      <x:c r="A668" t="str">
        <x:v>PLD-000664</x:v>
      </x:c>
      <x:c r="B668" t="str">
        <x:v>LOSS-KG01-L25-20251022-AM-ORD-2025-00161</x:v>
      </x:c>
      <x:c r="C668" t="str">
        <x:v>PE-KG01-L25-20251022-AM-ORD-2025-00161</x:v>
      </x:c>
      <x:c r="D668" t="str">
        <x:v>KG01</x:v>
      </x:c>
      <x:c r="E668" t="n">
        <x:v>25</x:v>
      </x:c>
      <x:c r="F668" s="52" t="n">
        <x:v>45952</x:v>
      </x:c>
      <x:c r="G668" t="str">
        <x:v>AM</x:v>
      </x:c>
      <x:c r="H668" t="str">
        <x:v>ORD-2025-00161</x:v>
      </x:c>
      <x:c r="I668" t="str">
        <x:v>Normal</x:v>
      </x:c>
      <x:c r="J668" t="str">
        <x:v>PROC_STUCKDOWN</x:v>
      </x:c>
      <x:c r="K668" t="str">
        <x:v>Forming</x:v>
      </x:c>
      <x:c r="L668" s="54" t="n">
        <x:v>0.002207950638692571</x:v>
      </x:c>
      <x:c r="M668" t="n">
        <x:v>99187</x:v>
      </x:c>
      <x:c r="N668" t="n">
        <x:f>L668*M668</x:f>
        <x:v>219.00000000000003</x:v>
      </x:c>
      <x:c r="O668"/>
      <x:c r="P668"/>
      <x:c r="Q668"/>
      <x:c r="R668"/>
      <x:c r="S668" s="52"/>
      <x:c r="T668" t="str">
        <x:v>OK</x:v>
      </x:c>
      <x:c r="U668" t="str">
        <x:f>IF(AND(ISNUMBER(L668),L668&gt;=0,L668&lt;=1),"OK","CHECK")</x:f>
        <x:v>OK</x:v>
      </x:c>
      <x:c r="V668" t="str">
        <x:f>IF(AND(ISNUMBER(N668),N668&gt;=0),"OK","CHECK")</x:f>
        <x:v>OK</x:v>
      </x:c>
      <x:c r="W668" t="str">
        <x:f>IF(AND(T668="OK",U668="OK",V668="OK"),"OK","CHECK")</x:f>
        <x:v>OK</x:v>
      </x:c>
      <x:c r="X668" t="str">
        <x:f>IF(W668="OK","LOAD","QUARANTINE")</x:f>
        <x:v>LOAD</x:v>
      </x:c>
      <x:c r="Y668" t="str">
        <x:v>03_Process_Losses(6).xlsx</x:v>
      </x:c>
      <x:c r="Z668" t="str">
        <x:v>ENH-20260830-01</x:v>
      </x:c>
      <x:c r="AA668" t="str">
        <x:f>IF(X668="LOAD","Active","Quarantine")</x:f>
        <x:v>Active</x:v>
      </x:c>
      <x:c r="AB668"/>
      <x:c r="AC668"/>
      <x:c r="AD668"/>
      <x:c r="AE668"/>
    </x:row>
    <x:row r="669">
      <x:c r="A669" t="str">
        <x:v>PLD-000665</x:v>
      </x:c>
      <x:c r="B669" t="str">
        <x:v>LOSS-KG01-L25-20251022-AM-ORD-2025-00161</x:v>
      </x:c>
      <x:c r="C669" t="str">
        <x:v>PE-KG01-L25-20251022-AM-ORD-2025-00161</x:v>
      </x:c>
      <x:c r="D669" t="str">
        <x:v>KG01</x:v>
      </x:c>
      <x:c r="E669" t="n">
        <x:v>25</x:v>
      </x:c>
      <x:c r="F669" s="52" t="n">
        <x:v>45952</x:v>
      </x:c>
      <x:c r="G669" t="str">
        <x:v>AM</x:v>
      </x:c>
      <x:c r="H669" t="str">
        <x:v>ORD-2025-00161</x:v>
      </x:c>
      <x:c r="I669" t="str">
        <x:v>Normal</x:v>
      </x:c>
      <x:c r="J669" t="str">
        <x:v>PROC_LEHR</x:v>
      </x:c>
      <x:c r="K669" t="str">
        <x:v>Lehr</x:v>
      </x:c>
      <x:c r="L669" s="54" t="n">
        <x:v>0.0068154092774254695</x:v>
      </x:c>
      <x:c r="M669" t="n">
        <x:v>99187</x:v>
      </x:c>
      <x:c r="N669" t="n">
        <x:f>L669*M669</x:f>
        <x:v>676</x:v>
      </x:c>
      <x:c r="O669"/>
      <x:c r="P669"/>
      <x:c r="Q669"/>
      <x:c r="R669"/>
      <x:c r="S669" s="52"/>
      <x:c r="T669" t="str">
        <x:v>OK</x:v>
      </x:c>
      <x:c r="U669" t="str">
        <x:f>IF(AND(ISNUMBER(L669),L669&gt;=0,L669&lt;=1),"OK","CHECK")</x:f>
        <x:v>OK</x:v>
      </x:c>
      <x:c r="V669" t="str">
        <x:f>IF(AND(ISNUMBER(N669),N669&gt;=0),"OK","CHECK")</x:f>
        <x:v>OK</x:v>
      </x:c>
      <x:c r="W669" t="str">
        <x:f>IF(AND(T669="OK",U669="OK",V669="OK"),"OK","CHECK")</x:f>
        <x:v>OK</x:v>
      </x:c>
      <x:c r="X669" t="str">
        <x:f>IF(W669="OK","LOAD","QUARANTINE")</x:f>
        <x:v>LOAD</x:v>
      </x:c>
      <x:c r="Y669" t="str">
        <x:v>03_Process_Losses(6).xlsx</x:v>
      </x:c>
      <x:c r="Z669" t="str">
        <x:v>ENH-20260830-01</x:v>
      </x:c>
      <x:c r="AA669" t="str">
        <x:f>IF(X669="LOAD","Active","Quarantine")</x:f>
        <x:v>Active</x:v>
      </x:c>
      <x:c r="AB669"/>
      <x:c r="AC669"/>
      <x:c r="AD669"/>
      <x:c r="AE669"/>
    </x:row>
    <x:row r="670">
      <x:c r="A670" t="str">
        <x:v>PLD-000666</x:v>
      </x:c>
      <x:c r="B670" t="str">
        <x:v>LOSS-KG01-L25-20251022-AM-ORD-2025-00161</x:v>
      </x:c>
      <x:c r="C670" t="str">
        <x:v>PE-KG01-L25-20251022-AM-ORD-2025-00161</x:v>
      </x:c>
      <x:c r="D670" t="str">
        <x:v>KG01</x:v>
      </x:c>
      <x:c r="E670" t="n">
        <x:v>25</x:v>
      </x:c>
      <x:c r="F670" s="52" t="n">
        <x:v>45952</x:v>
      </x:c>
      <x:c r="G670" t="str">
        <x:v>AM</x:v>
      </x:c>
      <x:c r="H670" t="str">
        <x:v>ORD-2025-00161</x:v>
      </x:c>
      <x:c r="I670" t="str">
        <x:v>Normal</x:v>
      </x:c>
      <x:c r="J670" t="str">
        <x:v>PROC_EVO16</x:v>
      </x:c>
      <x:c r="K670" t="str">
        <x:v>Inspection</x:v>
      </x:c>
      <x:c r="L670" s="54" t="n">
        <x:v>0.0032161472773649773</x:v>
      </x:c>
      <x:c r="M670" t="n">
        <x:v>99187</x:v>
      </x:c>
      <x:c r="N670" t="n">
        <x:f>L670*M670</x:f>
        <x:v>319</x:v>
      </x:c>
      <x:c r="O670"/>
      <x:c r="P670"/>
      <x:c r="Q670"/>
      <x:c r="R670"/>
      <x:c r="S670" s="52"/>
      <x:c r="T670" t="str">
        <x:v>OK</x:v>
      </x:c>
      <x:c r="U670" t="str">
        <x:f>IF(AND(ISNUMBER(L670),L670&gt;=0,L670&lt;=1),"OK","CHECK")</x:f>
        <x:v>OK</x:v>
      </x:c>
      <x:c r="V670" t="str">
        <x:f>IF(AND(ISNUMBER(N670),N670&gt;=0),"OK","CHECK")</x:f>
        <x:v>OK</x:v>
      </x:c>
      <x:c r="W670" t="str">
        <x:f>IF(AND(T670="OK",U670="OK",V670="OK"),"OK","CHECK")</x:f>
        <x:v>OK</x:v>
      </x:c>
      <x:c r="X670" t="str">
        <x:f>IF(W670="OK","LOAD","QUARANTINE")</x:f>
        <x:v>LOAD</x:v>
      </x:c>
      <x:c r="Y670" t="str">
        <x:v>03_Process_Losses(6).xlsx</x:v>
      </x:c>
      <x:c r="Z670" t="str">
        <x:v>ENH-20260830-01</x:v>
      </x:c>
      <x:c r="AA670" t="str">
        <x:f>IF(X670="LOAD","Active","Quarantine")</x:f>
        <x:v>Active</x:v>
      </x:c>
      <x:c r="AB670"/>
      <x:c r="AC670"/>
      <x:c r="AD670"/>
      <x:c r="AE670"/>
    </x:row>
    <x:row r="671">
      <x:c r="A671" t="str">
        <x:v>PLD-000667</x:v>
      </x:c>
      <x:c r="B671" t="str">
        <x:v>LOSS-KG01-L25-20251022-AM-ORD-2025-00161</x:v>
      </x:c>
      <x:c r="C671" t="str">
        <x:v>PE-KG01-L25-20251022-AM-ORD-2025-00161</x:v>
      </x:c>
      <x:c r="D671" t="str">
        <x:v>KG01</x:v>
      </x:c>
      <x:c r="E671" t="n">
        <x:v>25</x:v>
      </x:c>
      <x:c r="F671" s="52" t="n">
        <x:v>45952</x:v>
      </x:c>
      <x:c r="G671" t="str">
        <x:v>AM</x:v>
      </x:c>
      <x:c r="H671" t="str">
        <x:v>ORD-2025-00161</x:v>
      </x:c>
      <x:c r="I671" t="str">
        <x:v>Normal</x:v>
      </x:c>
      <x:c r="J671" t="str">
        <x:v>PROC_EVO12</x:v>
      </x:c>
      <x:c r="K671" t="str">
        <x:v>Inspection</x:v>
      </x:c>
      <x:c r="L671" s="54" t="n">
        <x:v>0.002258360470626191</x:v>
      </x:c>
      <x:c r="M671" t="n">
        <x:v>99187</x:v>
      </x:c>
      <x:c r="N671" t="n">
        <x:f>L671*M671</x:f>
        <x:v>224</x:v>
      </x:c>
      <x:c r="O671"/>
      <x:c r="P671"/>
      <x:c r="Q671"/>
      <x:c r="R671"/>
      <x:c r="S671" s="52"/>
      <x:c r="T671" t="str">
        <x:v>OK</x:v>
      </x:c>
      <x:c r="U671" t="str">
        <x:f>IF(AND(ISNUMBER(L671),L671&gt;=0,L671&lt;=1),"OK","CHECK")</x:f>
        <x:v>OK</x:v>
      </x:c>
      <x:c r="V671" t="str">
        <x:f>IF(AND(ISNUMBER(N671),N671&gt;=0),"OK","CHECK")</x:f>
        <x:v>OK</x:v>
      </x:c>
      <x:c r="W671" t="str">
        <x:f>IF(AND(T671="OK",U671="OK",V671="OK"),"OK","CHECK")</x:f>
        <x:v>OK</x:v>
      </x:c>
      <x:c r="X671" t="str">
        <x:f>IF(W671="OK","LOAD","QUARANTINE")</x:f>
        <x:v>LOAD</x:v>
      </x:c>
      <x:c r="Y671" t="str">
        <x:v>03_Process_Losses(6).xlsx</x:v>
      </x:c>
      <x:c r="Z671" t="str">
        <x:v>ENH-20260830-01</x:v>
      </x:c>
      <x:c r="AA671" t="str">
        <x:f>IF(X671="LOAD","Active","Quarantine")</x:f>
        <x:v>Active</x:v>
      </x:c>
      <x:c r="AB671"/>
      <x:c r="AC671"/>
      <x:c r="AD671"/>
      <x:c r="AE671"/>
    </x:row>
    <x:row r="672">
      <x:c r="A672" t="str">
        <x:v>PLD-000668</x:v>
      </x:c>
      <x:c r="B672" t="str">
        <x:v>LOSS-KG01-L25-20251022-AM-ORD-2025-00161</x:v>
      </x:c>
      <x:c r="C672" t="str">
        <x:v>PE-KG01-L25-20251022-AM-ORD-2025-00161</x:v>
      </x:c>
      <x:c r="D672" t="str">
        <x:v>KG01</x:v>
      </x:c>
      <x:c r="E672" t="n">
        <x:v>25</x:v>
      </x:c>
      <x:c r="F672" s="52" t="n">
        <x:v>45952</x:v>
      </x:c>
      <x:c r="G672" t="str">
        <x:v>AM</x:v>
      </x:c>
      <x:c r="H672" t="str">
        <x:v>ORD-2025-00161</x:v>
      </x:c>
      <x:c r="I672" t="str">
        <x:v>Normal</x:v>
      </x:c>
      <x:c r="J672" t="str">
        <x:v>PROC_EVO5</x:v>
      </x:c>
      <x:c r="K672" t="str">
        <x:v>Inspection</x:v>
      </x:c>
      <x:c r="L672" s="54" t="n">
        <x:v>0.0017139342857430914</x:v>
      </x:c>
      <x:c r="M672" t="n">
        <x:v>99187</x:v>
      </x:c>
      <x:c r="N672" t="n">
        <x:f>L672*M672</x:f>
        <x:v>170</x:v>
      </x:c>
      <x:c r="O672"/>
      <x:c r="P672"/>
      <x:c r="Q672"/>
      <x:c r="R672"/>
      <x:c r="S672" s="52"/>
      <x:c r="T672" t="str">
        <x:v>OK</x:v>
      </x:c>
      <x:c r="U672" t="str">
        <x:f>IF(AND(ISNUMBER(L672),L672&gt;=0,L672&lt;=1),"OK","CHECK")</x:f>
        <x:v>OK</x:v>
      </x:c>
      <x:c r="V672" t="str">
        <x:f>IF(AND(ISNUMBER(N672),N672&gt;=0),"OK","CHECK")</x:f>
        <x:v>OK</x:v>
      </x:c>
      <x:c r="W672" t="str">
        <x:f>IF(AND(T672="OK",U672="OK",V672="OK"),"OK","CHECK")</x:f>
        <x:v>OK</x:v>
      </x:c>
      <x:c r="X672" t="str">
        <x:f>IF(W672="OK","LOAD","QUARANTINE")</x:f>
        <x:v>LOAD</x:v>
      </x:c>
      <x:c r="Y672" t="str">
        <x:v>03_Process_Losses(6).xlsx</x:v>
      </x:c>
      <x:c r="Z672" t="str">
        <x:v>ENH-20260830-01</x:v>
      </x:c>
      <x:c r="AA672" t="str">
        <x:f>IF(X672="LOAD","Active","Quarantine")</x:f>
        <x:v>Active</x:v>
      </x:c>
      <x:c r="AB672"/>
      <x:c r="AC672"/>
      <x:c r="AD672"/>
      <x:c r="AE672"/>
    </x:row>
    <x:row r="673">
      <x:c r="A673" t="str">
        <x:v>PLD-000669</x:v>
      </x:c>
      <x:c r="B673" t="str">
        <x:v>LOSS-KG01-L25-20251022-AM-ORD-2025-00161</x:v>
      </x:c>
      <x:c r="C673" t="str">
        <x:v>PE-KG01-L25-20251022-AM-ORD-2025-00161</x:v>
      </x:c>
      <x:c r="D673" t="str">
        <x:v>KG01</x:v>
      </x:c>
      <x:c r="E673" t="n">
        <x:v>25</x:v>
      </x:c>
      <x:c r="F673" s="52" t="n">
        <x:v>45952</x:v>
      </x:c>
      <x:c r="G673" t="str">
        <x:v>AM</x:v>
      </x:c>
      <x:c r="H673" t="str">
        <x:v>ORD-2025-00161</x:v>
      </x:c>
      <x:c r="I673" t="str">
        <x:v>Normal</x:v>
      </x:c>
      <x:c r="J673" t="str">
        <x:v>PROC_SANLI</x:v>
      </x:c>
      <x:c r="K673" t="str">
        <x:v>Inspection</x:v>
      </x:c>
      <x:c r="L673" s="54" t="n">
        <x:v>0.0038412291933418692</x:v>
      </x:c>
      <x:c r="M673" t="n">
        <x:v>99187</x:v>
      </x:c>
      <x:c r="N673" t="n">
        <x:f>L673*M673</x:f>
        <x:v>381</x:v>
      </x:c>
      <x:c r="O673"/>
      <x:c r="P673"/>
      <x:c r="Q673"/>
      <x:c r="R673"/>
      <x:c r="S673" s="52"/>
      <x:c r="T673" t="str">
        <x:v>OK</x:v>
      </x:c>
      <x:c r="U673" t="str">
        <x:f>IF(AND(ISNUMBER(L673),L673&gt;=0,L673&lt;=1),"OK","CHECK")</x:f>
        <x:v>OK</x:v>
      </x:c>
      <x:c r="V673" t="str">
        <x:f>IF(AND(ISNUMBER(N673),N673&gt;=0),"OK","CHECK")</x:f>
        <x:v>OK</x:v>
      </x:c>
      <x:c r="W673" t="str">
        <x:f>IF(AND(T673="OK",U673="OK",V673="OK"),"OK","CHECK")</x:f>
        <x:v>OK</x:v>
      </x:c>
      <x:c r="X673" t="str">
        <x:f>IF(W673="OK","LOAD","QUARANTINE")</x:f>
        <x:v>LOAD</x:v>
      </x:c>
      <x:c r="Y673" t="str">
        <x:v>03_Process_Losses(6).xlsx</x:v>
      </x:c>
      <x:c r="Z673" t="str">
        <x:v>ENH-20260830-01</x:v>
      </x:c>
      <x:c r="AA673" t="str">
        <x:f>IF(X673="LOAD","Active","Quarantine")</x:f>
        <x:v>Active</x:v>
      </x:c>
      <x:c r="AB673"/>
      <x:c r="AC673"/>
      <x:c r="AD673"/>
      <x:c r="AE673"/>
    </x:row>
    <x:row r="674">
      <x:c r="A674" t="str">
        <x:v>PLD-000670</x:v>
      </x:c>
      <x:c r="B674" t="str">
        <x:v>LOSS-KG01-L25-20251022-AM-ORD-2025-00161</x:v>
      </x:c>
      <x:c r="C674" t="str">
        <x:v>PE-KG01-L25-20251022-AM-ORD-2025-00161</x:v>
      </x:c>
      <x:c r="D674" t="str">
        <x:v>KG01</x:v>
      </x:c>
      <x:c r="E674" t="n">
        <x:v>25</x:v>
      </x:c>
      <x:c r="F674" s="52" t="n">
        <x:v>45952</x:v>
      </x:c>
      <x:c r="G674" t="str">
        <x:v>AM</x:v>
      </x:c>
      <x:c r="H674" t="str">
        <x:v>ORD-2025-00161</x:v>
      </x:c>
      <x:c r="I674" t="str">
        <x:v>Normal</x:v>
      </x:c>
      <x:c r="J674" t="str">
        <x:v>PROC_VISUAL</x:v>
      </x:c>
      <x:c r="K674" t="str">
        <x:v>Inspection</x:v>
      </x:c>
      <x:c r="L674" s="54" t="n">
        <x:v>0.0027725407563491183</x:v>
      </x:c>
      <x:c r="M674" t="n">
        <x:v>99187</x:v>
      </x:c>
      <x:c r="N674" t="n">
        <x:f>L674*M674</x:f>
        <x:v>275</x:v>
      </x:c>
      <x:c r="O674"/>
      <x:c r="P674"/>
      <x:c r="Q674"/>
      <x:c r="R674"/>
      <x:c r="S674" s="52"/>
      <x:c r="T674" t="str">
        <x:v>OK</x:v>
      </x:c>
      <x:c r="U674" t="str">
        <x:f>IF(AND(ISNUMBER(L674),L674&gt;=0,L674&lt;=1),"OK","CHECK")</x:f>
        <x:v>OK</x:v>
      </x:c>
      <x:c r="V674" t="str">
        <x:f>IF(AND(ISNUMBER(N674),N674&gt;=0),"OK","CHECK")</x:f>
        <x:v>OK</x:v>
      </x:c>
      <x:c r="W674" t="str">
        <x:f>IF(AND(T674="OK",U674="OK",V674="OK"),"OK","CHECK")</x:f>
        <x:v>OK</x:v>
      </x:c>
      <x:c r="X674" t="str">
        <x:f>IF(W674="OK","LOAD","QUARANTINE")</x:f>
        <x:v>LOAD</x:v>
      </x:c>
      <x:c r="Y674" t="str">
        <x:v>03_Process_Losses(6).xlsx</x:v>
      </x:c>
      <x:c r="Z674" t="str">
        <x:v>ENH-20260830-01</x:v>
      </x:c>
      <x:c r="AA674" t="str">
        <x:f>IF(X674="LOAD","Active","Quarantine")</x:f>
        <x:v>Active</x:v>
      </x:c>
      <x:c r="AB674"/>
      <x:c r="AC674"/>
      <x:c r="AD674"/>
      <x:c r="AE674"/>
    </x:row>
    <x:row r="675">
      <x:c r="A675" t="str">
        <x:v>PLD-000671</x:v>
      </x:c>
      <x:c r="B675" t="str">
        <x:v>LOSS-KG01-L25-20251022-AM-ORD-2025-00161</x:v>
      </x:c>
      <x:c r="C675" t="str">
        <x:v>PE-KG01-L25-20251022-AM-ORD-2025-00161</x:v>
      </x:c>
      <x:c r="D675" t="str">
        <x:v>KG01</x:v>
      </x:c>
      <x:c r="E675" t="n">
        <x:v>25</x:v>
      </x:c>
      <x:c r="F675" s="52" t="n">
        <x:v>45952</x:v>
      </x:c>
      <x:c r="G675" t="str">
        <x:v>AM</x:v>
      </x:c>
      <x:c r="H675" t="str">
        <x:v>ORD-2025-00161</x:v>
      </x:c>
      <x:c r="I675" t="str">
        <x:v>Normal</x:v>
      </x:c>
      <x:c r="J675" t="str">
        <x:v>PROC_PALLETIZER</x:v>
      </x:c>
      <x:c r="K675" t="str">
        <x:v>Palletizer</x:v>
      </x:c>
      <x:c r="L675" s="54" t="n">
        <x:v>0.0011291802353130954</x:v>
      </x:c>
      <x:c r="M675" t="n">
        <x:v>99187</x:v>
      </x:c>
      <x:c r="N675" t="n">
        <x:f>L675*M675</x:f>
        <x:v>112</x:v>
      </x:c>
      <x:c r="O675"/>
      <x:c r="P675"/>
      <x:c r="Q675"/>
      <x:c r="R675"/>
      <x:c r="S675" s="52"/>
      <x:c r="T675" t="str">
        <x:v>OK</x:v>
      </x:c>
      <x:c r="U675" t="str">
        <x:f>IF(AND(ISNUMBER(L675),L675&gt;=0,L675&lt;=1),"OK","CHECK")</x:f>
        <x:v>OK</x:v>
      </x:c>
      <x:c r="V675" t="str">
        <x:f>IF(AND(ISNUMBER(N675),N675&gt;=0),"OK","CHECK")</x:f>
        <x:v>OK</x:v>
      </x:c>
      <x:c r="W675" t="str">
        <x:f>IF(AND(T675="OK",U675="OK",V675="OK"),"OK","CHECK")</x:f>
        <x:v>OK</x:v>
      </x:c>
      <x:c r="X675" t="str">
        <x:f>IF(W675="OK","LOAD","QUARANTINE")</x:f>
        <x:v>LOAD</x:v>
      </x:c>
      <x:c r="Y675" t="str">
        <x:v>03_Process_Losses(6).xlsx</x:v>
      </x:c>
      <x:c r="Z675" t="str">
        <x:v>ENH-20260830-01</x:v>
      </x:c>
      <x:c r="AA675" t="str">
        <x:f>IF(X675="LOAD","Active","Quarantine")</x:f>
        <x:v>Active</x:v>
      </x:c>
      <x:c r="AB675"/>
      <x:c r="AC675"/>
      <x:c r="AD675"/>
      <x:c r="AE675"/>
    </x:row>
    <x:row r="676">
      <x:c r="A676" t="str">
        <x:v>PLD-000672</x:v>
      </x:c>
      <x:c r="B676" t="str">
        <x:v>LOSS-KG01-L25-20251022-PM-ORD-2025-00161</x:v>
      </x:c>
      <x:c r="C676" t="str">
        <x:v>PE-KG01-L25-20251022-PM-ORD-2025-00161</x:v>
      </x:c>
      <x:c r="D676" t="str">
        <x:v>KG01</x:v>
      </x:c>
      <x:c r="E676" t="n">
        <x:v>25</x:v>
      </x:c>
      <x:c r="F676" s="52" t="n">
        <x:v>45952</x:v>
      </x:c>
      <x:c r="G676" t="str">
        <x:v>PM</x:v>
      </x:c>
      <x:c r="H676" t="str">
        <x:v>ORD-2025-00161</x:v>
      </x:c>
      <x:c r="I676" t="str">
        <x:v>Normal</x:v>
      </x:c>
      <x:c r="J676" t="str">
        <x:v>PROC_FIXED</x:v>
      </x:c>
      <x:c r="K676" t="str">
        <x:v>Fixed Losses</x:v>
      </x:c>
      <x:c r="L676" s="54" t="n">
        <x:v>0.0095043854801925</x:v>
      </x:c>
      <x:c r="M676" t="n">
        <x:v>99533</x:v>
      </x:c>
      <x:c r="N676" t="n">
        <x:f>L676*M676</x:f>
        <x:v>946</x:v>
      </x:c>
      <x:c r="O676"/>
      <x:c r="P676"/>
      <x:c r="Q676"/>
      <x:c r="R676"/>
      <x:c r="S676" s="52"/>
      <x:c r="T676" t="str">
        <x:v>OK</x:v>
      </x:c>
      <x:c r="U676" t="str">
        <x:f>IF(AND(ISNUMBER(L676),L676&gt;=0,L676&lt;=1),"OK","CHECK")</x:f>
        <x:v>OK</x:v>
      </x:c>
      <x:c r="V676" t="str">
        <x:f>IF(AND(ISNUMBER(N676),N676&gt;=0),"OK","CHECK")</x:f>
        <x:v>OK</x:v>
      </x:c>
      <x:c r="W676" t="str">
        <x:f>IF(AND(T676="OK",U676="OK",V676="OK"),"OK","CHECK")</x:f>
        <x:v>OK</x:v>
      </x:c>
      <x:c r="X676" t="str">
        <x:f>IF(W676="OK","LOAD","QUARANTINE")</x:f>
        <x:v>LOAD</x:v>
      </x:c>
      <x:c r="Y676" t="str">
        <x:v>03_Process_Losses(6).xlsx</x:v>
      </x:c>
      <x:c r="Z676" t="str">
        <x:v>ENH-20260830-01</x:v>
      </x:c>
      <x:c r="AA676" t="str">
        <x:f>IF(X676="LOAD","Active","Quarantine")</x:f>
        <x:v>Active</x:v>
      </x:c>
      <x:c r="AB676"/>
      <x:c r="AC676"/>
      <x:c r="AD676"/>
      <x:c r="AE676"/>
    </x:row>
    <x:row r="677">
      <x:c r="A677" t="str">
        <x:v>PLD-000673</x:v>
      </x:c>
      <x:c r="B677" t="str">
        <x:v>LOSS-KG01-L25-20251022-PM-ORD-2025-00161</x:v>
      </x:c>
      <x:c r="C677" t="str">
        <x:v>PE-KG01-L25-20251022-PM-ORD-2025-00161</x:v>
      </x:c>
      <x:c r="D677" t="str">
        <x:v>KG01</x:v>
      </x:c>
      <x:c r="E677" t="n">
        <x:v>25</x:v>
      </x:c>
      <x:c r="F677" s="52" t="n">
        <x:v>45952</x:v>
      </x:c>
      <x:c r="G677" t="str">
        <x:v>PM</x:v>
      </x:c>
      <x:c r="H677" t="str">
        <x:v>ORD-2025-00161</x:v>
      </x:c>
      <x:c r="I677" t="str">
        <x:v>Normal</x:v>
      </x:c>
      <x:c r="J677" t="str">
        <x:v>PROC_IS</x:v>
      </x:c>
      <x:c r="K677" t="str">
        <x:v>IS Machine</x:v>
      </x:c>
      <x:c r="L677" s="54" t="n">
        <x:v>0.01568324073422885</x:v>
      </x:c>
      <x:c r="M677" t="n">
        <x:v>99533</x:v>
      </x:c>
      <x:c r="N677" t="n">
        <x:f>L677*M677</x:f>
        <x:v>1561</x:v>
      </x:c>
      <x:c r="O677"/>
      <x:c r="P677"/>
      <x:c r="Q677"/>
      <x:c r="R677"/>
      <x:c r="S677" s="52"/>
      <x:c r="T677" t="str">
        <x:v>OK</x:v>
      </x:c>
      <x:c r="U677" t="str">
        <x:f>IF(AND(ISNUMBER(L677),L677&gt;=0,L677&lt;=1),"OK","CHECK")</x:f>
        <x:v>OK</x:v>
      </x:c>
      <x:c r="V677" t="str">
        <x:f>IF(AND(ISNUMBER(N677),N677&gt;=0),"OK","CHECK")</x:f>
        <x:v>OK</x:v>
      </x:c>
      <x:c r="W677" t="str">
        <x:f>IF(AND(T677="OK",U677="OK",V677="OK"),"OK","CHECK")</x:f>
        <x:v>OK</x:v>
      </x:c>
      <x:c r="X677" t="str">
        <x:f>IF(W677="OK","LOAD","QUARANTINE")</x:f>
        <x:v>LOAD</x:v>
      </x:c>
      <x:c r="Y677" t="str">
        <x:v>03_Process_Losses(6).xlsx</x:v>
      </x:c>
      <x:c r="Z677" t="str">
        <x:v>ENH-20260830-01</x:v>
      </x:c>
      <x:c r="AA677" t="str">
        <x:f>IF(X677="LOAD","Active","Quarantine")</x:f>
        <x:v>Active</x:v>
      </x:c>
      <x:c r="AB677"/>
      <x:c r="AC677"/>
      <x:c r="AD677"/>
      <x:c r="AE677"/>
    </x:row>
    <x:row r="678">
      <x:c r="A678" t="str">
        <x:v>PLD-000674</x:v>
      </x:c>
      <x:c r="B678" t="str">
        <x:v>LOSS-KG01-L25-20251022-PM-ORD-2025-00161</x:v>
      </x:c>
      <x:c r="C678" t="str">
        <x:v>PE-KG01-L25-20251022-PM-ORD-2025-00161</x:v>
      </x:c>
      <x:c r="D678" t="str">
        <x:v>KG01</x:v>
      </x:c>
      <x:c r="E678" t="n">
        <x:v>25</x:v>
      </x:c>
      <x:c r="F678" s="52" t="n">
        <x:v>45952</x:v>
      </x:c>
      <x:c r="G678" t="str">
        <x:v>PM</x:v>
      </x:c>
      <x:c r="H678" t="str">
        <x:v>ORD-2025-00161</x:v>
      </x:c>
      <x:c r="I678" t="str">
        <x:v>Normal</x:v>
      </x:c>
      <x:c r="J678" t="str">
        <x:v>PROC_HE_CONVEYER</x:v>
      </x:c>
      <x:c r="K678" t="str">
        <x:v>Hot End</x:v>
      </x:c>
      <x:c r="L678" s="54" t="n">
        <x:v>0.006751529643434841</x:v>
      </x:c>
      <x:c r="M678" t="n">
        <x:v>99533</x:v>
      </x:c>
      <x:c r="N678" t="n">
        <x:f>L678*M678</x:f>
        <x:v>672</x:v>
      </x:c>
      <x:c r="O678"/>
      <x:c r="P678"/>
      <x:c r="Q678"/>
      <x:c r="R678"/>
      <x:c r="S678" s="52"/>
      <x:c r="T678" t="str">
        <x:v>OK</x:v>
      </x:c>
      <x:c r="U678" t="str">
        <x:f>IF(AND(ISNUMBER(L678),L678&gt;=0,L678&lt;=1),"OK","CHECK")</x:f>
        <x:v>OK</x:v>
      </x:c>
      <x:c r="V678" t="str">
        <x:f>IF(AND(ISNUMBER(N678),N678&gt;=0),"OK","CHECK")</x:f>
        <x:v>OK</x:v>
      </x:c>
      <x:c r="W678" t="str">
        <x:f>IF(AND(T678="OK",U678="OK",V678="OK"),"OK","CHECK")</x:f>
        <x:v>OK</x:v>
      </x:c>
      <x:c r="X678" t="str">
        <x:f>IF(W678="OK","LOAD","QUARANTINE")</x:f>
        <x:v>LOAD</x:v>
      </x:c>
      <x:c r="Y678" t="str">
        <x:v>03_Process_Losses(6).xlsx</x:v>
      </x:c>
      <x:c r="Z678" t="str">
        <x:v>ENH-20260830-01</x:v>
      </x:c>
      <x:c r="AA678" t="str">
        <x:f>IF(X678="LOAD","Active","Quarantine")</x:f>
        <x:v>Active</x:v>
      </x:c>
      <x:c r="AB678"/>
      <x:c r="AC678"/>
      <x:c r="AD678"/>
      <x:c r="AE678"/>
    </x:row>
    <x:row r="679">
      <x:c r="A679" t="str">
        <x:v>PLD-000675</x:v>
      </x:c>
      <x:c r="B679" t="str">
        <x:v>LOSS-KG01-L25-20251022-PM-ORD-2025-00161</x:v>
      </x:c>
      <x:c r="C679" t="str">
        <x:v>PE-KG01-L25-20251022-PM-ORD-2025-00161</x:v>
      </x:c>
      <x:c r="D679" t="str">
        <x:v>KG01</x:v>
      </x:c>
      <x:c r="E679" t="n">
        <x:v>25</x:v>
      </x:c>
      <x:c r="F679" s="52" t="n">
        <x:v>45952</x:v>
      </x:c>
      <x:c r="G679" t="str">
        <x:v>PM</x:v>
      </x:c>
      <x:c r="H679" t="str">
        <x:v>ORD-2025-00161</x:v>
      </x:c>
      <x:c r="I679" t="str">
        <x:v>Normal</x:v>
      </x:c>
      <x:c r="J679" t="str">
        <x:v>PROC_STUCKDOWN</x:v>
      </x:c>
      <x:c r="K679" t="str">
        <x:v>Forming</x:v>
      </x:c>
      <x:c r="L679" s="54" t="n">
        <x:v>0.0033456240643806577</x:v>
      </x:c>
      <x:c r="M679" t="n">
        <x:v>99533</x:v>
      </x:c>
      <x:c r="N679" t="n">
        <x:f>L679*M679</x:f>
        <x:v>333</x:v>
      </x:c>
      <x:c r="O679"/>
      <x:c r="P679"/>
      <x:c r="Q679"/>
      <x:c r="R679"/>
      <x:c r="S679" s="52"/>
      <x:c r="T679" t="str">
        <x:v>OK</x:v>
      </x:c>
      <x:c r="U679" t="str">
        <x:f>IF(AND(ISNUMBER(L679),L679&gt;=0,L679&lt;=1),"OK","CHECK")</x:f>
        <x:v>OK</x:v>
      </x:c>
      <x:c r="V679" t="str">
        <x:f>IF(AND(ISNUMBER(N679),N679&gt;=0),"OK","CHECK")</x:f>
        <x:v>OK</x:v>
      </x:c>
      <x:c r="W679" t="str">
        <x:f>IF(AND(T679="OK",U679="OK",V679="OK"),"OK","CHECK")</x:f>
        <x:v>OK</x:v>
      </x:c>
      <x:c r="X679" t="str">
        <x:f>IF(W679="OK","LOAD","QUARANTINE")</x:f>
        <x:v>LOAD</x:v>
      </x:c>
      <x:c r="Y679" t="str">
        <x:v>03_Process_Losses(6).xlsx</x:v>
      </x:c>
      <x:c r="Z679" t="str">
        <x:v>ENH-20260830-01</x:v>
      </x:c>
      <x:c r="AA679" t="str">
        <x:f>IF(X679="LOAD","Active","Quarantine")</x:f>
        <x:v>Active</x:v>
      </x:c>
      <x:c r="AB679"/>
      <x:c r="AC679"/>
      <x:c r="AD679"/>
      <x:c r="AE679"/>
    </x:row>
    <x:row r="680">
      <x:c r="A680" t="str">
        <x:v>PLD-000676</x:v>
      </x:c>
      <x:c r="B680" t="str">
        <x:v>LOSS-KG01-L25-20251022-PM-ORD-2025-00161</x:v>
      </x:c>
      <x:c r="C680" t="str">
        <x:v>PE-KG01-L25-20251022-PM-ORD-2025-00161</x:v>
      </x:c>
      <x:c r="D680" t="str">
        <x:v>KG01</x:v>
      </x:c>
      <x:c r="E680" t="n">
        <x:v>25</x:v>
      </x:c>
      <x:c r="F680" s="52" t="n">
        <x:v>45952</x:v>
      </x:c>
      <x:c r="G680" t="str">
        <x:v>PM</x:v>
      </x:c>
      <x:c r="H680" t="str">
        <x:v>ORD-2025-00161</x:v>
      </x:c>
      <x:c r="I680" t="str">
        <x:v>Normal</x:v>
      </x:c>
      <x:c r="J680" t="str">
        <x:v>PROC_LEHR</x:v>
      </x:c>
      <x:c r="K680" t="str">
        <x:v>Lehr</x:v>
      </x:c>
      <x:c r="L680" s="54" t="n">
        <x:v>0.004410597490279606</x:v>
      </x:c>
      <x:c r="M680" t="n">
        <x:v>99533</x:v>
      </x:c>
      <x:c r="N680" t="n">
        <x:f>L680*M680</x:f>
        <x:v>439</x:v>
      </x:c>
      <x:c r="O680"/>
      <x:c r="P680"/>
      <x:c r="Q680"/>
      <x:c r="R680"/>
      <x:c r="S680" s="52"/>
      <x:c r="T680" t="str">
        <x:v>OK</x:v>
      </x:c>
      <x:c r="U680" t="str">
        <x:f>IF(AND(ISNUMBER(L680),L680&gt;=0,L680&lt;=1),"OK","CHECK")</x:f>
        <x:v>OK</x:v>
      </x:c>
      <x:c r="V680" t="str">
        <x:f>IF(AND(ISNUMBER(N680),N680&gt;=0),"OK","CHECK")</x:f>
        <x:v>OK</x:v>
      </x:c>
      <x:c r="W680" t="str">
        <x:f>IF(AND(T680="OK",U680="OK",V680="OK"),"OK","CHECK")</x:f>
        <x:v>OK</x:v>
      </x:c>
      <x:c r="X680" t="str">
        <x:f>IF(W680="OK","LOAD","QUARANTINE")</x:f>
        <x:v>LOAD</x:v>
      </x:c>
      <x:c r="Y680" t="str">
        <x:v>03_Process_Losses(6).xlsx</x:v>
      </x:c>
      <x:c r="Z680" t="str">
        <x:v>ENH-20260830-01</x:v>
      </x:c>
      <x:c r="AA680" t="str">
        <x:f>IF(X680="LOAD","Active","Quarantine")</x:f>
        <x:v>Active</x:v>
      </x:c>
      <x:c r="AB680"/>
      <x:c r="AC680"/>
      <x:c r="AD680"/>
      <x:c r="AE680"/>
    </x:row>
    <x:row r="681">
      <x:c r="A681" t="str">
        <x:v>PLD-000677</x:v>
      </x:c>
      <x:c r="B681" t="str">
        <x:v>LOSS-KG01-L25-20251022-PM-ORD-2025-00161</x:v>
      </x:c>
      <x:c r="C681" t="str">
        <x:v>PE-KG01-L25-20251022-PM-ORD-2025-00161</x:v>
      </x:c>
      <x:c r="D681" t="str">
        <x:v>KG01</x:v>
      </x:c>
      <x:c r="E681" t="n">
        <x:v>25</x:v>
      </x:c>
      <x:c r="F681" s="52" t="n">
        <x:v>45952</x:v>
      </x:c>
      <x:c r="G681" t="str">
        <x:v>PM</x:v>
      </x:c>
      <x:c r="H681" t="str">
        <x:v>ORD-2025-00161</x:v>
      </x:c>
      <x:c r="I681" t="str">
        <x:v>Normal</x:v>
      </x:c>
      <x:c r="J681" t="str">
        <x:v>PROC_EVO16</x:v>
      </x:c>
      <x:c r="K681" t="str">
        <x:v>Inspection</x:v>
      </x:c>
      <x:c r="L681" s="54" t="n">
        <x:v>0.0007133312569700502</x:v>
      </x:c>
      <x:c r="M681" t="n">
        <x:v>99533</x:v>
      </x:c>
      <x:c r="N681" t="n">
        <x:f>L681*M681</x:f>
        <x:v>71</x:v>
      </x:c>
      <x:c r="O681"/>
      <x:c r="P681"/>
      <x:c r="Q681"/>
      <x:c r="R681"/>
      <x:c r="S681" s="52"/>
      <x:c r="T681" t="str">
        <x:v>OK</x:v>
      </x:c>
      <x:c r="U681" t="str">
        <x:f>IF(AND(ISNUMBER(L681),L681&gt;=0,L681&lt;=1),"OK","CHECK")</x:f>
        <x:v>OK</x:v>
      </x:c>
      <x:c r="V681" t="str">
        <x:f>IF(AND(ISNUMBER(N681),N681&gt;=0),"OK","CHECK")</x:f>
        <x:v>OK</x:v>
      </x:c>
      <x:c r="W681" t="str">
        <x:f>IF(AND(T681="OK",U681="OK",V681="OK"),"OK","CHECK")</x:f>
        <x:v>OK</x:v>
      </x:c>
      <x:c r="X681" t="str">
        <x:f>IF(W681="OK","LOAD","QUARANTINE")</x:f>
        <x:v>LOAD</x:v>
      </x:c>
      <x:c r="Y681" t="str">
        <x:v>03_Process_Losses(6).xlsx</x:v>
      </x:c>
      <x:c r="Z681" t="str">
        <x:v>ENH-20260830-01</x:v>
      </x:c>
      <x:c r="AA681" t="str">
        <x:f>IF(X681="LOAD","Active","Quarantine")</x:f>
        <x:v>Active</x:v>
      </x:c>
      <x:c r="AB681"/>
      <x:c r="AC681"/>
      <x:c r="AD681"/>
      <x:c r="AE681"/>
    </x:row>
    <x:row r="682">
      <x:c r="A682" t="str">
        <x:v>PLD-000678</x:v>
      </x:c>
      <x:c r="B682" t="str">
        <x:v>LOSS-KG01-L25-20251022-PM-ORD-2025-00161</x:v>
      </x:c>
      <x:c r="C682" t="str">
        <x:v>PE-KG01-L25-20251022-PM-ORD-2025-00161</x:v>
      </x:c>
      <x:c r="D682" t="str">
        <x:v>KG01</x:v>
      </x:c>
      <x:c r="E682" t="n">
        <x:v>25</x:v>
      </x:c>
      <x:c r="F682" s="52" t="n">
        <x:v>45952</x:v>
      </x:c>
      <x:c r="G682" t="str">
        <x:v>PM</x:v>
      </x:c>
      <x:c r="H682" t="str">
        <x:v>ORD-2025-00161</x:v>
      </x:c>
      <x:c r="I682" t="str">
        <x:v>Normal</x:v>
      </x:c>
      <x:c r="J682" t="str">
        <x:v>PROC_EVO12</x:v>
      </x:c>
      <x:c r="K682" t="str">
        <x:v>Inspection</x:v>
      </x:c>
      <x:c r="L682" s="54" t="n">
        <x:v>0.0023811198296042517</x:v>
      </x:c>
      <x:c r="M682" t="n">
        <x:v>99533</x:v>
      </x:c>
      <x:c r="N682" t="n">
        <x:f>L682*M682</x:f>
        <x:v>237</x:v>
      </x:c>
      <x:c r="O682"/>
      <x:c r="P682"/>
      <x:c r="Q682"/>
      <x:c r="R682"/>
      <x:c r="S682" s="52"/>
      <x:c r="T682" t="str">
        <x:v>OK</x:v>
      </x:c>
      <x:c r="U682" t="str">
        <x:f>IF(AND(ISNUMBER(L682),L682&gt;=0,L682&lt;=1),"OK","CHECK")</x:f>
        <x:v>OK</x:v>
      </x:c>
      <x:c r="V682" t="str">
        <x:f>IF(AND(ISNUMBER(N682),N682&gt;=0),"OK","CHECK")</x:f>
        <x:v>OK</x:v>
      </x:c>
      <x:c r="W682" t="str">
        <x:f>IF(AND(T682="OK",U682="OK",V682="OK"),"OK","CHECK")</x:f>
        <x:v>OK</x:v>
      </x:c>
      <x:c r="X682" t="str">
        <x:f>IF(W682="OK","LOAD","QUARANTINE")</x:f>
        <x:v>LOAD</x:v>
      </x:c>
      <x:c r="Y682" t="str">
        <x:v>03_Process_Losses(6).xlsx</x:v>
      </x:c>
      <x:c r="Z682" t="str">
        <x:v>ENH-20260830-01</x:v>
      </x:c>
      <x:c r="AA682" t="str">
        <x:f>IF(X682="LOAD","Active","Quarantine")</x:f>
        <x:v>Active</x:v>
      </x:c>
      <x:c r="AB682"/>
      <x:c r="AC682"/>
      <x:c r="AD682"/>
      <x:c r="AE682"/>
    </x:row>
    <x:row r="683">
      <x:c r="A683" t="str">
        <x:v>PLD-000679</x:v>
      </x:c>
      <x:c r="B683" t="str">
        <x:v>LOSS-KG01-L25-20251022-PM-ORD-2025-00161</x:v>
      </x:c>
      <x:c r="C683" t="str">
        <x:v>PE-KG01-L25-20251022-PM-ORD-2025-00161</x:v>
      </x:c>
      <x:c r="D683" t="str">
        <x:v>KG01</x:v>
      </x:c>
      <x:c r="E683" t="n">
        <x:v>25</x:v>
      </x:c>
      <x:c r="F683" s="52" t="n">
        <x:v>45952</x:v>
      </x:c>
      <x:c r="G683" t="str">
        <x:v>PM</x:v>
      </x:c>
      <x:c r="H683" t="str">
        <x:v>ORD-2025-00161</x:v>
      </x:c>
      <x:c r="I683" t="str">
        <x:v>Normal</x:v>
      </x:c>
      <x:c r="J683" t="str">
        <x:v>PROC_EVO5</x:v>
      </x:c>
      <x:c r="K683" t="str">
        <x:v>Inspection</x:v>
      </x:c>
      <x:c r="L683" s="54" t="n">
        <x:v>0.002531823616288065</x:v>
      </x:c>
      <x:c r="M683" t="n">
        <x:v>99533</x:v>
      </x:c>
      <x:c r="N683" t="n">
        <x:f>L683*M683</x:f>
        <x:v>252</x:v>
      </x:c>
      <x:c r="O683"/>
      <x:c r="P683"/>
      <x:c r="Q683"/>
      <x:c r="R683"/>
      <x:c r="S683" s="52"/>
      <x:c r="T683" t="str">
        <x:v>OK</x:v>
      </x:c>
      <x:c r="U683" t="str">
        <x:f>IF(AND(ISNUMBER(L683),L683&gt;=0,L683&lt;=1),"OK","CHECK")</x:f>
        <x:v>OK</x:v>
      </x:c>
      <x:c r="V683" t="str">
        <x:f>IF(AND(ISNUMBER(N683),N683&gt;=0),"OK","CHECK")</x:f>
        <x:v>OK</x:v>
      </x:c>
      <x:c r="W683" t="str">
        <x:f>IF(AND(T683="OK",U683="OK",V683="OK"),"OK","CHECK")</x:f>
        <x:v>OK</x:v>
      </x:c>
      <x:c r="X683" t="str">
        <x:f>IF(W683="OK","LOAD","QUARANTINE")</x:f>
        <x:v>LOAD</x:v>
      </x:c>
      <x:c r="Y683" t="str">
        <x:v>03_Process_Losses(6).xlsx</x:v>
      </x:c>
      <x:c r="Z683" t="str">
        <x:v>ENH-20260830-01</x:v>
      </x:c>
      <x:c r="AA683" t="str">
        <x:f>IF(X683="LOAD","Active","Quarantine")</x:f>
        <x:v>Active</x:v>
      </x:c>
      <x:c r="AB683"/>
      <x:c r="AC683"/>
      <x:c r="AD683"/>
      <x:c r="AE683"/>
    </x:row>
    <x:row r="684">
      <x:c r="A684" t="str">
        <x:v>PLD-000680</x:v>
      </x:c>
      <x:c r="B684" t="str">
        <x:v>LOSS-KG01-L25-20251022-PM-ORD-2025-00161</x:v>
      </x:c>
      <x:c r="C684" t="str">
        <x:v>PE-KG01-L25-20251022-PM-ORD-2025-00161</x:v>
      </x:c>
      <x:c r="D684" t="str">
        <x:v>KG01</x:v>
      </x:c>
      <x:c r="E684" t="n">
        <x:v>25</x:v>
      </x:c>
      <x:c r="F684" s="52" t="n">
        <x:v>45952</x:v>
      </x:c>
      <x:c r="G684" t="str">
        <x:v>PM</x:v>
      </x:c>
      <x:c r="H684" t="str">
        <x:v>ORD-2025-00161</x:v>
      </x:c>
      <x:c r="I684" t="str">
        <x:v>Normal</x:v>
      </x:c>
      <x:c r="J684" t="str">
        <x:v>PROC_SANLI</x:v>
      </x:c>
      <x:c r="K684" t="str">
        <x:v>Inspection</x:v>
      </x:c>
      <x:c r="L684" s="54" t="n">
        <x:v>0.0013864748374910834</x:v>
      </x:c>
      <x:c r="M684" t="n">
        <x:v>99533</x:v>
      </x:c>
      <x:c r="N684" t="n">
        <x:f>L684*M684</x:f>
        <x:v>138</x:v>
      </x:c>
      <x:c r="O684"/>
      <x:c r="P684"/>
      <x:c r="Q684"/>
      <x:c r="R684"/>
      <x:c r="S684" s="52"/>
      <x:c r="T684" t="str">
        <x:v>OK</x:v>
      </x:c>
      <x:c r="U684" t="str">
        <x:f>IF(AND(ISNUMBER(L684),L684&gt;=0,L684&lt;=1),"OK","CHECK")</x:f>
        <x:v>OK</x:v>
      </x:c>
      <x:c r="V684" t="str">
        <x:f>IF(AND(ISNUMBER(N684),N684&gt;=0),"OK","CHECK")</x:f>
        <x:v>OK</x:v>
      </x:c>
      <x:c r="W684" t="str">
        <x:f>IF(AND(T684="OK",U684="OK",V684="OK"),"OK","CHECK")</x:f>
        <x:v>OK</x:v>
      </x:c>
      <x:c r="X684" t="str">
        <x:f>IF(W684="OK","LOAD","QUARANTINE")</x:f>
        <x:v>LOAD</x:v>
      </x:c>
      <x:c r="Y684" t="str">
        <x:v>03_Process_Losses(6).xlsx</x:v>
      </x:c>
      <x:c r="Z684" t="str">
        <x:v>ENH-20260830-01</x:v>
      </x:c>
      <x:c r="AA684" t="str">
        <x:f>IF(X684="LOAD","Active","Quarantine")</x:f>
        <x:v>Active</x:v>
      </x:c>
      <x:c r="AB684"/>
      <x:c r="AC684"/>
      <x:c r="AD684"/>
      <x:c r="AE684"/>
    </x:row>
    <x:row r="685">
      <x:c r="A685" t="str">
        <x:v>PLD-000681</x:v>
      </x:c>
      <x:c r="B685" t="str">
        <x:v>LOSS-KG01-L25-20251022-PM-ORD-2025-00161</x:v>
      </x:c>
      <x:c r="C685" t="str">
        <x:v>PE-KG01-L25-20251022-PM-ORD-2025-00161</x:v>
      </x:c>
      <x:c r="D685" t="str">
        <x:v>KG01</x:v>
      </x:c>
      <x:c r="E685" t="n">
        <x:v>25</x:v>
      </x:c>
      <x:c r="F685" s="52" t="n">
        <x:v>45952</x:v>
      </x:c>
      <x:c r="G685" t="str">
        <x:v>PM</x:v>
      </x:c>
      <x:c r="H685" t="str">
        <x:v>ORD-2025-00161</x:v>
      </x:c>
      <x:c r="I685" t="str">
        <x:v>Normal</x:v>
      </x:c>
      <x:c r="J685" t="str">
        <x:v>PROC_VISUAL</x:v>
      </x:c>
      <x:c r="K685" t="str">
        <x:v>Inspection</x:v>
      </x:c>
      <x:c r="L685" s="54" t="n">
        <x:v>0.009956496840243939</x:v>
      </x:c>
      <x:c r="M685" t="n">
        <x:v>99533</x:v>
      </x:c>
      <x:c r="N685" t="n">
        <x:f>L685*M685</x:f>
        <x:v>991</x:v>
      </x:c>
      <x:c r="O685"/>
      <x:c r="P685"/>
      <x:c r="Q685"/>
      <x:c r="R685"/>
      <x:c r="S685" s="52"/>
      <x:c r="T685" t="str">
        <x:v>OK</x:v>
      </x:c>
      <x:c r="U685" t="str">
        <x:f>IF(AND(ISNUMBER(L685),L685&gt;=0,L685&lt;=1),"OK","CHECK")</x:f>
        <x:v>OK</x:v>
      </x:c>
      <x:c r="V685" t="str">
        <x:f>IF(AND(ISNUMBER(N685),N685&gt;=0),"OK","CHECK")</x:f>
        <x:v>OK</x:v>
      </x:c>
      <x:c r="W685" t="str">
        <x:f>IF(AND(T685="OK",U685="OK",V685="OK"),"OK","CHECK")</x:f>
        <x:v>OK</x:v>
      </x:c>
      <x:c r="X685" t="str">
        <x:f>IF(W685="OK","LOAD","QUARANTINE")</x:f>
        <x:v>LOAD</x:v>
      </x:c>
      <x:c r="Y685" t="str">
        <x:v>03_Process_Losses(6).xlsx</x:v>
      </x:c>
      <x:c r="Z685" t="str">
        <x:v>ENH-20260830-01</x:v>
      </x:c>
      <x:c r="AA685" t="str">
        <x:f>IF(X685="LOAD","Active","Quarantine")</x:f>
        <x:v>Active</x:v>
      </x:c>
      <x:c r="AB685"/>
      <x:c r="AC685"/>
      <x:c r="AD685"/>
      <x:c r="AE685"/>
    </x:row>
    <x:row r="686">
      <x:c r="A686" t="str">
        <x:v>PLD-000682</x:v>
      </x:c>
      <x:c r="B686" t="str">
        <x:v>LOSS-KG01-L25-20251022-PM-ORD-2025-00161</x:v>
      </x:c>
      <x:c r="C686" t="str">
        <x:v>PE-KG01-L25-20251022-PM-ORD-2025-00161</x:v>
      </x:c>
      <x:c r="D686" t="str">
        <x:v>KG01</x:v>
      </x:c>
      <x:c r="E686" t="n">
        <x:v>25</x:v>
      </x:c>
      <x:c r="F686" s="52" t="n">
        <x:v>45952</x:v>
      </x:c>
      <x:c r="G686" t="str">
        <x:v>PM</x:v>
      </x:c>
      <x:c r="H686" t="str">
        <x:v>ORD-2025-00161</x:v>
      </x:c>
      <x:c r="I686" t="str">
        <x:v>Normal</x:v>
      </x:c>
      <x:c r="J686" t="str">
        <x:v>PROC_PALLETIZER</x:v>
      </x:c>
      <x:c r="K686" t="str">
        <x:v>Palletizer</x:v>
      </x:c>
      <x:c r="L686" s="54" t="n">
        <x:v>0.005455477077954045</x:v>
      </x:c>
      <x:c r="M686" t="n">
        <x:v>99533</x:v>
      </x:c>
      <x:c r="N686" t="n">
        <x:f>L686*M686</x:f>
        <x:v>543</x:v>
      </x:c>
      <x:c r="O686"/>
      <x:c r="P686"/>
      <x:c r="Q686"/>
      <x:c r="R686"/>
      <x:c r="S686" s="52"/>
      <x:c r="T686" t="str">
        <x:v>OK</x:v>
      </x:c>
      <x:c r="U686" t="str">
        <x:f>IF(AND(ISNUMBER(L686),L686&gt;=0,L686&lt;=1),"OK","CHECK")</x:f>
        <x:v>OK</x:v>
      </x:c>
      <x:c r="V686" t="str">
        <x:f>IF(AND(ISNUMBER(N686),N686&gt;=0),"OK","CHECK")</x:f>
        <x:v>OK</x:v>
      </x:c>
      <x:c r="W686" t="str">
        <x:f>IF(AND(T686="OK",U686="OK",V686="OK"),"OK","CHECK")</x:f>
        <x:v>OK</x:v>
      </x:c>
      <x:c r="X686" t="str">
        <x:f>IF(W686="OK","LOAD","QUARANTINE")</x:f>
        <x:v>LOAD</x:v>
      </x:c>
      <x:c r="Y686" t="str">
        <x:v>03_Process_Losses(6).xlsx</x:v>
      </x:c>
      <x:c r="Z686" t="str">
        <x:v>ENH-20260830-01</x:v>
      </x:c>
      <x:c r="AA686" t="str">
        <x:f>IF(X686="LOAD","Active","Quarantine")</x:f>
        <x:v>Active</x:v>
      </x:c>
      <x:c r="AB686"/>
      <x:c r="AC686"/>
      <x:c r="AD686"/>
      <x:c r="AE686"/>
    </x:row>
    <x:row r="687">
      <x:c r="A687" t="str">
        <x:v>PLD-000683</x:v>
      </x:c>
      <x:c r="B687" t="str">
        <x:v>LOSS-KG01-L25-20251023-AM-ORD-2025-00162</x:v>
      </x:c>
      <x:c r="C687" t="str">
        <x:v>PE-KG01-L25-20251023-AM-ORD-2025-00162</x:v>
      </x:c>
      <x:c r="D687" t="str">
        <x:v>KG01</x:v>
      </x:c>
      <x:c r="E687" t="n">
        <x:v>25</x:v>
      </x:c>
      <x:c r="F687" s="52" t="n">
        <x:v>45953</x:v>
      </x:c>
      <x:c r="G687" t="str">
        <x:v>AM</x:v>
      </x:c>
      <x:c r="H687" t="str">
        <x:v>ORD-2025-00162</x:v>
      </x:c>
      <x:c r="I687" t="str">
        <x:v>Normal</x:v>
      </x:c>
      <x:c r="J687" t="str">
        <x:v>PROC_FIXED</x:v>
      </x:c>
      <x:c r="K687" t="str">
        <x:v>Fixed Losses</x:v>
      </x:c>
      <x:c r="L687" s="54" t="n">
        <x:v>0.008455577190110853</x:v>
      </x:c>
      <x:c r="M687" t="n">
        <x:v>128909</x:v>
      </x:c>
      <x:c r="N687" t="n">
        <x:f>L687*M687</x:f>
        <x:v>1090</x:v>
      </x:c>
      <x:c r="O687"/>
      <x:c r="P687"/>
      <x:c r="Q687"/>
      <x:c r="R687"/>
      <x:c r="S687" s="52"/>
      <x:c r="T687" t="str">
        <x:v>OK</x:v>
      </x:c>
      <x:c r="U687" t="str">
        <x:f>IF(AND(ISNUMBER(L687),L687&gt;=0,L687&lt;=1),"OK","CHECK")</x:f>
        <x:v>OK</x:v>
      </x:c>
      <x:c r="V687" t="str">
        <x:f>IF(AND(ISNUMBER(N687),N687&gt;=0),"OK","CHECK")</x:f>
        <x:v>OK</x:v>
      </x:c>
      <x:c r="W687" t="str">
        <x:f>IF(AND(T687="OK",U687="OK",V687="OK"),"OK","CHECK")</x:f>
        <x:v>OK</x:v>
      </x:c>
      <x:c r="X687" t="str">
        <x:f>IF(W687="OK","LOAD","QUARANTINE")</x:f>
        <x:v>LOAD</x:v>
      </x:c>
      <x:c r="Y687" t="str">
        <x:v>03_Process_Losses(6).xlsx</x:v>
      </x:c>
      <x:c r="Z687" t="str">
        <x:v>ENH-20260830-01</x:v>
      </x:c>
      <x:c r="AA687" t="str">
        <x:f>IF(X687="LOAD","Active","Quarantine")</x:f>
        <x:v>Active</x:v>
      </x:c>
      <x:c r="AB687"/>
      <x:c r="AC687"/>
      <x:c r="AD687"/>
      <x:c r="AE687"/>
    </x:row>
    <x:row r="688">
      <x:c r="A688" t="str">
        <x:v>PLD-000684</x:v>
      </x:c>
      <x:c r="B688" t="str">
        <x:v>LOSS-KG01-L25-20251023-AM-ORD-2025-00162</x:v>
      </x:c>
      <x:c r="C688" t="str">
        <x:v>PE-KG01-L25-20251023-AM-ORD-2025-00162</x:v>
      </x:c>
      <x:c r="D688" t="str">
        <x:v>KG01</x:v>
      </x:c>
      <x:c r="E688" t="n">
        <x:v>25</x:v>
      </x:c>
      <x:c r="F688" s="52" t="n">
        <x:v>45953</x:v>
      </x:c>
      <x:c r="G688" t="str">
        <x:v>AM</x:v>
      </x:c>
      <x:c r="H688" t="str">
        <x:v>ORD-2025-00162</x:v>
      </x:c>
      <x:c r="I688" t="str">
        <x:v>Normal</x:v>
      </x:c>
      <x:c r="J688" t="str">
        <x:v>PROC_IS</x:v>
      </x:c>
      <x:c r="K688" t="str">
        <x:v>IS Machine</x:v>
      </x:c>
      <x:c r="L688" s="54" t="n">
        <x:v>0.011643872809501276</x:v>
      </x:c>
      <x:c r="M688" t="n">
        <x:v>128909</x:v>
      </x:c>
      <x:c r="N688" t="n">
        <x:f>L688*M688</x:f>
        <x:v>1501</x:v>
      </x:c>
      <x:c r="O688"/>
      <x:c r="P688"/>
      <x:c r="Q688"/>
      <x:c r="R688"/>
      <x:c r="S688" s="52"/>
      <x:c r="T688" t="str">
        <x:v>OK</x:v>
      </x:c>
      <x:c r="U688" t="str">
        <x:f>IF(AND(ISNUMBER(L688),L688&gt;=0,L688&lt;=1),"OK","CHECK")</x:f>
        <x:v>OK</x:v>
      </x:c>
      <x:c r="V688" t="str">
        <x:f>IF(AND(ISNUMBER(N688),N688&gt;=0),"OK","CHECK")</x:f>
        <x:v>OK</x:v>
      </x:c>
      <x:c r="W688" t="str">
        <x:f>IF(AND(T688="OK",U688="OK",V688="OK"),"OK","CHECK")</x:f>
        <x:v>OK</x:v>
      </x:c>
      <x:c r="X688" t="str">
        <x:f>IF(W688="OK","LOAD","QUARANTINE")</x:f>
        <x:v>LOAD</x:v>
      </x:c>
      <x:c r="Y688" t="str">
        <x:v>03_Process_Losses(6).xlsx</x:v>
      </x:c>
      <x:c r="Z688" t="str">
        <x:v>ENH-20260830-01</x:v>
      </x:c>
      <x:c r="AA688" t="str">
        <x:f>IF(X688="LOAD","Active","Quarantine")</x:f>
        <x:v>Active</x:v>
      </x:c>
      <x:c r="AB688"/>
      <x:c r="AC688"/>
      <x:c r="AD688"/>
      <x:c r="AE688"/>
    </x:row>
    <x:row r="689">
      <x:c r="A689" t="str">
        <x:v>PLD-000685</x:v>
      </x:c>
      <x:c r="B689" t="str">
        <x:v>LOSS-KG01-L25-20251023-AM-ORD-2025-00162</x:v>
      </x:c>
      <x:c r="C689" t="str">
        <x:v>PE-KG01-L25-20251023-AM-ORD-2025-00162</x:v>
      </x:c>
      <x:c r="D689" t="str">
        <x:v>KG01</x:v>
      </x:c>
      <x:c r="E689" t="n">
        <x:v>25</x:v>
      </x:c>
      <x:c r="F689" s="52" t="n">
        <x:v>45953</x:v>
      </x:c>
      <x:c r="G689" t="str">
        <x:v>AM</x:v>
      </x:c>
      <x:c r="H689" t="str">
        <x:v>ORD-2025-00162</x:v>
      </x:c>
      <x:c r="I689" t="str">
        <x:v>Normal</x:v>
      </x:c>
      <x:c r="J689" t="str">
        <x:v>PROC_HE_CONVEYER</x:v>
      </x:c>
      <x:c r="K689" t="str">
        <x:v>Hot End</x:v>
      </x:c>
      <x:c r="L689" s="54" t="n">
        <x:v>0.0016368135661590734</x:v>
      </x:c>
      <x:c r="M689" t="n">
        <x:v>128909</x:v>
      </x:c>
      <x:c r="N689" t="n">
        <x:f>L689*M689</x:f>
        <x:v>211</x:v>
      </x:c>
      <x:c r="O689"/>
      <x:c r="P689"/>
      <x:c r="Q689"/>
      <x:c r="R689"/>
      <x:c r="S689" s="52"/>
      <x:c r="T689" t="str">
        <x:v>OK</x:v>
      </x:c>
      <x:c r="U689" t="str">
        <x:f>IF(AND(ISNUMBER(L689),L689&gt;=0,L689&lt;=1),"OK","CHECK")</x:f>
        <x:v>OK</x:v>
      </x:c>
      <x:c r="V689" t="str">
        <x:f>IF(AND(ISNUMBER(N689),N689&gt;=0),"OK","CHECK")</x:f>
        <x:v>OK</x:v>
      </x:c>
      <x:c r="W689" t="str">
        <x:f>IF(AND(T689="OK",U689="OK",V689="OK"),"OK","CHECK")</x:f>
        <x:v>OK</x:v>
      </x:c>
      <x:c r="X689" t="str">
        <x:f>IF(W689="OK","LOAD","QUARANTINE")</x:f>
        <x:v>LOAD</x:v>
      </x:c>
      <x:c r="Y689" t="str">
        <x:v>03_Process_Losses(6).xlsx</x:v>
      </x:c>
      <x:c r="Z689" t="str">
        <x:v>ENH-20260830-01</x:v>
      </x:c>
      <x:c r="AA689" t="str">
        <x:f>IF(X689="LOAD","Active","Quarantine")</x:f>
        <x:v>Active</x:v>
      </x:c>
      <x:c r="AB689"/>
      <x:c r="AC689"/>
      <x:c r="AD689"/>
      <x:c r="AE689"/>
    </x:row>
    <x:row r="690">
      <x:c r="A690" t="str">
        <x:v>PLD-000686</x:v>
      </x:c>
      <x:c r="B690" t="str">
        <x:v>LOSS-KG01-L25-20251023-AM-ORD-2025-00162</x:v>
      </x:c>
      <x:c r="C690" t="str">
        <x:v>PE-KG01-L25-20251023-AM-ORD-2025-00162</x:v>
      </x:c>
      <x:c r="D690" t="str">
        <x:v>KG01</x:v>
      </x:c>
      <x:c r="E690" t="n">
        <x:v>25</x:v>
      </x:c>
      <x:c r="F690" s="52" t="n">
        <x:v>45953</x:v>
      </x:c>
      <x:c r="G690" t="str">
        <x:v>AM</x:v>
      </x:c>
      <x:c r="H690" t="str">
        <x:v>ORD-2025-00162</x:v>
      </x:c>
      <x:c r="I690" t="str">
        <x:v>Normal</x:v>
      </x:c>
      <x:c r="J690" t="str">
        <x:v>PROC_STUCKDOWN</x:v>
      </x:c>
      <x:c r="K690" t="str">
        <x:v>Forming</x:v>
      </x:c>
      <x:c r="L690" s="54" t="n">
        <x:v>0.0014273634889728412</x:v>
      </x:c>
      <x:c r="M690" t="n">
        <x:v>128909</x:v>
      </x:c>
      <x:c r="N690" t="n">
        <x:f>L690*M690</x:f>
        <x:v>184</x:v>
      </x:c>
      <x:c r="O690"/>
      <x:c r="P690"/>
      <x:c r="Q690"/>
      <x:c r="R690"/>
      <x:c r="S690" s="52"/>
      <x:c r="T690" t="str">
        <x:v>OK</x:v>
      </x:c>
      <x:c r="U690" t="str">
        <x:f>IF(AND(ISNUMBER(L690),L690&gt;=0,L690&lt;=1),"OK","CHECK")</x:f>
        <x:v>OK</x:v>
      </x:c>
      <x:c r="V690" t="str">
        <x:f>IF(AND(ISNUMBER(N690),N690&gt;=0),"OK","CHECK")</x:f>
        <x:v>OK</x:v>
      </x:c>
      <x:c r="W690" t="str">
        <x:f>IF(AND(T690="OK",U690="OK",V690="OK"),"OK","CHECK")</x:f>
        <x:v>OK</x:v>
      </x:c>
      <x:c r="X690" t="str">
        <x:f>IF(W690="OK","LOAD","QUARANTINE")</x:f>
        <x:v>LOAD</x:v>
      </x:c>
      <x:c r="Y690" t="str">
        <x:v>03_Process_Losses(6).xlsx</x:v>
      </x:c>
      <x:c r="Z690" t="str">
        <x:v>ENH-20260830-01</x:v>
      </x:c>
      <x:c r="AA690" t="str">
        <x:f>IF(X690="LOAD","Active","Quarantine")</x:f>
        <x:v>Active</x:v>
      </x:c>
      <x:c r="AB690"/>
      <x:c r="AC690"/>
      <x:c r="AD690"/>
      <x:c r="AE690"/>
    </x:row>
    <x:row r="691">
      <x:c r="A691" t="str">
        <x:v>PLD-000687</x:v>
      </x:c>
      <x:c r="B691" t="str">
        <x:v>LOSS-KG01-L25-20251023-AM-ORD-2025-00162</x:v>
      </x:c>
      <x:c r="C691" t="str">
        <x:v>PE-KG01-L25-20251023-AM-ORD-2025-00162</x:v>
      </x:c>
      <x:c r="D691" t="str">
        <x:v>KG01</x:v>
      </x:c>
      <x:c r="E691" t="n">
        <x:v>25</x:v>
      </x:c>
      <x:c r="F691" s="52" t="n">
        <x:v>45953</x:v>
      </x:c>
      <x:c r="G691" t="str">
        <x:v>AM</x:v>
      </x:c>
      <x:c r="H691" t="str">
        <x:v>ORD-2025-00162</x:v>
      </x:c>
      <x:c r="I691" t="str">
        <x:v>Normal</x:v>
      </x:c>
      <x:c r="J691" t="str">
        <x:v>PROC_LEHR</x:v>
      </x:c>
      <x:c r="K691" t="str">
        <x:v>Lehr</x:v>
      </x:c>
      <x:c r="L691" s="54" t="n">
        <x:v>0.005515518699237446</x:v>
      </x:c>
      <x:c r="M691" t="n">
        <x:v>128909</x:v>
      </x:c>
      <x:c r="N691" t="n">
        <x:f>L691*M691</x:f>
        <x:v>711</x:v>
      </x:c>
      <x:c r="O691"/>
      <x:c r="P691"/>
      <x:c r="Q691"/>
      <x:c r="R691"/>
      <x:c r="S691" s="52"/>
      <x:c r="T691" t="str">
        <x:v>OK</x:v>
      </x:c>
      <x:c r="U691" t="str">
        <x:f>IF(AND(ISNUMBER(L691),L691&gt;=0,L691&lt;=1),"OK","CHECK")</x:f>
        <x:v>OK</x:v>
      </x:c>
      <x:c r="V691" t="str">
        <x:f>IF(AND(ISNUMBER(N691),N691&gt;=0),"OK","CHECK")</x:f>
        <x:v>OK</x:v>
      </x:c>
      <x:c r="W691" t="str">
        <x:f>IF(AND(T691="OK",U691="OK",V691="OK"),"OK","CHECK")</x:f>
        <x:v>OK</x:v>
      </x:c>
      <x:c r="X691" t="str">
        <x:f>IF(W691="OK","LOAD","QUARANTINE")</x:f>
        <x:v>LOAD</x:v>
      </x:c>
      <x:c r="Y691" t="str">
        <x:v>03_Process_Losses(6).xlsx</x:v>
      </x:c>
      <x:c r="Z691" t="str">
        <x:v>ENH-20260830-01</x:v>
      </x:c>
      <x:c r="AA691" t="str">
        <x:f>IF(X691="LOAD","Active","Quarantine")</x:f>
        <x:v>Active</x:v>
      </x:c>
      <x:c r="AB691"/>
      <x:c r="AC691"/>
      <x:c r="AD691"/>
      <x:c r="AE691"/>
    </x:row>
    <x:row r="692">
      <x:c r="A692" t="str">
        <x:v>PLD-000688</x:v>
      </x:c>
      <x:c r="B692" t="str">
        <x:v>LOSS-KG01-L25-20251023-AM-ORD-2025-00162</x:v>
      </x:c>
      <x:c r="C692" t="str">
        <x:v>PE-KG01-L25-20251023-AM-ORD-2025-00162</x:v>
      </x:c>
      <x:c r="D692" t="str">
        <x:v>KG01</x:v>
      </x:c>
      <x:c r="E692" t="n">
        <x:v>25</x:v>
      </x:c>
      <x:c r="F692" s="52" t="n">
        <x:v>45953</x:v>
      </x:c>
      <x:c r="G692" t="str">
        <x:v>AM</x:v>
      </x:c>
      <x:c r="H692" t="str">
        <x:v>ORD-2025-00162</x:v>
      </x:c>
      <x:c r="I692" t="str">
        <x:v>Normal</x:v>
      </x:c>
      <x:c r="J692" t="str">
        <x:v>PROC_EVO16</x:v>
      </x:c>
      <x:c r="K692" t="str">
        <x:v>Inspection</x:v>
      </x:c>
      <x:c r="L692" s="54" t="n">
        <x:v>0.0026375194904932936</x:v>
      </x:c>
      <x:c r="M692" t="n">
        <x:v>128909</x:v>
      </x:c>
      <x:c r="N692" t="n">
        <x:f>L692*M692</x:f>
        <x:v>340</x:v>
      </x:c>
      <x:c r="O692"/>
      <x:c r="P692"/>
      <x:c r="Q692"/>
      <x:c r="R692"/>
      <x:c r="S692" s="52"/>
      <x:c r="T692" t="str">
        <x:v>OK</x:v>
      </x:c>
      <x:c r="U692" t="str">
        <x:f>IF(AND(ISNUMBER(L692),L692&gt;=0,L692&lt;=1),"OK","CHECK")</x:f>
        <x:v>OK</x:v>
      </x:c>
      <x:c r="V692" t="str">
        <x:f>IF(AND(ISNUMBER(N692),N692&gt;=0),"OK","CHECK")</x:f>
        <x:v>OK</x:v>
      </x:c>
      <x:c r="W692" t="str">
        <x:f>IF(AND(T692="OK",U692="OK",V692="OK"),"OK","CHECK")</x:f>
        <x:v>OK</x:v>
      </x:c>
      <x:c r="X692" t="str">
        <x:f>IF(W692="OK","LOAD","QUARANTINE")</x:f>
        <x:v>LOAD</x:v>
      </x:c>
      <x:c r="Y692" t="str">
        <x:v>03_Process_Losses(6).xlsx</x:v>
      </x:c>
      <x:c r="Z692" t="str">
        <x:v>ENH-20260830-01</x:v>
      </x:c>
      <x:c r="AA692" t="str">
        <x:f>IF(X692="LOAD","Active","Quarantine")</x:f>
        <x:v>Active</x:v>
      </x:c>
      <x:c r="AB692"/>
      <x:c r="AC692"/>
      <x:c r="AD692"/>
      <x:c r="AE692"/>
    </x:row>
    <x:row r="693">
      <x:c r="A693" t="str">
        <x:v>PLD-000689</x:v>
      </x:c>
      <x:c r="B693" t="str">
        <x:v>LOSS-KG01-L25-20251023-AM-ORD-2025-00162</x:v>
      </x:c>
      <x:c r="C693" t="str">
        <x:v>PE-KG01-L25-20251023-AM-ORD-2025-00162</x:v>
      </x:c>
      <x:c r="D693" t="str">
        <x:v>KG01</x:v>
      </x:c>
      <x:c r="E693" t="n">
        <x:v>25</x:v>
      </x:c>
      <x:c r="F693" s="52" t="n">
        <x:v>45953</x:v>
      </x:c>
      <x:c r="G693" t="str">
        <x:v>AM</x:v>
      </x:c>
      <x:c r="H693" t="str">
        <x:v>ORD-2025-00162</x:v>
      </x:c>
      <x:c r="I693" t="str">
        <x:v>Normal</x:v>
      </x:c>
      <x:c r="J693" t="str">
        <x:v>PROC_EVO12</x:v>
      </x:c>
      <x:c r="K693" t="str">
        <x:v>Inspection</x:v>
      </x:c>
      <x:c r="L693" s="54" t="n">
        <x:v>0.0027538806444856448</x:v>
      </x:c>
      <x:c r="M693" t="n">
        <x:v>128909</x:v>
      </x:c>
      <x:c r="N693" t="n">
        <x:f>L693*M693</x:f>
        <x:v>355</x:v>
      </x:c>
      <x:c r="O693"/>
      <x:c r="P693"/>
      <x:c r="Q693"/>
      <x:c r="R693"/>
      <x:c r="S693" s="52"/>
      <x:c r="T693" t="str">
        <x:v>OK</x:v>
      </x:c>
      <x:c r="U693" t="str">
        <x:f>IF(AND(ISNUMBER(L693),L693&gt;=0,L693&lt;=1),"OK","CHECK")</x:f>
        <x:v>OK</x:v>
      </x:c>
      <x:c r="V693" t="str">
        <x:f>IF(AND(ISNUMBER(N693),N693&gt;=0),"OK","CHECK")</x:f>
        <x:v>OK</x:v>
      </x:c>
      <x:c r="W693" t="str">
        <x:f>IF(AND(T693="OK",U693="OK",V693="OK"),"OK","CHECK")</x:f>
        <x:v>OK</x:v>
      </x:c>
      <x:c r="X693" t="str">
        <x:f>IF(W693="OK","LOAD","QUARANTINE")</x:f>
        <x:v>LOAD</x:v>
      </x:c>
      <x:c r="Y693" t="str">
        <x:v>03_Process_Losses(6).xlsx</x:v>
      </x:c>
      <x:c r="Z693" t="str">
        <x:v>ENH-20260830-01</x:v>
      </x:c>
      <x:c r="AA693" t="str">
        <x:f>IF(X693="LOAD","Active","Quarantine")</x:f>
        <x:v>Active</x:v>
      </x:c>
      <x:c r="AB693"/>
      <x:c r="AC693"/>
      <x:c r="AD693"/>
      <x:c r="AE693"/>
    </x:row>
    <x:row r="694">
      <x:c r="A694" t="str">
        <x:v>PLD-000690</x:v>
      </x:c>
      <x:c r="B694" t="str">
        <x:v>LOSS-KG01-L25-20251023-AM-ORD-2025-00162</x:v>
      </x:c>
      <x:c r="C694" t="str">
        <x:v>PE-KG01-L25-20251023-AM-ORD-2025-00162</x:v>
      </x:c>
      <x:c r="D694" t="str">
        <x:v>KG01</x:v>
      </x:c>
      <x:c r="E694" t="n">
        <x:v>25</x:v>
      </x:c>
      <x:c r="F694" s="52" t="n">
        <x:v>45953</x:v>
      </x:c>
      <x:c r="G694" t="str">
        <x:v>AM</x:v>
      </x:c>
      <x:c r="H694" t="str">
        <x:v>ORD-2025-00162</x:v>
      </x:c>
      <x:c r="I694" t="str">
        <x:v>Normal</x:v>
      </x:c>
      <x:c r="J694" t="str">
        <x:v>PROC_EVO5</x:v>
      </x:c>
      <x:c r="K694" t="str">
        <x:v>Inspection</x:v>
      </x:c>
      <x:c r="L694" s="54" t="n">
        <x:v>0.0005042316673001885</x:v>
      </x:c>
      <x:c r="M694" t="n">
        <x:v>128909</x:v>
      </x:c>
      <x:c r="N694" t="n">
        <x:f>L694*M694</x:f>
        <x:v>65</x:v>
      </x:c>
      <x:c r="O694"/>
      <x:c r="P694"/>
      <x:c r="Q694"/>
      <x:c r="R694"/>
      <x:c r="S694" s="52"/>
      <x:c r="T694" t="str">
        <x:v>OK</x:v>
      </x:c>
      <x:c r="U694" t="str">
        <x:f>IF(AND(ISNUMBER(L694),L694&gt;=0,L694&lt;=1),"OK","CHECK")</x:f>
        <x:v>OK</x:v>
      </x:c>
      <x:c r="V694" t="str">
        <x:f>IF(AND(ISNUMBER(N694),N694&gt;=0),"OK","CHECK")</x:f>
        <x:v>OK</x:v>
      </x:c>
      <x:c r="W694" t="str">
        <x:f>IF(AND(T694="OK",U694="OK",V694="OK"),"OK","CHECK")</x:f>
        <x:v>OK</x:v>
      </x:c>
      <x:c r="X694" t="str">
        <x:f>IF(W694="OK","LOAD","QUARANTINE")</x:f>
        <x:v>LOAD</x:v>
      </x:c>
      <x:c r="Y694" t="str">
        <x:v>03_Process_Losses(6).xlsx</x:v>
      </x:c>
      <x:c r="Z694" t="str">
        <x:v>ENH-20260830-01</x:v>
      </x:c>
      <x:c r="AA694" t="str">
        <x:f>IF(X694="LOAD","Active","Quarantine")</x:f>
        <x:v>Active</x:v>
      </x:c>
      <x:c r="AB694"/>
      <x:c r="AC694"/>
      <x:c r="AD694"/>
      <x:c r="AE694"/>
    </x:row>
    <x:row r="695">
      <x:c r="A695" t="str">
        <x:v>PLD-000691</x:v>
      </x:c>
      <x:c r="B695" t="str">
        <x:v>LOSS-KG01-L25-20251023-AM-ORD-2025-00162</x:v>
      </x:c>
      <x:c r="C695" t="str">
        <x:v>PE-KG01-L25-20251023-AM-ORD-2025-00162</x:v>
      </x:c>
      <x:c r="D695" t="str">
        <x:v>KG01</x:v>
      </x:c>
      <x:c r="E695" t="n">
        <x:v>25</x:v>
      </x:c>
      <x:c r="F695" s="52" t="n">
        <x:v>45953</x:v>
      </x:c>
      <x:c r="G695" t="str">
        <x:v>AM</x:v>
      </x:c>
      <x:c r="H695" t="str">
        <x:v>ORD-2025-00162</x:v>
      </x:c>
      <x:c r="I695" t="str">
        <x:v>Normal</x:v>
      </x:c>
      <x:c r="J695" t="str">
        <x:v>PROC_SANLI</x:v>
      </x:c>
      <x:c r="K695" t="str">
        <x:v>Inspection</x:v>
      </x:c>
      <x:c r="L695" s="54" t="n">
        <x:v>0.006981669239541071</x:v>
      </x:c>
      <x:c r="M695" t="n">
        <x:v>128909</x:v>
      </x:c>
      <x:c r="N695" t="n">
        <x:f>L695*M695</x:f>
        <x:v>900</x:v>
      </x:c>
      <x:c r="O695"/>
      <x:c r="P695"/>
      <x:c r="Q695"/>
      <x:c r="R695"/>
      <x:c r="S695" s="52"/>
      <x:c r="T695" t="str">
        <x:v>OK</x:v>
      </x:c>
      <x:c r="U695" t="str">
        <x:f>IF(AND(ISNUMBER(L695),L695&gt;=0,L695&lt;=1),"OK","CHECK")</x:f>
        <x:v>OK</x:v>
      </x:c>
      <x:c r="V695" t="str">
        <x:f>IF(AND(ISNUMBER(N695),N695&gt;=0),"OK","CHECK")</x:f>
        <x:v>OK</x:v>
      </x:c>
      <x:c r="W695" t="str">
        <x:f>IF(AND(T695="OK",U695="OK",V695="OK"),"OK","CHECK")</x:f>
        <x:v>OK</x:v>
      </x:c>
      <x:c r="X695" t="str">
        <x:f>IF(W695="OK","LOAD","QUARANTINE")</x:f>
        <x:v>LOAD</x:v>
      </x:c>
      <x:c r="Y695" t="str">
        <x:v>03_Process_Losses(6).xlsx</x:v>
      </x:c>
      <x:c r="Z695" t="str">
        <x:v>ENH-20260830-01</x:v>
      </x:c>
      <x:c r="AA695" t="str">
        <x:f>IF(X695="LOAD","Active","Quarantine")</x:f>
        <x:v>Active</x:v>
      </x:c>
      <x:c r="AB695"/>
      <x:c r="AC695"/>
      <x:c r="AD695"/>
      <x:c r="AE695"/>
    </x:row>
    <x:row r="696">
      <x:c r="A696" t="str">
        <x:v>PLD-000692</x:v>
      </x:c>
      <x:c r="B696" t="str">
        <x:v>LOSS-KG01-L25-20251023-AM-ORD-2025-00162</x:v>
      </x:c>
      <x:c r="C696" t="str">
        <x:v>PE-KG01-L25-20251023-AM-ORD-2025-00162</x:v>
      </x:c>
      <x:c r="D696" t="str">
        <x:v>KG01</x:v>
      </x:c>
      <x:c r="E696" t="n">
        <x:v>25</x:v>
      </x:c>
      <x:c r="F696" s="52" t="n">
        <x:v>45953</x:v>
      </x:c>
      <x:c r="G696" t="str">
        <x:v>AM</x:v>
      </x:c>
      <x:c r="H696" t="str">
        <x:v>ORD-2025-00162</x:v>
      </x:c>
      <x:c r="I696" t="str">
        <x:v>Normal</x:v>
      </x:c>
      <x:c r="J696" t="str">
        <x:v>PROC_VISUAL</x:v>
      </x:c>
      <x:c r="K696" t="str">
        <x:v>Inspection</x:v>
      </x:c>
      <x:c r="L696" s="54" t="n">
        <x:v>0.0037235569277552383</x:v>
      </x:c>
      <x:c r="M696" t="n">
        <x:v>128909</x:v>
      </x:c>
      <x:c r="N696" t="n">
        <x:f>L696*M696</x:f>
        <x:v>480</x:v>
      </x:c>
      <x:c r="O696"/>
      <x:c r="P696"/>
      <x:c r="Q696"/>
      <x:c r="R696"/>
      <x:c r="S696" s="52"/>
      <x:c r="T696" t="str">
        <x:v>OK</x:v>
      </x:c>
      <x:c r="U696" t="str">
        <x:f>IF(AND(ISNUMBER(L696),L696&gt;=0,L696&lt;=1),"OK","CHECK")</x:f>
        <x:v>OK</x:v>
      </x:c>
      <x:c r="V696" t="str">
        <x:f>IF(AND(ISNUMBER(N696),N696&gt;=0),"OK","CHECK")</x:f>
        <x:v>OK</x:v>
      </x:c>
      <x:c r="W696" t="str">
        <x:f>IF(AND(T696="OK",U696="OK",V696="OK"),"OK","CHECK")</x:f>
        <x:v>OK</x:v>
      </x:c>
      <x:c r="X696" t="str">
        <x:f>IF(W696="OK","LOAD","QUARANTINE")</x:f>
        <x:v>LOAD</x:v>
      </x:c>
      <x:c r="Y696" t="str">
        <x:v>03_Process_Losses(6).xlsx</x:v>
      </x:c>
      <x:c r="Z696" t="str">
        <x:v>ENH-20260830-01</x:v>
      </x:c>
      <x:c r="AA696" t="str">
        <x:f>IF(X696="LOAD","Active","Quarantine")</x:f>
        <x:v>Active</x:v>
      </x:c>
      <x:c r="AB696"/>
      <x:c r="AC696"/>
      <x:c r="AD696"/>
      <x:c r="AE696"/>
    </x:row>
    <x:row r="697">
      <x:c r="A697" t="str">
        <x:v>PLD-000693</x:v>
      </x:c>
      <x:c r="B697" t="str">
        <x:v>LOSS-KG01-L25-20251023-AM-ORD-2025-00162</x:v>
      </x:c>
      <x:c r="C697" t="str">
        <x:v>PE-KG01-L25-20251023-AM-ORD-2025-00162</x:v>
      </x:c>
      <x:c r="D697" t="str">
        <x:v>KG01</x:v>
      </x:c>
      <x:c r="E697" t="n">
        <x:v>25</x:v>
      </x:c>
      <x:c r="F697" s="52" t="n">
        <x:v>45953</x:v>
      </x:c>
      <x:c r="G697" t="str">
        <x:v>AM</x:v>
      </x:c>
      <x:c r="H697" t="str">
        <x:v>ORD-2025-00162</x:v>
      </x:c>
      <x:c r="I697" t="str">
        <x:v>Normal</x:v>
      </x:c>
      <x:c r="J697" t="str">
        <x:v>PROC_PALLETIZER</x:v>
      </x:c>
      <x:c r="K697" t="str">
        <x:v>Palletizer</x:v>
      </x:c>
      <x:c r="L697" s="54" t="n">
        <x:v>0.006019750366537635</x:v>
      </x:c>
      <x:c r="M697" t="n">
        <x:v>128909</x:v>
      </x:c>
      <x:c r="N697" t="n">
        <x:f>L697*M697</x:f>
        <x:v>776</x:v>
      </x:c>
      <x:c r="O697"/>
      <x:c r="P697"/>
      <x:c r="Q697"/>
      <x:c r="R697"/>
      <x:c r="S697" s="52"/>
      <x:c r="T697" t="str">
        <x:v>OK</x:v>
      </x:c>
      <x:c r="U697" t="str">
        <x:f>IF(AND(ISNUMBER(L697),L697&gt;=0,L697&lt;=1),"OK","CHECK")</x:f>
        <x:v>OK</x:v>
      </x:c>
      <x:c r="V697" t="str">
        <x:f>IF(AND(ISNUMBER(N697),N697&gt;=0),"OK","CHECK")</x:f>
        <x:v>OK</x:v>
      </x:c>
      <x:c r="W697" t="str">
        <x:f>IF(AND(T697="OK",U697="OK",V697="OK"),"OK","CHECK")</x:f>
        <x:v>OK</x:v>
      </x:c>
      <x:c r="X697" t="str">
        <x:f>IF(W697="OK","LOAD","QUARANTINE")</x:f>
        <x:v>LOAD</x:v>
      </x:c>
      <x:c r="Y697" t="str">
        <x:v>03_Process_Losses(6).xlsx</x:v>
      </x:c>
      <x:c r="Z697" t="str">
        <x:v>ENH-20260830-01</x:v>
      </x:c>
      <x:c r="AA697" t="str">
        <x:f>IF(X697="LOAD","Active","Quarantine")</x:f>
        <x:v>Active</x:v>
      </x:c>
      <x:c r="AB697"/>
      <x:c r="AC697"/>
      <x:c r="AD697"/>
      <x:c r="AE697"/>
    </x:row>
    <x:row r="698">
      <x:c r="A698" t="str">
        <x:v>PLD-000694</x:v>
      </x:c>
      <x:c r="B698" t="str">
        <x:v>LOSS-KG01-L25-20251023-PM-ORD-2025-00162</x:v>
      </x:c>
      <x:c r="C698" t="str">
        <x:v>PE-KG01-L25-20251023-PM-ORD-2025-00162</x:v>
      </x:c>
      <x:c r="D698" t="str">
        <x:v>KG01</x:v>
      </x:c>
      <x:c r="E698" t="n">
        <x:v>25</x:v>
      </x:c>
      <x:c r="F698" s="52" t="n">
        <x:v>45953</x:v>
      </x:c>
      <x:c r="G698" t="str">
        <x:v>PM</x:v>
      </x:c>
      <x:c r="H698" t="str">
        <x:v>ORD-2025-00162</x:v>
      </x:c>
      <x:c r="I698" t="str">
        <x:v>Normal</x:v>
      </x:c>
      <x:c r="J698" t="str">
        <x:v>PROC_FIXED</x:v>
      </x:c>
      <x:c r="K698" t="str">
        <x:v>Fixed Losses</x:v>
      </x:c>
      <x:c r="L698" s="54" t="n">
        <x:v>0.006497202173792603</x:v>
      </x:c>
      <x:c r="M698" t="n">
        <x:v>198547</x:v>
      </x:c>
      <x:c r="N698" t="n">
        <x:f>L698*M698</x:f>
        <x:v>1290</x:v>
      </x:c>
      <x:c r="O698"/>
      <x:c r="P698"/>
      <x:c r="Q698"/>
      <x:c r="R698"/>
      <x:c r="S698" s="52"/>
      <x:c r="T698" t="str">
        <x:v>OK</x:v>
      </x:c>
      <x:c r="U698" t="str">
        <x:f>IF(AND(ISNUMBER(L698),L698&gt;=0,L698&lt;=1),"OK","CHECK")</x:f>
        <x:v>OK</x:v>
      </x:c>
      <x:c r="V698" t="str">
        <x:f>IF(AND(ISNUMBER(N698),N698&gt;=0),"OK","CHECK")</x:f>
        <x:v>OK</x:v>
      </x:c>
      <x:c r="W698" t="str">
        <x:f>IF(AND(T698="OK",U698="OK",V698="OK"),"OK","CHECK")</x:f>
        <x:v>OK</x:v>
      </x:c>
      <x:c r="X698" t="str">
        <x:f>IF(W698="OK","LOAD","QUARANTINE")</x:f>
        <x:v>LOAD</x:v>
      </x:c>
      <x:c r="Y698" t="str">
        <x:v>03_Process_Losses(6).xlsx</x:v>
      </x:c>
      <x:c r="Z698" t="str">
        <x:v>ENH-20260830-01</x:v>
      </x:c>
      <x:c r="AA698" t="str">
        <x:f>IF(X698="LOAD","Active","Quarantine")</x:f>
        <x:v>Active</x:v>
      </x:c>
      <x:c r="AB698"/>
      <x:c r="AC698"/>
      <x:c r="AD698"/>
      <x:c r="AE698"/>
    </x:row>
    <x:row r="699">
      <x:c r="A699" t="str">
        <x:v>PLD-000695</x:v>
      </x:c>
      <x:c r="B699" t="str">
        <x:v>LOSS-KG01-L25-20251023-PM-ORD-2025-00162</x:v>
      </x:c>
      <x:c r="C699" t="str">
        <x:v>PE-KG01-L25-20251023-PM-ORD-2025-00162</x:v>
      </x:c>
      <x:c r="D699" t="str">
        <x:v>KG01</x:v>
      </x:c>
      <x:c r="E699" t="n">
        <x:v>25</x:v>
      </x:c>
      <x:c r="F699" s="52" t="n">
        <x:v>45953</x:v>
      </x:c>
      <x:c r="G699" t="str">
        <x:v>PM</x:v>
      </x:c>
      <x:c r="H699" t="str">
        <x:v>ORD-2025-00162</x:v>
      </x:c>
      <x:c r="I699" t="str">
        <x:v>Normal</x:v>
      </x:c>
      <x:c r="J699" t="str">
        <x:v>PROC_IS</x:v>
      </x:c>
      <x:c r="K699" t="str">
        <x:v>IS Machine</x:v>
      </x:c>
      <x:c r="L699" s="54" t="n">
        <x:v>0.010380413705570973</x:v>
      </x:c>
      <x:c r="M699" t="n">
        <x:v>198547</x:v>
      </x:c>
      <x:c r="N699" t="n">
        <x:f>L699*M699</x:f>
        <x:v>2061</x:v>
      </x:c>
      <x:c r="O699"/>
      <x:c r="P699"/>
      <x:c r="Q699"/>
      <x:c r="R699"/>
      <x:c r="S699" s="52"/>
      <x:c r="T699" t="str">
        <x:v>OK</x:v>
      </x:c>
      <x:c r="U699" t="str">
        <x:f>IF(AND(ISNUMBER(L699),L699&gt;=0,L699&lt;=1),"OK","CHECK")</x:f>
        <x:v>OK</x:v>
      </x:c>
      <x:c r="V699" t="str">
        <x:f>IF(AND(ISNUMBER(N699),N699&gt;=0),"OK","CHECK")</x:f>
        <x:v>OK</x:v>
      </x:c>
      <x:c r="W699" t="str">
        <x:f>IF(AND(T699="OK",U699="OK",V699="OK"),"OK","CHECK")</x:f>
        <x:v>OK</x:v>
      </x:c>
      <x:c r="X699" t="str">
        <x:f>IF(W699="OK","LOAD","QUARANTINE")</x:f>
        <x:v>LOAD</x:v>
      </x:c>
      <x:c r="Y699" t="str">
        <x:v>03_Process_Losses(6).xlsx</x:v>
      </x:c>
      <x:c r="Z699" t="str">
        <x:v>ENH-20260830-01</x:v>
      </x:c>
      <x:c r="AA699" t="str">
        <x:f>IF(X699="LOAD","Active","Quarantine")</x:f>
        <x:v>Active</x:v>
      </x:c>
      <x:c r="AB699"/>
      <x:c r="AC699"/>
      <x:c r="AD699"/>
      <x:c r="AE699"/>
    </x:row>
    <x:row r="700">
      <x:c r="A700" t="str">
        <x:v>PLD-000696</x:v>
      </x:c>
      <x:c r="B700" t="str">
        <x:v>LOSS-KG01-L25-20251023-PM-ORD-2025-00162</x:v>
      </x:c>
      <x:c r="C700" t="str">
        <x:v>PE-KG01-L25-20251023-PM-ORD-2025-00162</x:v>
      </x:c>
      <x:c r="D700" t="str">
        <x:v>KG01</x:v>
      </x:c>
      <x:c r="E700" t="n">
        <x:v>25</x:v>
      </x:c>
      <x:c r="F700" s="52" t="n">
        <x:v>45953</x:v>
      </x:c>
      <x:c r="G700" t="str">
        <x:v>PM</x:v>
      </x:c>
      <x:c r="H700" t="str">
        <x:v>ORD-2025-00162</x:v>
      </x:c>
      <x:c r="I700" t="str">
        <x:v>Normal</x:v>
      </x:c>
      <x:c r="J700" t="str">
        <x:v>PROC_HE_CONVEYER</x:v>
      </x:c>
      <x:c r="K700" t="str">
        <x:v>Hot End</x:v>
      </x:c>
      <x:c r="L700" s="54" t="n">
        <x:v>0.0032334913143991094</x:v>
      </x:c>
      <x:c r="M700" t="n">
        <x:v>198547</x:v>
      </x:c>
      <x:c r="N700" t="n">
        <x:f>L700*M700</x:f>
        <x:v>642</x:v>
      </x:c>
      <x:c r="O700"/>
      <x:c r="P700"/>
      <x:c r="Q700"/>
      <x:c r="R700"/>
      <x:c r="S700" s="52"/>
      <x:c r="T700" t="str">
        <x:v>OK</x:v>
      </x:c>
      <x:c r="U700" t="str">
        <x:f>IF(AND(ISNUMBER(L700),L700&gt;=0,L700&lt;=1),"OK","CHECK")</x:f>
        <x:v>OK</x:v>
      </x:c>
      <x:c r="V700" t="str">
        <x:f>IF(AND(ISNUMBER(N700),N700&gt;=0),"OK","CHECK")</x:f>
        <x:v>OK</x:v>
      </x:c>
      <x:c r="W700" t="str">
        <x:f>IF(AND(T700="OK",U700="OK",V700="OK"),"OK","CHECK")</x:f>
        <x:v>OK</x:v>
      </x:c>
      <x:c r="X700" t="str">
        <x:f>IF(W700="OK","LOAD","QUARANTINE")</x:f>
        <x:v>LOAD</x:v>
      </x:c>
      <x:c r="Y700" t="str">
        <x:v>03_Process_Losses(6).xlsx</x:v>
      </x:c>
      <x:c r="Z700" t="str">
        <x:v>ENH-20260830-01</x:v>
      </x:c>
      <x:c r="AA700" t="str">
        <x:f>IF(X700="LOAD","Active","Quarantine")</x:f>
        <x:v>Active</x:v>
      </x:c>
      <x:c r="AB700"/>
      <x:c r="AC700"/>
      <x:c r="AD700"/>
      <x:c r="AE700"/>
    </x:row>
    <x:row r="701">
      <x:c r="A701" t="str">
        <x:v>PLD-000697</x:v>
      </x:c>
      <x:c r="B701" t="str">
        <x:v>LOSS-KG01-L25-20251023-PM-ORD-2025-00162</x:v>
      </x:c>
      <x:c r="C701" t="str">
        <x:v>PE-KG01-L25-20251023-PM-ORD-2025-00162</x:v>
      </x:c>
      <x:c r="D701" t="str">
        <x:v>KG01</x:v>
      </x:c>
      <x:c r="E701" t="n">
        <x:v>25</x:v>
      </x:c>
      <x:c r="F701" s="52" t="n">
        <x:v>45953</x:v>
      </x:c>
      <x:c r="G701" t="str">
        <x:v>PM</x:v>
      </x:c>
      <x:c r="H701" t="str">
        <x:v>ORD-2025-00162</x:v>
      </x:c>
      <x:c r="I701" t="str">
        <x:v>Normal</x:v>
      </x:c>
      <x:c r="J701" t="str">
        <x:v>PROC_STUCKDOWN</x:v>
      </x:c>
      <x:c r="K701" t="str">
        <x:v>Forming</x:v>
      </x:c>
      <x:c r="L701" s="54" t="n">
        <x:v>0.004900602879922638</x:v>
      </x:c>
      <x:c r="M701" t="n">
        <x:v>198547</x:v>
      </x:c>
      <x:c r="N701" t="n">
        <x:f>L701*M701</x:f>
        <x:v>973</x:v>
      </x:c>
      <x:c r="O701"/>
      <x:c r="P701"/>
      <x:c r="Q701"/>
      <x:c r="R701"/>
      <x:c r="S701" s="52"/>
      <x:c r="T701" t="str">
        <x:v>OK</x:v>
      </x:c>
      <x:c r="U701" t="str">
        <x:f>IF(AND(ISNUMBER(L701),L701&gt;=0,L701&lt;=1),"OK","CHECK")</x:f>
        <x:v>OK</x:v>
      </x:c>
      <x:c r="V701" t="str">
        <x:f>IF(AND(ISNUMBER(N701),N701&gt;=0),"OK","CHECK")</x:f>
        <x:v>OK</x:v>
      </x:c>
      <x:c r="W701" t="str">
        <x:f>IF(AND(T701="OK",U701="OK",V701="OK"),"OK","CHECK")</x:f>
        <x:v>OK</x:v>
      </x:c>
      <x:c r="X701" t="str">
        <x:f>IF(W701="OK","LOAD","QUARANTINE")</x:f>
        <x:v>LOAD</x:v>
      </x:c>
      <x:c r="Y701" t="str">
        <x:v>03_Process_Losses(6).xlsx</x:v>
      </x:c>
      <x:c r="Z701" t="str">
        <x:v>ENH-20260830-01</x:v>
      </x:c>
      <x:c r="AA701" t="str">
        <x:f>IF(X701="LOAD","Active","Quarantine")</x:f>
        <x:v>Active</x:v>
      </x:c>
      <x:c r="AB701"/>
      <x:c r="AC701"/>
      <x:c r="AD701"/>
      <x:c r="AE701"/>
    </x:row>
    <x:row r="702">
      <x:c r="A702" t="str">
        <x:v>PLD-000698</x:v>
      </x:c>
      <x:c r="B702" t="str">
        <x:v>LOSS-KG01-L25-20251023-PM-ORD-2025-00162</x:v>
      </x:c>
      <x:c r="C702" t="str">
        <x:v>PE-KG01-L25-20251023-PM-ORD-2025-00162</x:v>
      </x:c>
      <x:c r="D702" t="str">
        <x:v>KG01</x:v>
      </x:c>
      <x:c r="E702" t="n">
        <x:v>25</x:v>
      </x:c>
      <x:c r="F702" s="52" t="n">
        <x:v>45953</x:v>
      </x:c>
      <x:c r="G702" t="str">
        <x:v>PM</x:v>
      </x:c>
      <x:c r="H702" t="str">
        <x:v>ORD-2025-00162</x:v>
      </x:c>
      <x:c r="I702" t="str">
        <x:v>Normal</x:v>
      </x:c>
      <x:c r="J702" t="str">
        <x:v>PROC_LEHR</x:v>
      </x:c>
      <x:c r="K702" t="str">
        <x:v>Lehr</x:v>
      </x:c>
      <x:c r="L702" s="54" t="n">
        <x:v>0.0066936292162561</x:v>
      </x:c>
      <x:c r="M702" t="n">
        <x:v>198547</x:v>
      </x:c>
      <x:c r="N702" t="n">
        <x:f>L702*M702</x:f>
        <x:v>1329</x:v>
      </x:c>
      <x:c r="O702"/>
      <x:c r="P702"/>
      <x:c r="Q702"/>
      <x:c r="R702"/>
      <x:c r="S702" s="52"/>
      <x:c r="T702" t="str">
        <x:v>OK</x:v>
      </x:c>
      <x:c r="U702" t="str">
        <x:f>IF(AND(ISNUMBER(L702),L702&gt;=0,L702&lt;=1),"OK","CHECK")</x:f>
        <x:v>OK</x:v>
      </x:c>
      <x:c r="V702" t="str">
        <x:f>IF(AND(ISNUMBER(N702),N702&gt;=0),"OK","CHECK")</x:f>
        <x:v>OK</x:v>
      </x:c>
      <x:c r="W702" t="str">
        <x:f>IF(AND(T702="OK",U702="OK",V702="OK"),"OK","CHECK")</x:f>
        <x:v>OK</x:v>
      </x:c>
      <x:c r="X702" t="str">
        <x:f>IF(W702="OK","LOAD","QUARANTINE")</x:f>
        <x:v>LOAD</x:v>
      </x:c>
      <x:c r="Y702" t="str">
        <x:v>03_Process_Losses(6).xlsx</x:v>
      </x:c>
      <x:c r="Z702" t="str">
        <x:v>ENH-20260830-01</x:v>
      </x:c>
      <x:c r="AA702" t="str">
        <x:f>IF(X702="LOAD","Active","Quarantine")</x:f>
        <x:v>Active</x:v>
      </x:c>
      <x:c r="AB702"/>
      <x:c r="AC702"/>
      <x:c r="AD702"/>
      <x:c r="AE702"/>
    </x:row>
    <x:row r="703">
      <x:c r="A703" t="str">
        <x:v>PLD-000699</x:v>
      </x:c>
      <x:c r="B703" t="str">
        <x:v>LOSS-KG01-L25-20251023-PM-ORD-2025-00162</x:v>
      </x:c>
      <x:c r="C703" t="str">
        <x:v>PE-KG01-L25-20251023-PM-ORD-2025-00162</x:v>
      </x:c>
      <x:c r="D703" t="str">
        <x:v>KG01</x:v>
      </x:c>
      <x:c r="E703" t="n">
        <x:v>25</x:v>
      </x:c>
      <x:c r="F703" s="52" t="n">
        <x:v>45953</x:v>
      </x:c>
      <x:c r="G703" t="str">
        <x:v>PM</x:v>
      </x:c>
      <x:c r="H703" t="str">
        <x:v>ORD-2025-00162</x:v>
      </x:c>
      <x:c r="I703" t="str">
        <x:v>Normal</x:v>
      </x:c>
      <x:c r="J703" t="str">
        <x:v>PROC_EVO16</x:v>
      </x:c>
      <x:c r="K703" t="str">
        <x:v>Inspection</x:v>
      </x:c>
      <x:c r="L703" s="54" t="n">
        <x:v>0.0051423592398777114</x:v>
      </x:c>
      <x:c r="M703" t="n">
        <x:v>198547</x:v>
      </x:c>
      <x:c r="N703" t="n">
        <x:f>L703*M703</x:f>
        <x:v>1021</x:v>
      </x:c>
      <x:c r="O703"/>
      <x:c r="P703"/>
      <x:c r="Q703"/>
      <x:c r="R703"/>
      <x:c r="S703" s="52"/>
      <x:c r="T703" t="str">
        <x:v>OK</x:v>
      </x:c>
      <x:c r="U703" t="str">
        <x:f>IF(AND(ISNUMBER(L703),L703&gt;=0,L703&lt;=1),"OK","CHECK")</x:f>
        <x:v>OK</x:v>
      </x:c>
      <x:c r="V703" t="str">
        <x:f>IF(AND(ISNUMBER(N703),N703&gt;=0),"OK","CHECK")</x:f>
        <x:v>OK</x:v>
      </x:c>
      <x:c r="W703" t="str">
        <x:f>IF(AND(T703="OK",U703="OK",V703="OK"),"OK","CHECK")</x:f>
        <x:v>OK</x:v>
      </x:c>
      <x:c r="X703" t="str">
        <x:f>IF(W703="OK","LOAD","QUARANTINE")</x:f>
        <x:v>LOAD</x:v>
      </x:c>
      <x:c r="Y703" t="str">
        <x:v>03_Process_Losses(6).xlsx</x:v>
      </x:c>
      <x:c r="Z703" t="str">
        <x:v>ENH-20260830-01</x:v>
      </x:c>
      <x:c r="AA703" t="str">
        <x:f>IF(X703="LOAD","Active","Quarantine")</x:f>
        <x:v>Active</x:v>
      </x:c>
      <x:c r="AB703"/>
      <x:c r="AC703"/>
      <x:c r="AD703"/>
      <x:c r="AE703"/>
    </x:row>
    <x:row r="704">
      <x:c r="A704" t="str">
        <x:v>PLD-000700</x:v>
      </x:c>
      <x:c r="B704" t="str">
        <x:v>LOSS-KG01-L25-20251023-PM-ORD-2025-00162</x:v>
      </x:c>
      <x:c r="C704" t="str">
        <x:v>PE-KG01-L25-20251023-PM-ORD-2025-00162</x:v>
      </x:c>
      <x:c r="D704" t="str">
        <x:v>KG01</x:v>
      </x:c>
      <x:c r="E704" t="n">
        <x:v>25</x:v>
      </x:c>
      <x:c r="F704" s="52" t="n">
        <x:v>45953</x:v>
      </x:c>
      <x:c r="G704" t="str">
        <x:v>PM</x:v>
      </x:c>
      <x:c r="H704" t="str">
        <x:v>ORD-2025-00162</x:v>
      </x:c>
      <x:c r="I704" t="str">
        <x:v>Normal</x:v>
      </x:c>
      <x:c r="J704" t="str">
        <x:v>PROC_EVO12</x:v>
      </x:c>
      <x:c r="K704" t="str">
        <x:v>Inspection</x:v>
      </x:c>
      <x:c r="L704" s="54" t="n">
        <x:v>0.005540249915637103</x:v>
      </x:c>
      <x:c r="M704" t="n">
        <x:v>198547</x:v>
      </x:c>
      <x:c r="N704" t="n">
        <x:f>L704*M704</x:f>
        <x:v>1100</x:v>
      </x:c>
      <x:c r="O704"/>
      <x:c r="P704"/>
      <x:c r="Q704"/>
      <x:c r="R704"/>
      <x:c r="S704" s="52"/>
      <x:c r="T704" t="str">
        <x:v>OK</x:v>
      </x:c>
      <x:c r="U704" t="str">
        <x:f>IF(AND(ISNUMBER(L704),L704&gt;=0,L704&lt;=1),"OK","CHECK")</x:f>
        <x:v>OK</x:v>
      </x:c>
      <x:c r="V704" t="str">
        <x:f>IF(AND(ISNUMBER(N704),N704&gt;=0),"OK","CHECK")</x:f>
        <x:v>OK</x:v>
      </x:c>
      <x:c r="W704" t="str">
        <x:f>IF(AND(T704="OK",U704="OK",V704="OK"),"OK","CHECK")</x:f>
        <x:v>OK</x:v>
      </x:c>
      <x:c r="X704" t="str">
        <x:f>IF(W704="OK","LOAD","QUARANTINE")</x:f>
        <x:v>LOAD</x:v>
      </x:c>
      <x:c r="Y704" t="str">
        <x:v>03_Process_Losses(6).xlsx</x:v>
      </x:c>
      <x:c r="Z704" t="str">
        <x:v>ENH-20260830-01</x:v>
      </x:c>
      <x:c r="AA704" t="str">
        <x:f>IF(X704="LOAD","Active","Quarantine")</x:f>
        <x:v>Active</x:v>
      </x:c>
      <x:c r="AB704"/>
      <x:c r="AC704"/>
      <x:c r="AD704"/>
      <x:c r="AE704"/>
    </x:row>
    <x:row r="705">
      <x:c r="A705" t="str">
        <x:v>PLD-000701</x:v>
      </x:c>
      <x:c r="B705" t="str">
        <x:v>LOSS-KG01-L25-20251023-PM-ORD-2025-00162</x:v>
      </x:c>
      <x:c r="C705" t="str">
        <x:v>PE-KG01-L25-20251023-PM-ORD-2025-00162</x:v>
      </x:c>
      <x:c r="D705" t="str">
        <x:v>KG01</x:v>
      </x:c>
      <x:c r="E705" t="n">
        <x:v>25</x:v>
      </x:c>
      <x:c r="F705" s="52" t="n">
        <x:v>45953</x:v>
      </x:c>
      <x:c r="G705" t="str">
        <x:v>PM</x:v>
      </x:c>
      <x:c r="H705" t="str">
        <x:v>ORD-2025-00162</x:v>
      </x:c>
      <x:c r="I705" t="str">
        <x:v>Normal</x:v>
      </x:c>
      <x:c r="J705" t="str">
        <x:v>PROC_EVO5</x:v>
      </x:c>
      <x:c r="K705" t="str">
        <x:v>Inspection</x:v>
      </x:c>
      <x:c r="L705" s="54" t="n">
        <x:v>0.007635471701914408</x:v>
      </x:c>
      <x:c r="M705" t="n">
        <x:v>198547</x:v>
      </x:c>
      <x:c r="N705" t="n">
        <x:f>L705*M705</x:f>
        <x:v>1516</x:v>
      </x:c>
      <x:c r="O705"/>
      <x:c r="P705"/>
      <x:c r="Q705"/>
      <x:c r="R705"/>
      <x:c r="S705" s="52"/>
      <x:c r="T705" t="str">
        <x:v>OK</x:v>
      </x:c>
      <x:c r="U705" t="str">
        <x:f>IF(AND(ISNUMBER(L705),L705&gt;=0,L705&lt;=1),"OK","CHECK")</x:f>
        <x:v>OK</x:v>
      </x:c>
      <x:c r="V705" t="str">
        <x:f>IF(AND(ISNUMBER(N705),N705&gt;=0),"OK","CHECK")</x:f>
        <x:v>OK</x:v>
      </x:c>
      <x:c r="W705" t="str">
        <x:f>IF(AND(T705="OK",U705="OK",V705="OK"),"OK","CHECK")</x:f>
        <x:v>OK</x:v>
      </x:c>
      <x:c r="X705" t="str">
        <x:f>IF(W705="OK","LOAD","QUARANTINE")</x:f>
        <x:v>LOAD</x:v>
      </x:c>
      <x:c r="Y705" t="str">
        <x:v>03_Process_Losses(6).xlsx</x:v>
      </x:c>
      <x:c r="Z705" t="str">
        <x:v>ENH-20260830-01</x:v>
      </x:c>
      <x:c r="AA705" t="str">
        <x:f>IF(X705="LOAD","Active","Quarantine")</x:f>
        <x:v>Active</x:v>
      </x:c>
      <x:c r="AB705"/>
      <x:c r="AC705"/>
      <x:c r="AD705"/>
      <x:c r="AE705"/>
    </x:row>
    <x:row r="706">
      <x:c r="A706" t="str">
        <x:v>PLD-000702</x:v>
      </x:c>
      <x:c r="B706" t="str">
        <x:v>LOSS-KG01-L25-20251023-PM-ORD-2025-00162</x:v>
      </x:c>
      <x:c r="C706" t="str">
        <x:v>PE-KG01-L25-20251023-PM-ORD-2025-00162</x:v>
      </x:c>
      <x:c r="D706" t="str">
        <x:v>KG01</x:v>
      </x:c>
      <x:c r="E706" t="n">
        <x:v>25</x:v>
      </x:c>
      <x:c r="F706" s="52" t="n">
        <x:v>45953</x:v>
      </x:c>
      <x:c r="G706" t="str">
        <x:v>PM</x:v>
      </x:c>
      <x:c r="H706" t="str">
        <x:v>ORD-2025-00162</x:v>
      </x:c>
      <x:c r="I706" t="str">
        <x:v>Normal</x:v>
      </x:c>
      <x:c r="J706" t="str">
        <x:v>PROC_SANLI</x:v>
      </x:c>
      <x:c r="K706" t="str">
        <x:v>Inspection</x:v>
      </x:c>
      <x:c r="L706" s="54" t="n">
        <x:v>0.005797116048089369</x:v>
      </x:c>
      <x:c r="M706" t="n">
        <x:v>198547</x:v>
      </x:c>
      <x:c r="N706" t="n">
        <x:f>L706*M706</x:f>
        <x:v>1151</x:v>
      </x:c>
      <x:c r="O706"/>
      <x:c r="P706"/>
      <x:c r="Q706"/>
      <x:c r="R706"/>
      <x:c r="S706" s="52"/>
      <x:c r="T706" t="str">
        <x:v>OK</x:v>
      </x:c>
      <x:c r="U706" t="str">
        <x:f>IF(AND(ISNUMBER(L706),L706&gt;=0,L706&lt;=1),"OK","CHECK")</x:f>
        <x:v>OK</x:v>
      </x:c>
      <x:c r="V706" t="str">
        <x:f>IF(AND(ISNUMBER(N706),N706&gt;=0),"OK","CHECK")</x:f>
        <x:v>OK</x:v>
      </x:c>
      <x:c r="W706" t="str">
        <x:f>IF(AND(T706="OK",U706="OK",V706="OK"),"OK","CHECK")</x:f>
        <x:v>OK</x:v>
      </x:c>
      <x:c r="X706" t="str">
        <x:f>IF(W706="OK","LOAD","QUARANTINE")</x:f>
        <x:v>LOAD</x:v>
      </x:c>
      <x:c r="Y706" t="str">
        <x:v>03_Process_Losses(6).xlsx</x:v>
      </x:c>
      <x:c r="Z706" t="str">
        <x:v>ENH-20260830-01</x:v>
      </x:c>
      <x:c r="AA706" t="str">
        <x:f>IF(X706="LOAD","Active","Quarantine")</x:f>
        <x:v>Active</x:v>
      </x:c>
      <x:c r="AB706"/>
      <x:c r="AC706"/>
      <x:c r="AD706"/>
      <x:c r="AE706"/>
    </x:row>
    <x:row r="707">
      <x:c r="A707" t="str">
        <x:v>PLD-000703</x:v>
      </x:c>
      <x:c r="B707" t="str">
        <x:v>LOSS-KG01-L25-20251023-PM-ORD-2025-00162</x:v>
      </x:c>
      <x:c r="C707" t="str">
        <x:v>PE-KG01-L25-20251023-PM-ORD-2025-00162</x:v>
      </x:c>
      <x:c r="D707" t="str">
        <x:v>KG01</x:v>
      </x:c>
      <x:c r="E707" t="n">
        <x:v>25</x:v>
      </x:c>
      <x:c r="F707" s="52" t="n">
        <x:v>45953</x:v>
      </x:c>
      <x:c r="G707" t="str">
        <x:v>PM</x:v>
      </x:c>
      <x:c r="H707" t="str">
        <x:v>ORD-2025-00162</x:v>
      </x:c>
      <x:c r="I707" t="str">
        <x:v>Normal</x:v>
      </x:c>
      <x:c r="J707" t="str">
        <x:v>PROC_VISUAL</x:v>
      </x:c>
      <x:c r="K707" t="str">
        <x:v>Inspection</x:v>
      </x:c>
      <x:c r="L707" s="54" t="n">
        <x:v>0.0032838572227230833</x:v>
      </x:c>
      <x:c r="M707" t="n">
        <x:v>198547</x:v>
      </x:c>
      <x:c r="N707" t="n">
        <x:f>L707*M707</x:f>
        <x:v>652</x:v>
      </x:c>
      <x:c r="O707"/>
      <x:c r="P707"/>
      <x:c r="Q707"/>
      <x:c r="R707"/>
      <x:c r="S707" s="52"/>
      <x:c r="T707" t="str">
        <x:v>OK</x:v>
      </x:c>
      <x:c r="U707" t="str">
        <x:f>IF(AND(ISNUMBER(L707),L707&gt;=0,L707&lt;=1),"OK","CHECK")</x:f>
        <x:v>OK</x:v>
      </x:c>
      <x:c r="V707" t="str">
        <x:f>IF(AND(ISNUMBER(N707),N707&gt;=0),"OK","CHECK")</x:f>
        <x:v>OK</x:v>
      </x:c>
      <x:c r="W707" t="str">
        <x:f>IF(AND(T707="OK",U707="OK",V707="OK"),"OK","CHECK")</x:f>
        <x:v>OK</x:v>
      </x:c>
      <x:c r="X707" t="str">
        <x:f>IF(W707="OK","LOAD","QUARANTINE")</x:f>
        <x:v>LOAD</x:v>
      </x:c>
      <x:c r="Y707" t="str">
        <x:v>03_Process_Losses(6).xlsx</x:v>
      </x:c>
      <x:c r="Z707" t="str">
        <x:v>ENH-20260830-01</x:v>
      </x:c>
      <x:c r="AA707" t="str">
        <x:f>IF(X707="LOAD","Active","Quarantine")</x:f>
        <x:v>Active</x:v>
      </x:c>
      <x:c r="AB707"/>
      <x:c r="AC707"/>
      <x:c r="AD707"/>
      <x:c r="AE707"/>
    </x:row>
    <x:row r="708">
      <x:c r="A708" t="str">
        <x:v>PLD-000704</x:v>
      </x:c>
      <x:c r="B708" t="str">
        <x:v>LOSS-KG01-L25-20251023-PM-ORD-2025-00162</x:v>
      </x:c>
      <x:c r="C708" t="str">
        <x:v>PE-KG01-L25-20251023-PM-ORD-2025-00162</x:v>
      </x:c>
      <x:c r="D708" t="str">
        <x:v>KG01</x:v>
      </x:c>
      <x:c r="E708" t="n">
        <x:v>25</x:v>
      </x:c>
      <x:c r="F708" s="52" t="n">
        <x:v>45953</x:v>
      </x:c>
      <x:c r="G708" t="str">
        <x:v>PM</x:v>
      </x:c>
      <x:c r="H708" t="str">
        <x:v>ORD-2025-00162</x:v>
      </x:c>
      <x:c r="I708" t="str">
        <x:v>Normal</x:v>
      </x:c>
      <x:c r="J708" t="str">
        <x:v>PROC_PALLETIZER</x:v>
      </x:c>
      <x:c r="K708" t="str">
        <x:v>Palletizer</x:v>
      </x:c>
      <x:c r="L708" s="54" t="n">
        <x:v>0.004950968788246611</x:v>
      </x:c>
      <x:c r="M708" t="n">
        <x:v>198547</x:v>
      </x:c>
      <x:c r="N708" t="n">
        <x:f>L708*M708</x:f>
        <x:v>982.9999999999999</x:v>
      </x:c>
      <x:c r="O708"/>
      <x:c r="P708"/>
      <x:c r="Q708"/>
      <x:c r="R708"/>
      <x:c r="S708" s="52"/>
      <x:c r="T708" t="str">
        <x:v>OK</x:v>
      </x:c>
      <x:c r="U708" t="str">
        <x:f>IF(AND(ISNUMBER(L708),L708&gt;=0,L708&lt;=1),"OK","CHECK")</x:f>
        <x:v>OK</x:v>
      </x:c>
      <x:c r="V708" t="str">
        <x:f>IF(AND(ISNUMBER(N708),N708&gt;=0),"OK","CHECK")</x:f>
        <x:v>OK</x:v>
      </x:c>
      <x:c r="W708" t="str">
        <x:f>IF(AND(T708="OK",U708="OK",V708="OK"),"OK","CHECK")</x:f>
        <x:v>OK</x:v>
      </x:c>
      <x:c r="X708" t="str">
        <x:f>IF(W708="OK","LOAD","QUARANTINE")</x:f>
        <x:v>LOAD</x:v>
      </x:c>
      <x:c r="Y708" t="str">
        <x:v>03_Process_Losses(6).xlsx</x:v>
      </x:c>
      <x:c r="Z708" t="str">
        <x:v>ENH-20260830-01</x:v>
      </x:c>
      <x:c r="AA708" t="str">
        <x:f>IF(X708="LOAD","Active","Quarantine")</x:f>
        <x:v>Active</x:v>
      </x:c>
      <x:c r="AB708"/>
      <x:c r="AC708"/>
      <x:c r="AD708"/>
      <x:c r="AE708"/>
    </x:row>
    <x:row r="709">
      <x:c r="A709" t="str">
        <x:v>PLD-000705</x:v>
      </x:c>
      <x:c r="B709" t="str">
        <x:v>LOSS-KG01-L25-20251024-AM-ORD-2025-00162</x:v>
      </x:c>
      <x:c r="C709" t="str">
        <x:v>PE-KG01-L25-20251024-AM-ORD-2025-00162</x:v>
      </x:c>
      <x:c r="D709" t="str">
        <x:v>KG01</x:v>
      </x:c>
      <x:c r="E709" t="n">
        <x:v>25</x:v>
      </x:c>
      <x:c r="F709" s="52" t="n">
        <x:v>45954</x:v>
      </x:c>
      <x:c r="G709" t="str">
        <x:v>AM</x:v>
      </x:c>
      <x:c r="H709" t="str">
        <x:v>ORD-2025-00162</x:v>
      </x:c>
      <x:c r="I709" t="str">
        <x:v>Normal</x:v>
      </x:c>
      <x:c r="J709" t="str">
        <x:v>PROC_FIXED</x:v>
      </x:c>
      <x:c r="K709" t="str">
        <x:v>Fixed Losses</x:v>
      </x:c>
      <x:c r="L709" s="54" t="n">
        <x:v>0.0053414685781596905</x:v>
      </x:c>
      <x:c r="M709" t="n">
        <x:v>184219</x:v>
      </x:c>
      <x:c r="N709" t="n">
        <x:f>L709*M709</x:f>
        <x:v>984</x:v>
      </x:c>
      <x:c r="O709"/>
      <x:c r="P709"/>
      <x:c r="Q709"/>
      <x:c r="R709"/>
      <x:c r="S709" s="52"/>
      <x:c r="T709" t="str">
        <x:v>OK</x:v>
      </x:c>
      <x:c r="U709" t="str">
        <x:f>IF(AND(ISNUMBER(L709),L709&gt;=0,L709&lt;=1),"OK","CHECK")</x:f>
        <x:v>OK</x:v>
      </x:c>
      <x:c r="V709" t="str">
        <x:f>IF(AND(ISNUMBER(N709),N709&gt;=0),"OK","CHECK")</x:f>
        <x:v>OK</x:v>
      </x:c>
      <x:c r="W709" t="str">
        <x:f>IF(AND(T709="OK",U709="OK",V709="OK"),"OK","CHECK")</x:f>
        <x:v>OK</x:v>
      </x:c>
      <x:c r="X709" t="str">
        <x:f>IF(W709="OK","LOAD","QUARANTINE")</x:f>
        <x:v>LOAD</x:v>
      </x:c>
      <x:c r="Y709" t="str">
        <x:v>03_Process_Losses(6).xlsx</x:v>
      </x:c>
      <x:c r="Z709" t="str">
        <x:v>ENH-20260830-01</x:v>
      </x:c>
      <x:c r="AA709" t="str">
        <x:f>IF(X709="LOAD","Active","Quarantine")</x:f>
        <x:v>Active</x:v>
      </x:c>
      <x:c r="AB709"/>
      <x:c r="AC709"/>
      <x:c r="AD709"/>
      <x:c r="AE709"/>
    </x:row>
    <x:row r="710">
      <x:c r="A710" t="str">
        <x:v>PLD-000706</x:v>
      </x:c>
      <x:c r="B710" t="str">
        <x:v>LOSS-KG01-L25-20251024-AM-ORD-2025-00162</x:v>
      </x:c>
      <x:c r="C710" t="str">
        <x:v>PE-KG01-L25-20251024-AM-ORD-2025-00162</x:v>
      </x:c>
      <x:c r="D710" t="str">
        <x:v>KG01</x:v>
      </x:c>
      <x:c r="E710" t="n">
        <x:v>25</x:v>
      </x:c>
      <x:c r="F710" s="52" t="n">
        <x:v>45954</x:v>
      </x:c>
      <x:c r="G710" t="str">
        <x:v>AM</x:v>
      </x:c>
      <x:c r="H710" t="str">
        <x:v>ORD-2025-00162</x:v>
      </x:c>
      <x:c r="I710" t="str">
        <x:v>Normal</x:v>
      </x:c>
      <x:c r="J710" t="str">
        <x:v>PROC_IS</x:v>
      </x:c>
      <x:c r="K710" t="str">
        <x:v>IS Machine</x:v>
      </x:c>
      <x:c r="L710" s="54" t="n">
        <x:v>0.013511092775446615</x:v>
      </x:c>
      <x:c r="M710" t="n">
        <x:v>184219</x:v>
      </x:c>
      <x:c r="N710" t="n">
        <x:f>L710*M710</x:f>
        <x:v>2489</x:v>
      </x:c>
      <x:c r="O710"/>
      <x:c r="P710"/>
      <x:c r="Q710"/>
      <x:c r="R710"/>
      <x:c r="S710" s="52"/>
      <x:c r="T710" t="str">
        <x:v>OK</x:v>
      </x:c>
      <x:c r="U710" t="str">
        <x:f>IF(AND(ISNUMBER(L710),L710&gt;=0,L710&lt;=1),"OK","CHECK")</x:f>
        <x:v>OK</x:v>
      </x:c>
      <x:c r="V710" t="str">
        <x:f>IF(AND(ISNUMBER(N710),N710&gt;=0),"OK","CHECK")</x:f>
        <x:v>OK</x:v>
      </x:c>
      <x:c r="W710" t="str">
        <x:f>IF(AND(T710="OK",U710="OK",V710="OK"),"OK","CHECK")</x:f>
        <x:v>OK</x:v>
      </x:c>
      <x:c r="X710" t="str">
        <x:f>IF(W710="OK","LOAD","QUARANTINE")</x:f>
        <x:v>LOAD</x:v>
      </x:c>
      <x:c r="Y710" t="str">
        <x:v>03_Process_Losses(6).xlsx</x:v>
      </x:c>
      <x:c r="Z710" t="str">
        <x:v>ENH-20260830-01</x:v>
      </x:c>
      <x:c r="AA710" t="str">
        <x:f>IF(X710="LOAD","Active","Quarantine")</x:f>
        <x:v>Active</x:v>
      </x:c>
      <x:c r="AB710"/>
      <x:c r="AC710"/>
      <x:c r="AD710"/>
      <x:c r="AE710"/>
    </x:row>
    <x:row r="711">
      <x:c r="A711" t="str">
        <x:v>PLD-000707</x:v>
      </x:c>
      <x:c r="B711" t="str">
        <x:v>LOSS-KG01-L25-20251024-AM-ORD-2025-00162</x:v>
      </x:c>
      <x:c r="C711" t="str">
        <x:v>PE-KG01-L25-20251024-AM-ORD-2025-00162</x:v>
      </x:c>
      <x:c r="D711" t="str">
        <x:v>KG01</x:v>
      </x:c>
      <x:c r="E711" t="n">
        <x:v>25</x:v>
      </x:c>
      <x:c r="F711" s="52" t="n">
        <x:v>45954</x:v>
      </x:c>
      <x:c r="G711" t="str">
        <x:v>AM</x:v>
      </x:c>
      <x:c r="H711" t="str">
        <x:v>ORD-2025-00162</x:v>
      </x:c>
      <x:c r="I711" t="str">
        <x:v>Normal</x:v>
      </x:c>
      <x:c r="J711" t="str">
        <x:v>PROC_HE_CONVEYER</x:v>
      </x:c>
      <x:c r="K711" t="str">
        <x:v>Hot End</x:v>
      </x:c>
      <x:c r="L711" s="54" t="n">
        <x:v>0.005173190604660757</x:v>
      </x:c>
      <x:c r="M711" t="n">
        <x:v>184219</x:v>
      </x:c>
      <x:c r="N711" t="n">
        <x:f>L711*M711</x:f>
        <x:v>952.9999999999999</x:v>
      </x:c>
      <x:c r="O711"/>
      <x:c r="P711"/>
      <x:c r="Q711"/>
      <x:c r="R711"/>
      <x:c r="S711" s="52"/>
      <x:c r="T711" t="str">
        <x:v>OK</x:v>
      </x:c>
      <x:c r="U711" t="str">
        <x:f>IF(AND(ISNUMBER(L711),L711&gt;=0,L711&lt;=1),"OK","CHECK")</x:f>
        <x:v>OK</x:v>
      </x:c>
      <x:c r="V711" t="str">
        <x:f>IF(AND(ISNUMBER(N711),N711&gt;=0),"OK","CHECK")</x:f>
        <x:v>OK</x:v>
      </x:c>
      <x:c r="W711" t="str">
        <x:f>IF(AND(T711="OK",U711="OK",V711="OK"),"OK","CHECK")</x:f>
        <x:v>OK</x:v>
      </x:c>
      <x:c r="X711" t="str">
        <x:f>IF(W711="OK","LOAD","QUARANTINE")</x:f>
        <x:v>LOAD</x:v>
      </x:c>
      <x:c r="Y711" t="str">
        <x:v>03_Process_Losses(6).xlsx</x:v>
      </x:c>
      <x:c r="Z711" t="str">
        <x:v>ENH-20260830-01</x:v>
      </x:c>
      <x:c r="AA711" t="str">
        <x:f>IF(X711="LOAD","Active","Quarantine")</x:f>
        <x:v>Active</x:v>
      </x:c>
      <x:c r="AB711"/>
      <x:c r="AC711"/>
      <x:c r="AD711"/>
      <x:c r="AE711"/>
    </x:row>
    <x:row r="712">
      <x:c r="A712" t="str">
        <x:v>PLD-000708</x:v>
      </x:c>
      <x:c r="B712" t="str">
        <x:v>LOSS-KG01-L25-20251024-AM-ORD-2025-00162</x:v>
      </x:c>
      <x:c r="C712" t="str">
        <x:v>PE-KG01-L25-20251024-AM-ORD-2025-00162</x:v>
      </x:c>
      <x:c r="D712" t="str">
        <x:v>KG01</x:v>
      </x:c>
      <x:c r="E712" t="n">
        <x:v>25</x:v>
      </x:c>
      <x:c r="F712" s="52" t="n">
        <x:v>45954</x:v>
      </x:c>
      <x:c r="G712" t="str">
        <x:v>AM</x:v>
      </x:c>
      <x:c r="H712" t="str">
        <x:v>ORD-2025-00162</x:v>
      </x:c>
      <x:c r="I712" t="str">
        <x:v>Normal</x:v>
      </x:c>
      <x:c r="J712" t="str">
        <x:v>PROC_STUCKDOWN</x:v>
      </x:c>
      <x:c r="K712" t="str">
        <x:v>Forming</x:v>
      </x:c>
      <x:c r="L712" s="54" t="n">
        <x:v>0.0035121241565745118</x:v>
      </x:c>
      <x:c r="M712" t="n">
        <x:v>184219</x:v>
      </x:c>
      <x:c r="N712" t="n">
        <x:f>L712*M712</x:f>
        <x:v>647</x:v>
      </x:c>
      <x:c r="O712"/>
      <x:c r="P712"/>
      <x:c r="Q712"/>
      <x:c r="R712"/>
      <x:c r="S712" s="52"/>
      <x:c r="T712" t="str">
        <x:v>OK</x:v>
      </x:c>
      <x:c r="U712" t="str">
        <x:f>IF(AND(ISNUMBER(L712),L712&gt;=0,L712&lt;=1),"OK","CHECK")</x:f>
        <x:v>OK</x:v>
      </x:c>
      <x:c r="V712" t="str">
        <x:f>IF(AND(ISNUMBER(N712),N712&gt;=0),"OK","CHECK")</x:f>
        <x:v>OK</x:v>
      </x:c>
      <x:c r="W712" t="str">
        <x:f>IF(AND(T712="OK",U712="OK",V712="OK"),"OK","CHECK")</x:f>
        <x:v>OK</x:v>
      </x:c>
      <x:c r="X712" t="str">
        <x:f>IF(W712="OK","LOAD","QUARANTINE")</x:f>
        <x:v>LOAD</x:v>
      </x:c>
      <x:c r="Y712" t="str">
        <x:v>03_Process_Losses(6).xlsx</x:v>
      </x:c>
      <x:c r="Z712" t="str">
        <x:v>ENH-20260830-01</x:v>
      </x:c>
      <x:c r="AA712" t="str">
        <x:f>IF(X712="LOAD","Active","Quarantine")</x:f>
        <x:v>Active</x:v>
      </x:c>
      <x:c r="AB712"/>
      <x:c r="AC712"/>
      <x:c r="AD712"/>
      <x:c r="AE712"/>
    </x:row>
    <x:row r="713">
      <x:c r="A713" t="str">
        <x:v>PLD-000709</x:v>
      </x:c>
      <x:c r="B713" t="str">
        <x:v>LOSS-KG01-L25-20251024-AM-ORD-2025-00162</x:v>
      </x:c>
      <x:c r="C713" t="str">
        <x:v>PE-KG01-L25-20251024-AM-ORD-2025-00162</x:v>
      </x:c>
      <x:c r="D713" t="str">
        <x:v>KG01</x:v>
      </x:c>
      <x:c r="E713" t="n">
        <x:v>25</x:v>
      </x:c>
      <x:c r="F713" s="52" t="n">
        <x:v>45954</x:v>
      </x:c>
      <x:c r="G713" t="str">
        <x:v>AM</x:v>
      </x:c>
      <x:c r="H713" t="str">
        <x:v>ORD-2025-00162</x:v>
      </x:c>
      <x:c r="I713" t="str">
        <x:v>Normal</x:v>
      </x:c>
      <x:c r="J713" t="str">
        <x:v>PROC_LEHR</x:v>
      </x:c>
      <x:c r="K713" t="str">
        <x:v>Lehr</x:v>
      </x:c>
      <x:c r="L713" s="54" t="n">
        <x:v>0.00451636367584234</x:v>
      </x:c>
      <x:c r="M713" t="n">
        <x:v>184219</x:v>
      </x:c>
      <x:c r="N713" t="n">
        <x:f>L713*M713</x:f>
        <x:v>832.0000000000001</x:v>
      </x:c>
      <x:c r="O713"/>
      <x:c r="P713"/>
      <x:c r="Q713"/>
      <x:c r="R713"/>
      <x:c r="S713" s="52"/>
      <x:c r="T713" t="str">
        <x:v>OK</x:v>
      </x:c>
      <x:c r="U713" t="str">
        <x:f>IF(AND(ISNUMBER(L713),L713&gt;=0,L713&lt;=1),"OK","CHECK")</x:f>
        <x:v>OK</x:v>
      </x:c>
      <x:c r="V713" t="str">
        <x:f>IF(AND(ISNUMBER(N713),N713&gt;=0),"OK","CHECK")</x:f>
        <x:v>OK</x:v>
      </x:c>
      <x:c r="W713" t="str">
        <x:f>IF(AND(T713="OK",U713="OK",V713="OK"),"OK","CHECK")</x:f>
        <x:v>OK</x:v>
      </x:c>
      <x:c r="X713" t="str">
        <x:f>IF(W713="OK","LOAD","QUARANTINE")</x:f>
        <x:v>LOAD</x:v>
      </x:c>
      <x:c r="Y713" t="str">
        <x:v>03_Process_Losses(6).xlsx</x:v>
      </x:c>
      <x:c r="Z713" t="str">
        <x:v>ENH-20260830-01</x:v>
      </x:c>
      <x:c r="AA713" t="str">
        <x:f>IF(X713="LOAD","Active","Quarantine")</x:f>
        <x:v>Active</x:v>
      </x:c>
      <x:c r="AB713"/>
      <x:c r="AC713"/>
      <x:c r="AD713"/>
      <x:c r="AE713"/>
    </x:row>
    <x:row r="714">
      <x:c r="A714" t="str">
        <x:v>PLD-000710</x:v>
      </x:c>
      <x:c r="B714" t="str">
        <x:v>LOSS-KG01-L25-20251024-AM-ORD-2025-00162</x:v>
      </x:c>
      <x:c r="C714" t="str">
        <x:v>PE-KG01-L25-20251024-AM-ORD-2025-00162</x:v>
      </x:c>
      <x:c r="D714" t="str">
        <x:v>KG01</x:v>
      </x:c>
      <x:c r="E714" t="n">
        <x:v>25</x:v>
      </x:c>
      <x:c r="F714" s="52" t="n">
        <x:v>45954</x:v>
      </x:c>
      <x:c r="G714" t="str">
        <x:v>AM</x:v>
      </x:c>
      <x:c r="H714" t="str">
        <x:v>ORD-2025-00162</x:v>
      </x:c>
      <x:c r="I714" t="str">
        <x:v>Normal</x:v>
      </x:c>
      <x:c r="J714" t="str">
        <x:v>PROC_EVO16</x:v>
      </x:c>
      <x:c r="K714" t="str">
        <x:v>Inspection</x:v>
      </x:c>
      <x:c r="L714" s="54" t="n">
        <x:v>0.003365559469978667</x:v>
      </x:c>
      <x:c r="M714" t="n">
        <x:v>184219</x:v>
      </x:c>
      <x:c r="N714" t="n">
        <x:f>L714*M714</x:f>
        <x:v>620</x:v>
      </x:c>
      <x:c r="O714"/>
      <x:c r="P714"/>
      <x:c r="Q714"/>
      <x:c r="R714"/>
      <x:c r="S714" s="52"/>
      <x:c r="T714" t="str">
        <x:v>OK</x:v>
      </x:c>
      <x:c r="U714" t="str">
        <x:f>IF(AND(ISNUMBER(L714),L714&gt;=0,L714&lt;=1),"OK","CHECK")</x:f>
        <x:v>OK</x:v>
      </x:c>
      <x:c r="V714" t="str">
        <x:f>IF(AND(ISNUMBER(N714),N714&gt;=0),"OK","CHECK")</x:f>
        <x:v>OK</x:v>
      </x:c>
      <x:c r="W714" t="str">
        <x:f>IF(AND(T714="OK",U714="OK",V714="OK"),"OK","CHECK")</x:f>
        <x:v>OK</x:v>
      </x:c>
      <x:c r="X714" t="str">
        <x:f>IF(W714="OK","LOAD","QUARANTINE")</x:f>
        <x:v>LOAD</x:v>
      </x:c>
      <x:c r="Y714" t="str">
        <x:v>03_Process_Losses(6).xlsx</x:v>
      </x:c>
      <x:c r="Z714" t="str">
        <x:v>ENH-20260830-01</x:v>
      </x:c>
      <x:c r="AA714" t="str">
        <x:f>IF(X714="LOAD","Active","Quarantine")</x:f>
        <x:v>Active</x:v>
      </x:c>
      <x:c r="AB714"/>
      <x:c r="AC714"/>
      <x:c r="AD714"/>
      <x:c r="AE714"/>
    </x:row>
    <x:row r="715">
      <x:c r="A715" t="str">
        <x:v>PLD-000711</x:v>
      </x:c>
      <x:c r="B715" t="str">
        <x:v>LOSS-KG01-L25-20251024-AM-ORD-2025-00162</x:v>
      </x:c>
      <x:c r="C715" t="str">
        <x:v>PE-KG01-L25-20251024-AM-ORD-2025-00162</x:v>
      </x:c>
      <x:c r="D715" t="str">
        <x:v>KG01</x:v>
      </x:c>
      <x:c r="E715" t="n">
        <x:v>25</x:v>
      </x:c>
      <x:c r="F715" s="52" t="n">
        <x:v>45954</x:v>
      </x:c>
      <x:c r="G715" t="str">
        <x:v>AM</x:v>
      </x:c>
      <x:c r="H715" t="str">
        <x:v>ORD-2025-00162</x:v>
      </x:c>
      <x:c r="I715" t="str">
        <x:v>Normal</x:v>
      </x:c>
      <x:c r="J715" t="str">
        <x:v>PROC_EVO12</x:v>
      </x:c>
      <x:c r="K715" t="str">
        <x:v>Inspection</x:v>
      </x:c>
      <x:c r="L715" s="54" t="n">
        <x:v>0.0029367220536426755</x:v>
      </x:c>
      <x:c r="M715" t="n">
        <x:v>184219</x:v>
      </x:c>
      <x:c r="N715" t="n">
        <x:f>L715*M715</x:f>
        <x:v>541</x:v>
      </x:c>
      <x:c r="O715"/>
      <x:c r="P715"/>
      <x:c r="Q715"/>
      <x:c r="R715"/>
      <x:c r="S715" s="52"/>
      <x:c r="T715" t="str">
        <x:v>OK</x:v>
      </x:c>
      <x:c r="U715" t="str">
        <x:f>IF(AND(ISNUMBER(L715),L715&gt;=0,L715&lt;=1),"OK","CHECK")</x:f>
        <x:v>OK</x:v>
      </x:c>
      <x:c r="V715" t="str">
        <x:f>IF(AND(ISNUMBER(N715),N715&gt;=0),"OK","CHECK")</x:f>
        <x:v>OK</x:v>
      </x:c>
      <x:c r="W715" t="str">
        <x:f>IF(AND(T715="OK",U715="OK",V715="OK"),"OK","CHECK")</x:f>
        <x:v>OK</x:v>
      </x:c>
      <x:c r="X715" t="str">
        <x:f>IF(W715="OK","LOAD","QUARANTINE")</x:f>
        <x:v>LOAD</x:v>
      </x:c>
      <x:c r="Y715" t="str">
        <x:v>03_Process_Losses(6).xlsx</x:v>
      </x:c>
      <x:c r="Z715" t="str">
        <x:v>ENH-20260830-01</x:v>
      </x:c>
      <x:c r="AA715" t="str">
        <x:f>IF(X715="LOAD","Active","Quarantine")</x:f>
        <x:v>Active</x:v>
      </x:c>
      <x:c r="AB715"/>
      <x:c r="AC715"/>
      <x:c r="AD715"/>
      <x:c r="AE715"/>
    </x:row>
    <x:row r="716">
      <x:c r="A716" t="str">
        <x:v>PLD-000712</x:v>
      </x:c>
      <x:c r="B716" t="str">
        <x:v>LOSS-KG01-L25-20251024-AM-ORD-2025-00162</x:v>
      </x:c>
      <x:c r="C716" t="str">
        <x:v>PE-KG01-L25-20251024-AM-ORD-2025-00162</x:v>
      </x:c>
      <x:c r="D716" t="str">
        <x:v>KG01</x:v>
      </x:c>
      <x:c r="E716" t="n">
        <x:v>25</x:v>
      </x:c>
      <x:c r="F716" s="52" t="n">
        <x:v>45954</x:v>
      </x:c>
      <x:c r="G716" t="str">
        <x:v>AM</x:v>
      </x:c>
      <x:c r="H716" t="str">
        <x:v>ORD-2025-00162</x:v>
      </x:c>
      <x:c r="I716" t="str">
        <x:v>Normal</x:v>
      </x:c>
      <x:c r="J716" t="str">
        <x:v>PROC_EVO5</x:v>
      </x:c>
      <x:c r="K716" t="str">
        <x:v>Inspection</x:v>
      </x:c>
      <x:c r="L716" s="54" t="n">
        <x:v>0.00231246505517889</x:v>
      </x:c>
      <x:c r="M716" t="n">
        <x:v>184219</x:v>
      </x:c>
      <x:c r="N716" t="n">
        <x:f>L716*M716</x:f>
        <x:v>426</x:v>
      </x:c>
      <x:c r="O716"/>
      <x:c r="P716"/>
      <x:c r="Q716"/>
      <x:c r="R716"/>
      <x:c r="S716" s="52"/>
      <x:c r="T716" t="str">
        <x:v>OK</x:v>
      </x:c>
      <x:c r="U716" t="str">
        <x:f>IF(AND(ISNUMBER(L716),L716&gt;=0,L716&lt;=1),"OK","CHECK")</x:f>
        <x:v>OK</x:v>
      </x:c>
      <x:c r="V716" t="str">
        <x:f>IF(AND(ISNUMBER(N716),N716&gt;=0),"OK","CHECK")</x:f>
        <x:v>OK</x:v>
      </x:c>
      <x:c r="W716" t="str">
        <x:f>IF(AND(T716="OK",U716="OK",V716="OK"),"OK","CHECK")</x:f>
        <x:v>OK</x:v>
      </x:c>
      <x:c r="X716" t="str">
        <x:f>IF(W716="OK","LOAD","QUARANTINE")</x:f>
        <x:v>LOAD</x:v>
      </x:c>
      <x:c r="Y716" t="str">
        <x:v>03_Process_Losses(6).xlsx</x:v>
      </x:c>
      <x:c r="Z716" t="str">
        <x:v>ENH-20260830-01</x:v>
      </x:c>
      <x:c r="AA716" t="str">
        <x:f>IF(X716="LOAD","Active","Quarantine")</x:f>
        <x:v>Active</x:v>
      </x:c>
      <x:c r="AB716"/>
      <x:c r="AC716"/>
      <x:c r="AD716"/>
      <x:c r="AE716"/>
    </x:row>
    <x:row r="717">
      <x:c r="A717" t="str">
        <x:v>PLD-000713</x:v>
      </x:c>
      <x:c r="B717" t="str">
        <x:v>LOSS-KG01-L25-20251024-AM-ORD-2025-00162</x:v>
      </x:c>
      <x:c r="C717" t="str">
        <x:v>PE-KG01-L25-20251024-AM-ORD-2025-00162</x:v>
      </x:c>
      <x:c r="D717" t="str">
        <x:v>KG01</x:v>
      </x:c>
      <x:c r="E717" t="n">
        <x:v>25</x:v>
      </x:c>
      <x:c r="F717" s="52" t="n">
        <x:v>45954</x:v>
      </x:c>
      <x:c r="G717" t="str">
        <x:v>AM</x:v>
      </x:c>
      <x:c r="H717" t="str">
        <x:v>ORD-2025-00162</x:v>
      </x:c>
      <x:c r="I717" t="str">
        <x:v>Normal</x:v>
      </x:c>
      <x:c r="J717" t="str">
        <x:v>PROC_SANLI</x:v>
      </x:c>
      <x:c r="K717" t="str">
        <x:v>Inspection</x:v>
      </x:c>
      <x:c r="L717" s="54" t="n">
        <x:v>0.003647832199718813</x:v>
      </x:c>
      <x:c r="M717" t="n">
        <x:v>184219</x:v>
      </x:c>
      <x:c r="N717" t="n">
        <x:f>L717*M717</x:f>
        <x:v>672</x:v>
      </x:c>
      <x:c r="O717"/>
      <x:c r="P717"/>
      <x:c r="Q717"/>
      <x:c r="R717"/>
      <x:c r="S717" s="52"/>
      <x:c r="T717" t="str">
        <x:v>OK</x:v>
      </x:c>
      <x:c r="U717" t="str">
        <x:f>IF(AND(ISNUMBER(L717),L717&gt;=0,L717&lt;=1),"OK","CHECK")</x:f>
        <x:v>OK</x:v>
      </x:c>
      <x:c r="V717" t="str">
        <x:f>IF(AND(ISNUMBER(N717),N717&gt;=0),"OK","CHECK")</x:f>
        <x:v>OK</x:v>
      </x:c>
      <x:c r="W717" t="str">
        <x:f>IF(AND(T717="OK",U717="OK",V717="OK"),"OK","CHECK")</x:f>
        <x:v>OK</x:v>
      </x:c>
      <x:c r="X717" t="str">
        <x:f>IF(W717="OK","LOAD","QUARANTINE")</x:f>
        <x:v>LOAD</x:v>
      </x:c>
      <x:c r="Y717" t="str">
        <x:v>03_Process_Losses(6).xlsx</x:v>
      </x:c>
      <x:c r="Z717" t="str">
        <x:v>ENH-20260830-01</x:v>
      </x:c>
      <x:c r="AA717" t="str">
        <x:f>IF(X717="LOAD","Active","Quarantine")</x:f>
        <x:v>Active</x:v>
      </x:c>
      <x:c r="AB717"/>
      <x:c r="AC717"/>
      <x:c r="AD717"/>
      <x:c r="AE717"/>
    </x:row>
    <x:row r="718">
      <x:c r="A718" t="str">
        <x:v>PLD-000714</x:v>
      </x:c>
      <x:c r="B718" t="str">
        <x:v>LOSS-KG01-L25-20251024-AM-ORD-2025-00162</x:v>
      </x:c>
      <x:c r="C718" t="str">
        <x:v>PE-KG01-L25-20251024-AM-ORD-2025-00162</x:v>
      </x:c>
      <x:c r="D718" t="str">
        <x:v>KG01</x:v>
      </x:c>
      <x:c r="E718" t="n">
        <x:v>25</x:v>
      </x:c>
      <x:c r="F718" s="52" t="n">
        <x:v>45954</x:v>
      </x:c>
      <x:c r="G718" t="str">
        <x:v>AM</x:v>
      </x:c>
      <x:c r="H718" t="str">
        <x:v>ORD-2025-00162</x:v>
      </x:c>
      <x:c r="I718" t="str">
        <x:v>Normal</x:v>
      </x:c>
      <x:c r="J718" t="str">
        <x:v>PROC_VISUAL</x:v>
      </x:c>
      <x:c r="K718" t="str">
        <x:v>Inspection</x:v>
      </x:c>
      <x:c r="L718" s="54" t="n">
        <x:v>0.007442229086033471</x:v>
      </x:c>
      <x:c r="M718" t="n">
        <x:v>184219</x:v>
      </x:c>
      <x:c r="N718" t="n">
        <x:f>L718*M718</x:f>
        <x:v>1371</x:v>
      </x:c>
      <x:c r="O718"/>
      <x:c r="P718"/>
      <x:c r="Q718"/>
      <x:c r="R718"/>
      <x:c r="S718" s="52"/>
      <x:c r="T718" t="str">
        <x:v>OK</x:v>
      </x:c>
      <x:c r="U718" t="str">
        <x:f>IF(AND(ISNUMBER(L718),L718&gt;=0,L718&lt;=1),"OK","CHECK")</x:f>
        <x:v>OK</x:v>
      </x:c>
      <x:c r="V718" t="str">
        <x:f>IF(AND(ISNUMBER(N718),N718&gt;=0),"OK","CHECK")</x:f>
        <x:v>OK</x:v>
      </x:c>
      <x:c r="W718" t="str">
        <x:f>IF(AND(T718="OK",U718="OK",V718="OK"),"OK","CHECK")</x:f>
        <x:v>OK</x:v>
      </x:c>
      <x:c r="X718" t="str">
        <x:f>IF(W718="OK","LOAD","QUARANTINE")</x:f>
        <x:v>LOAD</x:v>
      </x:c>
      <x:c r="Y718" t="str">
        <x:v>03_Process_Losses(6).xlsx</x:v>
      </x:c>
      <x:c r="Z718" t="str">
        <x:v>ENH-20260830-01</x:v>
      </x:c>
      <x:c r="AA718" t="str">
        <x:f>IF(X718="LOAD","Active","Quarantine")</x:f>
        <x:v>Active</x:v>
      </x:c>
      <x:c r="AB718"/>
      <x:c r="AC718"/>
      <x:c r="AD718"/>
      <x:c r="AE718"/>
    </x:row>
    <x:row r="719">
      <x:c r="A719" t="str">
        <x:v>PLD-000715</x:v>
      </x:c>
      <x:c r="B719" t="str">
        <x:v>LOSS-KG01-L25-20251024-AM-ORD-2025-00162</x:v>
      </x:c>
      <x:c r="C719" t="str">
        <x:v>PE-KG01-L25-20251024-AM-ORD-2025-00162</x:v>
      </x:c>
      <x:c r="D719" t="str">
        <x:v>KG01</x:v>
      </x:c>
      <x:c r="E719" t="n">
        <x:v>25</x:v>
      </x:c>
      <x:c r="F719" s="52" t="n">
        <x:v>45954</x:v>
      </x:c>
      <x:c r="G719" t="str">
        <x:v>AM</x:v>
      </x:c>
      <x:c r="H719" t="str">
        <x:v>ORD-2025-00162</x:v>
      </x:c>
      <x:c r="I719" t="str">
        <x:v>Normal</x:v>
      </x:c>
      <x:c r="J719" t="str">
        <x:v>PROC_PALLETIZER</x:v>
      </x:c>
      <x:c r="K719" t="str">
        <x:v>Palletizer</x:v>
      </x:c>
      <x:c r="L719" s="54" t="n">
        <x:v>0.003278706322366314</x:v>
      </x:c>
      <x:c r="M719" t="n">
        <x:v>184219</x:v>
      </x:c>
      <x:c r="N719" t="n">
        <x:f>L719*M719</x:f>
        <x:v>604</x:v>
      </x:c>
      <x:c r="O719"/>
      <x:c r="P719"/>
      <x:c r="Q719"/>
      <x:c r="R719"/>
      <x:c r="S719" s="52"/>
      <x:c r="T719" t="str">
        <x:v>OK</x:v>
      </x:c>
      <x:c r="U719" t="str">
        <x:f>IF(AND(ISNUMBER(L719),L719&gt;=0,L719&lt;=1),"OK","CHECK")</x:f>
        <x:v>OK</x:v>
      </x:c>
      <x:c r="V719" t="str">
        <x:f>IF(AND(ISNUMBER(N719),N719&gt;=0),"OK","CHECK")</x:f>
        <x:v>OK</x:v>
      </x:c>
      <x:c r="W719" t="str">
        <x:f>IF(AND(T719="OK",U719="OK",V719="OK"),"OK","CHECK")</x:f>
        <x:v>OK</x:v>
      </x:c>
      <x:c r="X719" t="str">
        <x:f>IF(W719="OK","LOAD","QUARANTINE")</x:f>
        <x:v>LOAD</x:v>
      </x:c>
      <x:c r="Y719" t="str">
        <x:v>03_Process_Losses(6).xlsx</x:v>
      </x:c>
      <x:c r="Z719" t="str">
        <x:v>ENH-20260830-01</x:v>
      </x:c>
      <x:c r="AA719" t="str">
        <x:f>IF(X719="LOAD","Active","Quarantine")</x:f>
        <x:v>Active</x:v>
      </x:c>
      <x:c r="AB719"/>
      <x:c r="AC719"/>
      <x:c r="AD719"/>
      <x:c r="AE719"/>
    </x:row>
    <x:row r="720">
      <x:c r="A720" t="str">
        <x:v>PLD-000716</x:v>
      </x:c>
      <x:c r="B720" t="str">
        <x:v>LOSS-KG01-L25-20251024-PM-ORD-2025-00162</x:v>
      </x:c>
      <x:c r="C720" t="str">
        <x:v>PE-KG01-L25-20251024-PM-ORD-2025-00162</x:v>
      </x:c>
      <x:c r="D720" t="str">
        <x:v>KG01</x:v>
      </x:c>
      <x:c r="E720" t="n">
        <x:v>25</x:v>
      </x:c>
      <x:c r="F720" s="52" t="n">
        <x:v>45954</x:v>
      </x:c>
      <x:c r="G720" t="str">
        <x:v>PM</x:v>
      </x:c>
      <x:c r="H720" t="str">
        <x:v>ORD-2025-00162</x:v>
      </x:c>
      <x:c r="I720" t="str">
        <x:v>Normal</x:v>
      </x:c>
      <x:c r="J720" t="str">
        <x:v>PROC_FIXED</x:v>
      </x:c>
      <x:c r="K720" t="str">
        <x:v>Fixed Losses</x:v>
      </x:c>
      <x:c r="L720" s="54" t="n">
        <x:v>0.009308988702842264</x:v>
      </x:c>
      <x:c r="M720" t="n">
        <x:v>183586</x:v>
      </x:c>
      <x:c r="N720" t="n">
        <x:f>L720*M720</x:f>
        <x:v>1709</x:v>
      </x:c>
      <x:c r="O720"/>
      <x:c r="P720"/>
      <x:c r="Q720"/>
      <x:c r="R720"/>
      <x:c r="S720" s="52"/>
      <x:c r="T720" t="str">
        <x:v>OK</x:v>
      </x:c>
      <x:c r="U720" t="str">
        <x:f>IF(AND(ISNUMBER(L720),L720&gt;=0,L720&lt;=1),"OK","CHECK")</x:f>
        <x:v>OK</x:v>
      </x:c>
      <x:c r="V720" t="str">
        <x:f>IF(AND(ISNUMBER(N720),N720&gt;=0),"OK","CHECK")</x:f>
        <x:v>OK</x:v>
      </x:c>
      <x:c r="W720" t="str">
        <x:f>IF(AND(T720="OK",U720="OK",V720="OK"),"OK","CHECK")</x:f>
        <x:v>OK</x:v>
      </x:c>
      <x:c r="X720" t="str">
        <x:f>IF(W720="OK","LOAD","QUARANTINE")</x:f>
        <x:v>LOAD</x:v>
      </x:c>
      <x:c r="Y720" t="str">
        <x:v>03_Process_Losses(6).xlsx</x:v>
      </x:c>
      <x:c r="Z720" t="str">
        <x:v>ENH-20260830-01</x:v>
      </x:c>
      <x:c r="AA720" t="str">
        <x:f>IF(X720="LOAD","Active","Quarantine")</x:f>
        <x:v>Active</x:v>
      </x:c>
      <x:c r="AB720"/>
      <x:c r="AC720"/>
      <x:c r="AD720"/>
      <x:c r="AE720"/>
    </x:row>
    <x:row r="721">
      <x:c r="A721" t="str">
        <x:v>PLD-000717</x:v>
      </x:c>
      <x:c r="B721" t="str">
        <x:v>LOSS-KG01-L25-20251024-PM-ORD-2025-00162</x:v>
      </x:c>
      <x:c r="C721" t="str">
        <x:v>PE-KG01-L25-20251024-PM-ORD-2025-00162</x:v>
      </x:c>
      <x:c r="D721" t="str">
        <x:v>KG01</x:v>
      </x:c>
      <x:c r="E721" t="n">
        <x:v>25</x:v>
      </x:c>
      <x:c r="F721" s="52" t="n">
        <x:v>45954</x:v>
      </x:c>
      <x:c r="G721" t="str">
        <x:v>PM</x:v>
      </x:c>
      <x:c r="H721" t="str">
        <x:v>ORD-2025-00162</x:v>
      </x:c>
      <x:c r="I721" t="str">
        <x:v>Normal</x:v>
      </x:c>
      <x:c r="J721" t="str">
        <x:v>PROC_IS</x:v>
      </x:c>
      <x:c r="K721" t="str">
        <x:v>IS Machine</x:v>
      </x:c>
      <x:c r="L721" s="54" t="n">
        <x:v>0.011177322889544955</x:v>
      </x:c>
      <x:c r="M721" t="n">
        <x:v>183586</x:v>
      </x:c>
      <x:c r="N721" t="n">
        <x:f>L721*M721</x:f>
        <x:v>2052</x:v>
      </x:c>
      <x:c r="O721"/>
      <x:c r="P721"/>
      <x:c r="Q721"/>
      <x:c r="R721"/>
      <x:c r="S721" s="52"/>
      <x:c r="T721" t="str">
        <x:v>OK</x:v>
      </x:c>
      <x:c r="U721" t="str">
        <x:f>IF(AND(ISNUMBER(L721),L721&gt;=0,L721&lt;=1),"OK","CHECK")</x:f>
        <x:v>OK</x:v>
      </x:c>
      <x:c r="V721" t="str">
        <x:f>IF(AND(ISNUMBER(N721),N721&gt;=0),"OK","CHECK")</x:f>
        <x:v>OK</x:v>
      </x:c>
      <x:c r="W721" t="str">
        <x:f>IF(AND(T721="OK",U721="OK",V721="OK"),"OK","CHECK")</x:f>
        <x:v>OK</x:v>
      </x:c>
      <x:c r="X721" t="str">
        <x:f>IF(W721="OK","LOAD","QUARANTINE")</x:f>
        <x:v>LOAD</x:v>
      </x:c>
      <x:c r="Y721" t="str">
        <x:v>03_Process_Losses(6).xlsx</x:v>
      </x:c>
      <x:c r="Z721" t="str">
        <x:v>ENH-20260830-01</x:v>
      </x:c>
      <x:c r="AA721" t="str">
        <x:f>IF(X721="LOAD","Active","Quarantine")</x:f>
        <x:v>Active</x:v>
      </x:c>
      <x:c r="AB721"/>
      <x:c r="AC721"/>
      <x:c r="AD721"/>
      <x:c r="AE721"/>
    </x:row>
    <x:row r="722">
      <x:c r="A722" t="str">
        <x:v>PLD-000718</x:v>
      </x:c>
      <x:c r="B722" t="str">
        <x:v>LOSS-KG01-L25-20251024-PM-ORD-2025-00162</x:v>
      </x:c>
      <x:c r="C722" t="str">
        <x:v>PE-KG01-L25-20251024-PM-ORD-2025-00162</x:v>
      </x:c>
      <x:c r="D722" t="str">
        <x:v>KG01</x:v>
      </x:c>
      <x:c r="E722" t="n">
        <x:v>25</x:v>
      </x:c>
      <x:c r="F722" s="52" t="n">
        <x:v>45954</x:v>
      </x:c>
      <x:c r="G722" t="str">
        <x:v>PM</x:v>
      </x:c>
      <x:c r="H722" t="str">
        <x:v>ORD-2025-00162</x:v>
      </x:c>
      <x:c r="I722" t="str">
        <x:v>Normal</x:v>
      </x:c>
      <x:c r="J722" t="str">
        <x:v>PROC_HE_CONVEYER</x:v>
      </x:c>
      <x:c r="K722" t="str">
        <x:v>Hot End</x:v>
      </x:c>
      <x:c r="L722" s="54" t="n">
        <x:v>0.013726536881897313</x:v>
      </x:c>
      <x:c r="M722" t="n">
        <x:v>183586</x:v>
      </x:c>
      <x:c r="N722" t="n">
        <x:f>L722*M722</x:f>
        <x:v>2520</x:v>
      </x:c>
      <x:c r="O722"/>
      <x:c r="P722"/>
      <x:c r="Q722"/>
      <x:c r="R722"/>
      <x:c r="S722" s="52"/>
      <x:c r="T722" t="str">
        <x:v>OK</x:v>
      </x:c>
      <x:c r="U722" t="str">
        <x:f>IF(AND(ISNUMBER(L722),L722&gt;=0,L722&lt;=1),"OK","CHECK")</x:f>
        <x:v>OK</x:v>
      </x:c>
      <x:c r="V722" t="str">
        <x:f>IF(AND(ISNUMBER(N722),N722&gt;=0),"OK","CHECK")</x:f>
        <x:v>OK</x:v>
      </x:c>
      <x:c r="W722" t="str">
        <x:f>IF(AND(T722="OK",U722="OK",V722="OK"),"OK","CHECK")</x:f>
        <x:v>OK</x:v>
      </x:c>
      <x:c r="X722" t="str">
        <x:f>IF(W722="OK","LOAD","QUARANTINE")</x:f>
        <x:v>LOAD</x:v>
      </x:c>
      <x:c r="Y722" t="str">
        <x:v>03_Process_Losses(6).xlsx</x:v>
      </x:c>
      <x:c r="Z722" t="str">
        <x:v>ENH-20260830-01</x:v>
      </x:c>
      <x:c r="AA722" t="str">
        <x:f>IF(X722="LOAD","Active","Quarantine")</x:f>
        <x:v>Active</x:v>
      </x:c>
      <x:c r="AB722"/>
      <x:c r="AC722"/>
      <x:c r="AD722"/>
      <x:c r="AE722"/>
    </x:row>
    <x:row r="723">
      <x:c r="A723" t="str">
        <x:v>PLD-000719</x:v>
      </x:c>
      <x:c r="B723" t="str">
        <x:v>LOSS-KG01-L25-20251024-PM-ORD-2025-00162</x:v>
      </x:c>
      <x:c r="C723" t="str">
        <x:v>PE-KG01-L25-20251024-PM-ORD-2025-00162</x:v>
      </x:c>
      <x:c r="D723" t="str">
        <x:v>KG01</x:v>
      </x:c>
      <x:c r="E723" t="n">
        <x:v>25</x:v>
      </x:c>
      <x:c r="F723" s="52" t="n">
        <x:v>45954</x:v>
      </x:c>
      <x:c r="G723" t="str">
        <x:v>PM</x:v>
      </x:c>
      <x:c r="H723" t="str">
        <x:v>ORD-2025-00162</x:v>
      </x:c>
      <x:c r="I723" t="str">
        <x:v>Normal</x:v>
      </x:c>
      <x:c r="J723" t="str">
        <x:v>PROC_STUCKDOWN</x:v>
      </x:c>
      <x:c r="K723" t="str">
        <x:v>Forming</x:v>
      </x:c>
      <x:c r="L723" s="54" t="n">
        <x:v>0.0010349373045874957</x:v>
      </x:c>
      <x:c r="M723" t="n">
        <x:v>183586</x:v>
      </x:c>
      <x:c r="N723" t="n">
        <x:f>L723*M723</x:f>
        <x:v>190</x:v>
      </x:c>
      <x:c r="O723"/>
      <x:c r="P723"/>
      <x:c r="Q723"/>
      <x:c r="R723"/>
      <x:c r="S723" s="52"/>
      <x:c r="T723" t="str">
        <x:v>OK</x:v>
      </x:c>
      <x:c r="U723" t="str">
        <x:f>IF(AND(ISNUMBER(L723),L723&gt;=0,L723&lt;=1),"OK","CHECK")</x:f>
        <x:v>OK</x:v>
      </x:c>
      <x:c r="V723" t="str">
        <x:f>IF(AND(ISNUMBER(N723),N723&gt;=0),"OK","CHECK")</x:f>
        <x:v>OK</x:v>
      </x:c>
      <x:c r="W723" t="str">
        <x:f>IF(AND(T723="OK",U723="OK",V723="OK"),"OK","CHECK")</x:f>
        <x:v>OK</x:v>
      </x:c>
      <x:c r="X723" t="str">
        <x:f>IF(W723="OK","LOAD","QUARANTINE")</x:f>
        <x:v>LOAD</x:v>
      </x:c>
      <x:c r="Y723" t="str">
        <x:v>03_Process_Losses(6).xlsx</x:v>
      </x:c>
      <x:c r="Z723" t="str">
        <x:v>ENH-20260830-01</x:v>
      </x:c>
      <x:c r="AA723" t="str">
        <x:f>IF(X723="LOAD","Active","Quarantine")</x:f>
        <x:v>Active</x:v>
      </x:c>
      <x:c r="AB723"/>
      <x:c r="AC723"/>
      <x:c r="AD723"/>
      <x:c r="AE723"/>
    </x:row>
    <x:row r="724">
      <x:c r="A724" t="str">
        <x:v>PLD-000720</x:v>
      </x:c>
      <x:c r="B724" t="str">
        <x:v>LOSS-KG01-L25-20251024-PM-ORD-2025-00162</x:v>
      </x:c>
      <x:c r="C724" t="str">
        <x:v>PE-KG01-L25-20251024-PM-ORD-2025-00162</x:v>
      </x:c>
      <x:c r="D724" t="str">
        <x:v>KG01</x:v>
      </x:c>
      <x:c r="E724" t="n">
        <x:v>25</x:v>
      </x:c>
      <x:c r="F724" s="52" t="n">
        <x:v>45954</x:v>
      </x:c>
      <x:c r="G724" t="str">
        <x:v>PM</x:v>
      </x:c>
      <x:c r="H724" t="str">
        <x:v>ORD-2025-00162</x:v>
      </x:c>
      <x:c r="I724" t="str">
        <x:v>Normal</x:v>
      </x:c>
      <x:c r="J724" t="str">
        <x:v>PROC_LEHR</x:v>
      </x:c>
      <x:c r="K724" t="str">
        <x:v>Lehr</x:v>
      </x:c>
      <x:c r="L724" s="54" t="n">
        <x:v>0.005485167714313728</x:v>
      </x:c>
      <x:c r="M724" t="n">
        <x:v>183586</x:v>
      </x:c>
      <x:c r="N724" t="n">
        <x:f>L724*M724</x:f>
        <x:v>1007.0000000000001</x:v>
      </x:c>
      <x:c r="O724"/>
      <x:c r="P724"/>
      <x:c r="Q724"/>
      <x:c r="R724"/>
      <x:c r="S724" s="52"/>
      <x:c r="T724" t="str">
        <x:v>OK</x:v>
      </x:c>
      <x:c r="U724" t="str">
        <x:f>IF(AND(ISNUMBER(L724),L724&gt;=0,L724&lt;=1),"OK","CHECK")</x:f>
        <x:v>OK</x:v>
      </x:c>
      <x:c r="V724" t="str">
        <x:f>IF(AND(ISNUMBER(N724),N724&gt;=0),"OK","CHECK")</x:f>
        <x:v>OK</x:v>
      </x:c>
      <x:c r="W724" t="str">
        <x:f>IF(AND(T724="OK",U724="OK",V724="OK"),"OK","CHECK")</x:f>
        <x:v>OK</x:v>
      </x:c>
      <x:c r="X724" t="str">
        <x:f>IF(W724="OK","LOAD","QUARANTINE")</x:f>
        <x:v>LOAD</x:v>
      </x:c>
      <x:c r="Y724" t="str">
        <x:v>03_Process_Losses(6).xlsx</x:v>
      </x:c>
      <x:c r="Z724" t="str">
        <x:v>ENH-20260830-01</x:v>
      </x:c>
      <x:c r="AA724" t="str">
        <x:f>IF(X724="LOAD","Active","Quarantine")</x:f>
        <x:v>Active</x:v>
      </x:c>
      <x:c r="AB724"/>
      <x:c r="AC724"/>
      <x:c r="AD724"/>
      <x:c r="AE724"/>
    </x:row>
    <x:row r="725">
      <x:c r="A725" t="str">
        <x:v>PLD-000721</x:v>
      </x:c>
      <x:c r="B725" t="str">
        <x:v>LOSS-KG01-L25-20251024-PM-ORD-2025-00162</x:v>
      </x:c>
      <x:c r="C725" t="str">
        <x:v>PE-KG01-L25-20251024-PM-ORD-2025-00162</x:v>
      </x:c>
      <x:c r="D725" t="str">
        <x:v>KG01</x:v>
      </x:c>
      <x:c r="E725" t="n">
        <x:v>25</x:v>
      </x:c>
      <x:c r="F725" s="52" t="n">
        <x:v>45954</x:v>
      </x:c>
      <x:c r="G725" t="str">
        <x:v>PM</x:v>
      </x:c>
      <x:c r="H725" t="str">
        <x:v>ORD-2025-00162</x:v>
      </x:c>
      <x:c r="I725" t="str">
        <x:v>Normal</x:v>
      </x:c>
      <x:c r="J725" t="str">
        <x:v>PROC_EVO16</x:v>
      </x:c>
      <x:c r="K725" t="str">
        <x:v>Inspection</x:v>
      </x:c>
      <x:c r="L725" s="54" t="n">
        <x:v>0.0016286644951140066</x:v>
      </x:c>
      <x:c r="M725" t="n">
        <x:v>183586</x:v>
      </x:c>
      <x:c r="N725" t="n">
        <x:f>L725*M725</x:f>
        <x:v>299</x:v>
      </x:c>
      <x:c r="O725"/>
      <x:c r="P725"/>
      <x:c r="Q725"/>
      <x:c r="R725"/>
      <x:c r="S725" s="52"/>
      <x:c r="T725" t="str">
        <x:v>OK</x:v>
      </x:c>
      <x:c r="U725" t="str">
        <x:f>IF(AND(ISNUMBER(L725),L725&gt;=0,L725&lt;=1),"OK","CHECK")</x:f>
        <x:v>OK</x:v>
      </x:c>
      <x:c r="V725" t="str">
        <x:f>IF(AND(ISNUMBER(N725),N725&gt;=0),"OK","CHECK")</x:f>
        <x:v>OK</x:v>
      </x:c>
      <x:c r="W725" t="str">
        <x:f>IF(AND(T725="OK",U725="OK",V725="OK"),"OK","CHECK")</x:f>
        <x:v>OK</x:v>
      </x:c>
      <x:c r="X725" t="str">
        <x:f>IF(W725="OK","LOAD","QUARANTINE")</x:f>
        <x:v>LOAD</x:v>
      </x:c>
      <x:c r="Y725" t="str">
        <x:v>03_Process_Losses(6).xlsx</x:v>
      </x:c>
      <x:c r="Z725" t="str">
        <x:v>ENH-20260830-01</x:v>
      </x:c>
      <x:c r="AA725" t="str">
        <x:f>IF(X725="LOAD","Active","Quarantine")</x:f>
        <x:v>Active</x:v>
      </x:c>
      <x:c r="AB725"/>
      <x:c r="AC725"/>
      <x:c r="AD725"/>
      <x:c r="AE725"/>
    </x:row>
    <x:row r="726">
      <x:c r="A726" t="str">
        <x:v>PLD-000722</x:v>
      </x:c>
      <x:c r="B726" t="str">
        <x:v>LOSS-KG01-L25-20251024-PM-ORD-2025-00162</x:v>
      </x:c>
      <x:c r="C726" t="str">
        <x:v>PE-KG01-L25-20251024-PM-ORD-2025-00162</x:v>
      </x:c>
      <x:c r="D726" t="str">
        <x:v>KG01</x:v>
      </x:c>
      <x:c r="E726" t="n">
        <x:v>25</x:v>
      </x:c>
      <x:c r="F726" s="52" t="n">
        <x:v>45954</x:v>
      </x:c>
      <x:c r="G726" t="str">
        <x:v>PM</x:v>
      </x:c>
      <x:c r="H726" t="str">
        <x:v>ORD-2025-00162</x:v>
      </x:c>
      <x:c r="I726" t="str">
        <x:v>Normal</x:v>
      </x:c>
      <x:c r="J726" t="str">
        <x:v>PROC_EVO12</x:v>
      </x:c>
      <x:c r="K726" t="str">
        <x:v>Inspection</x:v>
      </x:c>
      <x:c r="L726" s="54" t="n">
        <x:v>0.001399888880415718</x:v>
      </x:c>
      <x:c r="M726" t="n">
        <x:v>183586</x:v>
      </x:c>
      <x:c r="N726" t="n">
        <x:f>L726*M726</x:f>
        <x:v>257</x:v>
      </x:c>
      <x:c r="O726"/>
      <x:c r="P726"/>
      <x:c r="Q726"/>
      <x:c r="R726"/>
      <x:c r="S726" s="52"/>
      <x:c r="T726" t="str">
        <x:v>OK</x:v>
      </x:c>
      <x:c r="U726" t="str">
        <x:f>IF(AND(ISNUMBER(L726),L726&gt;=0,L726&lt;=1),"OK","CHECK")</x:f>
        <x:v>OK</x:v>
      </x:c>
      <x:c r="V726" t="str">
        <x:f>IF(AND(ISNUMBER(N726),N726&gt;=0),"OK","CHECK")</x:f>
        <x:v>OK</x:v>
      </x:c>
      <x:c r="W726" t="str">
        <x:f>IF(AND(T726="OK",U726="OK",V726="OK"),"OK","CHECK")</x:f>
        <x:v>OK</x:v>
      </x:c>
      <x:c r="X726" t="str">
        <x:f>IF(W726="OK","LOAD","QUARANTINE")</x:f>
        <x:v>LOAD</x:v>
      </x:c>
      <x:c r="Y726" t="str">
        <x:v>03_Process_Losses(6).xlsx</x:v>
      </x:c>
      <x:c r="Z726" t="str">
        <x:v>ENH-20260830-01</x:v>
      </x:c>
      <x:c r="AA726" t="str">
        <x:f>IF(X726="LOAD","Active","Quarantine")</x:f>
        <x:v>Active</x:v>
      </x:c>
      <x:c r="AB726"/>
      <x:c r="AC726"/>
      <x:c r="AD726"/>
      <x:c r="AE726"/>
    </x:row>
    <x:row r="727">
      <x:c r="A727" t="str">
        <x:v>PLD-000723</x:v>
      </x:c>
      <x:c r="B727" t="str">
        <x:v>LOSS-KG01-L25-20251024-PM-ORD-2025-00162</x:v>
      </x:c>
      <x:c r="C727" t="str">
        <x:v>PE-KG01-L25-20251024-PM-ORD-2025-00162</x:v>
      </x:c>
      <x:c r="D727" t="str">
        <x:v>KG01</x:v>
      </x:c>
      <x:c r="E727" t="n">
        <x:v>25</x:v>
      </x:c>
      <x:c r="F727" s="52" t="n">
        <x:v>45954</x:v>
      </x:c>
      <x:c r="G727" t="str">
        <x:v>PM</x:v>
      </x:c>
      <x:c r="H727" t="str">
        <x:v>ORD-2025-00162</x:v>
      </x:c>
      <x:c r="I727" t="str">
        <x:v>Normal</x:v>
      </x:c>
      <x:c r="J727" t="str">
        <x:v>PROC_EVO5</x:v>
      </x:c>
      <x:c r="K727" t="str">
        <x:v>Inspection</x:v>
      </x:c>
      <x:c r="L727" s="54" t="n">
        <x:v>0.0017484993409083481</x:v>
      </x:c>
      <x:c r="M727" t="n">
        <x:v>183586</x:v>
      </x:c>
      <x:c r="N727" t="n">
        <x:f>L727*M727</x:f>
        <x:v>321</x:v>
      </x:c>
      <x:c r="O727"/>
      <x:c r="P727"/>
      <x:c r="Q727"/>
      <x:c r="R727"/>
      <x:c r="S727" s="52"/>
      <x:c r="T727" t="str">
        <x:v>OK</x:v>
      </x:c>
      <x:c r="U727" t="str">
        <x:f>IF(AND(ISNUMBER(L727),L727&gt;=0,L727&lt;=1),"OK","CHECK")</x:f>
        <x:v>OK</x:v>
      </x:c>
      <x:c r="V727" t="str">
        <x:f>IF(AND(ISNUMBER(N727),N727&gt;=0),"OK","CHECK")</x:f>
        <x:v>OK</x:v>
      </x:c>
      <x:c r="W727" t="str">
        <x:f>IF(AND(T727="OK",U727="OK",V727="OK"),"OK","CHECK")</x:f>
        <x:v>OK</x:v>
      </x:c>
      <x:c r="X727" t="str">
        <x:f>IF(W727="OK","LOAD","QUARANTINE")</x:f>
        <x:v>LOAD</x:v>
      </x:c>
      <x:c r="Y727" t="str">
        <x:v>03_Process_Losses(6).xlsx</x:v>
      </x:c>
      <x:c r="Z727" t="str">
        <x:v>ENH-20260830-01</x:v>
      </x:c>
      <x:c r="AA727" t="str">
        <x:f>IF(X727="LOAD","Active","Quarantine")</x:f>
        <x:v>Active</x:v>
      </x:c>
      <x:c r="AB727"/>
      <x:c r="AC727"/>
      <x:c r="AD727"/>
      <x:c r="AE727"/>
    </x:row>
    <x:row r="728">
      <x:c r="A728" t="str">
        <x:v>PLD-000724</x:v>
      </x:c>
      <x:c r="B728" t="str">
        <x:v>LOSS-KG01-L25-20251024-PM-ORD-2025-00162</x:v>
      </x:c>
      <x:c r="C728" t="str">
        <x:v>PE-KG01-L25-20251024-PM-ORD-2025-00162</x:v>
      </x:c>
      <x:c r="D728" t="str">
        <x:v>KG01</x:v>
      </x:c>
      <x:c r="E728" t="n">
        <x:v>25</x:v>
      </x:c>
      <x:c r="F728" s="52" t="n">
        <x:v>45954</x:v>
      </x:c>
      <x:c r="G728" t="str">
        <x:v>PM</x:v>
      </x:c>
      <x:c r="H728" t="str">
        <x:v>ORD-2025-00162</x:v>
      </x:c>
      <x:c r="I728" t="str">
        <x:v>Normal</x:v>
      </x:c>
      <x:c r="J728" t="str">
        <x:v>PROC_SANLI</x:v>
      </x:c>
      <x:c r="K728" t="str">
        <x:v>Inspection</x:v>
      </x:c>
      <x:c r="L728" s="54" t="n">
        <x:v>0.0028106718377218305</x:v>
      </x:c>
      <x:c r="M728" t="n">
        <x:v>183586</x:v>
      </x:c>
      <x:c r="N728" t="n">
        <x:f>L728*M728</x:f>
        <x:v>516</x:v>
      </x:c>
      <x:c r="O728"/>
      <x:c r="P728"/>
      <x:c r="Q728"/>
      <x:c r="R728"/>
      <x:c r="S728" s="52"/>
      <x:c r="T728" t="str">
        <x:v>OK</x:v>
      </x:c>
      <x:c r="U728" t="str">
        <x:f>IF(AND(ISNUMBER(L728),L728&gt;=0,L728&lt;=1),"OK","CHECK")</x:f>
        <x:v>OK</x:v>
      </x:c>
      <x:c r="V728" t="str">
        <x:f>IF(AND(ISNUMBER(N728),N728&gt;=0),"OK","CHECK")</x:f>
        <x:v>OK</x:v>
      </x:c>
      <x:c r="W728" t="str">
        <x:f>IF(AND(T728="OK",U728="OK",V728="OK"),"OK","CHECK")</x:f>
        <x:v>OK</x:v>
      </x:c>
      <x:c r="X728" t="str">
        <x:f>IF(W728="OK","LOAD","QUARANTINE")</x:f>
        <x:v>LOAD</x:v>
      </x:c>
      <x:c r="Y728" t="str">
        <x:v>03_Process_Losses(6).xlsx</x:v>
      </x:c>
      <x:c r="Z728" t="str">
        <x:v>ENH-20260830-01</x:v>
      </x:c>
      <x:c r="AA728" t="str">
        <x:f>IF(X728="LOAD","Active","Quarantine")</x:f>
        <x:v>Active</x:v>
      </x:c>
      <x:c r="AB728"/>
      <x:c r="AC728"/>
      <x:c r="AD728"/>
      <x:c r="AE728"/>
    </x:row>
    <x:row r="729">
      <x:c r="A729" t="str">
        <x:v>PLD-000725</x:v>
      </x:c>
      <x:c r="B729" t="str">
        <x:v>LOSS-KG01-L25-20251024-PM-ORD-2025-00162</x:v>
      </x:c>
      <x:c r="C729" t="str">
        <x:v>PE-KG01-L25-20251024-PM-ORD-2025-00162</x:v>
      </x:c>
      <x:c r="D729" t="str">
        <x:v>KG01</x:v>
      </x:c>
      <x:c r="E729" t="n">
        <x:v>25</x:v>
      </x:c>
      <x:c r="F729" s="52" t="n">
        <x:v>45954</x:v>
      </x:c>
      <x:c r="G729" t="str">
        <x:v>PM</x:v>
      </x:c>
      <x:c r="H729" t="str">
        <x:v>ORD-2025-00162</x:v>
      </x:c>
      <x:c r="I729" t="str">
        <x:v>Normal</x:v>
      </x:c>
      <x:c r="J729" t="str">
        <x:v>PROC_VISUAL</x:v>
      </x:c>
      <x:c r="K729" t="str">
        <x:v>Inspection</x:v>
      </x:c>
      <x:c r="L729" s="54" t="n">
        <x:v>0.007783817938187007</x:v>
      </x:c>
      <x:c r="M729" t="n">
        <x:v>183586</x:v>
      </x:c>
      <x:c r="N729" t="n">
        <x:f>L729*M729</x:f>
        <x:v>1429</x:v>
      </x:c>
      <x:c r="O729"/>
      <x:c r="P729"/>
      <x:c r="Q729"/>
      <x:c r="R729"/>
      <x:c r="S729" s="52"/>
      <x:c r="T729" t="str">
        <x:v>OK</x:v>
      </x:c>
      <x:c r="U729" t="str">
        <x:f>IF(AND(ISNUMBER(L729),L729&gt;=0,L729&lt;=1),"OK","CHECK")</x:f>
        <x:v>OK</x:v>
      </x:c>
      <x:c r="V729" t="str">
        <x:f>IF(AND(ISNUMBER(N729),N729&gt;=0),"OK","CHECK")</x:f>
        <x:v>OK</x:v>
      </x:c>
      <x:c r="W729" t="str">
        <x:f>IF(AND(T729="OK",U729="OK",V729="OK"),"OK","CHECK")</x:f>
        <x:v>OK</x:v>
      </x:c>
      <x:c r="X729" t="str">
        <x:f>IF(W729="OK","LOAD","QUARANTINE")</x:f>
        <x:v>LOAD</x:v>
      </x:c>
      <x:c r="Y729" t="str">
        <x:v>03_Process_Losses(6).xlsx</x:v>
      </x:c>
      <x:c r="Z729" t="str">
        <x:v>ENH-20260830-01</x:v>
      </x:c>
      <x:c r="AA729" t="str">
        <x:f>IF(X729="LOAD","Active","Quarantine")</x:f>
        <x:v>Active</x:v>
      </x:c>
      <x:c r="AB729"/>
      <x:c r="AC729"/>
      <x:c r="AD729"/>
      <x:c r="AE729"/>
    </x:row>
    <x:row r="730">
      <x:c r="A730" t="str">
        <x:v>PLD-000726</x:v>
      </x:c>
      <x:c r="B730" t="str">
        <x:v>LOSS-KG01-L25-20251024-PM-ORD-2025-00162</x:v>
      </x:c>
      <x:c r="C730" t="str">
        <x:v>PE-KG01-L25-20251024-PM-ORD-2025-00162</x:v>
      </x:c>
      <x:c r="D730" t="str">
        <x:v>KG01</x:v>
      </x:c>
      <x:c r="E730" t="n">
        <x:v>25</x:v>
      </x:c>
      <x:c r="F730" s="52" t="n">
        <x:v>45954</x:v>
      </x:c>
      <x:c r="G730" t="str">
        <x:v>PM</x:v>
      </x:c>
      <x:c r="H730" t="str">
        <x:v>ORD-2025-00162</x:v>
      </x:c>
      <x:c r="I730" t="str">
        <x:v>Normal</x:v>
      </x:c>
      <x:c r="J730" t="str">
        <x:v>PROC_PALLETIZER</x:v>
      </x:c>
      <x:c r="K730" t="str">
        <x:v>Palletizer</x:v>
      </x:c>
      <x:c r="L730" s="54" t="n">
        <x:v>0.005675814059895635</x:v>
      </x:c>
      <x:c r="M730" t="n">
        <x:v>183586</x:v>
      </x:c>
      <x:c r="N730" t="n">
        <x:f>L730*M730</x:f>
        <x:v>1042</x:v>
      </x:c>
      <x:c r="O730"/>
      <x:c r="P730"/>
      <x:c r="Q730"/>
      <x:c r="R730"/>
      <x:c r="S730" s="52"/>
      <x:c r="T730" t="str">
        <x:v>OK</x:v>
      </x:c>
      <x:c r="U730" t="str">
        <x:f>IF(AND(ISNUMBER(L730),L730&gt;=0,L730&lt;=1),"OK","CHECK")</x:f>
        <x:v>OK</x:v>
      </x:c>
      <x:c r="V730" t="str">
        <x:f>IF(AND(ISNUMBER(N730),N730&gt;=0),"OK","CHECK")</x:f>
        <x:v>OK</x:v>
      </x:c>
      <x:c r="W730" t="str">
        <x:f>IF(AND(T730="OK",U730="OK",V730="OK"),"OK","CHECK")</x:f>
        <x:v>OK</x:v>
      </x:c>
      <x:c r="X730" t="str">
        <x:f>IF(W730="OK","LOAD","QUARANTINE")</x:f>
        <x:v>LOAD</x:v>
      </x:c>
      <x:c r="Y730" t="str">
        <x:v>03_Process_Losses(6).xlsx</x:v>
      </x:c>
      <x:c r="Z730" t="str">
        <x:v>ENH-20260830-01</x:v>
      </x:c>
      <x:c r="AA730" t="str">
        <x:f>IF(X730="LOAD","Active","Quarantine")</x:f>
        <x:v>Active</x:v>
      </x:c>
      <x:c r="AB730"/>
      <x:c r="AC730"/>
      <x:c r="AD730"/>
      <x:c r="AE730"/>
    </x:row>
    <x:row r="731">
      <x:c r="A731" t="str">
        <x:v>PLD-000727</x:v>
      </x:c>
      <x:c r="B731" t="str">
        <x:v>LOSS-KG01-L25-20251025-AM-ORD-2025-00162</x:v>
      </x:c>
      <x:c r="C731" t="str">
        <x:v>PE-KG01-L25-20251025-AM-ORD-2025-00162</x:v>
      </x:c>
      <x:c r="D731" t="str">
        <x:v>KG01</x:v>
      </x:c>
      <x:c r="E731" t="n">
        <x:v>25</x:v>
      </x:c>
      <x:c r="F731" s="52" t="n">
        <x:v>45955</x:v>
      </x:c>
      <x:c r="G731" t="str">
        <x:v>AM</x:v>
      </x:c>
      <x:c r="H731" t="str">
        <x:v>ORD-2025-00162</x:v>
      </x:c>
      <x:c r="I731" t="str">
        <x:v>Normal</x:v>
      </x:c>
      <x:c r="J731" t="str">
        <x:v>PROC_FIXED</x:v>
      </x:c>
      <x:c r="K731" t="str">
        <x:v>Fixed Losses</x:v>
      </x:c>
      <x:c r="L731" s="54" t="n">
        <x:v>0.010208212523386983</x:v>
      </x:c>
      <x:c r="M731" t="n">
        <x:v>182794</x:v>
      </x:c>
      <x:c r="N731" t="n">
        <x:f>L731*M731</x:f>
        <x:v>1866</x:v>
      </x:c>
      <x:c r="O731"/>
      <x:c r="P731"/>
      <x:c r="Q731"/>
      <x:c r="R731"/>
      <x:c r="S731" s="52"/>
      <x:c r="T731" t="str">
        <x:v>OK</x:v>
      </x:c>
      <x:c r="U731" t="str">
        <x:f>IF(AND(ISNUMBER(L731),L731&gt;=0,L731&lt;=1),"OK","CHECK")</x:f>
        <x:v>OK</x:v>
      </x:c>
      <x:c r="V731" t="str">
        <x:f>IF(AND(ISNUMBER(N731),N731&gt;=0),"OK","CHECK")</x:f>
        <x:v>OK</x:v>
      </x:c>
      <x:c r="W731" t="str">
        <x:f>IF(AND(T731="OK",U731="OK",V731="OK"),"OK","CHECK")</x:f>
        <x:v>OK</x:v>
      </x:c>
      <x:c r="X731" t="str">
        <x:f>IF(W731="OK","LOAD","QUARANTINE")</x:f>
        <x:v>LOAD</x:v>
      </x:c>
      <x:c r="Y731" t="str">
        <x:v>03_Process_Losses(6).xlsx</x:v>
      </x:c>
      <x:c r="Z731" t="str">
        <x:v>ENH-20260830-01</x:v>
      </x:c>
      <x:c r="AA731" t="str">
        <x:f>IF(X731="LOAD","Active","Quarantine")</x:f>
        <x:v>Active</x:v>
      </x:c>
      <x:c r="AB731"/>
      <x:c r="AC731"/>
      <x:c r="AD731"/>
      <x:c r="AE731"/>
    </x:row>
    <x:row r="732">
      <x:c r="A732" t="str">
        <x:v>PLD-000728</x:v>
      </x:c>
      <x:c r="B732" t="str">
        <x:v>LOSS-KG01-L25-20251025-AM-ORD-2025-00162</x:v>
      </x:c>
      <x:c r="C732" t="str">
        <x:v>PE-KG01-L25-20251025-AM-ORD-2025-00162</x:v>
      </x:c>
      <x:c r="D732" t="str">
        <x:v>KG01</x:v>
      </x:c>
      <x:c r="E732" t="n">
        <x:v>25</x:v>
      </x:c>
      <x:c r="F732" s="52" t="n">
        <x:v>45955</x:v>
      </x:c>
      <x:c r="G732" t="str">
        <x:v>AM</x:v>
      </x:c>
      <x:c r="H732" t="str">
        <x:v>ORD-2025-00162</x:v>
      </x:c>
      <x:c r="I732" t="str">
        <x:v>Normal</x:v>
      </x:c>
      <x:c r="J732" t="str">
        <x:v>PROC_IS</x:v>
      </x:c>
      <x:c r="K732" t="str">
        <x:v>IS Machine</x:v>
      </x:c>
      <x:c r="L732" s="54" t="n">
        <x:v>0.014086895631147631</x:v>
      </x:c>
      <x:c r="M732" t="n">
        <x:v>182794</x:v>
      </x:c>
      <x:c r="N732" t="n">
        <x:f>L732*M732</x:f>
        <x:v>2575</x:v>
      </x:c>
      <x:c r="O732"/>
      <x:c r="P732"/>
      <x:c r="Q732"/>
      <x:c r="R732"/>
      <x:c r="S732" s="52"/>
      <x:c r="T732" t="str">
        <x:v>OK</x:v>
      </x:c>
      <x:c r="U732" t="str">
        <x:f>IF(AND(ISNUMBER(L732),L732&gt;=0,L732&lt;=1),"OK","CHECK")</x:f>
        <x:v>OK</x:v>
      </x:c>
      <x:c r="V732" t="str">
        <x:f>IF(AND(ISNUMBER(N732),N732&gt;=0),"OK","CHECK")</x:f>
        <x:v>OK</x:v>
      </x:c>
      <x:c r="W732" t="str">
        <x:f>IF(AND(T732="OK",U732="OK",V732="OK"),"OK","CHECK")</x:f>
        <x:v>OK</x:v>
      </x:c>
      <x:c r="X732" t="str">
        <x:f>IF(W732="OK","LOAD","QUARANTINE")</x:f>
        <x:v>LOAD</x:v>
      </x:c>
      <x:c r="Y732" t="str">
        <x:v>03_Process_Losses(6).xlsx</x:v>
      </x:c>
      <x:c r="Z732" t="str">
        <x:v>ENH-20260830-01</x:v>
      </x:c>
      <x:c r="AA732" t="str">
        <x:f>IF(X732="LOAD","Active","Quarantine")</x:f>
        <x:v>Active</x:v>
      </x:c>
      <x:c r="AB732"/>
      <x:c r="AC732"/>
      <x:c r="AD732"/>
      <x:c r="AE732"/>
    </x:row>
    <x:row r="733">
      <x:c r="A733" t="str">
        <x:v>PLD-000729</x:v>
      </x:c>
      <x:c r="B733" t="str">
        <x:v>LOSS-KG01-L25-20251025-AM-ORD-2025-00162</x:v>
      </x:c>
      <x:c r="C733" t="str">
        <x:v>PE-KG01-L25-20251025-AM-ORD-2025-00162</x:v>
      </x:c>
      <x:c r="D733" t="str">
        <x:v>KG01</x:v>
      </x:c>
      <x:c r="E733" t="n">
        <x:v>25</x:v>
      </x:c>
      <x:c r="F733" s="52" t="n">
        <x:v>45955</x:v>
      </x:c>
      <x:c r="G733" t="str">
        <x:v>AM</x:v>
      </x:c>
      <x:c r="H733" t="str">
        <x:v>ORD-2025-00162</x:v>
      </x:c>
      <x:c r="I733" t="str">
        <x:v>Normal</x:v>
      </x:c>
      <x:c r="J733" t="str">
        <x:v>PROC_HE_CONVEYER</x:v>
      </x:c>
      <x:c r="K733" t="str">
        <x:v>Hot End</x:v>
      </x:c>
      <x:c r="L733" s="54" t="n">
        <x:v>0.0012308937930128998</x:v>
      </x:c>
      <x:c r="M733" t="n">
        <x:v>182794</x:v>
      </x:c>
      <x:c r="N733" t="n">
        <x:f>L733*M733</x:f>
        <x:v>225</x:v>
      </x:c>
      <x:c r="O733"/>
      <x:c r="P733"/>
      <x:c r="Q733"/>
      <x:c r="R733"/>
      <x:c r="S733" s="52"/>
      <x:c r="T733" t="str">
        <x:v>OK</x:v>
      </x:c>
      <x:c r="U733" t="str">
        <x:f>IF(AND(ISNUMBER(L733),L733&gt;=0,L733&lt;=1),"OK","CHECK")</x:f>
        <x:v>OK</x:v>
      </x:c>
      <x:c r="V733" t="str">
        <x:f>IF(AND(ISNUMBER(N733),N733&gt;=0),"OK","CHECK")</x:f>
        <x:v>OK</x:v>
      </x:c>
      <x:c r="W733" t="str">
        <x:f>IF(AND(T733="OK",U733="OK",V733="OK"),"OK","CHECK")</x:f>
        <x:v>OK</x:v>
      </x:c>
      <x:c r="X733" t="str">
        <x:f>IF(W733="OK","LOAD","QUARANTINE")</x:f>
        <x:v>LOAD</x:v>
      </x:c>
      <x:c r="Y733" t="str">
        <x:v>03_Process_Losses(6).xlsx</x:v>
      </x:c>
      <x:c r="Z733" t="str">
        <x:v>ENH-20260830-01</x:v>
      </x:c>
      <x:c r="AA733" t="str">
        <x:f>IF(X733="LOAD","Active","Quarantine")</x:f>
        <x:v>Active</x:v>
      </x:c>
      <x:c r="AB733"/>
      <x:c r="AC733"/>
      <x:c r="AD733"/>
      <x:c r="AE733"/>
    </x:row>
    <x:row r="734">
      <x:c r="A734" t="str">
        <x:v>PLD-000730</x:v>
      </x:c>
      <x:c r="B734" t="str">
        <x:v>LOSS-KG01-L25-20251025-AM-ORD-2025-00162</x:v>
      </x:c>
      <x:c r="C734" t="str">
        <x:v>PE-KG01-L25-20251025-AM-ORD-2025-00162</x:v>
      </x:c>
      <x:c r="D734" t="str">
        <x:v>KG01</x:v>
      </x:c>
      <x:c r="E734" t="n">
        <x:v>25</x:v>
      </x:c>
      <x:c r="F734" s="52" t="n">
        <x:v>45955</x:v>
      </x:c>
      <x:c r="G734" t="str">
        <x:v>AM</x:v>
      </x:c>
      <x:c r="H734" t="str">
        <x:v>ORD-2025-00162</x:v>
      </x:c>
      <x:c r="I734" t="str">
        <x:v>Normal</x:v>
      </x:c>
      <x:c r="J734" t="str">
        <x:v>PROC_STUCKDOWN</x:v>
      </x:c>
      <x:c r="K734" t="str">
        <x:v>Forming</x:v>
      </x:c>
      <x:c r="L734" s="54" t="n">
        <x:v>0.0013403065746140463</x:v>
      </x:c>
      <x:c r="M734" t="n">
        <x:v>182794</x:v>
      </x:c>
      <x:c r="N734" t="n">
        <x:f>L734*M734</x:f>
        <x:v>244.99999999999997</x:v>
      </x:c>
      <x:c r="O734"/>
      <x:c r="P734"/>
      <x:c r="Q734"/>
      <x:c r="R734"/>
      <x:c r="S734" s="52"/>
      <x:c r="T734" t="str">
        <x:v>OK</x:v>
      </x:c>
      <x:c r="U734" t="str">
        <x:f>IF(AND(ISNUMBER(L734),L734&gt;=0,L734&lt;=1),"OK","CHECK")</x:f>
        <x:v>OK</x:v>
      </x:c>
      <x:c r="V734" t="str">
        <x:f>IF(AND(ISNUMBER(N734),N734&gt;=0),"OK","CHECK")</x:f>
        <x:v>OK</x:v>
      </x:c>
      <x:c r="W734" t="str">
        <x:f>IF(AND(T734="OK",U734="OK",V734="OK"),"OK","CHECK")</x:f>
        <x:v>OK</x:v>
      </x:c>
      <x:c r="X734" t="str">
        <x:f>IF(W734="OK","LOAD","QUARANTINE")</x:f>
        <x:v>LOAD</x:v>
      </x:c>
      <x:c r="Y734" t="str">
        <x:v>03_Process_Losses(6).xlsx</x:v>
      </x:c>
      <x:c r="Z734" t="str">
        <x:v>ENH-20260830-01</x:v>
      </x:c>
      <x:c r="AA734" t="str">
        <x:f>IF(X734="LOAD","Active","Quarantine")</x:f>
        <x:v>Active</x:v>
      </x:c>
      <x:c r="AB734"/>
      <x:c r="AC734"/>
      <x:c r="AD734"/>
      <x:c r="AE734"/>
    </x:row>
    <x:row r="735">
      <x:c r="A735" t="str">
        <x:v>PLD-000731</x:v>
      </x:c>
      <x:c r="B735" t="str">
        <x:v>LOSS-KG01-L25-20251025-AM-ORD-2025-00162</x:v>
      </x:c>
      <x:c r="C735" t="str">
        <x:v>PE-KG01-L25-20251025-AM-ORD-2025-00162</x:v>
      </x:c>
      <x:c r="D735" t="str">
        <x:v>KG01</x:v>
      </x:c>
      <x:c r="E735" t="n">
        <x:v>25</x:v>
      </x:c>
      <x:c r="F735" s="52" t="n">
        <x:v>45955</x:v>
      </x:c>
      <x:c r="G735" t="str">
        <x:v>AM</x:v>
      </x:c>
      <x:c r="H735" t="str">
        <x:v>ORD-2025-00162</x:v>
      </x:c>
      <x:c r="I735" t="str">
        <x:v>Normal</x:v>
      </x:c>
      <x:c r="J735" t="str">
        <x:v>PROC_LEHR</x:v>
      </x:c>
      <x:c r="K735" t="str">
        <x:v>Lehr</x:v>
      </x:c>
      <x:c r="L735" s="54" t="n">
        <x:v>0.007232184863835794</x:v>
      </x:c>
      <x:c r="M735" t="n">
        <x:v>182794</x:v>
      </x:c>
      <x:c r="N735" t="n">
        <x:f>L735*M735</x:f>
        <x:v>1322</x:v>
      </x:c>
      <x:c r="O735"/>
      <x:c r="P735"/>
      <x:c r="Q735"/>
      <x:c r="R735"/>
      <x:c r="S735" s="52"/>
      <x:c r="T735" t="str">
        <x:v>OK</x:v>
      </x:c>
      <x:c r="U735" t="str">
        <x:f>IF(AND(ISNUMBER(L735),L735&gt;=0,L735&lt;=1),"OK","CHECK")</x:f>
        <x:v>OK</x:v>
      </x:c>
      <x:c r="V735" t="str">
        <x:f>IF(AND(ISNUMBER(N735),N735&gt;=0),"OK","CHECK")</x:f>
        <x:v>OK</x:v>
      </x:c>
      <x:c r="W735" t="str">
        <x:f>IF(AND(T735="OK",U735="OK",V735="OK"),"OK","CHECK")</x:f>
        <x:v>OK</x:v>
      </x:c>
      <x:c r="X735" t="str">
        <x:f>IF(W735="OK","LOAD","QUARANTINE")</x:f>
        <x:v>LOAD</x:v>
      </x:c>
      <x:c r="Y735" t="str">
        <x:v>03_Process_Losses(6).xlsx</x:v>
      </x:c>
      <x:c r="Z735" t="str">
        <x:v>ENH-20260830-01</x:v>
      </x:c>
      <x:c r="AA735" t="str">
        <x:f>IF(X735="LOAD","Active","Quarantine")</x:f>
        <x:v>Active</x:v>
      </x:c>
      <x:c r="AB735"/>
      <x:c r="AC735"/>
      <x:c r="AD735"/>
      <x:c r="AE735"/>
    </x:row>
    <x:row r="736">
      <x:c r="A736" t="str">
        <x:v>PLD-000732</x:v>
      </x:c>
      <x:c r="B736" t="str">
        <x:v>LOSS-KG01-L25-20251025-AM-ORD-2025-00162</x:v>
      </x:c>
      <x:c r="C736" t="str">
        <x:v>PE-KG01-L25-20251025-AM-ORD-2025-00162</x:v>
      </x:c>
      <x:c r="D736" t="str">
        <x:v>KG01</x:v>
      </x:c>
      <x:c r="E736" t="n">
        <x:v>25</x:v>
      </x:c>
      <x:c r="F736" s="52" t="n">
        <x:v>45955</x:v>
      </x:c>
      <x:c r="G736" t="str">
        <x:v>AM</x:v>
      </x:c>
      <x:c r="H736" t="str">
        <x:v>ORD-2025-00162</x:v>
      </x:c>
      <x:c r="I736" t="str">
        <x:v>Normal</x:v>
      </x:c>
      <x:c r="J736" t="str">
        <x:v>PROC_EVO16</x:v>
      </x:c>
      <x:c r="K736" t="str">
        <x:v>Inspection</x:v>
      </x:c>
      <x:c r="L736" s="54" t="n">
        <x:v>0.0020460190159414422</x:v>
      </x:c>
      <x:c r="M736" t="n">
        <x:v>182794</x:v>
      </x:c>
      <x:c r="N736" t="n">
        <x:f>L736*M736</x:f>
        <x:v>374</x:v>
      </x:c>
      <x:c r="O736"/>
      <x:c r="P736"/>
      <x:c r="Q736"/>
      <x:c r="R736"/>
      <x:c r="S736" s="52"/>
      <x:c r="T736" t="str">
        <x:v>OK</x:v>
      </x:c>
      <x:c r="U736" t="str">
        <x:f>IF(AND(ISNUMBER(L736),L736&gt;=0,L736&lt;=1),"OK","CHECK")</x:f>
        <x:v>OK</x:v>
      </x:c>
      <x:c r="V736" t="str">
        <x:f>IF(AND(ISNUMBER(N736),N736&gt;=0),"OK","CHECK")</x:f>
        <x:v>OK</x:v>
      </x:c>
      <x:c r="W736" t="str">
        <x:f>IF(AND(T736="OK",U736="OK",V736="OK"),"OK","CHECK")</x:f>
        <x:v>OK</x:v>
      </x:c>
      <x:c r="X736" t="str">
        <x:f>IF(W736="OK","LOAD","QUARANTINE")</x:f>
        <x:v>LOAD</x:v>
      </x:c>
      <x:c r="Y736" t="str">
        <x:v>03_Process_Losses(6).xlsx</x:v>
      </x:c>
      <x:c r="Z736" t="str">
        <x:v>ENH-20260830-01</x:v>
      </x:c>
      <x:c r="AA736" t="str">
        <x:f>IF(X736="LOAD","Active","Quarantine")</x:f>
        <x:v>Active</x:v>
      </x:c>
      <x:c r="AB736"/>
      <x:c r="AC736"/>
      <x:c r="AD736"/>
      <x:c r="AE736"/>
    </x:row>
    <x:row r="737">
      <x:c r="A737" t="str">
        <x:v>PLD-000733</x:v>
      </x:c>
      <x:c r="B737" t="str">
        <x:v>LOSS-KG01-L25-20251025-AM-ORD-2025-00162</x:v>
      </x:c>
      <x:c r="C737" t="str">
        <x:v>PE-KG01-L25-20251025-AM-ORD-2025-00162</x:v>
      </x:c>
      <x:c r="D737" t="str">
        <x:v>KG01</x:v>
      </x:c>
      <x:c r="E737" t="n">
        <x:v>25</x:v>
      </x:c>
      <x:c r="F737" s="52" t="n">
        <x:v>45955</x:v>
      </x:c>
      <x:c r="G737" t="str">
        <x:v>AM</x:v>
      </x:c>
      <x:c r="H737" t="str">
        <x:v>ORD-2025-00162</x:v>
      </x:c>
      <x:c r="I737" t="str">
        <x:v>Normal</x:v>
      </x:c>
      <x:c r="J737" t="str">
        <x:v>PROC_EVO12</x:v>
      </x:c>
      <x:c r="K737" t="str">
        <x:v>Inspection</x:v>
      </x:c>
      <x:c r="L737" s="54" t="n">
        <x:v>0.0029377331859907875</x:v>
      </x:c>
      <x:c r="M737" t="n">
        <x:v>182794</x:v>
      </x:c>
      <x:c r="N737" t="n">
        <x:f>L737*M737</x:f>
        <x:v>537</x:v>
      </x:c>
      <x:c r="O737"/>
      <x:c r="P737"/>
      <x:c r="Q737"/>
      <x:c r="R737"/>
      <x:c r="S737" s="52"/>
      <x:c r="T737" t="str">
        <x:v>OK</x:v>
      </x:c>
      <x:c r="U737" t="str">
        <x:f>IF(AND(ISNUMBER(L737),L737&gt;=0,L737&lt;=1),"OK","CHECK")</x:f>
        <x:v>OK</x:v>
      </x:c>
      <x:c r="V737" t="str">
        <x:f>IF(AND(ISNUMBER(N737),N737&gt;=0),"OK","CHECK")</x:f>
        <x:v>OK</x:v>
      </x:c>
      <x:c r="W737" t="str">
        <x:f>IF(AND(T737="OK",U737="OK",V737="OK"),"OK","CHECK")</x:f>
        <x:v>OK</x:v>
      </x:c>
      <x:c r="X737" t="str">
        <x:f>IF(W737="OK","LOAD","QUARANTINE")</x:f>
        <x:v>LOAD</x:v>
      </x:c>
      <x:c r="Y737" t="str">
        <x:v>03_Process_Losses(6).xlsx</x:v>
      </x:c>
      <x:c r="Z737" t="str">
        <x:v>ENH-20260830-01</x:v>
      </x:c>
      <x:c r="AA737" t="str">
        <x:f>IF(X737="LOAD","Active","Quarantine")</x:f>
        <x:v>Active</x:v>
      </x:c>
      <x:c r="AB737"/>
      <x:c r="AC737"/>
      <x:c r="AD737"/>
      <x:c r="AE737"/>
    </x:row>
    <x:row r="738">
      <x:c r="A738" t="str">
        <x:v>PLD-000734</x:v>
      </x:c>
      <x:c r="B738" t="str">
        <x:v>LOSS-KG01-L25-20251025-AM-ORD-2025-00162</x:v>
      </x:c>
      <x:c r="C738" t="str">
        <x:v>PE-KG01-L25-20251025-AM-ORD-2025-00162</x:v>
      </x:c>
      <x:c r="D738" t="str">
        <x:v>KG01</x:v>
      </x:c>
      <x:c r="E738" t="n">
        <x:v>25</x:v>
      </x:c>
      <x:c r="F738" s="52" t="n">
        <x:v>45955</x:v>
      </x:c>
      <x:c r="G738" t="str">
        <x:v>AM</x:v>
      </x:c>
      <x:c r="H738" t="str">
        <x:v>ORD-2025-00162</x:v>
      </x:c>
      <x:c r="I738" t="str">
        <x:v>Normal</x:v>
      </x:c>
      <x:c r="J738" t="str">
        <x:v>PROC_EVO5</x:v>
      </x:c>
      <x:c r="K738" t="str">
        <x:v>Inspection</x:v>
      </x:c>
      <x:c r="L738" s="54" t="n">
        <x:v>0.0013348359355339892</x:v>
      </x:c>
      <x:c r="M738" t="n">
        <x:v>182794</x:v>
      </x:c>
      <x:c r="N738" t="n">
        <x:f>L738*M738</x:f>
        <x:v>244.00000000000003</x:v>
      </x:c>
      <x:c r="O738"/>
      <x:c r="P738"/>
      <x:c r="Q738"/>
      <x:c r="R738"/>
      <x:c r="S738" s="52"/>
      <x:c r="T738" t="str">
        <x:v>OK</x:v>
      </x:c>
      <x:c r="U738" t="str">
        <x:f>IF(AND(ISNUMBER(L738),L738&gt;=0,L738&lt;=1),"OK","CHECK")</x:f>
        <x:v>OK</x:v>
      </x:c>
      <x:c r="V738" t="str">
        <x:f>IF(AND(ISNUMBER(N738),N738&gt;=0),"OK","CHECK")</x:f>
        <x:v>OK</x:v>
      </x:c>
      <x:c r="W738" t="str">
        <x:f>IF(AND(T738="OK",U738="OK",V738="OK"),"OK","CHECK")</x:f>
        <x:v>OK</x:v>
      </x:c>
      <x:c r="X738" t="str">
        <x:f>IF(W738="OK","LOAD","QUARANTINE")</x:f>
        <x:v>LOAD</x:v>
      </x:c>
      <x:c r="Y738" t="str">
        <x:v>03_Process_Losses(6).xlsx</x:v>
      </x:c>
      <x:c r="Z738" t="str">
        <x:v>ENH-20260830-01</x:v>
      </x:c>
      <x:c r="AA738" t="str">
        <x:f>IF(X738="LOAD","Active","Quarantine")</x:f>
        <x:v>Active</x:v>
      </x:c>
      <x:c r="AB738"/>
      <x:c r="AC738"/>
      <x:c r="AD738"/>
      <x:c r="AE738"/>
    </x:row>
    <x:row r="739">
      <x:c r="A739" t="str">
        <x:v>PLD-000735</x:v>
      </x:c>
      <x:c r="B739" t="str">
        <x:v>LOSS-KG01-L25-20251025-AM-ORD-2025-00162</x:v>
      </x:c>
      <x:c r="C739" t="str">
        <x:v>PE-KG01-L25-20251025-AM-ORD-2025-00162</x:v>
      </x:c>
      <x:c r="D739" t="str">
        <x:v>KG01</x:v>
      </x:c>
      <x:c r="E739" t="n">
        <x:v>25</x:v>
      </x:c>
      <x:c r="F739" s="52" t="n">
        <x:v>45955</x:v>
      </x:c>
      <x:c r="G739" t="str">
        <x:v>AM</x:v>
      </x:c>
      <x:c r="H739" t="str">
        <x:v>ORD-2025-00162</x:v>
      </x:c>
      <x:c r="I739" t="str">
        <x:v>Normal</x:v>
      </x:c>
      <x:c r="J739" t="str">
        <x:v>PROC_SANLI</x:v>
      </x:c>
      <x:c r="K739" t="str">
        <x:v>Inspection</x:v>
      </x:c>
      <x:c r="L739" s="54" t="n">
        <x:v>0.0005908290206461919</x:v>
      </x:c>
      <x:c r="M739" t="n">
        <x:v>182794</x:v>
      </x:c>
      <x:c r="N739" t="n">
        <x:f>L739*M739</x:f>
        <x:v>108</x:v>
      </x:c>
      <x:c r="O739"/>
      <x:c r="P739"/>
      <x:c r="Q739"/>
      <x:c r="R739"/>
      <x:c r="S739" s="52"/>
      <x:c r="T739" t="str">
        <x:v>OK</x:v>
      </x:c>
      <x:c r="U739" t="str">
        <x:f>IF(AND(ISNUMBER(L739),L739&gt;=0,L739&lt;=1),"OK","CHECK")</x:f>
        <x:v>OK</x:v>
      </x:c>
      <x:c r="V739" t="str">
        <x:f>IF(AND(ISNUMBER(N739),N739&gt;=0),"OK","CHECK")</x:f>
        <x:v>OK</x:v>
      </x:c>
      <x:c r="W739" t="str">
        <x:f>IF(AND(T739="OK",U739="OK",V739="OK"),"OK","CHECK")</x:f>
        <x:v>OK</x:v>
      </x:c>
      <x:c r="X739" t="str">
        <x:f>IF(W739="OK","LOAD","QUARANTINE")</x:f>
        <x:v>LOAD</x:v>
      </x:c>
      <x:c r="Y739" t="str">
        <x:v>03_Process_Losses(6).xlsx</x:v>
      </x:c>
      <x:c r="Z739" t="str">
        <x:v>ENH-20260830-01</x:v>
      </x:c>
      <x:c r="AA739" t="str">
        <x:f>IF(X739="LOAD","Active","Quarantine")</x:f>
        <x:v>Active</x:v>
      </x:c>
      <x:c r="AB739"/>
      <x:c r="AC739"/>
      <x:c r="AD739"/>
      <x:c r="AE739"/>
    </x:row>
    <x:row r="740">
      <x:c r="A740" t="str">
        <x:v>PLD-000736</x:v>
      </x:c>
      <x:c r="B740" t="str">
        <x:v>LOSS-KG01-L25-20251025-AM-ORD-2025-00162</x:v>
      </x:c>
      <x:c r="C740" t="str">
        <x:v>PE-KG01-L25-20251025-AM-ORD-2025-00162</x:v>
      </x:c>
      <x:c r="D740" t="str">
        <x:v>KG01</x:v>
      </x:c>
      <x:c r="E740" t="n">
        <x:v>25</x:v>
      </x:c>
      <x:c r="F740" s="52" t="n">
        <x:v>45955</x:v>
      </x:c>
      <x:c r="G740" t="str">
        <x:v>AM</x:v>
      </x:c>
      <x:c r="H740" t="str">
        <x:v>ORD-2025-00162</x:v>
      </x:c>
      <x:c r="I740" t="str">
        <x:v>Normal</x:v>
      </x:c>
      <x:c r="J740" t="str">
        <x:v>PROC_VISUAL</x:v>
      </x:c>
      <x:c r="K740" t="str">
        <x:v>Inspection</x:v>
      </x:c>
      <x:c r="L740" s="54" t="n">
        <x:v>0.0067234154293904615</x:v>
      </x:c>
      <x:c r="M740" t="n">
        <x:v>182794</x:v>
      </x:c>
      <x:c r="N740" t="n">
        <x:f>L740*M740</x:f>
        <x:v>1229</x:v>
      </x:c>
      <x:c r="O740"/>
      <x:c r="P740"/>
      <x:c r="Q740"/>
      <x:c r="R740"/>
      <x:c r="S740" s="52"/>
      <x:c r="T740" t="str">
        <x:v>OK</x:v>
      </x:c>
      <x:c r="U740" t="str">
        <x:f>IF(AND(ISNUMBER(L740),L740&gt;=0,L740&lt;=1),"OK","CHECK")</x:f>
        <x:v>OK</x:v>
      </x:c>
      <x:c r="V740" t="str">
        <x:f>IF(AND(ISNUMBER(N740),N740&gt;=0),"OK","CHECK")</x:f>
        <x:v>OK</x:v>
      </x:c>
      <x:c r="W740" t="str">
        <x:f>IF(AND(T740="OK",U740="OK",V740="OK"),"OK","CHECK")</x:f>
        <x:v>OK</x:v>
      </x:c>
      <x:c r="X740" t="str">
        <x:f>IF(W740="OK","LOAD","QUARANTINE")</x:f>
        <x:v>LOAD</x:v>
      </x:c>
      <x:c r="Y740" t="str">
        <x:v>03_Process_Losses(6).xlsx</x:v>
      </x:c>
      <x:c r="Z740" t="str">
        <x:v>ENH-20260830-01</x:v>
      </x:c>
      <x:c r="AA740" t="str">
        <x:f>IF(X740="LOAD","Active","Quarantine")</x:f>
        <x:v>Active</x:v>
      </x:c>
      <x:c r="AB740"/>
      <x:c r="AC740"/>
      <x:c r="AD740"/>
      <x:c r="AE740"/>
    </x:row>
    <x:row r="741">
      <x:c r="A741" t="str">
        <x:v>PLD-000737</x:v>
      </x:c>
      <x:c r="B741" t="str">
        <x:v>LOSS-KG01-L25-20251025-AM-ORD-2025-00162</x:v>
      </x:c>
      <x:c r="C741" t="str">
        <x:v>PE-KG01-L25-20251025-AM-ORD-2025-00162</x:v>
      </x:c>
      <x:c r="D741" t="str">
        <x:v>KG01</x:v>
      </x:c>
      <x:c r="E741" t="n">
        <x:v>25</x:v>
      </x:c>
      <x:c r="F741" s="52" t="n">
        <x:v>45955</x:v>
      </x:c>
      <x:c r="G741" t="str">
        <x:v>AM</x:v>
      </x:c>
      <x:c r="H741" t="str">
        <x:v>ORD-2025-00162</x:v>
      </x:c>
      <x:c r="I741" t="str">
        <x:v>Normal</x:v>
      </x:c>
      <x:c r="J741" t="str">
        <x:v>PROC_PALLETIZER</x:v>
      </x:c>
      <x:c r="K741" t="str">
        <x:v>Palletizer</x:v>
      </x:c>
      <x:c r="L741" s="54" t="n">
        <x:v>0.003309736643434686</x:v>
      </x:c>
      <x:c r="M741" t="n">
        <x:v>182794</x:v>
      </x:c>
      <x:c r="N741" t="n">
        <x:f>L741*M741</x:f>
        <x:v>605</x:v>
      </x:c>
      <x:c r="O741"/>
      <x:c r="P741"/>
      <x:c r="Q741"/>
      <x:c r="R741"/>
      <x:c r="S741" s="52"/>
      <x:c r="T741" t="str">
        <x:v>OK</x:v>
      </x:c>
      <x:c r="U741" t="str">
        <x:f>IF(AND(ISNUMBER(L741),L741&gt;=0,L741&lt;=1),"OK","CHECK")</x:f>
        <x:v>OK</x:v>
      </x:c>
      <x:c r="V741" t="str">
        <x:f>IF(AND(ISNUMBER(N741),N741&gt;=0),"OK","CHECK")</x:f>
        <x:v>OK</x:v>
      </x:c>
      <x:c r="W741" t="str">
        <x:f>IF(AND(T741="OK",U741="OK",V741="OK"),"OK","CHECK")</x:f>
        <x:v>OK</x:v>
      </x:c>
      <x:c r="X741" t="str">
        <x:f>IF(W741="OK","LOAD","QUARANTINE")</x:f>
        <x:v>LOAD</x:v>
      </x:c>
      <x:c r="Y741" t="str">
        <x:v>03_Process_Losses(6).xlsx</x:v>
      </x:c>
      <x:c r="Z741" t="str">
        <x:v>ENH-20260830-01</x:v>
      </x:c>
      <x:c r="AA741" t="str">
        <x:f>IF(X741="LOAD","Active","Quarantine")</x:f>
        <x:v>Active</x:v>
      </x:c>
      <x:c r="AB741"/>
      <x:c r="AC741"/>
      <x:c r="AD741"/>
      <x:c r="AE741"/>
    </x:row>
    <x:row r="742">
      <x:c r="A742" t="str">
        <x:v>PLD-000738</x:v>
      </x:c>
      <x:c r="B742" t="str">
        <x:v>LOSS-KG01-L25-20251025-PM-ORD-2025-00162</x:v>
      </x:c>
      <x:c r="C742" t="str">
        <x:v>PE-KG01-L25-20251025-PM-ORD-2025-00162</x:v>
      </x:c>
      <x:c r="D742" t="str">
        <x:v>KG01</x:v>
      </x:c>
      <x:c r="E742" t="n">
        <x:v>25</x:v>
      </x:c>
      <x:c r="F742" s="52" t="n">
        <x:v>45955</x:v>
      </x:c>
      <x:c r="G742" t="str">
        <x:v>PM</x:v>
      </x:c>
      <x:c r="H742" t="str">
        <x:v>ORD-2025-00162</x:v>
      </x:c>
      <x:c r="I742" t="str">
        <x:v>Normal</x:v>
      </x:c>
      <x:c r="J742" t="str">
        <x:v>PROC_FIXED</x:v>
      </x:c>
      <x:c r="K742" t="str">
        <x:v>Fixed Losses</x:v>
      </x:c>
      <x:c r="L742" s="54" t="n">
        <x:v>0.00391230130146921</x:v>
      </x:c>
      <x:c r="M742" t="n">
        <x:v>202694</x:v>
      </x:c>
      <x:c r="N742" t="n">
        <x:f>L742*M742</x:f>
        <x:v>793</x:v>
      </x:c>
      <x:c r="O742"/>
      <x:c r="P742"/>
      <x:c r="Q742"/>
      <x:c r="R742"/>
      <x:c r="S742" s="52"/>
      <x:c r="T742" t="str">
        <x:v>OK</x:v>
      </x:c>
      <x:c r="U742" t="str">
        <x:f>IF(AND(ISNUMBER(L742),L742&gt;=0,L742&lt;=1),"OK","CHECK")</x:f>
        <x:v>OK</x:v>
      </x:c>
      <x:c r="V742" t="str">
        <x:f>IF(AND(ISNUMBER(N742),N742&gt;=0),"OK","CHECK")</x:f>
        <x:v>OK</x:v>
      </x:c>
      <x:c r="W742" t="str">
        <x:f>IF(AND(T742="OK",U742="OK",V742="OK"),"OK","CHECK")</x:f>
        <x:v>OK</x:v>
      </x:c>
      <x:c r="X742" t="str">
        <x:f>IF(W742="OK","LOAD","QUARANTINE")</x:f>
        <x:v>LOAD</x:v>
      </x:c>
      <x:c r="Y742" t="str">
        <x:v>03_Process_Losses(6).xlsx</x:v>
      </x:c>
      <x:c r="Z742" t="str">
        <x:v>ENH-20260830-01</x:v>
      </x:c>
      <x:c r="AA742" t="str">
        <x:f>IF(X742="LOAD","Active","Quarantine")</x:f>
        <x:v>Active</x:v>
      </x:c>
      <x:c r="AB742"/>
      <x:c r="AC742"/>
      <x:c r="AD742"/>
      <x:c r="AE742"/>
    </x:row>
    <x:row r="743">
      <x:c r="A743" t="str">
        <x:v>PLD-000739</x:v>
      </x:c>
      <x:c r="B743" t="str">
        <x:v>LOSS-KG01-L25-20251025-PM-ORD-2025-00162</x:v>
      </x:c>
      <x:c r="C743" t="str">
        <x:v>PE-KG01-L25-20251025-PM-ORD-2025-00162</x:v>
      </x:c>
      <x:c r="D743" t="str">
        <x:v>KG01</x:v>
      </x:c>
      <x:c r="E743" t="n">
        <x:v>25</x:v>
      </x:c>
      <x:c r="F743" s="52" t="n">
        <x:v>45955</x:v>
      </x:c>
      <x:c r="G743" t="str">
        <x:v>PM</x:v>
      </x:c>
      <x:c r="H743" t="str">
        <x:v>ORD-2025-00162</x:v>
      </x:c>
      <x:c r="I743" t="str">
        <x:v>Normal</x:v>
      </x:c>
      <x:c r="J743" t="str">
        <x:v>PROC_IS</x:v>
      </x:c>
      <x:c r="K743" t="str">
        <x:v>IS Machine</x:v>
      </x:c>
      <x:c r="L743" s="54" t="n">
        <x:v>0.005209823675096451</x:v>
      </x:c>
      <x:c r="M743" t="n">
        <x:v>202694</x:v>
      </x:c>
      <x:c r="N743" t="n">
        <x:f>L743*M743</x:f>
        <x:v>1056</x:v>
      </x:c>
      <x:c r="O743"/>
      <x:c r="P743"/>
      <x:c r="Q743"/>
      <x:c r="R743"/>
      <x:c r="S743" s="52"/>
      <x:c r="T743" t="str">
        <x:v>OK</x:v>
      </x:c>
      <x:c r="U743" t="str">
        <x:f>IF(AND(ISNUMBER(L743),L743&gt;=0,L743&lt;=1),"OK","CHECK")</x:f>
        <x:v>OK</x:v>
      </x:c>
      <x:c r="V743" t="str">
        <x:f>IF(AND(ISNUMBER(N743),N743&gt;=0),"OK","CHECK")</x:f>
        <x:v>OK</x:v>
      </x:c>
      <x:c r="W743" t="str">
        <x:f>IF(AND(T743="OK",U743="OK",V743="OK"),"OK","CHECK")</x:f>
        <x:v>OK</x:v>
      </x:c>
      <x:c r="X743" t="str">
        <x:f>IF(W743="OK","LOAD","QUARANTINE")</x:f>
        <x:v>LOAD</x:v>
      </x:c>
      <x:c r="Y743" t="str">
        <x:v>03_Process_Losses(6).xlsx</x:v>
      </x:c>
      <x:c r="Z743" t="str">
        <x:v>ENH-20260830-01</x:v>
      </x:c>
      <x:c r="AA743" t="str">
        <x:f>IF(X743="LOAD","Active","Quarantine")</x:f>
        <x:v>Active</x:v>
      </x:c>
      <x:c r="AB743"/>
      <x:c r="AC743"/>
      <x:c r="AD743"/>
      <x:c r="AE743"/>
    </x:row>
    <x:row r="744">
      <x:c r="A744" t="str">
        <x:v>PLD-000740</x:v>
      </x:c>
      <x:c r="B744" t="str">
        <x:v>LOSS-KG01-L25-20251025-PM-ORD-2025-00162</x:v>
      </x:c>
      <x:c r="C744" t="str">
        <x:v>PE-KG01-L25-20251025-PM-ORD-2025-00162</x:v>
      </x:c>
      <x:c r="D744" t="str">
        <x:v>KG01</x:v>
      </x:c>
      <x:c r="E744" t="n">
        <x:v>25</x:v>
      </x:c>
      <x:c r="F744" s="52" t="n">
        <x:v>45955</x:v>
      </x:c>
      <x:c r="G744" t="str">
        <x:v>PM</x:v>
      </x:c>
      <x:c r="H744" t="str">
        <x:v>ORD-2025-00162</x:v>
      </x:c>
      <x:c r="I744" t="str">
        <x:v>Normal</x:v>
      </x:c>
      <x:c r="J744" t="str">
        <x:v>PROC_HE_CONVEYER</x:v>
      </x:c>
      <x:c r="K744" t="str">
        <x:v>Hot End</x:v>
      </x:c>
      <x:c r="L744" s="54" t="n">
        <x:v>0.0034633486931038905</x:v>
      </x:c>
      <x:c r="M744" t="n">
        <x:v>202694</x:v>
      </x:c>
      <x:c r="N744" t="n">
        <x:f>L744*M744</x:f>
        <x:v>702</x:v>
      </x:c>
      <x:c r="O744"/>
      <x:c r="P744"/>
      <x:c r="Q744"/>
      <x:c r="R744"/>
      <x:c r="S744" s="52"/>
      <x:c r="T744" t="str">
        <x:v>OK</x:v>
      </x:c>
      <x:c r="U744" t="str">
        <x:f>IF(AND(ISNUMBER(L744),L744&gt;=0,L744&lt;=1),"OK","CHECK")</x:f>
        <x:v>OK</x:v>
      </x:c>
      <x:c r="V744" t="str">
        <x:f>IF(AND(ISNUMBER(N744),N744&gt;=0),"OK","CHECK")</x:f>
        <x:v>OK</x:v>
      </x:c>
      <x:c r="W744" t="str">
        <x:f>IF(AND(T744="OK",U744="OK",V744="OK"),"OK","CHECK")</x:f>
        <x:v>OK</x:v>
      </x:c>
      <x:c r="X744" t="str">
        <x:f>IF(W744="OK","LOAD","QUARANTINE")</x:f>
        <x:v>LOAD</x:v>
      </x:c>
      <x:c r="Y744" t="str">
        <x:v>03_Process_Losses(6).xlsx</x:v>
      </x:c>
      <x:c r="Z744" t="str">
        <x:v>ENH-20260830-01</x:v>
      </x:c>
      <x:c r="AA744" t="str">
        <x:f>IF(X744="LOAD","Active","Quarantine")</x:f>
        <x:v>Active</x:v>
      </x:c>
      <x:c r="AB744"/>
      <x:c r="AC744"/>
      <x:c r="AD744"/>
      <x:c r="AE744"/>
    </x:row>
    <x:row r="745">
      <x:c r="A745" t="str">
        <x:v>PLD-000741</x:v>
      </x:c>
      <x:c r="B745" t="str">
        <x:v>LOSS-KG01-L25-20251025-PM-ORD-2025-00162</x:v>
      </x:c>
      <x:c r="C745" t="str">
        <x:v>PE-KG01-L25-20251025-PM-ORD-2025-00162</x:v>
      </x:c>
      <x:c r="D745" t="str">
        <x:v>KG01</x:v>
      </x:c>
      <x:c r="E745" t="n">
        <x:v>25</x:v>
      </x:c>
      <x:c r="F745" s="52" t="n">
        <x:v>45955</x:v>
      </x:c>
      <x:c r="G745" t="str">
        <x:v>PM</x:v>
      </x:c>
      <x:c r="H745" t="str">
        <x:v>ORD-2025-00162</x:v>
      </x:c>
      <x:c r="I745" t="str">
        <x:v>Normal</x:v>
      </x:c>
      <x:c r="J745" t="str">
        <x:v>PROC_STUCKDOWN</x:v>
      </x:c>
      <x:c r="K745" t="str">
        <x:v>Forming</x:v>
      </x:c>
      <x:c r="L745" s="54" t="n">
        <x:v>0.0015441996309708231</x:v>
      </x:c>
      <x:c r="M745" t="n">
        <x:v>202694</x:v>
      </x:c>
      <x:c r="N745" t="n">
        <x:f>L745*M745</x:f>
        <x:v>313</x:v>
      </x:c>
      <x:c r="O745"/>
      <x:c r="P745"/>
      <x:c r="Q745"/>
      <x:c r="R745"/>
      <x:c r="S745" s="52"/>
      <x:c r="T745" t="str">
        <x:v>OK</x:v>
      </x:c>
      <x:c r="U745" t="str">
        <x:f>IF(AND(ISNUMBER(L745),L745&gt;=0,L745&lt;=1),"OK","CHECK")</x:f>
        <x:v>OK</x:v>
      </x:c>
      <x:c r="V745" t="str">
        <x:f>IF(AND(ISNUMBER(N745),N745&gt;=0),"OK","CHECK")</x:f>
        <x:v>OK</x:v>
      </x:c>
      <x:c r="W745" t="str">
        <x:f>IF(AND(T745="OK",U745="OK",V745="OK"),"OK","CHECK")</x:f>
        <x:v>OK</x:v>
      </x:c>
      <x:c r="X745" t="str">
        <x:f>IF(W745="OK","LOAD","QUARANTINE")</x:f>
        <x:v>LOAD</x:v>
      </x:c>
      <x:c r="Y745" t="str">
        <x:v>03_Process_Losses(6).xlsx</x:v>
      </x:c>
      <x:c r="Z745" t="str">
        <x:v>ENH-20260830-01</x:v>
      </x:c>
      <x:c r="AA745" t="str">
        <x:f>IF(X745="LOAD","Active","Quarantine")</x:f>
        <x:v>Active</x:v>
      </x:c>
      <x:c r="AB745"/>
      <x:c r="AC745"/>
      <x:c r="AD745"/>
      <x:c r="AE745"/>
    </x:row>
    <x:row r="746">
      <x:c r="A746" t="str">
        <x:v>PLD-000742</x:v>
      </x:c>
      <x:c r="B746" t="str">
        <x:v>LOSS-KG01-L25-20251025-PM-ORD-2025-00162</x:v>
      </x:c>
      <x:c r="C746" t="str">
        <x:v>PE-KG01-L25-20251025-PM-ORD-2025-00162</x:v>
      </x:c>
      <x:c r="D746" t="str">
        <x:v>KG01</x:v>
      </x:c>
      <x:c r="E746" t="n">
        <x:v>25</x:v>
      </x:c>
      <x:c r="F746" s="52" t="n">
        <x:v>45955</x:v>
      </x:c>
      <x:c r="G746" t="str">
        <x:v>PM</x:v>
      </x:c>
      <x:c r="H746" t="str">
        <x:v>ORD-2025-00162</x:v>
      </x:c>
      <x:c r="I746" t="str">
        <x:v>Normal</x:v>
      </x:c>
      <x:c r="J746" t="str">
        <x:v>PROC_LEHR</x:v>
      </x:c>
      <x:c r="K746" t="str">
        <x:v>Lehr</x:v>
      </x:c>
      <x:c r="L746" s="54" t="n">
        <x:v>0.003241339161494667</x:v>
      </x:c>
      <x:c r="M746" t="n">
        <x:v>202694</x:v>
      </x:c>
      <x:c r="N746" t="n">
        <x:f>L746*M746</x:f>
        <x:v>657</x:v>
      </x:c>
      <x:c r="O746"/>
      <x:c r="P746"/>
      <x:c r="Q746"/>
      <x:c r="R746"/>
      <x:c r="S746" s="52"/>
      <x:c r="T746" t="str">
        <x:v>OK</x:v>
      </x:c>
      <x:c r="U746" t="str">
        <x:f>IF(AND(ISNUMBER(L746),L746&gt;=0,L746&lt;=1),"OK","CHECK")</x:f>
        <x:v>OK</x:v>
      </x:c>
      <x:c r="V746" t="str">
        <x:f>IF(AND(ISNUMBER(N746),N746&gt;=0),"OK","CHECK")</x:f>
        <x:v>OK</x:v>
      </x:c>
      <x:c r="W746" t="str">
        <x:f>IF(AND(T746="OK",U746="OK",V746="OK"),"OK","CHECK")</x:f>
        <x:v>OK</x:v>
      </x:c>
      <x:c r="X746" t="str">
        <x:f>IF(W746="OK","LOAD","QUARANTINE")</x:f>
        <x:v>LOAD</x:v>
      </x:c>
      <x:c r="Y746" t="str">
        <x:v>03_Process_Losses(6).xlsx</x:v>
      </x:c>
      <x:c r="Z746" t="str">
        <x:v>ENH-20260830-01</x:v>
      </x:c>
      <x:c r="AA746" t="str">
        <x:f>IF(X746="LOAD","Active","Quarantine")</x:f>
        <x:v>Active</x:v>
      </x:c>
      <x:c r="AB746"/>
      <x:c r="AC746"/>
      <x:c r="AD746"/>
      <x:c r="AE746"/>
    </x:row>
    <x:row r="747">
      <x:c r="A747" t="str">
        <x:v>PLD-000743</x:v>
      </x:c>
      <x:c r="B747" t="str">
        <x:v>LOSS-KG01-L25-20251025-PM-ORD-2025-00162</x:v>
      </x:c>
      <x:c r="C747" t="str">
        <x:v>PE-KG01-L25-20251025-PM-ORD-2025-00162</x:v>
      </x:c>
      <x:c r="D747" t="str">
        <x:v>KG01</x:v>
      </x:c>
      <x:c r="E747" t="n">
        <x:v>25</x:v>
      </x:c>
      <x:c r="F747" s="52" t="n">
        <x:v>45955</x:v>
      </x:c>
      <x:c r="G747" t="str">
        <x:v>PM</x:v>
      </x:c>
      <x:c r="H747" t="str">
        <x:v>ORD-2025-00162</x:v>
      </x:c>
      <x:c r="I747" t="str">
        <x:v>Normal</x:v>
      </x:c>
      <x:c r="J747" t="str">
        <x:v>PROC_EVO16</x:v>
      </x:c>
      <x:c r="K747" t="str">
        <x:v>Inspection</x:v>
      </x:c>
      <x:c r="L747" s="54" t="n">
        <x:v>0.0029354593623886253</x:v>
      </x:c>
      <x:c r="M747" t="n">
        <x:v>202694</x:v>
      </x:c>
      <x:c r="N747" t="n">
        <x:f>L747*M747</x:f>
        <x:v>595</x:v>
      </x:c>
      <x:c r="O747"/>
      <x:c r="P747"/>
      <x:c r="Q747"/>
      <x:c r="R747"/>
      <x:c r="S747" s="52"/>
      <x:c r="T747" t="str">
        <x:v>OK</x:v>
      </x:c>
      <x:c r="U747" t="str">
        <x:f>IF(AND(ISNUMBER(L747),L747&gt;=0,L747&lt;=1),"OK","CHECK")</x:f>
        <x:v>OK</x:v>
      </x:c>
      <x:c r="V747" t="str">
        <x:f>IF(AND(ISNUMBER(N747),N747&gt;=0),"OK","CHECK")</x:f>
        <x:v>OK</x:v>
      </x:c>
      <x:c r="W747" t="str">
        <x:f>IF(AND(T747="OK",U747="OK",V747="OK"),"OK","CHECK")</x:f>
        <x:v>OK</x:v>
      </x:c>
      <x:c r="X747" t="str">
        <x:f>IF(W747="OK","LOAD","QUARANTINE")</x:f>
        <x:v>LOAD</x:v>
      </x:c>
      <x:c r="Y747" t="str">
        <x:v>03_Process_Losses(6).xlsx</x:v>
      </x:c>
      <x:c r="Z747" t="str">
        <x:v>ENH-20260830-01</x:v>
      </x:c>
      <x:c r="AA747" t="str">
        <x:f>IF(X747="LOAD","Active","Quarantine")</x:f>
        <x:v>Active</x:v>
      </x:c>
      <x:c r="AB747"/>
      <x:c r="AC747"/>
      <x:c r="AD747"/>
      <x:c r="AE747"/>
    </x:row>
    <x:row r="748">
      <x:c r="A748" t="str">
        <x:v>PLD-000744</x:v>
      </x:c>
      <x:c r="B748" t="str">
        <x:v>LOSS-KG01-L25-20251025-PM-ORD-2025-00162</x:v>
      </x:c>
      <x:c r="C748" t="str">
        <x:v>PE-KG01-L25-20251025-PM-ORD-2025-00162</x:v>
      </x:c>
      <x:c r="D748" t="str">
        <x:v>KG01</x:v>
      </x:c>
      <x:c r="E748" t="n">
        <x:v>25</x:v>
      </x:c>
      <x:c r="F748" s="52" t="n">
        <x:v>45955</x:v>
      </x:c>
      <x:c r="G748" t="str">
        <x:v>PM</x:v>
      </x:c>
      <x:c r="H748" t="str">
        <x:v>ORD-2025-00162</x:v>
      </x:c>
      <x:c r="I748" t="str">
        <x:v>Normal</x:v>
      </x:c>
      <x:c r="J748" t="str">
        <x:v>PROC_EVO12</x:v>
      </x:c>
      <x:c r="K748" t="str">
        <x:v>Inspection</x:v>
      </x:c>
      <x:c r="L748" s="54" t="n">
        <x:v>0.0007844336783525906</x:v>
      </x:c>
      <x:c r="M748" t="n">
        <x:v>202694</x:v>
      </x:c>
      <x:c r="N748" t="n">
        <x:f>L748*M748</x:f>
        <x:v>159</x:v>
      </x:c>
      <x:c r="O748"/>
      <x:c r="P748"/>
      <x:c r="Q748"/>
      <x:c r="R748"/>
      <x:c r="S748" s="52"/>
      <x:c r="T748" t="str">
        <x:v>OK</x:v>
      </x:c>
      <x:c r="U748" t="str">
        <x:f>IF(AND(ISNUMBER(L748),L748&gt;=0,L748&lt;=1),"OK","CHECK")</x:f>
        <x:v>OK</x:v>
      </x:c>
      <x:c r="V748" t="str">
        <x:f>IF(AND(ISNUMBER(N748),N748&gt;=0),"OK","CHECK")</x:f>
        <x:v>OK</x:v>
      </x:c>
      <x:c r="W748" t="str">
        <x:f>IF(AND(T748="OK",U748="OK",V748="OK"),"OK","CHECK")</x:f>
        <x:v>OK</x:v>
      </x:c>
      <x:c r="X748" t="str">
        <x:f>IF(W748="OK","LOAD","QUARANTINE")</x:f>
        <x:v>LOAD</x:v>
      </x:c>
      <x:c r="Y748" t="str">
        <x:v>03_Process_Losses(6).xlsx</x:v>
      </x:c>
      <x:c r="Z748" t="str">
        <x:v>ENH-20260830-01</x:v>
      </x:c>
      <x:c r="AA748" t="str">
        <x:f>IF(X748="LOAD","Active","Quarantine")</x:f>
        <x:v>Active</x:v>
      </x:c>
      <x:c r="AB748"/>
      <x:c r="AC748"/>
      <x:c r="AD748"/>
      <x:c r="AE748"/>
    </x:row>
    <x:row r="749">
      <x:c r="A749" t="str">
        <x:v>PLD-000745</x:v>
      </x:c>
      <x:c r="B749" t="str">
        <x:v>LOSS-KG01-L25-20251025-PM-ORD-2025-00162</x:v>
      </x:c>
      <x:c r="C749" t="str">
        <x:v>PE-KG01-L25-20251025-PM-ORD-2025-00162</x:v>
      </x:c>
      <x:c r="D749" t="str">
        <x:v>KG01</x:v>
      </x:c>
      <x:c r="E749" t="n">
        <x:v>25</x:v>
      </x:c>
      <x:c r="F749" s="52" t="n">
        <x:v>45955</x:v>
      </x:c>
      <x:c r="G749" t="str">
        <x:v>PM</x:v>
      </x:c>
      <x:c r="H749" t="str">
        <x:v>ORD-2025-00162</x:v>
      </x:c>
      <x:c r="I749" t="str">
        <x:v>Normal</x:v>
      </x:c>
      <x:c r="J749" t="str">
        <x:v>PROC_EVO5</x:v>
      </x:c>
      <x:c r="K749" t="str">
        <x:v>Inspection</x:v>
      </x:c>
      <x:c r="L749" s="54" t="n">
        <x:v>0.002308899128735927</x:v>
      </x:c>
      <x:c r="M749" t="n">
        <x:v>202694</x:v>
      </x:c>
      <x:c r="N749" t="n">
        <x:f>L749*M749</x:f>
        <x:v>468</x:v>
      </x:c>
      <x:c r="O749"/>
      <x:c r="P749"/>
      <x:c r="Q749"/>
      <x:c r="R749"/>
      <x:c r="S749" s="52"/>
      <x:c r="T749" t="str">
        <x:v>OK</x:v>
      </x:c>
      <x:c r="U749" t="str">
        <x:f>IF(AND(ISNUMBER(L749),L749&gt;=0,L749&lt;=1),"OK","CHECK")</x:f>
        <x:v>OK</x:v>
      </x:c>
      <x:c r="V749" t="str">
        <x:f>IF(AND(ISNUMBER(N749),N749&gt;=0),"OK","CHECK")</x:f>
        <x:v>OK</x:v>
      </x:c>
      <x:c r="W749" t="str">
        <x:f>IF(AND(T749="OK",U749="OK",V749="OK"),"OK","CHECK")</x:f>
        <x:v>OK</x:v>
      </x:c>
      <x:c r="X749" t="str">
        <x:f>IF(W749="OK","LOAD","QUARANTINE")</x:f>
        <x:v>LOAD</x:v>
      </x:c>
      <x:c r="Y749" t="str">
        <x:v>03_Process_Losses(6).xlsx</x:v>
      </x:c>
      <x:c r="Z749" t="str">
        <x:v>ENH-20260830-01</x:v>
      </x:c>
      <x:c r="AA749" t="str">
        <x:f>IF(X749="LOAD","Active","Quarantine")</x:f>
        <x:v>Active</x:v>
      </x:c>
      <x:c r="AB749"/>
      <x:c r="AC749"/>
      <x:c r="AD749"/>
      <x:c r="AE749"/>
    </x:row>
    <x:row r="750">
      <x:c r="A750" t="str">
        <x:v>PLD-000746</x:v>
      </x:c>
      <x:c r="B750" t="str">
        <x:v>LOSS-KG01-L25-20251025-PM-ORD-2025-00162</x:v>
      </x:c>
      <x:c r="C750" t="str">
        <x:v>PE-KG01-L25-20251025-PM-ORD-2025-00162</x:v>
      </x:c>
      <x:c r="D750" t="str">
        <x:v>KG01</x:v>
      </x:c>
      <x:c r="E750" t="n">
        <x:v>25</x:v>
      </x:c>
      <x:c r="F750" s="52" t="n">
        <x:v>45955</x:v>
      </x:c>
      <x:c r="G750" t="str">
        <x:v>PM</x:v>
      </x:c>
      <x:c r="H750" t="str">
        <x:v>ORD-2025-00162</x:v>
      </x:c>
      <x:c r="I750" t="str">
        <x:v>Normal</x:v>
      </x:c>
      <x:c r="J750" t="str">
        <x:v>PROC_SANLI</x:v>
      </x:c>
      <x:c r="K750" t="str">
        <x:v>Inspection</x:v>
      </x:c>
      <x:c r="L750" s="54" t="n">
        <x:v>0.0006808292302682862</x:v>
      </x:c>
      <x:c r="M750" t="n">
        <x:v>202694</x:v>
      </x:c>
      <x:c r="N750" t="n">
        <x:f>L750*M750</x:f>
        <x:v>138</x:v>
      </x:c>
      <x:c r="O750"/>
      <x:c r="P750"/>
      <x:c r="Q750"/>
      <x:c r="R750"/>
      <x:c r="S750" s="52"/>
      <x:c r="T750" t="str">
        <x:v>OK</x:v>
      </x:c>
      <x:c r="U750" t="str">
        <x:f>IF(AND(ISNUMBER(L750),L750&gt;=0,L750&lt;=1),"OK","CHECK")</x:f>
        <x:v>OK</x:v>
      </x:c>
      <x:c r="V750" t="str">
        <x:f>IF(AND(ISNUMBER(N750),N750&gt;=0),"OK","CHECK")</x:f>
        <x:v>OK</x:v>
      </x:c>
      <x:c r="W750" t="str">
        <x:f>IF(AND(T750="OK",U750="OK",V750="OK"),"OK","CHECK")</x:f>
        <x:v>OK</x:v>
      </x:c>
      <x:c r="X750" t="str">
        <x:f>IF(W750="OK","LOAD","QUARANTINE")</x:f>
        <x:v>LOAD</x:v>
      </x:c>
      <x:c r="Y750" t="str">
        <x:v>03_Process_Losses(6).xlsx</x:v>
      </x:c>
      <x:c r="Z750" t="str">
        <x:v>ENH-20260830-01</x:v>
      </x:c>
      <x:c r="AA750" t="str">
        <x:f>IF(X750="LOAD","Active","Quarantine")</x:f>
        <x:v>Active</x:v>
      </x:c>
      <x:c r="AB750"/>
      <x:c r="AC750"/>
      <x:c r="AD750"/>
      <x:c r="AE750"/>
    </x:row>
    <x:row r="751">
      <x:c r="A751" t="str">
        <x:v>PLD-000747</x:v>
      </x:c>
      <x:c r="B751" t="str">
        <x:v>LOSS-KG01-L25-20251025-PM-ORD-2025-00162</x:v>
      </x:c>
      <x:c r="C751" t="str">
        <x:v>PE-KG01-L25-20251025-PM-ORD-2025-00162</x:v>
      </x:c>
      <x:c r="D751" t="str">
        <x:v>KG01</x:v>
      </x:c>
      <x:c r="E751" t="n">
        <x:v>25</x:v>
      </x:c>
      <x:c r="F751" s="52" t="n">
        <x:v>45955</x:v>
      </x:c>
      <x:c r="G751" t="str">
        <x:v>PM</x:v>
      </x:c>
      <x:c r="H751" t="str">
        <x:v>ORD-2025-00162</x:v>
      </x:c>
      <x:c r="I751" t="str">
        <x:v>Normal</x:v>
      </x:c>
      <x:c r="J751" t="str">
        <x:v>PROC_VISUAL</x:v>
      </x:c>
      <x:c r="K751" t="str">
        <x:v>Inspection</x:v>
      </x:c>
      <x:c r="L751" s="54" t="n">
        <x:v>0.00361135504751004</x:v>
      </x:c>
      <x:c r="M751" t="n">
        <x:v>202694</x:v>
      </x:c>
      <x:c r="N751" t="n">
        <x:f>L751*M751</x:f>
        <x:v>732</x:v>
      </x:c>
      <x:c r="O751"/>
      <x:c r="P751"/>
      <x:c r="Q751"/>
      <x:c r="R751"/>
      <x:c r="S751" s="52"/>
      <x:c r="T751" t="str">
        <x:v>OK</x:v>
      </x:c>
      <x:c r="U751" t="str">
        <x:f>IF(AND(ISNUMBER(L751),L751&gt;=0,L751&lt;=1),"OK","CHECK")</x:f>
        <x:v>OK</x:v>
      </x:c>
      <x:c r="V751" t="str">
        <x:f>IF(AND(ISNUMBER(N751),N751&gt;=0),"OK","CHECK")</x:f>
        <x:v>OK</x:v>
      </x:c>
      <x:c r="W751" t="str">
        <x:f>IF(AND(T751="OK",U751="OK",V751="OK"),"OK","CHECK")</x:f>
        <x:v>OK</x:v>
      </x:c>
      <x:c r="X751" t="str">
        <x:f>IF(W751="OK","LOAD","QUARANTINE")</x:f>
        <x:v>LOAD</x:v>
      </x:c>
      <x:c r="Y751" t="str">
        <x:v>03_Process_Losses(6).xlsx</x:v>
      </x:c>
      <x:c r="Z751" t="str">
        <x:v>ENH-20260830-01</x:v>
      </x:c>
      <x:c r="AA751" t="str">
        <x:f>IF(X751="LOAD","Active","Quarantine")</x:f>
        <x:v>Active</x:v>
      </x:c>
      <x:c r="AB751"/>
      <x:c r="AC751"/>
      <x:c r="AD751"/>
      <x:c r="AE751"/>
    </x:row>
    <x:row r="752">
      <x:c r="A752" t="str">
        <x:v>PLD-000748</x:v>
      </x:c>
      <x:c r="B752" t="str">
        <x:v>LOSS-KG01-L25-20251025-PM-ORD-2025-00162</x:v>
      </x:c>
      <x:c r="C752" t="str">
        <x:v>PE-KG01-L25-20251025-PM-ORD-2025-00162</x:v>
      </x:c>
      <x:c r="D752" t="str">
        <x:v>KG01</x:v>
      </x:c>
      <x:c r="E752" t="n">
        <x:v>25</x:v>
      </x:c>
      <x:c r="F752" s="52" t="n">
        <x:v>45955</x:v>
      </x:c>
      <x:c r="G752" t="str">
        <x:v>PM</x:v>
      </x:c>
      <x:c r="H752" t="str">
        <x:v>ORD-2025-00162</x:v>
      </x:c>
      <x:c r="I752" t="str">
        <x:v>Normal</x:v>
      </x:c>
      <x:c r="J752" t="str">
        <x:v>PROC_PALLETIZER</x:v>
      </x:c>
      <x:c r="K752" t="str">
        <x:v>Palletizer</x:v>
      </x:c>
      <x:c r="L752" s="54" t="n">
        <x:v>0.0019240826072799391</x:v>
      </x:c>
      <x:c r="M752" t="n">
        <x:v>202694</x:v>
      </x:c>
      <x:c r="N752" t="n">
        <x:f>L752*M752</x:f>
        <x:v>390</x:v>
      </x:c>
      <x:c r="O752"/>
      <x:c r="P752"/>
      <x:c r="Q752"/>
      <x:c r="R752"/>
      <x:c r="S752" s="52"/>
      <x:c r="T752" t="str">
        <x:v>OK</x:v>
      </x:c>
      <x:c r="U752" t="str">
        <x:f>IF(AND(ISNUMBER(L752),L752&gt;=0,L752&lt;=1),"OK","CHECK")</x:f>
        <x:v>OK</x:v>
      </x:c>
      <x:c r="V752" t="str">
        <x:f>IF(AND(ISNUMBER(N752),N752&gt;=0),"OK","CHECK")</x:f>
        <x:v>OK</x:v>
      </x:c>
      <x:c r="W752" t="str">
        <x:f>IF(AND(T752="OK",U752="OK",V752="OK"),"OK","CHECK")</x:f>
        <x:v>OK</x:v>
      </x:c>
      <x:c r="X752" t="str">
        <x:f>IF(W752="OK","LOAD","QUARANTINE")</x:f>
        <x:v>LOAD</x:v>
      </x:c>
      <x:c r="Y752" t="str">
        <x:v>03_Process_Losses(6).xlsx</x:v>
      </x:c>
      <x:c r="Z752" t="str">
        <x:v>ENH-20260830-01</x:v>
      </x:c>
      <x:c r="AA752" t="str">
        <x:f>IF(X752="LOAD","Active","Quarantine")</x:f>
        <x:v>Active</x:v>
      </x:c>
      <x:c r="AB752"/>
      <x:c r="AC752"/>
      <x:c r="AD752"/>
      <x:c r="AE752"/>
    </x:row>
    <x:row r="753">
      <x:c r="A753" t="str">
        <x:v>PLD-000749</x:v>
      </x:c>
      <x:c r="B753" t="str">
        <x:v>LOSS-KG01-L25-20251026-AM-ORD-2025-00162</x:v>
      </x:c>
      <x:c r="C753" t="str">
        <x:v>PE-KG01-L25-20251026-AM-ORD-2025-00162</x:v>
      </x:c>
      <x:c r="D753" t="str">
        <x:v>KG01</x:v>
      </x:c>
      <x:c r="E753" t="n">
        <x:v>25</x:v>
      </x:c>
      <x:c r="F753" s="52" t="n">
        <x:v>45956</x:v>
      </x:c>
      <x:c r="G753" t="str">
        <x:v>AM</x:v>
      </x:c>
      <x:c r="H753" t="str">
        <x:v>ORD-2025-00162</x:v>
      </x:c>
      <x:c r="I753" t="str">
        <x:v>Normal</x:v>
      </x:c>
      <x:c r="J753" t="str">
        <x:v>PROC_FIXED</x:v>
      </x:c>
      <x:c r="K753" t="str">
        <x:v>Fixed Losses</x:v>
      </x:c>
      <x:c r="L753" s="54" t="n">
        <x:v>0.006861857229581123</x:v>
      </x:c>
      <x:c r="M753" t="n">
        <x:v>200966</x:v>
      </x:c>
      <x:c r="N753" t="n">
        <x:f>L753*M753</x:f>
        <x:v>1379</x:v>
      </x:c>
      <x:c r="O753"/>
      <x:c r="P753"/>
      <x:c r="Q753"/>
      <x:c r="R753"/>
      <x:c r="S753" s="52"/>
      <x:c r="T753" t="str">
        <x:v>OK</x:v>
      </x:c>
      <x:c r="U753" t="str">
        <x:f>IF(AND(ISNUMBER(L753),L753&gt;=0,L753&lt;=1),"OK","CHECK")</x:f>
        <x:v>OK</x:v>
      </x:c>
      <x:c r="V753" t="str">
        <x:f>IF(AND(ISNUMBER(N753),N753&gt;=0),"OK","CHECK")</x:f>
        <x:v>OK</x:v>
      </x:c>
      <x:c r="W753" t="str">
        <x:f>IF(AND(T753="OK",U753="OK",V753="OK"),"OK","CHECK")</x:f>
        <x:v>OK</x:v>
      </x:c>
      <x:c r="X753" t="str">
        <x:f>IF(W753="OK","LOAD","QUARANTINE")</x:f>
        <x:v>LOAD</x:v>
      </x:c>
      <x:c r="Y753" t="str">
        <x:v>03_Process_Losses(6).xlsx</x:v>
      </x:c>
      <x:c r="Z753" t="str">
        <x:v>ENH-20260830-01</x:v>
      </x:c>
      <x:c r="AA753" t="str">
        <x:f>IF(X753="LOAD","Active","Quarantine")</x:f>
        <x:v>Active</x:v>
      </x:c>
      <x:c r="AB753"/>
      <x:c r="AC753"/>
      <x:c r="AD753"/>
      <x:c r="AE753"/>
    </x:row>
    <x:row r="754">
      <x:c r="A754" t="str">
        <x:v>PLD-000750</x:v>
      </x:c>
      <x:c r="B754" t="str">
        <x:v>LOSS-KG01-L25-20251026-AM-ORD-2025-00162</x:v>
      </x:c>
      <x:c r="C754" t="str">
        <x:v>PE-KG01-L25-20251026-AM-ORD-2025-00162</x:v>
      </x:c>
      <x:c r="D754" t="str">
        <x:v>KG01</x:v>
      </x:c>
      <x:c r="E754" t="n">
        <x:v>25</x:v>
      </x:c>
      <x:c r="F754" s="52" t="n">
        <x:v>45956</x:v>
      </x:c>
      <x:c r="G754" t="str">
        <x:v>AM</x:v>
      </x:c>
      <x:c r="H754" t="str">
        <x:v>ORD-2025-00162</x:v>
      </x:c>
      <x:c r="I754" t="str">
        <x:v>Normal</x:v>
      </x:c>
      <x:c r="J754" t="str">
        <x:v>PROC_IS</x:v>
      </x:c>
      <x:c r="K754" t="str">
        <x:v>IS Machine</x:v>
      </x:c>
      <x:c r="L754" s="54" t="n">
        <x:v>0.01566931719793398</x:v>
      </x:c>
      <x:c r="M754" t="n">
        <x:v>200966</x:v>
      </x:c>
      <x:c r="N754" t="n">
        <x:f>L754*M754</x:f>
        <x:v>3149.0000000000005</x:v>
      </x:c>
      <x:c r="O754"/>
      <x:c r="P754"/>
      <x:c r="Q754"/>
      <x:c r="R754"/>
      <x:c r="S754" s="52"/>
      <x:c r="T754" t="str">
        <x:v>OK</x:v>
      </x:c>
      <x:c r="U754" t="str">
        <x:f>IF(AND(ISNUMBER(L754),L754&gt;=0,L754&lt;=1),"OK","CHECK")</x:f>
        <x:v>OK</x:v>
      </x:c>
      <x:c r="V754" t="str">
        <x:f>IF(AND(ISNUMBER(N754),N754&gt;=0),"OK","CHECK")</x:f>
        <x:v>OK</x:v>
      </x:c>
      <x:c r="W754" t="str">
        <x:f>IF(AND(T754="OK",U754="OK",V754="OK"),"OK","CHECK")</x:f>
        <x:v>OK</x:v>
      </x:c>
      <x:c r="X754" t="str">
        <x:f>IF(W754="OK","LOAD","QUARANTINE")</x:f>
        <x:v>LOAD</x:v>
      </x:c>
      <x:c r="Y754" t="str">
        <x:v>03_Process_Losses(6).xlsx</x:v>
      </x:c>
      <x:c r="Z754" t="str">
        <x:v>ENH-20260830-01</x:v>
      </x:c>
      <x:c r="AA754" t="str">
        <x:f>IF(X754="LOAD","Active","Quarantine")</x:f>
        <x:v>Active</x:v>
      </x:c>
      <x:c r="AB754"/>
      <x:c r="AC754"/>
      <x:c r="AD754"/>
      <x:c r="AE754"/>
    </x:row>
    <x:row r="755">
      <x:c r="A755" t="str">
        <x:v>PLD-000751</x:v>
      </x:c>
      <x:c r="B755" t="str">
        <x:v>LOSS-KG01-L25-20251026-AM-ORD-2025-00162</x:v>
      </x:c>
      <x:c r="C755" t="str">
        <x:v>PE-KG01-L25-20251026-AM-ORD-2025-00162</x:v>
      </x:c>
      <x:c r="D755" t="str">
        <x:v>KG01</x:v>
      </x:c>
      <x:c r="E755" t="n">
        <x:v>25</x:v>
      </x:c>
      <x:c r="F755" s="52" t="n">
        <x:v>45956</x:v>
      </x:c>
      <x:c r="G755" t="str">
        <x:v>AM</x:v>
      </x:c>
      <x:c r="H755" t="str">
        <x:v>ORD-2025-00162</x:v>
      </x:c>
      <x:c r="I755" t="str">
        <x:v>Normal</x:v>
      </x:c>
      <x:c r="J755" t="str">
        <x:v>PROC_HE_CONVEYER</x:v>
      </x:c>
      <x:c r="K755" t="str">
        <x:v>Hot End</x:v>
      </x:c>
      <x:c r="L755" s="54" t="n">
        <x:v>0.003114954768468298</x:v>
      </x:c>
      <x:c r="M755" t="n">
        <x:v>200966</x:v>
      </x:c>
      <x:c r="N755" t="n">
        <x:f>L755*M755</x:f>
        <x:v>626</x:v>
      </x:c>
      <x:c r="O755"/>
      <x:c r="P755"/>
      <x:c r="Q755"/>
      <x:c r="R755"/>
      <x:c r="S755" s="52"/>
      <x:c r="T755" t="str">
        <x:v>OK</x:v>
      </x:c>
      <x:c r="U755" t="str">
        <x:f>IF(AND(ISNUMBER(L755),L755&gt;=0,L755&lt;=1),"OK","CHECK")</x:f>
        <x:v>OK</x:v>
      </x:c>
      <x:c r="V755" t="str">
        <x:f>IF(AND(ISNUMBER(N755),N755&gt;=0),"OK","CHECK")</x:f>
        <x:v>OK</x:v>
      </x:c>
      <x:c r="W755" t="str">
        <x:f>IF(AND(T755="OK",U755="OK",V755="OK"),"OK","CHECK")</x:f>
        <x:v>OK</x:v>
      </x:c>
      <x:c r="X755" t="str">
        <x:f>IF(W755="OK","LOAD","QUARANTINE")</x:f>
        <x:v>LOAD</x:v>
      </x:c>
      <x:c r="Y755" t="str">
        <x:v>03_Process_Losses(6).xlsx</x:v>
      </x:c>
      <x:c r="Z755" t="str">
        <x:v>ENH-20260830-01</x:v>
      </x:c>
      <x:c r="AA755" t="str">
        <x:f>IF(X755="LOAD","Active","Quarantine")</x:f>
        <x:v>Active</x:v>
      </x:c>
      <x:c r="AB755"/>
      <x:c r="AC755"/>
      <x:c r="AD755"/>
      <x:c r="AE755"/>
    </x:row>
    <x:row r="756">
      <x:c r="A756" t="str">
        <x:v>PLD-000752</x:v>
      </x:c>
      <x:c r="B756" t="str">
        <x:v>LOSS-KG01-L25-20251026-AM-ORD-2025-00162</x:v>
      </x:c>
      <x:c r="C756" t="str">
        <x:v>PE-KG01-L25-20251026-AM-ORD-2025-00162</x:v>
      </x:c>
      <x:c r="D756" t="str">
        <x:v>KG01</x:v>
      </x:c>
      <x:c r="E756" t="n">
        <x:v>25</x:v>
      </x:c>
      <x:c r="F756" s="52" t="n">
        <x:v>45956</x:v>
      </x:c>
      <x:c r="G756" t="str">
        <x:v>AM</x:v>
      </x:c>
      <x:c r="H756" t="str">
        <x:v>ORD-2025-00162</x:v>
      </x:c>
      <x:c r="I756" t="str">
        <x:v>Normal</x:v>
      </x:c>
      <x:c r="J756" t="str">
        <x:v>PROC_STUCKDOWN</x:v>
      </x:c>
      <x:c r="K756" t="str">
        <x:v>Forming</x:v>
      </x:c>
      <x:c r="L756" s="54" t="n">
        <x:v>0.004493297373685101</x:v>
      </x:c>
      <x:c r="M756" t="n">
        <x:v>200966</x:v>
      </x:c>
      <x:c r="N756" t="n">
        <x:f>L756*M756</x:f>
        <x:v>903.0000000000001</x:v>
      </x:c>
      <x:c r="O756"/>
      <x:c r="P756"/>
      <x:c r="Q756"/>
      <x:c r="R756"/>
      <x:c r="S756" s="52"/>
      <x:c r="T756" t="str">
        <x:v>OK</x:v>
      </x:c>
      <x:c r="U756" t="str">
        <x:f>IF(AND(ISNUMBER(L756),L756&gt;=0,L756&lt;=1),"OK","CHECK")</x:f>
        <x:v>OK</x:v>
      </x:c>
      <x:c r="V756" t="str">
        <x:f>IF(AND(ISNUMBER(N756),N756&gt;=0),"OK","CHECK")</x:f>
        <x:v>OK</x:v>
      </x:c>
      <x:c r="W756" t="str">
        <x:f>IF(AND(T756="OK",U756="OK",V756="OK"),"OK","CHECK")</x:f>
        <x:v>OK</x:v>
      </x:c>
      <x:c r="X756" t="str">
        <x:f>IF(W756="OK","LOAD","QUARANTINE")</x:f>
        <x:v>LOAD</x:v>
      </x:c>
      <x:c r="Y756" t="str">
        <x:v>03_Process_Losses(6).xlsx</x:v>
      </x:c>
      <x:c r="Z756" t="str">
        <x:v>ENH-20260830-01</x:v>
      </x:c>
      <x:c r="AA756" t="str">
        <x:f>IF(X756="LOAD","Active","Quarantine")</x:f>
        <x:v>Active</x:v>
      </x:c>
      <x:c r="AB756"/>
      <x:c r="AC756"/>
      <x:c r="AD756"/>
      <x:c r="AE756"/>
    </x:row>
    <x:row r="757">
      <x:c r="A757" t="str">
        <x:v>PLD-000753</x:v>
      </x:c>
      <x:c r="B757" t="str">
        <x:v>LOSS-KG01-L25-20251026-AM-ORD-2025-00162</x:v>
      </x:c>
      <x:c r="C757" t="str">
        <x:v>PE-KG01-L25-20251026-AM-ORD-2025-00162</x:v>
      </x:c>
      <x:c r="D757" t="str">
        <x:v>KG01</x:v>
      </x:c>
      <x:c r="E757" t="n">
        <x:v>25</x:v>
      </x:c>
      <x:c r="F757" s="52" t="n">
        <x:v>45956</x:v>
      </x:c>
      <x:c r="G757" t="str">
        <x:v>AM</x:v>
      </x:c>
      <x:c r="H757" t="str">
        <x:v>ORD-2025-00162</x:v>
      </x:c>
      <x:c r="I757" t="str">
        <x:v>Normal</x:v>
      </x:c>
      <x:c r="J757" t="str">
        <x:v>PROC_LEHR</x:v>
      </x:c>
      <x:c r="K757" t="str">
        <x:v>Lehr</x:v>
      </x:c>
      <x:c r="L757" s="54" t="n">
        <x:v>0.005951255436242946</x:v>
      </x:c>
      <x:c r="M757" t="n">
        <x:v>200966</x:v>
      </x:c>
      <x:c r="N757" t="n">
        <x:f>L757*M757</x:f>
        <x:v>1196</x:v>
      </x:c>
      <x:c r="O757"/>
      <x:c r="P757"/>
      <x:c r="Q757"/>
      <x:c r="R757"/>
      <x:c r="S757" s="52"/>
      <x:c r="T757" t="str">
        <x:v>OK</x:v>
      </x:c>
      <x:c r="U757" t="str">
        <x:f>IF(AND(ISNUMBER(L757),L757&gt;=0,L757&lt;=1),"OK","CHECK")</x:f>
        <x:v>OK</x:v>
      </x:c>
      <x:c r="V757" t="str">
        <x:f>IF(AND(ISNUMBER(N757),N757&gt;=0),"OK","CHECK")</x:f>
        <x:v>OK</x:v>
      </x:c>
      <x:c r="W757" t="str">
        <x:f>IF(AND(T757="OK",U757="OK",V757="OK"),"OK","CHECK")</x:f>
        <x:v>OK</x:v>
      </x:c>
      <x:c r="X757" t="str">
        <x:f>IF(W757="OK","LOAD","QUARANTINE")</x:f>
        <x:v>LOAD</x:v>
      </x:c>
      <x:c r="Y757" t="str">
        <x:v>03_Process_Losses(6).xlsx</x:v>
      </x:c>
      <x:c r="Z757" t="str">
        <x:v>ENH-20260830-01</x:v>
      </x:c>
      <x:c r="AA757" t="str">
        <x:f>IF(X757="LOAD","Active","Quarantine")</x:f>
        <x:v>Active</x:v>
      </x:c>
      <x:c r="AB757"/>
      <x:c r="AC757"/>
      <x:c r="AD757"/>
      <x:c r="AE757"/>
    </x:row>
    <x:row r="758">
      <x:c r="A758" t="str">
        <x:v>PLD-000754</x:v>
      </x:c>
      <x:c r="B758" t="str">
        <x:v>LOSS-KG01-L25-20251026-AM-ORD-2025-00162</x:v>
      </x:c>
      <x:c r="C758" t="str">
        <x:v>PE-KG01-L25-20251026-AM-ORD-2025-00162</x:v>
      </x:c>
      <x:c r="D758" t="str">
        <x:v>KG01</x:v>
      </x:c>
      <x:c r="E758" t="n">
        <x:v>25</x:v>
      </x:c>
      <x:c r="F758" s="52" t="n">
        <x:v>45956</x:v>
      </x:c>
      <x:c r="G758" t="str">
        <x:v>AM</x:v>
      </x:c>
      <x:c r="H758" t="str">
        <x:v>ORD-2025-00162</x:v>
      </x:c>
      <x:c r="I758" t="str">
        <x:v>Normal</x:v>
      </x:c>
      <x:c r="J758" t="str">
        <x:v>PROC_EVO16</x:v>
      </x:c>
      <x:c r="K758" t="str">
        <x:v>Inspection</x:v>
      </x:c>
      <x:c r="L758" s="54" t="n">
        <x:v>0.005672601335549297</x:v>
      </x:c>
      <x:c r="M758" t="n">
        <x:v>200966</x:v>
      </x:c>
      <x:c r="N758" t="n">
        <x:f>L758*M758</x:f>
        <x:v>1140</x:v>
      </x:c>
      <x:c r="O758"/>
      <x:c r="P758"/>
      <x:c r="Q758"/>
      <x:c r="R758"/>
      <x:c r="S758" s="52"/>
      <x:c r="T758" t="str">
        <x:v>OK</x:v>
      </x:c>
      <x:c r="U758" t="str">
        <x:f>IF(AND(ISNUMBER(L758),L758&gt;=0,L758&lt;=1),"OK","CHECK")</x:f>
        <x:v>OK</x:v>
      </x:c>
      <x:c r="V758" t="str">
        <x:f>IF(AND(ISNUMBER(N758),N758&gt;=0),"OK","CHECK")</x:f>
        <x:v>OK</x:v>
      </x:c>
      <x:c r="W758" t="str">
        <x:f>IF(AND(T758="OK",U758="OK",V758="OK"),"OK","CHECK")</x:f>
        <x:v>OK</x:v>
      </x:c>
      <x:c r="X758" t="str">
        <x:f>IF(W758="OK","LOAD","QUARANTINE")</x:f>
        <x:v>LOAD</x:v>
      </x:c>
      <x:c r="Y758" t="str">
        <x:v>03_Process_Losses(6).xlsx</x:v>
      </x:c>
      <x:c r="Z758" t="str">
        <x:v>ENH-20260830-01</x:v>
      </x:c>
      <x:c r="AA758" t="str">
        <x:f>IF(X758="LOAD","Active","Quarantine")</x:f>
        <x:v>Active</x:v>
      </x:c>
      <x:c r="AB758"/>
      <x:c r="AC758"/>
      <x:c r="AD758"/>
      <x:c r="AE758"/>
    </x:row>
    <x:row r="759">
      <x:c r="A759" t="str">
        <x:v>PLD-000755</x:v>
      </x:c>
      <x:c r="B759" t="str">
        <x:v>LOSS-KG01-L25-20251026-AM-ORD-2025-00162</x:v>
      </x:c>
      <x:c r="C759" t="str">
        <x:v>PE-KG01-L25-20251026-AM-ORD-2025-00162</x:v>
      </x:c>
      <x:c r="D759" t="str">
        <x:v>KG01</x:v>
      </x:c>
      <x:c r="E759" t="n">
        <x:v>25</x:v>
      </x:c>
      <x:c r="F759" s="52" t="n">
        <x:v>45956</x:v>
      </x:c>
      <x:c r="G759" t="str">
        <x:v>AM</x:v>
      </x:c>
      <x:c r="H759" t="str">
        <x:v>ORD-2025-00162</x:v>
      </x:c>
      <x:c r="I759" t="str">
        <x:v>Normal</x:v>
      </x:c>
      <x:c r="J759" t="str">
        <x:v>PROC_EVO12</x:v>
      </x:c>
      <x:c r="K759" t="str">
        <x:v>Inspection</x:v>
      </x:c>
      <x:c r="L759" s="54" t="n">
        <x:v>0.0031000268702168527</x:v>
      </x:c>
      <x:c r="M759" t="n">
        <x:v>200966</x:v>
      </x:c>
      <x:c r="N759" t="n">
        <x:f>L759*M759</x:f>
        <x:v>623</x:v>
      </x:c>
      <x:c r="O759"/>
      <x:c r="P759"/>
      <x:c r="Q759"/>
      <x:c r="R759"/>
      <x:c r="S759" s="52"/>
      <x:c r="T759" t="str">
        <x:v>OK</x:v>
      </x:c>
      <x:c r="U759" t="str">
        <x:f>IF(AND(ISNUMBER(L759),L759&gt;=0,L759&lt;=1),"OK","CHECK")</x:f>
        <x:v>OK</x:v>
      </x:c>
      <x:c r="V759" t="str">
        <x:f>IF(AND(ISNUMBER(N759),N759&gt;=0),"OK","CHECK")</x:f>
        <x:v>OK</x:v>
      </x:c>
      <x:c r="W759" t="str">
        <x:f>IF(AND(T759="OK",U759="OK",V759="OK"),"OK","CHECK")</x:f>
        <x:v>OK</x:v>
      </x:c>
      <x:c r="X759" t="str">
        <x:f>IF(W759="OK","LOAD","QUARANTINE")</x:f>
        <x:v>LOAD</x:v>
      </x:c>
      <x:c r="Y759" t="str">
        <x:v>03_Process_Losses(6).xlsx</x:v>
      </x:c>
      <x:c r="Z759" t="str">
        <x:v>ENH-20260830-01</x:v>
      </x:c>
      <x:c r="AA759" t="str">
        <x:f>IF(X759="LOAD","Active","Quarantine")</x:f>
        <x:v>Active</x:v>
      </x:c>
      <x:c r="AB759"/>
      <x:c r="AC759"/>
      <x:c r="AD759"/>
      <x:c r="AE759"/>
    </x:row>
    <x:row r="760">
      <x:c r="A760" t="str">
        <x:v>PLD-000756</x:v>
      </x:c>
      <x:c r="B760" t="str">
        <x:v>LOSS-KG01-L25-20251026-AM-ORD-2025-00162</x:v>
      </x:c>
      <x:c r="C760" t="str">
        <x:v>PE-KG01-L25-20251026-AM-ORD-2025-00162</x:v>
      </x:c>
      <x:c r="D760" t="str">
        <x:v>KG01</x:v>
      </x:c>
      <x:c r="E760" t="n">
        <x:v>25</x:v>
      </x:c>
      <x:c r="F760" s="52" t="n">
        <x:v>45956</x:v>
      </x:c>
      <x:c r="G760" t="str">
        <x:v>AM</x:v>
      </x:c>
      <x:c r="H760" t="str">
        <x:v>ORD-2025-00162</x:v>
      </x:c>
      <x:c r="I760" t="str">
        <x:v>Normal</x:v>
      </x:c>
      <x:c r="J760" t="str">
        <x:v>PROC_EVO5</x:v>
      </x:c>
      <x:c r="K760" t="str">
        <x:v>Inspection</x:v>
      </x:c>
      <x:c r="L760" s="54" t="n">
        <x:v>0.003627479275101261</x:v>
      </x:c>
      <x:c r="M760" t="n">
        <x:v>200966</x:v>
      </x:c>
      <x:c r="N760" t="n">
        <x:f>L760*M760</x:f>
        <x:v>729</x:v>
      </x:c>
      <x:c r="O760"/>
      <x:c r="P760"/>
      <x:c r="Q760"/>
      <x:c r="R760"/>
      <x:c r="S760" s="52"/>
      <x:c r="T760" t="str">
        <x:v>OK</x:v>
      </x:c>
      <x:c r="U760" t="str">
        <x:f>IF(AND(ISNUMBER(L760),L760&gt;=0,L760&lt;=1),"OK","CHECK")</x:f>
        <x:v>OK</x:v>
      </x:c>
      <x:c r="V760" t="str">
        <x:f>IF(AND(ISNUMBER(N760),N760&gt;=0),"OK","CHECK")</x:f>
        <x:v>OK</x:v>
      </x:c>
      <x:c r="W760" t="str">
        <x:f>IF(AND(T760="OK",U760="OK",V760="OK"),"OK","CHECK")</x:f>
        <x:v>OK</x:v>
      </x:c>
      <x:c r="X760" t="str">
        <x:f>IF(W760="OK","LOAD","QUARANTINE")</x:f>
        <x:v>LOAD</x:v>
      </x:c>
      <x:c r="Y760" t="str">
        <x:v>03_Process_Losses(6).xlsx</x:v>
      </x:c>
      <x:c r="Z760" t="str">
        <x:v>ENH-20260830-01</x:v>
      </x:c>
      <x:c r="AA760" t="str">
        <x:f>IF(X760="LOAD","Active","Quarantine")</x:f>
        <x:v>Active</x:v>
      </x:c>
      <x:c r="AB760"/>
      <x:c r="AC760"/>
      <x:c r="AD760"/>
      <x:c r="AE760"/>
    </x:row>
    <x:row r="761">
      <x:c r="A761" t="str">
        <x:v>PLD-000757</x:v>
      </x:c>
      <x:c r="B761" t="str">
        <x:v>LOSS-KG01-L25-20251026-AM-ORD-2025-00162</x:v>
      </x:c>
      <x:c r="C761" t="str">
        <x:v>PE-KG01-L25-20251026-AM-ORD-2025-00162</x:v>
      </x:c>
      <x:c r="D761" t="str">
        <x:v>KG01</x:v>
      </x:c>
      <x:c r="E761" t="n">
        <x:v>25</x:v>
      </x:c>
      <x:c r="F761" s="52" t="n">
        <x:v>45956</x:v>
      </x:c>
      <x:c r="G761" t="str">
        <x:v>AM</x:v>
      </x:c>
      <x:c r="H761" t="str">
        <x:v>ORD-2025-00162</x:v>
      </x:c>
      <x:c r="I761" t="str">
        <x:v>Normal</x:v>
      </x:c>
      <x:c r="J761" t="str">
        <x:v>PROC_SANLI</x:v>
      </x:c>
      <x:c r="K761" t="str">
        <x:v>Inspection</x:v>
      </x:c>
      <x:c r="L761" s="54" t="n">
        <x:v>0.000547356269219669</x:v>
      </x:c>
      <x:c r="M761" t="n">
        <x:v>200966</x:v>
      </x:c>
      <x:c r="N761" t="n">
        <x:f>L761*M761</x:f>
        <x:v>109.99999999999999</x:v>
      </x:c>
      <x:c r="O761"/>
      <x:c r="P761"/>
      <x:c r="Q761"/>
      <x:c r="R761"/>
      <x:c r="S761" s="52"/>
      <x:c r="T761" t="str">
        <x:v>OK</x:v>
      </x:c>
      <x:c r="U761" t="str">
        <x:f>IF(AND(ISNUMBER(L761),L761&gt;=0,L761&lt;=1),"OK","CHECK")</x:f>
        <x:v>OK</x:v>
      </x:c>
      <x:c r="V761" t="str">
        <x:f>IF(AND(ISNUMBER(N761),N761&gt;=0),"OK","CHECK")</x:f>
        <x:v>OK</x:v>
      </x:c>
      <x:c r="W761" t="str">
        <x:f>IF(AND(T761="OK",U761="OK",V761="OK"),"OK","CHECK")</x:f>
        <x:v>OK</x:v>
      </x:c>
      <x:c r="X761" t="str">
        <x:f>IF(W761="OK","LOAD","QUARANTINE")</x:f>
        <x:v>LOAD</x:v>
      </x:c>
      <x:c r="Y761" t="str">
        <x:v>03_Process_Losses(6).xlsx</x:v>
      </x:c>
      <x:c r="Z761" t="str">
        <x:v>ENH-20260830-01</x:v>
      </x:c>
      <x:c r="AA761" t="str">
        <x:f>IF(X761="LOAD","Active","Quarantine")</x:f>
        <x:v>Active</x:v>
      </x:c>
      <x:c r="AB761"/>
      <x:c r="AC761"/>
      <x:c r="AD761"/>
      <x:c r="AE761"/>
    </x:row>
    <x:row r="762">
      <x:c r="A762" t="str">
        <x:v>PLD-000758</x:v>
      </x:c>
      <x:c r="B762" t="str">
        <x:v>LOSS-KG01-L25-20251026-AM-ORD-2025-00162</x:v>
      </x:c>
      <x:c r="C762" t="str">
        <x:v>PE-KG01-L25-20251026-AM-ORD-2025-00162</x:v>
      </x:c>
      <x:c r="D762" t="str">
        <x:v>KG01</x:v>
      </x:c>
      <x:c r="E762" t="n">
        <x:v>25</x:v>
      </x:c>
      <x:c r="F762" s="52" t="n">
        <x:v>45956</x:v>
      </x:c>
      <x:c r="G762" t="str">
        <x:v>AM</x:v>
      </x:c>
      <x:c r="H762" t="str">
        <x:v>ORD-2025-00162</x:v>
      </x:c>
      <x:c r="I762" t="str">
        <x:v>Normal</x:v>
      </x:c>
      <x:c r="J762" t="str">
        <x:v>PROC_VISUAL</x:v>
      </x:c>
      <x:c r="K762" t="str">
        <x:v>Inspection</x:v>
      </x:c>
      <x:c r="L762" s="54" t="n">
        <x:v>0.011832847347312481</x:v>
      </x:c>
      <x:c r="M762" t="n">
        <x:v>200966</x:v>
      </x:c>
      <x:c r="N762" t="n">
        <x:f>L762*M762</x:f>
        <x:v>2378</x:v>
      </x:c>
      <x:c r="O762"/>
      <x:c r="P762"/>
      <x:c r="Q762"/>
      <x:c r="R762"/>
      <x:c r="S762" s="52"/>
      <x:c r="T762" t="str">
        <x:v>OK</x:v>
      </x:c>
      <x:c r="U762" t="str">
        <x:f>IF(AND(ISNUMBER(L762),L762&gt;=0,L762&lt;=1),"OK","CHECK")</x:f>
        <x:v>OK</x:v>
      </x:c>
      <x:c r="V762" t="str">
        <x:f>IF(AND(ISNUMBER(N762),N762&gt;=0),"OK","CHECK")</x:f>
        <x:v>OK</x:v>
      </x:c>
      <x:c r="W762" t="str">
        <x:f>IF(AND(T762="OK",U762="OK",V762="OK"),"OK","CHECK")</x:f>
        <x:v>OK</x:v>
      </x:c>
      <x:c r="X762" t="str">
        <x:f>IF(W762="OK","LOAD","QUARANTINE")</x:f>
        <x:v>LOAD</x:v>
      </x:c>
      <x:c r="Y762" t="str">
        <x:v>03_Process_Losses(6).xlsx</x:v>
      </x:c>
      <x:c r="Z762" t="str">
        <x:v>ENH-20260830-01</x:v>
      </x:c>
      <x:c r="AA762" t="str">
        <x:f>IF(X762="LOAD","Active","Quarantine")</x:f>
        <x:v>Active</x:v>
      </x:c>
      <x:c r="AB762"/>
      <x:c r="AC762"/>
      <x:c r="AD762"/>
      <x:c r="AE762"/>
    </x:row>
    <x:row r="763">
      <x:c r="A763" t="str">
        <x:v>PLD-000759</x:v>
      </x:c>
      <x:c r="B763" t="str">
        <x:v>LOSS-KG01-L25-20251026-AM-ORD-2025-00162</x:v>
      </x:c>
      <x:c r="C763" t="str">
        <x:v>PE-KG01-L25-20251026-AM-ORD-2025-00162</x:v>
      </x:c>
      <x:c r="D763" t="str">
        <x:v>KG01</x:v>
      </x:c>
      <x:c r="E763" t="n">
        <x:v>25</x:v>
      </x:c>
      <x:c r="F763" s="52" t="n">
        <x:v>45956</x:v>
      </x:c>
      <x:c r="G763" t="str">
        <x:v>AM</x:v>
      </x:c>
      <x:c r="H763" t="str">
        <x:v>ORD-2025-00162</x:v>
      </x:c>
      <x:c r="I763" t="str">
        <x:v>Normal</x:v>
      </x:c>
      <x:c r="J763" t="str">
        <x:v>PROC_PALLETIZER</x:v>
      </x:c>
      <x:c r="K763" t="str">
        <x:v>Palletizer</x:v>
      </x:c>
      <x:c r="L763" s="54" t="n">
        <x:v>0.0040454604261417355</x:v>
      </x:c>
      <x:c r="M763" t="n">
        <x:v>200966</x:v>
      </x:c>
      <x:c r="N763" t="n">
        <x:f>L763*M763</x:f>
        <x:v>813</x:v>
      </x:c>
      <x:c r="O763"/>
      <x:c r="P763"/>
      <x:c r="Q763"/>
      <x:c r="R763"/>
      <x:c r="S763" s="52"/>
      <x:c r="T763" t="str">
        <x:v>OK</x:v>
      </x:c>
      <x:c r="U763" t="str">
        <x:f>IF(AND(ISNUMBER(L763),L763&gt;=0,L763&lt;=1),"OK","CHECK")</x:f>
        <x:v>OK</x:v>
      </x:c>
      <x:c r="V763" t="str">
        <x:f>IF(AND(ISNUMBER(N763),N763&gt;=0),"OK","CHECK")</x:f>
        <x:v>OK</x:v>
      </x:c>
      <x:c r="W763" t="str">
        <x:f>IF(AND(T763="OK",U763="OK",V763="OK"),"OK","CHECK")</x:f>
        <x:v>OK</x:v>
      </x:c>
      <x:c r="X763" t="str">
        <x:f>IF(W763="OK","LOAD","QUARANTINE")</x:f>
        <x:v>LOAD</x:v>
      </x:c>
      <x:c r="Y763" t="str">
        <x:v>03_Process_Losses(6).xlsx</x:v>
      </x:c>
      <x:c r="Z763" t="str">
        <x:v>ENH-20260830-01</x:v>
      </x:c>
      <x:c r="AA763" t="str">
        <x:f>IF(X763="LOAD","Active","Quarantine")</x:f>
        <x:v>Active</x:v>
      </x:c>
      <x:c r="AB763"/>
      <x:c r="AC763"/>
      <x:c r="AD763"/>
      <x:c r="AE763"/>
    </x:row>
    <x:row r="764">
      <x:c r="A764" t="str">
        <x:v>PLD-000760</x:v>
      </x:c>
      <x:c r="B764" t="str">
        <x:v>LOSS-KG01-L25-20251026-PM-ORD-2025-00162</x:v>
      </x:c>
      <x:c r="C764" t="str">
        <x:v>PE-KG01-L25-20251026-PM-ORD-2025-00162</x:v>
      </x:c>
      <x:c r="D764" t="str">
        <x:v>KG01</x:v>
      </x:c>
      <x:c r="E764" t="n">
        <x:v>25</x:v>
      </x:c>
      <x:c r="F764" s="52" t="n">
        <x:v>45956</x:v>
      </x:c>
      <x:c r="G764" t="str">
        <x:v>PM</x:v>
      </x:c>
      <x:c r="H764" t="str">
        <x:v>ORD-2025-00162</x:v>
      </x:c>
      <x:c r="I764" t="str">
        <x:v>Normal</x:v>
      </x:c>
      <x:c r="J764" t="str">
        <x:v>PROC_FIXED</x:v>
      </x:c>
      <x:c r="K764" t="str">
        <x:v>Fixed Losses</x:v>
      </x:c>
      <x:c r="L764" s="54" t="n">
        <x:v>0.006469063572127639</x:v>
      </x:c>
      <x:c r="M764" t="n">
        <x:v>185962</x:v>
      </x:c>
      <x:c r="N764" t="n">
        <x:f>L764*M764</x:f>
        <x:v>1203</x:v>
      </x:c>
      <x:c r="O764"/>
      <x:c r="P764"/>
      <x:c r="Q764"/>
      <x:c r="R764"/>
      <x:c r="S764" s="52"/>
      <x:c r="T764" t="str">
        <x:v>OK</x:v>
      </x:c>
      <x:c r="U764" t="str">
        <x:f>IF(AND(ISNUMBER(L764),L764&gt;=0,L764&lt;=1),"OK","CHECK")</x:f>
        <x:v>OK</x:v>
      </x:c>
      <x:c r="V764" t="str">
        <x:f>IF(AND(ISNUMBER(N764),N764&gt;=0),"OK","CHECK")</x:f>
        <x:v>OK</x:v>
      </x:c>
      <x:c r="W764" t="str">
        <x:f>IF(AND(T764="OK",U764="OK",V764="OK"),"OK","CHECK")</x:f>
        <x:v>OK</x:v>
      </x:c>
      <x:c r="X764" t="str">
        <x:f>IF(W764="OK","LOAD","QUARANTINE")</x:f>
        <x:v>LOAD</x:v>
      </x:c>
      <x:c r="Y764" t="str">
        <x:v>03_Process_Losses(6).xlsx</x:v>
      </x:c>
      <x:c r="Z764" t="str">
        <x:v>ENH-20260830-01</x:v>
      </x:c>
      <x:c r="AA764" t="str">
        <x:f>IF(X764="LOAD","Active","Quarantine")</x:f>
        <x:v>Active</x:v>
      </x:c>
      <x:c r="AB764"/>
      <x:c r="AC764"/>
      <x:c r="AD764"/>
      <x:c r="AE764"/>
    </x:row>
    <x:row r="765">
      <x:c r="A765" t="str">
        <x:v>PLD-000761</x:v>
      </x:c>
      <x:c r="B765" t="str">
        <x:v>LOSS-KG01-L25-20251026-PM-ORD-2025-00162</x:v>
      </x:c>
      <x:c r="C765" t="str">
        <x:v>PE-KG01-L25-20251026-PM-ORD-2025-00162</x:v>
      </x:c>
      <x:c r="D765" t="str">
        <x:v>KG01</x:v>
      </x:c>
      <x:c r="E765" t="n">
        <x:v>25</x:v>
      </x:c>
      <x:c r="F765" s="52" t="n">
        <x:v>45956</x:v>
      </x:c>
      <x:c r="G765" t="str">
        <x:v>PM</x:v>
      </x:c>
      <x:c r="H765" t="str">
        <x:v>ORD-2025-00162</x:v>
      </x:c>
      <x:c r="I765" t="str">
        <x:v>Normal</x:v>
      </x:c>
      <x:c r="J765" t="str">
        <x:v>PROC_IS</x:v>
      </x:c>
      <x:c r="K765" t="str">
        <x:v>IS Machine</x:v>
      </x:c>
      <x:c r="L765" s="54" t="n">
        <x:v>0.007254170206816447</x:v>
      </x:c>
      <x:c r="M765" t="n">
        <x:v>185962</x:v>
      </x:c>
      <x:c r="N765" t="n">
        <x:f>L765*M765</x:f>
        <x:v>1349</x:v>
      </x:c>
      <x:c r="O765"/>
      <x:c r="P765"/>
      <x:c r="Q765"/>
      <x:c r="R765"/>
      <x:c r="S765" s="52"/>
      <x:c r="T765" t="str">
        <x:v>OK</x:v>
      </x:c>
      <x:c r="U765" t="str">
        <x:f>IF(AND(ISNUMBER(L765),L765&gt;=0,L765&lt;=1),"OK","CHECK")</x:f>
        <x:v>OK</x:v>
      </x:c>
      <x:c r="V765" t="str">
        <x:f>IF(AND(ISNUMBER(N765),N765&gt;=0),"OK","CHECK")</x:f>
        <x:v>OK</x:v>
      </x:c>
      <x:c r="W765" t="str">
        <x:f>IF(AND(T765="OK",U765="OK",V765="OK"),"OK","CHECK")</x:f>
        <x:v>OK</x:v>
      </x:c>
      <x:c r="X765" t="str">
        <x:f>IF(W765="OK","LOAD","QUARANTINE")</x:f>
        <x:v>LOAD</x:v>
      </x:c>
      <x:c r="Y765" t="str">
        <x:v>03_Process_Losses(6).xlsx</x:v>
      </x:c>
      <x:c r="Z765" t="str">
        <x:v>ENH-20260830-01</x:v>
      </x:c>
      <x:c r="AA765" t="str">
        <x:f>IF(X765="LOAD","Active","Quarantine")</x:f>
        <x:v>Active</x:v>
      </x:c>
      <x:c r="AB765"/>
      <x:c r="AC765"/>
      <x:c r="AD765"/>
      <x:c r="AE765"/>
    </x:row>
    <x:row r="766">
      <x:c r="A766" t="str">
        <x:v>PLD-000762</x:v>
      </x:c>
      <x:c r="B766" t="str">
        <x:v>LOSS-KG01-L25-20251026-PM-ORD-2025-00162</x:v>
      </x:c>
      <x:c r="C766" t="str">
        <x:v>PE-KG01-L25-20251026-PM-ORD-2025-00162</x:v>
      </x:c>
      <x:c r="D766" t="str">
        <x:v>KG01</x:v>
      </x:c>
      <x:c r="E766" t="n">
        <x:v>25</x:v>
      </x:c>
      <x:c r="F766" s="52" t="n">
        <x:v>45956</x:v>
      </x:c>
      <x:c r="G766" t="str">
        <x:v>PM</x:v>
      </x:c>
      <x:c r="H766" t="str">
        <x:v>ORD-2025-00162</x:v>
      </x:c>
      <x:c r="I766" t="str">
        <x:v>Normal</x:v>
      </x:c>
      <x:c r="J766" t="str">
        <x:v>PROC_HE_CONVEYER</x:v>
      </x:c>
      <x:c r="K766" t="str">
        <x:v>Hot End</x:v>
      </x:c>
      <x:c r="L766" s="54" t="n">
        <x:v>0.00555489831255848</x:v>
      </x:c>
      <x:c r="M766" t="n">
        <x:v>185962</x:v>
      </x:c>
      <x:c r="N766" t="n">
        <x:f>L766*M766</x:f>
        <x:v>1033</x:v>
      </x:c>
      <x:c r="O766"/>
      <x:c r="P766"/>
      <x:c r="Q766"/>
      <x:c r="R766"/>
      <x:c r="S766" s="52"/>
      <x:c r="T766" t="str">
        <x:v>OK</x:v>
      </x:c>
      <x:c r="U766" t="str">
        <x:f>IF(AND(ISNUMBER(L766),L766&gt;=0,L766&lt;=1),"OK","CHECK")</x:f>
        <x:v>OK</x:v>
      </x:c>
      <x:c r="V766" t="str">
        <x:f>IF(AND(ISNUMBER(N766),N766&gt;=0),"OK","CHECK")</x:f>
        <x:v>OK</x:v>
      </x:c>
      <x:c r="W766" t="str">
        <x:f>IF(AND(T766="OK",U766="OK",V766="OK"),"OK","CHECK")</x:f>
        <x:v>OK</x:v>
      </x:c>
      <x:c r="X766" t="str">
        <x:f>IF(W766="OK","LOAD","QUARANTINE")</x:f>
        <x:v>LOAD</x:v>
      </x:c>
      <x:c r="Y766" t="str">
        <x:v>03_Process_Losses(6).xlsx</x:v>
      </x:c>
      <x:c r="Z766" t="str">
        <x:v>ENH-20260830-01</x:v>
      </x:c>
      <x:c r="AA766" t="str">
        <x:f>IF(X766="LOAD","Active","Quarantine")</x:f>
        <x:v>Active</x:v>
      </x:c>
      <x:c r="AB766"/>
      <x:c r="AC766"/>
      <x:c r="AD766"/>
      <x:c r="AE766"/>
    </x:row>
    <x:row r="767">
      <x:c r="A767" t="str">
        <x:v>PLD-000763</x:v>
      </x:c>
      <x:c r="B767" t="str">
        <x:v>LOSS-KG01-L25-20251026-PM-ORD-2025-00162</x:v>
      </x:c>
      <x:c r="C767" t="str">
        <x:v>PE-KG01-L25-20251026-PM-ORD-2025-00162</x:v>
      </x:c>
      <x:c r="D767" t="str">
        <x:v>KG01</x:v>
      </x:c>
      <x:c r="E767" t="n">
        <x:v>25</x:v>
      </x:c>
      <x:c r="F767" s="52" t="n">
        <x:v>45956</x:v>
      </x:c>
      <x:c r="G767" t="str">
        <x:v>PM</x:v>
      </x:c>
      <x:c r="H767" t="str">
        <x:v>ORD-2025-00162</x:v>
      </x:c>
      <x:c r="I767" t="str">
        <x:v>Normal</x:v>
      </x:c>
      <x:c r="J767" t="str">
        <x:v>PROC_STUCKDOWN</x:v>
      </x:c>
      <x:c r="K767" t="str">
        <x:v>Forming</x:v>
      </x:c>
      <x:c r="L767" s="54" t="n">
        <x:v>0.0023176778051429863</x:v>
      </x:c>
      <x:c r="M767" t="n">
        <x:v>185962</x:v>
      </x:c>
      <x:c r="N767" t="n">
        <x:f>L767*M767</x:f>
        <x:v>431</x:v>
      </x:c>
      <x:c r="O767"/>
      <x:c r="P767"/>
      <x:c r="Q767"/>
      <x:c r="R767"/>
      <x:c r="S767" s="52"/>
      <x:c r="T767" t="str">
        <x:v>OK</x:v>
      </x:c>
      <x:c r="U767" t="str">
        <x:f>IF(AND(ISNUMBER(L767),L767&gt;=0,L767&lt;=1),"OK","CHECK")</x:f>
        <x:v>OK</x:v>
      </x:c>
      <x:c r="V767" t="str">
        <x:f>IF(AND(ISNUMBER(N767),N767&gt;=0),"OK","CHECK")</x:f>
        <x:v>OK</x:v>
      </x:c>
      <x:c r="W767" t="str">
        <x:f>IF(AND(T767="OK",U767="OK",V767="OK"),"OK","CHECK")</x:f>
        <x:v>OK</x:v>
      </x:c>
      <x:c r="X767" t="str">
        <x:f>IF(W767="OK","LOAD","QUARANTINE")</x:f>
        <x:v>LOAD</x:v>
      </x:c>
      <x:c r="Y767" t="str">
        <x:v>03_Process_Losses(6).xlsx</x:v>
      </x:c>
      <x:c r="Z767" t="str">
        <x:v>ENH-20260830-01</x:v>
      </x:c>
      <x:c r="AA767" t="str">
        <x:f>IF(X767="LOAD","Active","Quarantine")</x:f>
        <x:v>Active</x:v>
      </x:c>
      <x:c r="AB767"/>
      <x:c r="AC767"/>
      <x:c r="AD767"/>
      <x:c r="AE767"/>
    </x:row>
    <x:row r="768">
      <x:c r="A768" t="str">
        <x:v>PLD-000764</x:v>
      </x:c>
      <x:c r="B768" t="str">
        <x:v>LOSS-KG01-L25-20251026-PM-ORD-2025-00162</x:v>
      </x:c>
      <x:c r="C768" t="str">
        <x:v>PE-KG01-L25-20251026-PM-ORD-2025-00162</x:v>
      </x:c>
      <x:c r="D768" t="str">
        <x:v>KG01</x:v>
      </x:c>
      <x:c r="E768" t="n">
        <x:v>25</x:v>
      </x:c>
      <x:c r="F768" s="52" t="n">
        <x:v>45956</x:v>
      </x:c>
      <x:c r="G768" t="str">
        <x:v>PM</x:v>
      </x:c>
      <x:c r="H768" t="str">
        <x:v>ORD-2025-00162</x:v>
      </x:c>
      <x:c r="I768" t="str">
        <x:v>Normal</x:v>
      </x:c>
      <x:c r="J768" t="str">
        <x:v>PROC_LEHR</x:v>
      </x:c>
      <x:c r="K768" t="str">
        <x:v>Lehr</x:v>
      </x:c>
      <x:c r="L768" s="54" t="n">
        <x:v>0.004694507480022801</x:v>
      </x:c>
      <x:c r="M768" t="n">
        <x:v>185962</x:v>
      </x:c>
      <x:c r="N768" t="n">
        <x:f>L768*M768</x:f>
        <x:v>873.0000000000001</x:v>
      </x:c>
      <x:c r="O768"/>
      <x:c r="P768"/>
      <x:c r="Q768"/>
      <x:c r="R768"/>
      <x:c r="S768" s="52"/>
      <x:c r="T768" t="str">
        <x:v>OK</x:v>
      </x:c>
      <x:c r="U768" t="str">
        <x:f>IF(AND(ISNUMBER(L768),L768&gt;=0,L768&lt;=1),"OK","CHECK")</x:f>
        <x:v>OK</x:v>
      </x:c>
      <x:c r="V768" t="str">
        <x:f>IF(AND(ISNUMBER(N768),N768&gt;=0),"OK","CHECK")</x:f>
        <x:v>OK</x:v>
      </x:c>
      <x:c r="W768" t="str">
        <x:f>IF(AND(T768="OK",U768="OK",V768="OK"),"OK","CHECK")</x:f>
        <x:v>OK</x:v>
      </x:c>
      <x:c r="X768" t="str">
        <x:f>IF(W768="OK","LOAD","QUARANTINE")</x:f>
        <x:v>LOAD</x:v>
      </x:c>
      <x:c r="Y768" t="str">
        <x:v>03_Process_Losses(6).xlsx</x:v>
      </x:c>
      <x:c r="Z768" t="str">
        <x:v>ENH-20260830-01</x:v>
      </x:c>
      <x:c r="AA768" t="str">
        <x:f>IF(X768="LOAD","Active","Quarantine")</x:f>
        <x:v>Active</x:v>
      </x:c>
      <x:c r="AB768"/>
      <x:c r="AC768"/>
      <x:c r="AD768"/>
      <x:c r="AE768"/>
    </x:row>
    <x:row r="769">
      <x:c r="A769" t="str">
        <x:v>PLD-000765</x:v>
      </x:c>
      <x:c r="B769" t="str">
        <x:v>LOSS-KG01-L25-20251026-PM-ORD-2025-00162</x:v>
      </x:c>
      <x:c r="C769" t="str">
        <x:v>PE-KG01-L25-20251026-PM-ORD-2025-00162</x:v>
      </x:c>
      <x:c r="D769" t="str">
        <x:v>KG01</x:v>
      </x:c>
      <x:c r="E769" t="n">
        <x:v>25</x:v>
      </x:c>
      <x:c r="F769" s="52" t="n">
        <x:v>45956</x:v>
      </x:c>
      <x:c r="G769" t="str">
        <x:v>PM</x:v>
      </x:c>
      <x:c r="H769" t="str">
        <x:v>ORD-2025-00162</x:v>
      </x:c>
      <x:c r="I769" t="str">
        <x:v>Normal</x:v>
      </x:c>
      <x:c r="J769" t="str">
        <x:v>PROC_EVO16</x:v>
      </x:c>
      <x:c r="K769" t="str">
        <x:v>Inspection</x:v>
      </x:c>
      <x:c r="L769" s="54" t="n">
        <x:v>0.005882922317462708</x:v>
      </x:c>
      <x:c r="M769" t="n">
        <x:v>185962</x:v>
      </x:c>
      <x:c r="N769" t="n">
        <x:f>L769*M769</x:f>
        <x:v>1094</x:v>
      </x:c>
      <x:c r="O769"/>
      <x:c r="P769"/>
      <x:c r="Q769"/>
      <x:c r="R769"/>
      <x:c r="S769" s="52"/>
      <x:c r="T769" t="str">
        <x:v>OK</x:v>
      </x:c>
      <x:c r="U769" t="str">
        <x:f>IF(AND(ISNUMBER(L769),L769&gt;=0,L769&lt;=1),"OK","CHECK")</x:f>
        <x:v>OK</x:v>
      </x:c>
      <x:c r="V769" t="str">
        <x:f>IF(AND(ISNUMBER(N769),N769&gt;=0),"OK","CHECK")</x:f>
        <x:v>OK</x:v>
      </x:c>
      <x:c r="W769" t="str">
        <x:f>IF(AND(T769="OK",U769="OK",V769="OK"),"OK","CHECK")</x:f>
        <x:v>OK</x:v>
      </x:c>
      <x:c r="X769" t="str">
        <x:f>IF(W769="OK","LOAD","QUARANTINE")</x:f>
        <x:v>LOAD</x:v>
      </x:c>
      <x:c r="Y769" t="str">
        <x:v>03_Process_Losses(6).xlsx</x:v>
      </x:c>
      <x:c r="Z769" t="str">
        <x:v>ENH-20260830-01</x:v>
      </x:c>
      <x:c r="AA769" t="str">
        <x:f>IF(X769="LOAD","Active","Quarantine")</x:f>
        <x:v>Active</x:v>
      </x:c>
      <x:c r="AB769"/>
      <x:c r="AC769"/>
      <x:c r="AD769"/>
      <x:c r="AE769"/>
    </x:row>
    <x:row r="770">
      <x:c r="A770" t="str">
        <x:v>PLD-000766</x:v>
      </x:c>
      <x:c r="B770" t="str">
        <x:v>LOSS-KG01-L25-20251026-PM-ORD-2025-00162</x:v>
      </x:c>
      <x:c r="C770" t="str">
        <x:v>PE-KG01-L25-20251026-PM-ORD-2025-00162</x:v>
      </x:c>
      <x:c r="D770" t="str">
        <x:v>KG01</x:v>
      </x:c>
      <x:c r="E770" t="n">
        <x:v>25</x:v>
      </x:c>
      <x:c r="F770" s="52" t="n">
        <x:v>45956</x:v>
      </x:c>
      <x:c r="G770" t="str">
        <x:v>PM</x:v>
      </x:c>
      <x:c r="H770" t="str">
        <x:v>ORD-2025-00162</x:v>
      </x:c>
      <x:c r="I770" t="str">
        <x:v>Normal</x:v>
      </x:c>
      <x:c r="J770" t="str">
        <x:v>PROC_EVO12</x:v>
      </x:c>
      <x:c r="K770" t="str">
        <x:v>Inspection</x:v>
      </x:c>
      <x:c r="L770" s="54" t="n">
        <x:v>0.00260268226842043</x:v>
      </x:c>
      <x:c r="M770" t="n">
        <x:v>185962</x:v>
      </x:c>
      <x:c r="N770" t="n">
        <x:f>L770*M770</x:f>
        <x:v>483.99999999999994</x:v>
      </x:c>
      <x:c r="O770"/>
      <x:c r="P770"/>
      <x:c r="Q770"/>
      <x:c r="R770"/>
      <x:c r="S770" s="52"/>
      <x:c r="T770" t="str">
        <x:v>OK</x:v>
      </x:c>
      <x:c r="U770" t="str">
        <x:f>IF(AND(ISNUMBER(L770),L770&gt;=0,L770&lt;=1),"OK","CHECK")</x:f>
        <x:v>OK</x:v>
      </x:c>
      <x:c r="V770" t="str">
        <x:f>IF(AND(ISNUMBER(N770),N770&gt;=0),"OK","CHECK")</x:f>
        <x:v>OK</x:v>
      </x:c>
      <x:c r="W770" t="str">
        <x:f>IF(AND(T770="OK",U770="OK",V770="OK"),"OK","CHECK")</x:f>
        <x:v>OK</x:v>
      </x:c>
      <x:c r="X770" t="str">
        <x:f>IF(W770="OK","LOAD","QUARANTINE")</x:f>
        <x:v>LOAD</x:v>
      </x:c>
      <x:c r="Y770" t="str">
        <x:v>03_Process_Losses(6).xlsx</x:v>
      </x:c>
      <x:c r="Z770" t="str">
        <x:v>ENH-20260830-01</x:v>
      </x:c>
      <x:c r="AA770" t="str">
        <x:f>IF(X770="LOAD","Active","Quarantine")</x:f>
        <x:v>Active</x:v>
      </x:c>
      <x:c r="AB770"/>
      <x:c r="AC770"/>
      <x:c r="AD770"/>
      <x:c r="AE770"/>
    </x:row>
    <x:row r="771">
      <x:c r="A771" t="str">
        <x:v>PLD-000767</x:v>
      </x:c>
      <x:c r="B771" t="str">
        <x:v>LOSS-KG01-L25-20251026-PM-ORD-2025-00162</x:v>
      </x:c>
      <x:c r="C771" t="str">
        <x:v>PE-KG01-L25-20251026-PM-ORD-2025-00162</x:v>
      </x:c>
      <x:c r="D771" t="str">
        <x:v>KG01</x:v>
      </x:c>
      <x:c r="E771" t="n">
        <x:v>25</x:v>
      </x:c>
      <x:c r="F771" s="52" t="n">
        <x:v>45956</x:v>
      </x:c>
      <x:c r="G771" t="str">
        <x:v>PM</x:v>
      </x:c>
      <x:c r="H771" t="str">
        <x:v>ORD-2025-00162</x:v>
      </x:c>
      <x:c r="I771" t="str">
        <x:v>Normal</x:v>
      </x:c>
      <x:c r="J771" t="str">
        <x:v>PROC_EVO5</x:v>
      </x:c>
      <x:c r="K771" t="str">
        <x:v>Inspection</x:v>
      </x:c>
      <x:c r="L771" s="54" t="n">
        <x:v>0.0020111635710521503</x:v>
      </x:c>
      <x:c r="M771" t="n">
        <x:v>185962</x:v>
      </x:c>
      <x:c r="N771" t="n">
        <x:f>L771*M771</x:f>
        <x:v>373.99999999999994</x:v>
      </x:c>
      <x:c r="O771"/>
      <x:c r="P771"/>
      <x:c r="Q771"/>
      <x:c r="R771"/>
      <x:c r="S771" s="52"/>
      <x:c r="T771" t="str">
        <x:v>OK</x:v>
      </x:c>
      <x:c r="U771" t="str">
        <x:f>IF(AND(ISNUMBER(L771),L771&gt;=0,L771&lt;=1),"OK","CHECK")</x:f>
        <x:v>OK</x:v>
      </x:c>
      <x:c r="V771" t="str">
        <x:f>IF(AND(ISNUMBER(N771),N771&gt;=0),"OK","CHECK")</x:f>
        <x:v>OK</x:v>
      </x:c>
      <x:c r="W771" t="str">
        <x:f>IF(AND(T771="OK",U771="OK",V771="OK"),"OK","CHECK")</x:f>
        <x:v>OK</x:v>
      </x:c>
      <x:c r="X771" t="str">
        <x:f>IF(W771="OK","LOAD","QUARANTINE")</x:f>
        <x:v>LOAD</x:v>
      </x:c>
      <x:c r="Y771" t="str">
        <x:v>03_Process_Losses(6).xlsx</x:v>
      </x:c>
      <x:c r="Z771" t="str">
        <x:v>ENH-20260830-01</x:v>
      </x:c>
      <x:c r="AA771" t="str">
        <x:f>IF(X771="LOAD","Active","Quarantine")</x:f>
        <x:v>Active</x:v>
      </x:c>
      <x:c r="AB771"/>
      <x:c r="AC771"/>
      <x:c r="AD771"/>
      <x:c r="AE771"/>
    </x:row>
    <x:row r="772">
      <x:c r="A772" t="str">
        <x:v>PLD-000768</x:v>
      </x:c>
      <x:c r="B772" t="str">
        <x:v>LOSS-KG01-L25-20251026-PM-ORD-2025-00162</x:v>
      </x:c>
      <x:c r="C772" t="str">
        <x:v>PE-KG01-L25-20251026-PM-ORD-2025-00162</x:v>
      </x:c>
      <x:c r="D772" t="str">
        <x:v>KG01</x:v>
      </x:c>
      <x:c r="E772" t="n">
        <x:v>25</x:v>
      </x:c>
      <x:c r="F772" s="52" t="n">
        <x:v>45956</x:v>
      </x:c>
      <x:c r="G772" t="str">
        <x:v>PM</x:v>
      </x:c>
      <x:c r="H772" t="str">
        <x:v>ORD-2025-00162</x:v>
      </x:c>
      <x:c r="I772" t="str">
        <x:v>Normal</x:v>
      </x:c>
      <x:c r="J772" t="str">
        <x:v>PROC_SANLI</x:v>
      </x:c>
      <x:c r="K772" t="str">
        <x:v>Inspection</x:v>
      </x:c>
      <x:c r="L772" s="54" t="n">
        <x:v>0.0017745560921048386</x:v>
      </x:c>
      <x:c r="M772" t="n">
        <x:v>185962</x:v>
      </x:c>
      <x:c r="N772" t="n">
        <x:f>L772*M772</x:f>
        <x:v>330</x:v>
      </x:c>
      <x:c r="O772"/>
      <x:c r="P772"/>
      <x:c r="Q772"/>
      <x:c r="R772"/>
      <x:c r="S772" s="52"/>
      <x:c r="T772" t="str">
        <x:v>OK</x:v>
      </x:c>
      <x:c r="U772" t="str">
        <x:f>IF(AND(ISNUMBER(L772),L772&gt;=0,L772&lt;=1),"OK","CHECK")</x:f>
        <x:v>OK</x:v>
      </x:c>
      <x:c r="V772" t="str">
        <x:f>IF(AND(ISNUMBER(N772),N772&gt;=0),"OK","CHECK")</x:f>
        <x:v>OK</x:v>
      </x:c>
      <x:c r="W772" t="str">
        <x:f>IF(AND(T772="OK",U772="OK",V772="OK"),"OK","CHECK")</x:f>
        <x:v>OK</x:v>
      </x:c>
      <x:c r="X772" t="str">
        <x:f>IF(W772="OK","LOAD","QUARANTINE")</x:f>
        <x:v>LOAD</x:v>
      </x:c>
      <x:c r="Y772" t="str">
        <x:v>03_Process_Losses(6).xlsx</x:v>
      </x:c>
      <x:c r="Z772" t="str">
        <x:v>ENH-20260830-01</x:v>
      </x:c>
      <x:c r="AA772" t="str">
        <x:f>IF(X772="LOAD","Active","Quarantine")</x:f>
        <x:v>Active</x:v>
      </x:c>
      <x:c r="AB772"/>
      <x:c r="AC772"/>
      <x:c r="AD772"/>
      <x:c r="AE772"/>
    </x:row>
    <x:row r="773">
      <x:c r="A773" t="str">
        <x:v>PLD-000769</x:v>
      </x:c>
      <x:c r="B773" t="str">
        <x:v>LOSS-KG01-L25-20251026-PM-ORD-2025-00162</x:v>
      </x:c>
      <x:c r="C773" t="str">
        <x:v>PE-KG01-L25-20251026-PM-ORD-2025-00162</x:v>
      </x:c>
      <x:c r="D773" t="str">
        <x:v>KG01</x:v>
      </x:c>
      <x:c r="E773" t="n">
        <x:v>25</x:v>
      </x:c>
      <x:c r="F773" s="52" t="n">
        <x:v>45956</x:v>
      </x:c>
      <x:c r="G773" t="str">
        <x:v>PM</x:v>
      </x:c>
      <x:c r="H773" t="str">
        <x:v>ORD-2025-00162</x:v>
      </x:c>
      <x:c r="I773" t="str">
        <x:v>Normal</x:v>
      </x:c>
      <x:c r="J773" t="str">
        <x:v>PROC_VISUAL</x:v>
      </x:c>
      <x:c r="K773" t="str">
        <x:v>Inspection</x:v>
      </x:c>
      <x:c r="L773" s="54" t="n">
        <x:v>0.004038459470214345</x:v>
      </x:c>
      <x:c r="M773" t="n">
        <x:v>185962</x:v>
      </x:c>
      <x:c r="N773" t="n">
        <x:f>L773*M773</x:f>
        <x:v>751.0000000000001</x:v>
      </x:c>
      <x:c r="O773"/>
      <x:c r="P773"/>
      <x:c r="Q773"/>
      <x:c r="R773"/>
      <x:c r="S773" s="52"/>
      <x:c r="T773" t="str">
        <x:v>OK</x:v>
      </x:c>
      <x:c r="U773" t="str">
        <x:f>IF(AND(ISNUMBER(L773),L773&gt;=0,L773&lt;=1),"OK","CHECK")</x:f>
        <x:v>OK</x:v>
      </x:c>
      <x:c r="V773" t="str">
        <x:f>IF(AND(ISNUMBER(N773),N773&gt;=0),"OK","CHECK")</x:f>
        <x:v>OK</x:v>
      </x:c>
      <x:c r="W773" t="str">
        <x:f>IF(AND(T773="OK",U773="OK",V773="OK"),"OK","CHECK")</x:f>
        <x:v>OK</x:v>
      </x:c>
      <x:c r="X773" t="str">
        <x:f>IF(W773="OK","LOAD","QUARANTINE")</x:f>
        <x:v>LOAD</x:v>
      </x:c>
      <x:c r="Y773" t="str">
        <x:v>03_Process_Losses(6).xlsx</x:v>
      </x:c>
      <x:c r="Z773" t="str">
        <x:v>ENH-20260830-01</x:v>
      </x:c>
      <x:c r="AA773" t="str">
        <x:f>IF(X773="LOAD","Active","Quarantine")</x:f>
        <x:v>Active</x:v>
      </x:c>
      <x:c r="AB773"/>
      <x:c r="AC773"/>
      <x:c r="AD773"/>
      <x:c r="AE773"/>
    </x:row>
    <x:row r="774">
      <x:c r="A774" t="str">
        <x:v>PLD-000770</x:v>
      </x:c>
      <x:c r="B774" t="str">
        <x:v>LOSS-KG01-L25-20251026-PM-ORD-2025-00162</x:v>
      </x:c>
      <x:c r="C774" t="str">
        <x:v>PE-KG01-L25-20251026-PM-ORD-2025-00162</x:v>
      </x:c>
      <x:c r="D774" t="str">
        <x:v>KG01</x:v>
      </x:c>
      <x:c r="E774" t="n">
        <x:v>25</x:v>
      </x:c>
      <x:c r="F774" s="52" t="n">
        <x:v>45956</x:v>
      </x:c>
      <x:c r="G774" t="str">
        <x:v>PM</x:v>
      </x:c>
      <x:c r="H774" t="str">
        <x:v>ORD-2025-00162</x:v>
      </x:c>
      <x:c r="I774" t="str">
        <x:v>Normal</x:v>
      </x:c>
      <x:c r="J774" t="str">
        <x:v>PROC_PALLETIZER</x:v>
      </x:c>
      <x:c r="K774" t="str">
        <x:v>Palletizer</x:v>
      </x:c>
      <x:c r="L774" s="54" t="n">
        <x:v>0.0020272958991621945</x:v>
      </x:c>
      <x:c r="M774" t="n">
        <x:v>185962</x:v>
      </x:c>
      <x:c r="N774" t="n">
        <x:f>L774*M774</x:f>
        <x:v>377</x:v>
      </x:c>
      <x:c r="O774"/>
      <x:c r="P774"/>
      <x:c r="Q774"/>
      <x:c r="R774"/>
      <x:c r="S774" s="52"/>
      <x:c r="T774" t="str">
        <x:v>OK</x:v>
      </x:c>
      <x:c r="U774" t="str">
        <x:f>IF(AND(ISNUMBER(L774),L774&gt;=0,L774&lt;=1),"OK","CHECK")</x:f>
        <x:v>OK</x:v>
      </x:c>
      <x:c r="V774" t="str">
        <x:f>IF(AND(ISNUMBER(N774),N774&gt;=0),"OK","CHECK")</x:f>
        <x:v>OK</x:v>
      </x:c>
      <x:c r="W774" t="str">
        <x:f>IF(AND(T774="OK",U774="OK",V774="OK"),"OK","CHECK")</x:f>
        <x:v>OK</x:v>
      </x:c>
      <x:c r="X774" t="str">
        <x:f>IF(W774="OK","LOAD","QUARANTINE")</x:f>
        <x:v>LOAD</x:v>
      </x:c>
      <x:c r="Y774" t="str">
        <x:v>03_Process_Losses(6).xlsx</x:v>
      </x:c>
      <x:c r="Z774" t="str">
        <x:v>ENH-20260830-01</x:v>
      </x:c>
      <x:c r="AA774" t="str">
        <x:f>IF(X774="LOAD","Active","Quarantine")</x:f>
        <x:v>Active</x:v>
      </x:c>
      <x:c r="AB774"/>
      <x:c r="AC774"/>
      <x:c r="AD774"/>
      <x:c r="AE774"/>
    </x:row>
  </x:sheetData>
  <x:mergeCells>
    <x:mergeCell ref="A1:AE1"/>
    <x:mergeCell ref="A2:AE2"/>
  </x:mergeCells>
  <x:dataValidations count="5">
    <x:dataValidation type="list" sqref="O5:O2000">
      <x:formula1>"RC_SETUP,RC_MECH,RC_PROCESS,RC_MATERIAL,RC_HANDLING,RC_QUALITY,RC_UTILITY,RC_UNKNOWN"</x:formula1>
    </x:dataValidation>
    <x:dataValidation type="list" sqref="Q5:Q2000">
      <x:formula1>"DEP_PROD,DEP_FORM,DEP_HE,DEP_CE,DEP_MAINT,DEP_QUAL,DEP_ENG,DEP_LOG"</x:formula1>
    </x:dataValidation>
    <x:dataValidation type="list" sqref="R5:R2000">
      <x:formula1>"ACT_OPEN,ACT_PROGRESS,ACT_MONITOR,ACT_CLOSED,ACT_CANCELLED"</x:formula1>
    </x:dataValidation>
    <x:dataValidation type="list" sqref="AA5:AA2000">
      <x:formula1>_ValidationLists!$D$5:$D$7</x:formula1>
    </x:dataValidation>
    <x:dataValidation type="list" sqref="J5:J2000">
      <x:formula1>"PROC_FIXED,PROC_IS,PROC_HE_CONVEYER,PROC_STUCKDOWN,PROC_LEHR,PROC_EVO16,PROC_EVO12,PROC_EVO5,PROC_SANLI,PROC_VISUAL,PROC_PALLETIZER"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69da4479d0413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60" hidden="0" customWidth="1"/>
    <x:col min="7" max="7" width="18" hidden="0" customWidth="1"/>
    <x:col min="8" max="8" width="18" hidden="0" customWidth="1"/>
  </x:cols>
  <x:sheetData>
    <x:row r="1">
      <x:c r="A1" s="33" t="str">
        <x:v>DATA QUALITY QUARANTINE</x:v>
      </x:c>
      <x:c r="B1" s="33"/>
      <x:c r="C1" s="33"/>
      <x:c r="D1" s="33"/>
      <x:c r="E1" s="33"/>
      <x:c r="F1" s="33"/>
      <x:c r="G1" s="33"/>
      <x:c r="H1" s="33"/>
    </x:row>
    <x:row r="2">
      <x:c r="A2" s="38" t="str">
        <x:v>Rows failing source, parent-event, reject reconciliation, or normalized reconciliation checks should not load as clean.</x:v>
      </x:c>
      <x:c r="B2" s="38"/>
      <x:c r="C2" s="38"/>
      <x:c r="D2" s="38"/>
      <x:c r="E2" s="38"/>
      <x:c r="F2" s="38"/>
      <x:c r="G2" s="38"/>
      <x:c r="H2" s="38"/>
    </x:row>
    <x:row r="4" ht="36" customHeight="1">
      <x:c r="A4" s="46" t="str">
        <x:v>ExceptionID</x:v>
      </x:c>
      <x:c r="B4" s="46" t="str">
        <x:v>SourceSheet</x:v>
      </x:c>
      <x:c r="C4" s="46" t="str">
        <x:v>RecordID</x:v>
      </x:c>
      <x:c r="D4" s="46" t="str">
        <x:v>RuleID</x:v>
      </x:c>
      <x:c r="E4" s="46" t="str">
        <x:v>Severity</x:v>
      </x:c>
      <x:c r="F4" s="46" t="str">
        <x:v>Issue</x:v>
      </x:c>
      <x:c r="G4" s="46" t="str">
        <x:v>LoadDecision</x:v>
      </x:c>
      <x:c r="H4" s="46" t="str">
        <x:v>ResolutionStatus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44" hidden="0" customWidth="1"/>
    <x:col min="4" max="4" width="42" hidden="0" customWidth="1"/>
  </x:cols>
  <x:sheetData>
    <x:row r="1">
      <x:c r="A1" s="33" t="str">
        <x:v>PROCESS LOSSES — ENHANCED MODEL</x:v>
      </x:c>
      <x:c r="B1" s="33"/>
      <x:c r="C1" s="33"/>
      <x:c r="D1" s="33"/>
    </x:row>
    <x:row r="2">
      <x:c r="A2" s="38" t="str">
        <x:v>The wide sheet remains the operator input. LossDetail is the preferred warehouse grain.</x:v>
      </x:c>
      <x:c r="B2" s="38"/>
      <x:c r="C2" s="38"/>
      <x:c r="D2" s="38"/>
    </x:row>
    <x:row r="4" ht="36" customHeight="1">
      <x:c r="A4" s="46" t="str">
        <x:v>Enhancement</x:v>
      </x:c>
      <x:c r="B4" s="46" t="str">
        <x:v>ImplementedAs</x:v>
      </x:c>
      <x:c r="C4" s="46" t="str">
        <x:v>Rule</x:v>
      </x:c>
      <x:c r="D4" s="46" t="str">
        <x:v>PowerBIUse</x:v>
      </x:c>
    </x:row>
    <x:row r="5">
      <x:c r="A5" t="str">
        <x:v>Central production key</x:v>
      </x:c>
      <x:c r="B5" t="str">
        <x:v>ProductionEventID on LossesOutput and LossDetail</x:v>
      </x:c>
      <x:c r="C5" t="str">
        <x:v>Validate against _ProductionEventRef</x:v>
      </x:c>
      <x:c r="D5" t="str">
        <x:v>Join to FACT_PRODUCTION by event ID.</x:v>
      </x:c>
    </x:row>
    <x:row r="6">
      <x:c r="A6" t="str">
        <x:v>Normalized loss type</x:v>
      </x:c>
      <x:c r="B6" t="str">
        <x:v>LossDetail</x:v>
      </x:c>
      <x:c r="C6" t="str">
        <x:v>One row per event × loss type</x:v>
      </x:c>
      <x:c r="D6" t="str">
        <x:v>Use for Pareto/category analysis.</x:v>
      </x:c>
    </x:row>
    <x:row r="7">
      <x:c r="A7" t="str">
        <x:v>Authoritative input</x:v>
      </x:c>
      <x:c r="B7" t="str">
        <x:v>LossPercent</x:v>
      </x:c>
      <x:c r="C7" t="str">
        <x:v>LossQty is derived</x:v>
      </x:c>
      <x:c r="D7" t="str">
        <x:v>Do not independently enter both percent and quantity.</x:v>
      </x:c>
    </x:row>
    <x:row r="8">
      <x:c r="A8" t="str">
        <x:v>Non-additive percent</x:v>
      </x:c>
      <x:c r="B8" t="str">
        <x:v>NormalizedLossPct reconciliation</x:v>
      </x:c>
      <x:c r="C8" t="str">
        <x:v>Recompute weighted percent</x:v>
      </x:c>
      <x:c r="D8" t="str">
        <x:v>SUM(LossQty)/SUM(DesignOutput), not SUM(LossPct).</x:v>
      </x:c>
    </x:row>
    <x:row r="9">
      <x:c r="A9" t="str">
        <x:v>Structured actions</x:v>
      </x:c>
      <x:c r="B9" t="str">
        <x:v>RootCause / CorrectiveAction / Department / ActionStatus</x:v>
      </x:c>
      <x:c r="C9" t="str">
        <x:v>Optional for historical; structured for new records</x:v>
      </x:c>
      <x:c r="D9" t="str">
        <x:v>Operational RCA analytics.</x:v>
      </x:c>
    </x:row>
    <x:row r="10">
      <x:c r="A10" t="str">
        <x:v>Quarantine gate</x:v>
      </x:c>
      <x:c r="B10" t="str">
        <x:v>DataQualityCheck + LoadDecision</x:v>
      </x:c>
      <x:c r="C10" t="str">
        <x:v>CHECK → QUARANTINE</x:v>
      </x:c>
      <x:c r="D10" t="str">
        <x:v>Preserve bad rows for investigation.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3e1f1e7a5ee411f"/>
  </x:tableParts>
</x:worksheet>
</file>