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a391a1075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26f0ccff3974ee4"/>
    <x:sheet xmlns:r="http://schemas.openxmlformats.org/officeDocument/2006/relationships" name="Customers" sheetId="2" r:id="Rda8dba072f2a4be2"/>
    <x:sheet xmlns:r="http://schemas.openxmlformats.org/officeDocument/2006/relationships" name="Products" sheetId="3" r:id="Rc29918cb18254ebd"/>
    <x:sheet xmlns:r="http://schemas.openxmlformats.org/officeDocument/2006/relationships" name="Orders" sheetId="4" r:id="Raa7fd4deea4e4e55"/>
    <x:sheet xmlns:r="http://schemas.openxmlformats.org/officeDocument/2006/relationships" name="DefectName" sheetId="5" r:id="R64c03af98ce94712"/>
    <x:sheet xmlns:r="http://schemas.openxmlformats.org/officeDocument/2006/relationships" name="HE_DowntimeReason" sheetId="6" r:id="R70df906807ca4422"/>
    <x:sheet xmlns:r="http://schemas.openxmlformats.org/officeDocument/2006/relationships" name="CE_LossesReason" sheetId="7" r:id="Re57c1c1518244edf"/>
    <x:sheet xmlns:r="http://schemas.openxmlformats.org/officeDocument/2006/relationships" name="PalletizerReason" sheetId="8" r:id="R83f0b7f783d84919"/>
    <x:sheet xmlns:r="http://schemas.openxmlformats.org/officeDocument/2006/relationships" name="ReworkStatus" sheetId="9" r:id="Rd50bd15b7a7944b9"/>
    <x:sheet xmlns:r="http://schemas.openxmlformats.org/officeDocument/2006/relationships" name="CaseName" sheetId="10" r:id="R2f159ccfb0e34dd2"/>
    <x:sheet xmlns:r="http://schemas.openxmlformats.org/officeDocument/2006/relationships" name="Crew" sheetId="11" r:id="R4e95de10edea4805"/>
    <x:sheet xmlns:r="http://schemas.openxmlformats.org/officeDocument/2006/relationships" name="Shifts" sheetId="12" r:id="R59a68325e4244dcd"/>
    <x:sheet xmlns:r="http://schemas.openxmlformats.org/officeDocument/2006/relationships" name="Lines" sheetId="13" r:id="R7ad8771c104d4303"/>
    <x:sheet xmlns:r="http://schemas.openxmlformats.org/officeDocument/2006/relationships" name="JobChangeTypes" sheetId="14" r:id="R4a1ff1ec91434471"/>
    <x:sheet xmlns:r="http://schemas.openxmlformats.org/officeDocument/2006/relationships" name="Lookups" sheetId="15" r:id="R6d52aa325705459b"/>
    <x:sheet xmlns:r="http://schemas.openxmlformats.org/officeDocument/2006/relationships" name="AssetScope" sheetId="16" r:id="R19f39188c7a64bfb"/>
    <x:sheet xmlns:r="http://schemas.openxmlformats.org/officeDocument/2006/relationships" name="ModelChanges" sheetId="17" r:id="Rdbc9f6cb98e44439"/>
    <x:sheet xmlns:r="http://schemas.openxmlformats.org/officeDocument/2006/relationships" name="Machines" sheetId="18" r:id="R80d2a61ff42d4a5e"/>
    <x:sheet xmlns:r="http://schemas.openxmlformats.org/officeDocument/2006/relationships" name="MachineCapabilityHistory" sheetId="19" r:id="Re704bf7ef7874794"/>
    <x:sheet xmlns:r="http://schemas.openxmlformats.org/officeDocument/2006/relationships" name="ProductLineCapability" sheetId="20" r:id="R08a7516b341743e5"/>
    <x:sheet xmlns:r="http://schemas.openxmlformats.org/officeDocument/2006/relationships" name="JobChangeTargets" sheetId="21" r:id="R8a83626b32094edf"/>
    <x:sheet xmlns:r="http://schemas.openxmlformats.org/officeDocument/2006/relationships" name="LossTypes" sheetId="22" r:id="Raafe27c90e1a4b7c"/>
    <x:sheet xmlns:r="http://schemas.openxmlformats.org/officeDocument/2006/relationships" name="LossReasonHierarchy" sheetId="23" r:id="R74673d0787c54a28"/>
    <x:sheet xmlns:r="http://schemas.openxmlformats.org/officeDocument/2006/relationships" name="RootCauses" sheetId="24" r:id="Rcad999e065544106"/>
    <x:sheet xmlns:r="http://schemas.openxmlformats.org/officeDocument/2006/relationships" name="Departments" sheetId="25" r:id="R6c424c2c164d4ac2"/>
    <x:sheet xmlns:r="http://schemas.openxmlformats.org/officeDocument/2006/relationships" name="ActionStatus" sheetId="26" r:id="R08d94a660631489d"/>
    <x:sheet xmlns:r="http://schemas.openxmlformats.org/officeDocument/2006/relationships" name="WarehouseModelMap" sheetId="27" r:id="R67781554bd364631"/>
    <x:sheet xmlns:r="http://schemas.openxmlformats.org/officeDocument/2006/relationships" name="MeasureSemantics" sheetId="28" r:id="Re36b0654693a4e56"/>
    <x:sheet xmlns:r="http://schemas.openxmlformats.org/officeDocument/2006/relationships" name="DataQualityRules" sheetId="29" r:id="R96f69bcafed945fd"/>
    <x:sheet xmlns:r="http://schemas.openxmlformats.org/officeDocument/2006/relationships" name="EnhancementGuide" sheetId="30" r:id="R0164df6c15834d4c"/>
  </x:sheets>
</x:workbook>
</file>

<file path=xl/sharedStrings.xml><?xml version="1.0" encoding="utf-8"?>
<x:sst xmlns:x="http://schemas.openxmlformats.org/spreadsheetml/2006/main">
  <x:si>
    <x:t xml:space="preserve">KANDIL GLASS — MASTER DATA WORKBOOK</x:t>
  </x:si>
  <x:si>
    <x:t xml:space="preserve">Owner: Planning / Sales / IT</x:t>
  </x:si>
  <x:si>
    <x:t xml:space="preserve">Purpose: Maintain customers, products, orders, job-change types, lines and all dropdown lists.</x:t>
  </x:si>
  <x:si>
    <x:t xml:space="preserve">Rules:</x:t>
  </x:si>
  <x:si>
    <x:t xml:space="preserve">1. Never change column header names.</x:t>
  </x:si>
  <x:si>
    <x:t xml:space="preserve">2. Codes must be unique.</x:t>
  </x:si>
  <x:si>
    <x:t xml:space="preserve">3. New codes are added HERE first, then appear in other workbooks' dropdowns.</x:t>
  </x:si>
  <x:si>
    <x:t xml:space="preserve">4. Yellow cells = dropdown. Blue cells = input.</x:t>
  </x:si>
  <x:si>
    <x:t xml:space="preserve">5. Load this file into Staging BEFORE any daily transactional files.</x:t>
  </x:si>
  <x:si>
    <x:t xml:space="preserve">JobChangeType official values: Small, Medium, Big, Process</x:t>
  </x:si>
  <x:si>
    <x:t xml:space="preserve">Dataset: one-week subset for DWH / Power BI testing (2025-10-20 to 2025-10-26); synthetic operational data.</x:t>
  </x:si>
  <x:si>
    <x:t xml:space="preserve">NEW SECTION/CAVITY MODEL</x:t>
  </x:si>
  <x:si>
    <x:t xml:space="preserve">Lines 21–25 physical capability = 13 sections and max 3 cavity positions per section.</x:t>
  </x:si>
  <x:si>
    <x:t xml:space="preserve">AssetScope contains all physical Line → Section → Cavity positions.</x:t>
  </x:si>
  <x:si>
    <x:t xml:space="preserve">Active sections/cavities remain production-event specific in 02_Supervisor_Log.</x:t>
  </x:si>
  <x:si>
    <x:t xml:space="preserve">All additions are additive; do not delete/rename existing Power BI source columns.</x:t>
  </x:si>
  <x:si>
    <x:t xml:space="preserve">Master Data — Customers</x:t>
  </x:si>
  <x:si>
    <x:t xml:space="preserve">Maps to STG_CUSTOMER → DIM_CUSTOMER</x:t>
  </x:si>
  <x:si>
    <x:t xml:space="preserve">One row per customer. CustomerCode must be unique.</x:t>
  </x:si>
  <x:si>
    <x:t xml:space="preserve">CustomerCode</x:t>
  </x:si>
  <x:si>
    <x:t xml:space="preserve">CustomerName</x:t>
  </x:si>
  <x:si>
    <x:t xml:space="preserve">CountryType</x:t>
  </x:si>
  <x:si>
    <x:t xml:space="preserve">CUST001</x:t>
  </x:si>
  <x:si>
    <x:t xml:space="preserve">Coca-Cola Egypt</x:t>
  </x:si>
  <x:si>
    <x:t xml:space="preserve">Local</x:t>
  </x:si>
  <x:si>
    <x:t xml:space="preserve">CUST002</x:t>
  </x:si>
  <x:si>
    <x:t xml:space="preserve">PepsiCo Egypt</x:t>
  </x:si>
  <x:si>
    <x:t xml:space="preserve">CUST003</x:t>
  </x:si>
  <x:si>
    <x:t xml:space="preserve">Nestle Waters</x:t>
  </x:si>
  <x:si>
    <x:t xml:space="preserve">Export</x:t>
  </x:si>
  <x:si>
    <x:t xml:space="preserve">Master Data — Products</x:t>
  </x:si>
  <x:si>
    <x:t xml:space="preserve">Maps to STG_PRODUCT → DIM_PRODUCT</x:t>
  </x:si>
  <x:si>
    <x:t xml:space="preserve">ProductCode unique. Category = Jar or Bottle. CustomerCode must exist in Customers.</x:t>
  </x:si>
  <x:si>
    <x:t xml:space="preserve">ProductCode</x:t>
  </x:si>
  <x:si>
    <x:t xml:space="preserve">ProductName</x:t>
  </x:si>
  <x:si>
    <x:t xml:space="preserve">Category</x:t>
  </x:si>
  <x:si>
    <x:t xml:space="preserve">PRD-JAR-330</x:t>
  </x:si>
  <x:si>
    <x:t xml:space="preserve">Jar 330ml Twist-off</x:t>
  </x:si>
  <x:si>
    <x:t xml:space="preserve">Jar</x:t>
  </x:si>
  <x:si>
    <x:t xml:space="preserve">PRD-BOT-500</x:t>
  </x:si>
  <x:si>
    <x:t xml:space="preserve">Bottle 500ml Crown</x:t>
  </x:si>
  <x:si>
    <x:t xml:space="preserve">Bottle</x:t>
  </x:si>
  <x:si>
    <x:t xml:space="preserve">PRD-JAR-720</x:t>
  </x:si>
  <x:si>
    <x:t xml:space="preserve">Jar 720ml Lug Cap</x:t>
  </x:si>
  <x:si>
    <x:t xml:space="preserve">Master Data — Orders</x:t>
  </x:si>
  <x:si>
    <x:t xml:space="preserve">Maps to STG_ORDER → DIM_ORDER</x:t>
  </x:si>
  <x:si>
    <x:t xml:space="preserve">OrderNumber unique. TotalMoltenUnits = Packed + Rejected + Hold.</x:t>
  </x:si>
  <x:si>
    <x:t xml:space="preserve">OrderNumber</x:t>
  </x:si>
  <x:si>
    <x:t xml:space="preserve">TotalMoltenUnits</x:t>
  </x:si>
  <x:si>
    <x:t xml:space="preserve">ProductCustomerCheck</x:t>
  </x:si>
  <x:si>
    <x:t xml:space="preserve">ORD-2025-00019</x:t>
  </x:si>
  <x:si>
    <x:t xml:space="preserve">ORD-2025-00020</x:t>
  </x:si>
  <x:si>
    <x:t xml:space="preserve">ORD-2025-00021</x:t>
  </x:si>
  <x:si>
    <x:t xml:space="preserve">ORD-2025-00055</x:t>
  </x:si>
  <x:si>
    <x:t xml:space="preserve">ORD-2025-00056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</x:si>
  <x:si>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</x:si>
  <x:si>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</x:si>
  <x:si>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</x:si>
  <x:si>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</x:si>
  <x:si>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</x:si>
  <x:si>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</x:si>
  <x:si>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</x:si>
  <x:si>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</x:si>
  <x:si>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</x:si>
  <x:si>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</x:si>
  <x:si>
    <x:t xml:space="preserve">Master Data — Defects</x:t>
  </x:si>
  <x:si>
    <x:t xml:space="preserve">Maps to STG_DEFECT → DIM_DEFECT</x:t>
  </x:si>
  <x:si>
    <x:t xml:space="preserve">Maintain only approved values.</x:t>
  </x:si>
  <x:si>
    <x:t xml:space="preserve">DefectName</x:t>
  </x:si>
  <x:si>
    <x:t xml:space="preserve">Crack</x:t>
  </x:si>
  <x:si>
    <x:t xml:space="preserve">Chip</x:t>
  </x:si>
  <x:si>
    <x:t xml:space="preserve">Blister</x:t>
  </x:si>
  <x:si>
    <x:t xml:space="preserve">Distortion</x:t>
  </x:si>
  <x:si>
    <x:t xml:space="preserve">Stone</x:t>
  </x:si>
  <x:si>
    <x:t xml:space="preserve">Bird Swing</x:t>
  </x:si>
  <x:si>
    <x:t xml:space="preserve">Overpress</x:t>
  </x:si>
  <x:si>
    <x:t xml:space="preserve">Thin Wall</x:t>
  </x:si>
  <x:si>
    <x:t xml:space="preserve">Choke Neck</x:t>
  </x:si>
  <x:si>
    <x:t xml:space="preserve">Master Data — HE Downtime Reasons</x:t>
  </x:si>
  <x:si>
    <x:t xml:space="preserve">Reference list for JobChange HE_DowntimeReason</x:t>
  </x:si>
  <x:si>
    <x:t xml:space="preserve">HE_DowntimeReason</x:t>
  </x:si>
  <x:si>
    <x:t xml:space="preserve">Feeder Temperature Instability</x:t>
  </x:si>
  <x:si>
    <x:t xml:space="preserve">Gob Weight Adjustment</x:t>
  </x:si>
  <x:si>
    <x:t xml:space="preserve">Shear Mechanism Fault</x:t>
  </x:si>
  <x:si>
    <x:t xml:space="preserve">Gob Distributor Jam</x:t>
  </x:si>
  <x:si>
    <x:t xml:space="preserve">Mould Cooling Issue</x:t>
  </x:si>
  <x:si>
    <x:t xml:space="preserve">Swabbing / Lubrication</x:t>
  </x:si>
  <x:si>
    <x:t xml:space="preserve">Blank Mould Change</x:t>
  </x:si>
  <x:si>
    <x:t xml:space="preserve">Neck Ring Issue</x:t>
  </x:si>
  <x:si>
    <x:t xml:space="preserve">Air Pressure Instability</x:t>
  </x:si>
  <x:si>
    <x:t xml:space="preserve">Master Data — CE Loss Reasons</x:t>
  </x:si>
  <x:si>
    <x:t xml:space="preserve">Reference list for JobChange CE_LossesReason</x:t>
  </x:si>
  <x:si>
    <x:t xml:space="preserve">CE_LossesReason</x:t>
  </x:si>
  <x:si>
    <x:t xml:space="preserve">Cross Conveyor Jam</x:t>
  </x:si>
  <x:si>
    <x:t xml:space="preserve">Ware Transfer Misalignment</x:t>
  </x:si>
  <x:si>
    <x:t xml:space="preserve">Dead Plate Congestion</x:t>
  </x:si>
  <x:si>
    <x:t xml:space="preserve">Lehr Loader Delay</x:t>
  </x:si>
  <x:si>
    <x:t xml:space="preserve">Conveyor Speed Mismatch</x:t>
  </x:si>
  <x:si>
    <x:t xml:space="preserve">Bottle Fall / Tip</x:t>
  </x:si>
  <x:si>
    <x:t xml:space="preserve">Sensor Fault</x:t>
  </x:si>
  <x:si>
    <x:t xml:space="preserve">Drive / Motor Fault</x:t>
  </x:si>
  <x:si>
    <x:t xml:space="preserve">Belt Tracking Issue</x:t>
  </x:si>
  <x:si>
    <x:t xml:space="preserve">Master Data — Palletizer Reasons</x:t>
  </x:si>
  <x:si>
    <x:t xml:space="preserve">Reference list for JobChange PalletizerReason</x:t>
  </x:si>
  <x:si>
    <x:t xml:space="preserve">PalletizerReason</x:t>
  </x:si>
  <x:si>
    <x:t xml:space="preserve">Palletizer Robot Fault</x:t>
  </x:si>
  <x:si>
    <x:t xml:space="preserve">Layer Pattern Adjustment</x:t>
  </x:si>
  <x:si>
    <x:t xml:space="preserve">Pallet Shortage</x:t>
  </x:si>
  <x:si>
    <x:t xml:space="preserve">Separator Pad Shortage</x:t>
  </x:si>
  <x:si>
    <x:t xml:space="preserve">Pallet Conveyor Jam</x:t>
  </x:si>
  <x:si>
    <x:t xml:space="preserve">Film / Hood Fault</x:t>
  </x:si>
  <x:si>
    <x:t xml:space="preserve">Gripper / Vacuum Fault</x:t>
  </x:si>
  <x:si>
    <x:t xml:space="preserve">Sensor / Photoeye Fault</x:t>
  </x:si>
  <x:si>
    <x:t xml:space="preserve">Manual Intervention</x:t>
  </x:si>
  <x:si>
    <x:t xml:space="preserve">Master Data — Rework Status</x:t>
  </x:si>
  <x:si>
    <x:t xml:space="preserve">Maps to DIM_REWORKSTATUS</x:t>
  </x:si>
  <x:si>
    <x:t xml:space="preserve">ReworkStatus</x:t>
  </x:si>
  <x:si>
    <x:t xml:space="preserve">Resorted</x:t>
  </x:si>
  <x:si>
    <x:t xml:space="preserve">Move to Cullet</x:t>
  </x:si>
  <x:si>
    <x:t xml:space="preserve">Master Data — Case Name</x:t>
  </x:si>
  <x:si>
    <x:t xml:space="preserve">Reference list for production / losses case</x:t>
  </x:si>
  <x:si>
    <x:t xml:space="preserve">CaseName</x:t>
  </x:si>
  <x:si>
    <x:t xml:space="preserve">Normal</x:t>
  </x:si>
  <x:si>
    <x:t xml:space="preserve">Trial</x:t>
  </x:si>
  <x:si>
    <x:t xml:space="preserve">Reworking</x:t>
  </x:si>
  <x:si>
    <x:t xml:space="preserve">Master Data — Crew</x:t>
  </x:si>
  <x:si>
    <x:t xml:space="preserve">Reference list for production crews</x:t>
  </x:si>
  <x:si>
    <x:t xml:space="preserve">Crew</x:t>
  </x:si>
  <x:si>
    <x:t xml:space="preserve">A</x:t>
  </x:si>
  <x:si>
    <x:t xml:space="preserve">B</x:t>
  </x:si>
  <x:si>
    <x:t xml:space="preserve">C</x:t>
  </x:si>
  <x:si>
    <x:t xml:space="preserve">Master Data — Shifts</x:t>
  </x:si>
  <x:si>
    <x:t xml:space="preserve">Reference list for shifts</x:t>
  </x:si>
  <x:si>
    <x:t xml:space="preserve">Shift</x:t>
  </x:si>
  <x:si>
    <x:t xml:space="preserve">AM</x:t>
  </x:si>
  <x:si>
    <x:t xml:space="preserve">PM</x:t>
  </x:si>
  <x:si>
    <x:t xml:space="preserve">Master Data — Production Lines</x:t>
  </x:si>
  <x:si>
    <x:t xml:space="preserve">Maps to REF_LINE / DIM_LINE</x:t>
  </x:si>
  <x:si>
    <x:t xml:space="preserve">FactoryCode + LineNumber must be unique.</x:t>
  </x:si>
  <x:si>
    <x:t xml:space="preserve">Physical capability only; active setup is event-specific.</x:t>
  </x:si>
  <x:si>
    <x:t xml:space="preserve">FactoryCode</x:t>
  </x:si>
  <x:si>
    <x:t xml:space="preserve">LineNumber</x:t>
  </x:si>
  <x:si>
    <x:t xml:space="preserve">LineStatus</x:t>
  </x:si>
  <x:si>
    <x:t xml:space="preserve">PhysicalSectionsCapability</x:t>
  </x:si>
  <x:si>
    <x:t xml:space="preserve">MaxCavityPositionsPerSection</x:t>
  </x:si>
  <x:si>
    <x:t xml:space="preserve">CapabilityCheck</x:t>
  </x:si>
  <x:si>
    <x:t xml:space="preserve">KG01</x:t>
  </x:si>
  <x:si>
    <x:t xml:space="preserve">Active</x:t>
  </x:si>
  <x:si>
    <x:t xml:space="preserve">Master Data — Job Change Types</x:t>
  </x:si>
  <x:si>
    <x:t xml:space="preserve">Maps to STG_JOBCHANGETYPE → DIM_JOBCHANGETYPE</x:t>
  </x:si>
  <x:si>
    <x:t xml:space="preserve">Official values: Small, Medium, Big, Process</x:t>
  </x:si>
  <x:si>
    <x:t xml:space="preserve">JobChangeTypeName</x:t>
  </x:si>
  <x:si>
    <x:t xml:space="preserve">TargetT1_Hrs</x:t>
  </x:si>
  <x:si>
    <x:t xml:space="preserve">TargetT2_Hrs</x:t>
  </x:si>
  <x:si>
    <x:t xml:space="preserve">Small</x:t>
  </x:si>
  <x:si>
    <x:t xml:space="preserve">Medium</x:t>
  </x:si>
  <x:si>
    <x:t xml:space="preserve">Big</x:t>
  </x:si>
  <x:si>
    <x:t xml:space="preserve">Process</x:t>
  </x:si>
  <x:si>
    <x:t xml:space="preserve">Lookup Lists (power dropdowns in other workbooks)</x:t>
  </x:si>
  <x:si>
    <x:t xml:space="preserve">Do not delete rows that are in use</x:t>
  </x:si>
  <x:si>
    <x:t xml:space="preserve">AssetLevel</x:t>
  </x:si>
  <x:si>
    <x:t xml:space="preserve">LossArea</x:t>
  </x:si>
  <x:si>
    <x:t xml:space="preserve">ActiveFlag</x:t>
  </x:si>
  <x:si>
    <x:t xml:space="preserve">ImpactSource</x:t>
  </x:si>
  <x:si>
    <x:t xml:space="preserve">Line</x:t>
  </x:si>
  <x:si>
    <x:t xml:space="preserve">T1</x:t>
  </x:si>
  <x:si>
    <x:t xml:space="preserve">HistoricalSummary</x:t>
  </x:si>
  <x:si>
    <x:t xml:space="preserve">Section</x:t>
  </x:si>
  <x:si>
    <x:t xml:space="preserve">T2</x:t>
  </x:si>
  <x:si>
    <x:t xml:space="preserve">ManualDetail</x:t>
  </x:si>
  <x:si>
    <x:t xml:space="preserve">Cavity</x:t>
  </x:si>
  <x:si>
    <x:t xml:space="preserve">HE</x:t>
  </x:si>
  <x:si>
    <x:t xml:space="preserve">CE</x:t>
  </x:si>
  <x:si>
    <x:t xml:space="preserve">Palletizer</x:t>
  </x:si>
  <x:si>
    <x:t xml:space="preserve">PHYSICAL ASSET SCOPE — LINE / SECTION / CAVITY</x:t>
  </x:si>
  <x:si>
    <x:t xml:space="preserve">Lines 21–25 capability: 13 sections × max 3 cavity positions. Physical capability ≠ active production setup.</x:t>
  </x:si>
  <x:si>
    <x:t xml:space="preserve">AssetScopeKey</x:t>
  </x:si>
  <x:si>
    <x:t xml:space="preserve">SectionNumber</x:t>
  </x:si>
  <x:si>
    <x:t xml:space="preserve">CavityNumber</x:t>
  </x:si>
  <x:si>
    <x:t xml:space="preserve">AssetLabel</x:t>
  </x:si>
  <x:si>
    <x:t xml:space="preserve">ParentAssetScopeKey</x:t>
  </x:si>
  <x:si>
    <x:t xml:space="preserve">IsPhysicalSlot</x:t>
  </x:si>
  <x:si>
    <x:t xml:space="preserve">IntegrityCheck</x:t>
  </x:si>
  <x:si>
    <x:t xml:space="preserve">L21</x:t>
  </x:si>
  <x:si>
    <x:t xml:space="preserve">Line 21</x:t>
  </x:si>
  <x:si>
    <x:t xml:space="preserve">L21-S01</x:t>
  </x:si>
  <x:si>
    <x:t xml:space="preserve">Line 21 / Section 01</x:t>
  </x:si>
  <x:si>
    <x:t xml:space="preserve">L21-S01-C1</x:t>
  </x:si>
  <x:si>
    <x:t xml:space="preserve">Line 21 / Section 01 / Cavity 1</x:t>
  </x:si>
  <x:si>
    <x:t xml:space="preserve">L21-S01-C2</x:t>
  </x:si>
  <x:si>
    <x:t xml:space="preserve">Line 21 / Section 01 / Cavity 2</x:t>
  </x:si>
  <x:si>
    <x:t xml:space="preserve">L21-S01-C3</x:t>
  </x:si>
  <x:si>
    <x:t xml:space="preserve">Line 21 / Section 01 / Cavity 3</x:t>
  </x:si>
  <x:si>
    <x:t xml:space="preserve">L21-S02</x:t>
  </x:si>
  <x:si>
    <x:t xml:space="preserve">Line 21 / Section 02</x:t>
  </x:si>
  <x:si>
    <x:t xml:space="preserve">L21-S02-C1</x:t>
  </x:si>
  <x:si>
    <x:t xml:space="preserve">Line 21 / Section 02 / Cavity 1</x:t>
  </x:si>
  <x:si>
    <x:t xml:space="preserve">L21-S02-C2</x:t>
  </x:si>
  <x:si>
    <x:t xml:space="preserve">Line 21 / Section 02 / Cavity 2</x:t>
  </x:si>
  <x:si>
    <x:t xml:space="preserve">L21-S02-C3</x:t>
  </x:si>
  <x:si>
    <x:t xml:space="preserve">Line 21 / Section 02 / Cavity 3</x:t>
  </x:si>
  <x:si>
    <x:t xml:space="preserve">L21-S03</x:t>
  </x:si>
  <x:si>
    <x:t xml:space="preserve">Line 21 / Section 03</x:t>
  </x:si>
  <x:si>
    <x:t xml:space="preserve">L21-S03-C1</x:t>
  </x:si>
  <x:si>
    <x:t xml:space="preserve">Line 21 / Section 03 / Cavity 1</x:t>
  </x:si>
  <x:si>
    <x:t xml:space="preserve">L21-S03-C2</x:t>
  </x:si>
  <x:si>
    <x:t xml:space="preserve">Line 21 / Section 03 / Cavity 2</x:t>
  </x:si>
  <x:si>
    <x:t xml:space="preserve">L21-S03-C3</x:t>
  </x:si>
  <x:si>
    <x:t xml:space="preserve">Line 21 / Section 03 / Cavity 3</x:t>
  </x:si>
  <x:si>
    <x:t xml:space="preserve">L21-S04</x:t>
  </x:si>
  <x:si>
    <x:t xml:space="preserve">Line 21 / Section 04</x:t>
  </x:si>
  <x:si>
    <x:t xml:space="preserve">L21-S04-C1</x:t>
  </x:si>
  <x:si>
    <x:t xml:space="preserve">Line 21 / Section 04 / Cavity 1</x:t>
  </x:si>
  <x:si>
    <x:t xml:space="preserve">L21-S04-C2</x:t>
  </x:si>
  <x:si>
    <x:t xml:space="preserve">Line 21 / Section 04 / Cavity 2</x:t>
  </x:si>
  <x:si>
    <x:t xml:space="preserve">L21-S04-C3</x:t>
  </x:si>
  <x:si>
    <x:t xml:space="preserve">Line 21 / Section 04 / Cavity 3</x:t>
  </x:si>
  <x:si>
    <x:t xml:space="preserve">L21-S05</x:t>
  </x:si>
  <x:si>
    <x:t xml:space="preserve">Line 21 / Section 05</x:t>
  </x:si>
  <x:si>
    <x:t xml:space="preserve">L21-S05-C1</x:t>
  </x:si>
  <x:si>
    <x:t xml:space="preserve">Line 21 / Section 05 / Cavity 1</x:t>
  </x:si>
  <x:si>
    <x:t xml:space="preserve">L21-S05-C2</x:t>
  </x:si>
  <x:si>
    <x:t xml:space="preserve">Line 21 / Section 05 / Cavity 2</x:t>
  </x:si>
  <x:si>
    <x:t xml:space="preserve">L21-S05-C3</x:t>
  </x:si>
  <x:si>
    <x:t xml:space="preserve">Line 21 / Section 05 / Cavity 3</x:t>
  </x:si>
  <x:si>
    <x:t xml:space="preserve">L21-S06</x:t>
  </x:si>
  <x:si>
    <x:t xml:space="preserve">Line 21 / Section 06</x:t>
  </x:si>
  <x:si>
    <x:t xml:space="preserve">L21-S06-C1</x:t>
  </x:si>
  <x:si>
    <x:t xml:space="preserve">Line 21 / Section 06 / Cavity 1</x:t>
  </x:si>
  <x:si>
    <x:t xml:space="preserve">L21-S06-C2</x:t>
  </x:si>
  <x:si>
    <x:t xml:space="preserve">Line 21 / Section 06 / Cavity 2</x:t>
  </x:si>
  <x:si>
    <x:t xml:space="preserve">L21-S06-C3</x:t>
  </x:si>
  <x:si>
    <x:t xml:space="preserve">Line 21 / Section 06 / Cavity 3</x:t>
  </x:si>
  <x:si>
    <x:t xml:space="preserve">L21-S07</x:t>
  </x:si>
  <x:si>
    <x:t xml:space="preserve">Line 21 / Section 07</x:t>
  </x:si>
  <x:si>
    <x:t xml:space="preserve">L21-S07-C1</x:t>
  </x:si>
  <x:si>
    <x:t xml:space="preserve">Line 21 / Section 07 / Cavity 1</x:t>
  </x:si>
  <x:si>
    <x:t xml:space="preserve">L21-S07-C2</x:t>
  </x:si>
  <x:si>
    <x:t xml:space="preserve">Line 21 / Section 07 / Cavity 2</x:t>
  </x:si>
  <x:si>
    <x:t xml:space="preserve">L21-S07-C3</x:t>
  </x:si>
  <x:si>
    <x:t xml:space="preserve">Line 21 / Section 07 / Cavity 3</x:t>
  </x:si>
  <x:si>
    <x:t xml:space="preserve">L21-S08</x:t>
  </x:si>
  <x:si>
    <x:t xml:space="preserve">Line 21 / Section 08</x:t>
  </x:si>
  <x:si>
    <x:t xml:space="preserve">L21-S08-C1</x:t>
  </x:si>
  <x:si>
    <x:t xml:space="preserve">Line 21 / Section 08 / Cavity 1</x:t>
  </x:si>
  <x:si>
    <x:t xml:space="preserve">L21-S08-C2</x:t>
  </x:si>
  <x:si>
    <x:t xml:space="preserve">Line 21 / Section 08 / Cavity 2</x:t>
  </x:si>
  <x:si>
    <x:t xml:space="preserve">L21-S08-C3</x:t>
  </x:si>
  <x:si>
    <x:t xml:space="preserve">Line 21 / Section 08 / Cavity 3</x:t>
  </x:si>
  <x:si>
    <x:t xml:space="preserve">L21-S09</x:t>
  </x:si>
  <x:si>
    <x:t xml:space="preserve">Line 21 / Section 09</x:t>
  </x:si>
  <x:si>
    <x:t xml:space="preserve">L21-S09-C1</x:t>
  </x:si>
  <x:si>
    <x:t xml:space="preserve">Line 21 / Section 09 / Cavity 1</x:t>
  </x:si>
  <x:si>
    <x:t xml:space="preserve">L21-S09-C2</x:t>
  </x:si>
  <x:si>
    <x:t xml:space="preserve">Line 21 / Section 09 / Cavity 2</x:t>
  </x:si>
  <x:si>
    <x:t xml:space="preserve">L21-S09-C3</x:t>
  </x:si>
  <x:si>
    <x:t xml:space="preserve">Line 21 / Section 09 / Cavity 3</x:t>
  </x:si>
  <x:si>
    <x:t xml:space="preserve">L21-S10</x:t>
  </x:si>
  <x:si>
    <x:t xml:space="preserve">Line 21 / Section 10</x:t>
  </x:si>
  <x:si>
    <x:t xml:space="preserve">L21-S10-C1</x:t>
  </x:si>
  <x:si>
    <x:t xml:space="preserve">Line 21 / Section 10 / Cavity 1</x:t>
  </x:si>
  <x:si>
    <x:t xml:space="preserve">L21-S10-C2</x:t>
  </x:si>
  <x:si>
    <x:t xml:space="preserve">Line 21 / Section 10 / Cavity 2</x:t>
  </x:si>
  <x:si>
    <x:t xml:space="preserve">L21-S10-C3</x:t>
  </x:si>
  <x:si>
    <x:t xml:space="preserve">Line 21 / Section 10 / Cavity 3</x:t>
  </x:si>
  <x:si>
    <x:t xml:space="preserve">L21-S11</x:t>
  </x:si>
  <x:si>
    <x:t xml:space="preserve">Line 21 / Section 11</x:t>
  </x:si>
  <x:si>
    <x:t xml:space="preserve">L21-S11-C1</x:t>
  </x:si>
  <x:si>
    <x:t xml:space="preserve">Line 21 / Section 11 / Cavity 1</x:t>
  </x:si>
  <x:si>
    <x:t xml:space="preserve">L21-S11-C2</x:t>
  </x:si>
  <x:si>
    <x:t xml:space="preserve">Line 21 / Section 11 / Cavity 2</x:t>
  </x:si>
  <x:si>
    <x:t xml:space="preserve">L21-S11-C3</x:t>
  </x:si>
  <x:si>
    <x:t xml:space="preserve">Line 21 / Section 11 / Cavity 3</x:t>
  </x:si>
  <x:si>
    <x:t xml:space="preserve">L21-S12</x:t>
  </x:si>
  <x:si>
    <x:t xml:space="preserve">Line 21 / Section 12</x:t>
  </x:si>
  <x:si>
    <x:t xml:space="preserve">L21-S12-C1</x:t>
  </x:si>
  <x:si>
    <x:t xml:space="preserve">Line 21 / Section 12 / Cavity 1</x:t>
  </x:si>
  <x:si>
    <x:t xml:space="preserve">L21-S12-C2</x:t>
  </x:si>
  <x:si>
    <x:t xml:space="preserve">Line 21 / Section 12 / Cavity 2</x:t>
  </x:si>
  <x:si>
    <x:t xml:space="preserve">L21-S12-C3</x:t>
  </x:si>
  <x:si>
    <x:t xml:space="preserve">Line 21 / Section 12 / Cavity 3</x:t>
  </x:si>
  <x:si>
    <x:t xml:space="preserve">L21-S13</x:t>
  </x:si>
  <x:si>
    <x:t xml:space="preserve">Line 21 / Section 13</x:t>
  </x:si>
  <x:si>
    <x:t xml:space="preserve">L21-S13-C1</x:t>
  </x:si>
  <x:si>
    <x:t xml:space="preserve">Line 21 / Section 13 / Cavity 1</x:t>
  </x:si>
  <x:si>
    <x:t xml:space="preserve">L21-S13-C2</x:t>
  </x:si>
  <x:si>
    <x:t xml:space="preserve">Line 21 / Section 13 / Cavity 2</x:t>
  </x:si>
  <x:si>
    <x:t xml:space="preserve">L21-S13-C3</x:t>
  </x:si>
  <x:si>
    <x:t xml:space="preserve">Line 21 / Section 13 / Cavity 3</x:t>
  </x:si>
  <x:si>
    <x:t xml:space="preserve">L22</x:t>
  </x:si>
  <x:si>
    <x:t xml:space="preserve">Line 22</x:t>
  </x:si>
  <x:si>
    <x:t xml:space="preserve">L22-S01</x:t>
  </x:si>
  <x:si>
    <x:t xml:space="preserve">Line 22 / Section 01</x:t>
  </x:si>
  <x:si>
    <x:t xml:space="preserve">L22-S01-C1</x:t>
  </x:si>
  <x:si>
    <x:t xml:space="preserve">Line 22 / Section 01 / Cavity 1</x:t>
  </x:si>
  <x:si>
    <x:t xml:space="preserve">L22-S01-C2</x:t>
  </x:si>
  <x:si>
    <x:t xml:space="preserve">Line 22 / Section 01 / Cavity 2</x:t>
  </x:si>
  <x:si>
    <x:t xml:space="preserve">L22-S01-C3</x:t>
  </x:si>
  <x:si>
    <x:t xml:space="preserve">Line 22 / Section 01 / Cavity 3</x:t>
  </x:si>
  <x:si>
    <x:t xml:space="preserve">L22-S02</x:t>
  </x:si>
  <x:si>
    <x:t xml:space="preserve">Line 22 / Section 02</x:t>
  </x:si>
  <x:si>
    <x:t xml:space="preserve">L22-S02-C1</x:t>
  </x:si>
  <x:si>
    <x:t xml:space="preserve">Line 22 / Section 02 / Cavity 1</x:t>
  </x:si>
  <x:si>
    <x:t xml:space="preserve">L22-S02-C2</x:t>
  </x:si>
  <x:si>
    <x:t xml:space="preserve">Line 22 / Section 02 / Cavity 2</x:t>
  </x:si>
  <x:si>
    <x:t xml:space="preserve">L22-S02-C3</x:t>
  </x:si>
  <x:si>
    <x:t xml:space="preserve">Line 22 / Section 02 / Cavity 3</x:t>
  </x:si>
  <x:si>
    <x:t xml:space="preserve">L22-S03</x:t>
  </x:si>
  <x:si>
    <x:t xml:space="preserve">Line 22 / Section 03</x:t>
  </x:si>
  <x:si>
    <x:t xml:space="preserve">L22-S03-C1</x:t>
  </x:si>
  <x:si>
    <x:t xml:space="preserve">Line 22 / Section 03 / Cavity 1</x:t>
  </x:si>
  <x:si>
    <x:t xml:space="preserve">L22-S03-C2</x:t>
  </x:si>
  <x:si>
    <x:t xml:space="preserve">Line 22 / Section 03 / Cavity 2</x:t>
  </x:si>
  <x:si>
    <x:t xml:space="preserve">L22-S03-C3</x:t>
  </x:si>
  <x:si>
    <x:t xml:space="preserve">Line 22 / Section 03 / Cavity 3</x:t>
  </x:si>
  <x:si>
    <x:t xml:space="preserve">L22-S04</x:t>
  </x:si>
  <x:si>
    <x:t xml:space="preserve">Line 22 / Section 04</x:t>
  </x:si>
  <x:si>
    <x:t xml:space="preserve">L22-S04-C1</x:t>
  </x:si>
  <x:si>
    <x:t xml:space="preserve">Line 22 / Section 04 / Cavity 1</x:t>
  </x:si>
  <x:si>
    <x:t xml:space="preserve">L22-S04-C2</x:t>
  </x:si>
  <x:si>
    <x:t xml:space="preserve">Line 22 / Section 04 / Cavity 2</x:t>
  </x:si>
  <x:si>
    <x:t xml:space="preserve">L22-S04-C3</x:t>
  </x:si>
  <x:si>
    <x:t xml:space="preserve">Line 22 / Section 04 / Cavity 3</x:t>
  </x:si>
  <x:si>
    <x:t xml:space="preserve">L22-S05</x:t>
  </x:si>
  <x:si>
    <x:t xml:space="preserve">Line 22 / Section 05</x:t>
  </x:si>
  <x:si>
    <x:t xml:space="preserve">L22-S05-C1</x:t>
  </x:si>
  <x:si>
    <x:t xml:space="preserve">Line 22 / Section 05 / Cavity 1</x:t>
  </x:si>
  <x:si>
    <x:t xml:space="preserve">L22-S05-C2</x:t>
  </x:si>
  <x:si>
    <x:t xml:space="preserve">Line 22 / Section 05 / Cavity 2</x:t>
  </x:si>
  <x:si>
    <x:t xml:space="preserve">L22-S05-C3</x:t>
  </x:si>
  <x:si>
    <x:t xml:space="preserve">Line 22 / Section 05 / Cavity 3</x:t>
  </x:si>
  <x:si>
    <x:t xml:space="preserve">L22-S06</x:t>
  </x:si>
  <x:si>
    <x:t xml:space="preserve">Line 22 / Section 06</x:t>
  </x:si>
  <x:si>
    <x:t xml:space="preserve">L22-S06-C1</x:t>
  </x:si>
  <x:si>
    <x:t xml:space="preserve">Line 22 / Section 06 / Cavity 1</x:t>
  </x:si>
  <x:si>
    <x:t xml:space="preserve">L22-S06-C2</x:t>
  </x:si>
  <x:si>
    <x:t xml:space="preserve">Line 22 / Section 06 / Cavity 2</x:t>
  </x:si>
  <x:si>
    <x:t xml:space="preserve">L22-S06-C3</x:t>
  </x:si>
  <x:si>
    <x:t xml:space="preserve">Line 22 / Section 06 / Cavity 3</x:t>
  </x:si>
  <x:si>
    <x:t xml:space="preserve">L22-S07</x:t>
  </x:si>
  <x:si>
    <x:t xml:space="preserve">Line 22 / Section 07</x:t>
  </x:si>
  <x:si>
    <x:t xml:space="preserve">L22-S07-C1</x:t>
  </x:si>
  <x:si>
    <x:t xml:space="preserve">Line 22 / Section 07 / Cavity 1</x:t>
  </x:si>
  <x:si>
    <x:t xml:space="preserve">L22-S07-C2</x:t>
  </x:si>
  <x:si>
    <x:t xml:space="preserve">Line 22 / Section 07 / Cavity 2</x:t>
  </x:si>
  <x:si>
    <x:t xml:space="preserve">L22-S07-C3</x:t>
  </x:si>
  <x:si>
    <x:t xml:space="preserve">Line 22 / Section 07 / Cavity 3</x:t>
  </x:si>
  <x:si>
    <x:t xml:space="preserve">L22-S08</x:t>
  </x:si>
  <x:si>
    <x:t xml:space="preserve">Line 22 / Section 08</x:t>
  </x:si>
  <x:si>
    <x:t xml:space="preserve">L22-S08-C1</x:t>
  </x:si>
  <x:si>
    <x:t xml:space="preserve">Line 22 / Section 08 / Cavity 1</x:t>
  </x:si>
  <x:si>
    <x:t xml:space="preserve">L22-S08-C2</x:t>
  </x:si>
  <x:si>
    <x:t xml:space="preserve">Line 22 / Section 08 / Cavity 2</x:t>
  </x:si>
  <x:si>
    <x:t xml:space="preserve">L22-S08-C3</x:t>
  </x:si>
  <x:si>
    <x:t xml:space="preserve">Line 22 / Section 08 / Cavity 3</x:t>
  </x:si>
  <x:si>
    <x:t xml:space="preserve">L22-S09</x:t>
  </x:si>
  <x:si>
    <x:t xml:space="preserve">Line 22 / Section 09</x:t>
  </x:si>
  <x:si>
    <x:t xml:space="preserve">L22-S09-C1</x:t>
  </x:si>
  <x:si>
    <x:t xml:space="preserve">Line 22 / Section 09 / Cavity 1</x:t>
  </x:si>
  <x:si>
    <x:t xml:space="preserve">L22-S09-C2</x:t>
  </x:si>
  <x:si>
    <x:t xml:space="preserve">Line 22 / Section 09 / Cavity 2</x:t>
  </x:si>
  <x:si>
    <x:t xml:space="preserve">L22-S09-C3</x:t>
  </x:si>
  <x:si>
    <x:t xml:space="preserve">Line 22 / Section 09 / Cavity 3</x:t>
  </x:si>
  <x:si>
    <x:t xml:space="preserve">L22-S10</x:t>
  </x:si>
  <x:si>
    <x:t xml:space="preserve">Line 22 / Section 10</x:t>
  </x:si>
  <x:si>
    <x:t xml:space="preserve">L22-S10-C1</x:t>
  </x:si>
  <x:si>
    <x:t xml:space="preserve">Line 22 / Section 10 / Cavity 1</x:t>
  </x:si>
  <x:si>
    <x:t xml:space="preserve">L22-S10-C2</x:t>
  </x:si>
  <x:si>
    <x:t xml:space="preserve">Line 22 / Section 10 / Cavity 2</x:t>
  </x:si>
  <x:si>
    <x:t xml:space="preserve">L22-S10-C3</x:t>
  </x:si>
  <x:si>
    <x:t xml:space="preserve">Line 22 / Section 10 / Cavity 3</x:t>
  </x:si>
  <x:si>
    <x:t xml:space="preserve">L22-S11</x:t>
  </x:si>
  <x:si>
    <x:t xml:space="preserve">Line 22 / Section 11</x:t>
  </x:si>
  <x:si>
    <x:t xml:space="preserve">L22-S11-C1</x:t>
  </x:si>
  <x:si>
    <x:t xml:space="preserve">Line 22 / Section 11 / Cavity 1</x:t>
  </x:si>
  <x:si>
    <x:t xml:space="preserve">L22-S11-C2</x:t>
  </x:si>
  <x:si>
    <x:t xml:space="preserve">Line 22 / Section 11 / Cavity 2</x:t>
  </x:si>
  <x:si>
    <x:t xml:space="preserve">L22-S11-C3</x:t>
  </x:si>
  <x:si>
    <x:t xml:space="preserve">Line 22 / Section 11 / Cavity 3</x:t>
  </x:si>
  <x:si>
    <x:t xml:space="preserve">L22-S12</x:t>
  </x:si>
  <x:si>
    <x:t xml:space="preserve">Line 22 / Section 12</x:t>
  </x:si>
  <x:si>
    <x:t xml:space="preserve">L22-S12-C1</x:t>
  </x:si>
  <x:si>
    <x:t xml:space="preserve">Line 22 / Section 12 / Cavity 1</x:t>
  </x:si>
  <x:si>
    <x:t xml:space="preserve">L22-S12-C2</x:t>
  </x:si>
  <x:si>
    <x:t xml:space="preserve">Line 22 / Section 12 / Cavity 2</x:t>
  </x:si>
  <x:si>
    <x:t xml:space="preserve">L22-S12-C3</x:t>
  </x:si>
  <x:si>
    <x:t xml:space="preserve">Line 22 / Section 12 / Cavity 3</x:t>
  </x:si>
  <x:si>
    <x:t xml:space="preserve">L22-S13</x:t>
  </x:si>
  <x:si>
    <x:t xml:space="preserve">Line 22 / Section 13</x:t>
  </x:si>
  <x:si>
    <x:t xml:space="preserve">L22-S13-C1</x:t>
  </x:si>
  <x:si>
    <x:t xml:space="preserve">Line 22 / Section 13 / Cavity 1</x:t>
  </x:si>
  <x:si>
    <x:t xml:space="preserve">L22-S13-C2</x:t>
  </x:si>
  <x:si>
    <x:t xml:space="preserve">Line 22 / Section 13 / Cavity 2</x:t>
  </x:si>
  <x:si>
    <x:t xml:space="preserve">L22-S13-C3</x:t>
  </x:si>
  <x:si>
    <x:t xml:space="preserve">Line 22 / Section 13 / Cavity 3</x:t>
  </x:si>
  <x:si>
    <x:t xml:space="preserve">L23</x:t>
  </x:si>
  <x:si>
    <x:t xml:space="preserve">Line 23</x:t>
  </x:si>
  <x:si>
    <x:t xml:space="preserve">L23-S01</x:t>
  </x:si>
  <x:si>
    <x:t xml:space="preserve">Line 23 / Section 01</x:t>
  </x:si>
  <x:si>
    <x:t xml:space="preserve">L23-S01-C1</x:t>
  </x:si>
  <x:si>
    <x:t xml:space="preserve">Line 23 / Section 01 / Cavity 1</x:t>
  </x:si>
  <x:si>
    <x:t xml:space="preserve">L23-S01-C2</x:t>
  </x:si>
  <x:si>
    <x:t xml:space="preserve">Line 23 / Section 01 / Cavity 2</x:t>
  </x:si>
  <x:si>
    <x:t xml:space="preserve">L23-S01-C3</x:t>
  </x:si>
  <x:si>
    <x:t xml:space="preserve">Line 23 / Section 01 / Cavity 3</x:t>
  </x:si>
  <x:si>
    <x:t xml:space="preserve">L23-S02</x:t>
  </x:si>
  <x:si>
    <x:t xml:space="preserve">Line 23 / Section 02</x:t>
  </x:si>
  <x:si>
    <x:t xml:space="preserve">L23-S02-C1</x:t>
  </x:si>
  <x:si>
    <x:t xml:space="preserve">Line 23 / Section 02 / Cavity 1</x:t>
  </x:si>
  <x:si>
    <x:t xml:space="preserve">L23-S02-C2</x:t>
  </x:si>
  <x:si>
    <x:t xml:space="preserve">Line 23 / Section 02 / Cavity 2</x:t>
  </x:si>
  <x:si>
    <x:t xml:space="preserve">L23-S02-C3</x:t>
  </x:si>
  <x:si>
    <x:t xml:space="preserve">Line 23 / Section 02 / Cavity 3</x:t>
  </x:si>
  <x:si>
    <x:t xml:space="preserve">L23-S03</x:t>
  </x:si>
  <x:si>
    <x:t xml:space="preserve">Line 23 / Section 03</x:t>
  </x:si>
  <x:si>
    <x:t xml:space="preserve">L23-S03-C1</x:t>
  </x:si>
  <x:si>
    <x:t xml:space="preserve">Line 23 / Section 03 / Cavity 1</x:t>
  </x:si>
  <x:si>
    <x:t xml:space="preserve">L23-S03-C2</x:t>
  </x:si>
  <x:si>
    <x:t xml:space="preserve">Line 23 / Section 03 / Cavity 2</x:t>
  </x:si>
  <x:si>
    <x:t xml:space="preserve">L23-S03-C3</x:t>
  </x:si>
  <x:si>
    <x:t xml:space="preserve">Line 23 / Section 03 / Cavity 3</x:t>
  </x:si>
  <x:si>
    <x:t xml:space="preserve">L23-S04</x:t>
  </x:si>
  <x:si>
    <x:t xml:space="preserve">Line 23 / Section 04</x:t>
  </x:si>
  <x:si>
    <x:t xml:space="preserve">L23-S04-C1</x:t>
  </x:si>
  <x:si>
    <x:t xml:space="preserve">Line 23 / Section 04 / Cavity 1</x:t>
  </x:si>
  <x:si>
    <x:t xml:space="preserve">L23-S04-C2</x:t>
  </x:si>
  <x:si>
    <x:t xml:space="preserve">Line 23 / Section 04 / Cavity 2</x:t>
  </x:si>
  <x:si>
    <x:t xml:space="preserve">L23-S04-C3</x:t>
  </x:si>
  <x:si>
    <x:t xml:space="preserve">Line 23 / Section 04 / Cavity 3</x:t>
  </x:si>
  <x:si>
    <x:t xml:space="preserve">L23-S05</x:t>
  </x:si>
  <x:si>
    <x:t xml:space="preserve">Line 23 / Section 05</x:t>
  </x:si>
  <x:si>
    <x:t xml:space="preserve">L23-S05-C1</x:t>
  </x:si>
  <x:si>
    <x:t xml:space="preserve">Line 23 / Section 05 / Cavity 1</x:t>
  </x:si>
  <x:si>
    <x:t xml:space="preserve">L23-S05-C2</x:t>
  </x:si>
  <x:si>
    <x:t xml:space="preserve">Line 23 / Section 05 / Cavity 2</x:t>
  </x:si>
  <x:si>
    <x:t xml:space="preserve">L23-S05-C3</x:t>
  </x:si>
  <x:si>
    <x:t xml:space="preserve">Line 23 / Section 05 / Cavity 3</x:t>
  </x:si>
  <x:si>
    <x:t xml:space="preserve">L23-S06</x:t>
  </x:si>
  <x:si>
    <x:t xml:space="preserve">Line 23 / Section 06</x:t>
  </x:si>
  <x:si>
    <x:t xml:space="preserve">L23-S06-C1</x:t>
  </x:si>
  <x:si>
    <x:t xml:space="preserve">Line 23 / Section 06 / Cavity 1</x:t>
  </x:si>
  <x:si>
    <x:t xml:space="preserve">L23-S06-C2</x:t>
  </x:si>
  <x:si>
    <x:t xml:space="preserve">Line 23 / Section 06 / Cavity 2</x:t>
  </x:si>
  <x:si>
    <x:t xml:space="preserve">L23-S06-C3</x:t>
  </x:si>
  <x:si>
    <x:t xml:space="preserve">Line 23 / Section 06 / Cavity 3</x:t>
  </x:si>
  <x:si>
    <x:t xml:space="preserve">L23-S07</x:t>
  </x:si>
  <x:si>
    <x:t xml:space="preserve">Line 23 / Section 07</x:t>
  </x:si>
  <x:si>
    <x:t xml:space="preserve">L23-S07-C1</x:t>
  </x:si>
  <x:si>
    <x:t xml:space="preserve">Line 23 / Section 07 / Cavity 1</x:t>
  </x:si>
  <x:si>
    <x:t xml:space="preserve">L23-S07-C2</x:t>
  </x:si>
  <x:si>
    <x:t xml:space="preserve">Line 23 / Section 07 / Cavity 2</x:t>
  </x:si>
  <x:si>
    <x:t xml:space="preserve">L23-S07-C3</x:t>
  </x:si>
  <x:si>
    <x:t xml:space="preserve">Line 23 / Section 07 / Cavity 3</x:t>
  </x:si>
  <x:si>
    <x:t xml:space="preserve">L23-S08</x:t>
  </x:si>
  <x:si>
    <x:t xml:space="preserve">Line 23 / Section 08</x:t>
  </x:si>
  <x:si>
    <x:t xml:space="preserve">L23-S08-C1</x:t>
  </x:si>
  <x:si>
    <x:t xml:space="preserve">Line 23 / Section 08 / Cavity 1</x:t>
  </x:si>
  <x:si>
    <x:t xml:space="preserve">L23-S08-C2</x:t>
  </x:si>
  <x:si>
    <x:t xml:space="preserve">Line 23 / Section 08 / Cavity 2</x:t>
  </x:si>
  <x:si>
    <x:t xml:space="preserve">L23-S08-C3</x:t>
  </x:si>
  <x:si>
    <x:t xml:space="preserve">Line 23 / Section 08 / Cavity 3</x:t>
  </x:si>
  <x:si>
    <x:t xml:space="preserve">L23-S09</x:t>
  </x:si>
  <x:si>
    <x:t xml:space="preserve">Line 23 / Section 09</x:t>
  </x:si>
  <x:si>
    <x:t xml:space="preserve">L23-S09-C1</x:t>
  </x:si>
  <x:si>
    <x:t xml:space="preserve">Line 23 / Section 09 / Cavity 1</x:t>
  </x:si>
  <x:si>
    <x:t xml:space="preserve">L23-S09-C2</x:t>
  </x:si>
  <x:si>
    <x:t xml:space="preserve">Line 23 / Section 09 / Cavity 2</x:t>
  </x:si>
  <x:si>
    <x:t xml:space="preserve">L23-S09-C3</x:t>
  </x:si>
  <x:si>
    <x:t xml:space="preserve">Line 23 / Section 09 / Cavity 3</x:t>
  </x:si>
  <x:si>
    <x:t xml:space="preserve">L23-S10</x:t>
  </x:si>
  <x:si>
    <x:t xml:space="preserve">Line 23 / Section 10</x:t>
  </x:si>
  <x:si>
    <x:t xml:space="preserve">L23-S10-C1</x:t>
  </x:si>
  <x:si>
    <x:t xml:space="preserve">Line 23 / Section 10 / Cavity 1</x:t>
  </x:si>
  <x:si>
    <x:t xml:space="preserve">L23-S10-C2</x:t>
  </x:si>
  <x:si>
    <x:t xml:space="preserve">Line 23 / Section 10 / Cavity 2</x:t>
  </x:si>
  <x:si>
    <x:t xml:space="preserve">L23-S10-C3</x:t>
  </x:si>
  <x:si>
    <x:t xml:space="preserve">Line 23 / Section 10 / Cavity 3</x:t>
  </x:si>
  <x:si>
    <x:t xml:space="preserve">L23-S11</x:t>
  </x:si>
  <x:si>
    <x:t xml:space="preserve">Line 23 / Section 11</x:t>
  </x:si>
  <x:si>
    <x:t xml:space="preserve">L23-S11-C1</x:t>
  </x:si>
  <x:si>
    <x:t xml:space="preserve">Line 23 / Section 11 / Cavity 1</x:t>
  </x:si>
  <x:si>
    <x:t xml:space="preserve">L23-S11-C2</x:t>
  </x:si>
  <x:si>
    <x:t xml:space="preserve">Line 23 / Section 11 / Cavity 2</x:t>
  </x:si>
  <x:si>
    <x:t xml:space="preserve">L23-S11-C3</x:t>
  </x:si>
  <x:si>
    <x:t xml:space="preserve">Line 23 / Section 11 / Cavity 3</x:t>
  </x:si>
  <x:si>
    <x:t xml:space="preserve">L23-S12</x:t>
  </x:si>
  <x:si>
    <x:t xml:space="preserve">Line 23 / Section 12</x:t>
  </x:si>
  <x:si>
    <x:t xml:space="preserve">L23-S12-C1</x:t>
  </x:si>
  <x:si>
    <x:t xml:space="preserve">Line 23 / Section 12 / Cavity 1</x:t>
  </x:si>
  <x:si>
    <x:t xml:space="preserve">L23-S12-C2</x:t>
  </x:si>
  <x:si>
    <x:t xml:space="preserve">Line 23 / Section 12 / Cavity 2</x:t>
  </x:si>
  <x:si>
    <x:t xml:space="preserve">L23-S12-C3</x:t>
  </x:si>
  <x:si>
    <x:t xml:space="preserve">Line 23 / Section 12 / Cavity 3</x:t>
  </x:si>
  <x:si>
    <x:t xml:space="preserve">L23-S13</x:t>
  </x:si>
  <x:si>
    <x:t xml:space="preserve">Line 23 / Section 13</x:t>
  </x:si>
  <x:si>
    <x:t xml:space="preserve">L23-S13-C1</x:t>
  </x:si>
  <x:si>
    <x:t xml:space="preserve">Line 23 / Section 13 / Cavity 1</x:t>
  </x:si>
  <x:si>
    <x:t xml:space="preserve">L23-S13-C2</x:t>
  </x:si>
  <x:si>
    <x:t xml:space="preserve">Line 23 / Section 13 / Cavity 2</x:t>
  </x:si>
  <x:si>
    <x:t xml:space="preserve">L23-S13-C3</x:t>
  </x:si>
  <x:si>
    <x:t xml:space="preserve">Line 23 / Section 13 / Cavity 3</x:t>
  </x:si>
  <x:si>
    <x:t xml:space="preserve">L24</x:t>
  </x:si>
  <x:si>
    <x:t xml:space="preserve">Line 24</x:t>
  </x:si>
  <x:si>
    <x:t xml:space="preserve">L24-S01</x:t>
  </x:si>
  <x:si>
    <x:t xml:space="preserve">Line 24 / Section 01</x:t>
  </x:si>
  <x:si>
    <x:t xml:space="preserve">L24-S01-C1</x:t>
  </x:si>
  <x:si>
    <x:t xml:space="preserve">Line 24 / Section 01 / Cavity 1</x:t>
  </x:si>
  <x:si>
    <x:t xml:space="preserve">L24-S01-C2</x:t>
  </x:si>
  <x:si>
    <x:t xml:space="preserve">Line 24 / Section 01 / Cavity 2</x:t>
  </x:si>
  <x:si>
    <x:t xml:space="preserve">L24-S01-C3</x:t>
  </x:si>
  <x:si>
    <x:t xml:space="preserve">Line 24 / Section 01 / Cavity 3</x:t>
  </x:si>
  <x:si>
    <x:t xml:space="preserve">L24-S02</x:t>
  </x:si>
  <x:si>
    <x:t xml:space="preserve">Line 24 / Section 02</x:t>
  </x:si>
  <x:si>
    <x:t xml:space="preserve">L24-S02-C1</x:t>
  </x:si>
  <x:si>
    <x:t xml:space="preserve">Line 24 / Section 02 / Cavity 1</x:t>
  </x:si>
  <x:si>
    <x:t xml:space="preserve">L24-S02-C2</x:t>
  </x:si>
  <x:si>
    <x:t xml:space="preserve">Line 24 / Section 02 / Cavity 2</x:t>
  </x:si>
  <x:si>
    <x:t xml:space="preserve">L24-S02-C3</x:t>
  </x:si>
  <x:si>
    <x:t xml:space="preserve">Line 24 / Section 02 / Cavity 3</x:t>
  </x:si>
  <x:si>
    <x:t xml:space="preserve">L24-S03</x:t>
  </x:si>
  <x:si>
    <x:t xml:space="preserve">Line 24 / Section 03</x:t>
  </x:si>
  <x:si>
    <x:t xml:space="preserve">L24-S03-C1</x:t>
  </x:si>
  <x:si>
    <x:t xml:space="preserve">Line 24 / Section 03 / Cavity 1</x:t>
  </x:si>
  <x:si>
    <x:t xml:space="preserve">L24-S03-C2</x:t>
  </x:si>
  <x:si>
    <x:t xml:space="preserve">Line 24 / Section 03 / Cavity 2</x:t>
  </x:si>
  <x:si>
    <x:t xml:space="preserve">L24-S03-C3</x:t>
  </x:si>
  <x:si>
    <x:t xml:space="preserve">Line 24 / Section 03 / Cavity 3</x:t>
  </x:si>
  <x:si>
    <x:t xml:space="preserve">L24-S04</x:t>
  </x:si>
  <x:si>
    <x:t xml:space="preserve">Line 24 / Section 04</x:t>
  </x:si>
  <x:si>
    <x:t xml:space="preserve">L24-S04-C1</x:t>
  </x:si>
  <x:si>
    <x:t xml:space="preserve">Line 24 / Section 04 / Cavity 1</x:t>
  </x:si>
  <x:si>
    <x:t xml:space="preserve">L24-S04-C2</x:t>
  </x:si>
  <x:si>
    <x:t xml:space="preserve">Line 24 / Section 04 / Cavity 2</x:t>
  </x:si>
  <x:si>
    <x:t xml:space="preserve">L24-S04-C3</x:t>
  </x:si>
  <x:si>
    <x:t xml:space="preserve">Line 24 / Section 04 / Cavity 3</x:t>
  </x:si>
  <x:si>
    <x:t xml:space="preserve">L24-S05</x:t>
  </x:si>
  <x:si>
    <x:t xml:space="preserve">Line 24 / Section 05</x:t>
  </x:si>
  <x:si>
    <x:t xml:space="preserve">L24-S05-C1</x:t>
  </x:si>
  <x:si>
    <x:t xml:space="preserve">Line 24 / Section 05 / Cavity 1</x:t>
  </x:si>
  <x:si>
    <x:t xml:space="preserve">L24-S05-C2</x:t>
  </x:si>
  <x:si>
    <x:t xml:space="preserve">Line 24 / Section 05 / Cavity 2</x:t>
  </x:si>
  <x:si>
    <x:t xml:space="preserve">L24-S05-C3</x:t>
  </x:si>
  <x:si>
    <x:t xml:space="preserve">Line 24 / Section 05 / Cavity 3</x:t>
  </x:si>
  <x:si>
    <x:t xml:space="preserve">L24-S06</x:t>
  </x:si>
  <x:si>
    <x:t xml:space="preserve">Line 24 / Section 06</x:t>
  </x:si>
  <x:si>
    <x:t xml:space="preserve">L24-S06-C1</x:t>
  </x:si>
  <x:si>
    <x:t xml:space="preserve">Line 24 / Section 06 / Cavity 1</x:t>
  </x:si>
  <x:si>
    <x:t xml:space="preserve">L24-S06-C2</x:t>
  </x:si>
  <x:si>
    <x:t xml:space="preserve">Line 24 / Section 06 / Cavity 2</x:t>
  </x:si>
  <x:si>
    <x:t xml:space="preserve">L24-S06-C3</x:t>
  </x:si>
  <x:si>
    <x:t xml:space="preserve">Line 24 / Section 06 / Cavity 3</x:t>
  </x:si>
  <x:si>
    <x:t xml:space="preserve">L24-S07</x:t>
  </x:si>
  <x:si>
    <x:t xml:space="preserve">Line 24 / Section 07</x:t>
  </x:si>
  <x:si>
    <x:t xml:space="preserve">L24-S07-C1</x:t>
  </x:si>
  <x:si>
    <x:t xml:space="preserve">Line 24 / Section 07 / Cavity 1</x:t>
  </x:si>
  <x:si>
    <x:t xml:space="preserve">L24-S07-C2</x:t>
  </x:si>
  <x:si>
    <x:t xml:space="preserve">Line 24 / Section 07 / Cavity 2</x:t>
  </x:si>
  <x:si>
    <x:t xml:space="preserve">L24-S07-C3</x:t>
  </x:si>
  <x:si>
    <x:t xml:space="preserve">Line 24 / Section 07 / Cavity 3</x:t>
  </x:si>
  <x:si>
    <x:t xml:space="preserve">L24-S08</x:t>
  </x:si>
  <x:si>
    <x:t xml:space="preserve">Line 24 / Section 08</x:t>
  </x:si>
  <x:si>
    <x:t xml:space="preserve">L24-S08-C1</x:t>
  </x:si>
  <x:si>
    <x:t xml:space="preserve">Line 24 / Section 08 / Cavity 1</x:t>
  </x:si>
  <x:si>
    <x:t xml:space="preserve">L24-S08-C2</x:t>
  </x:si>
  <x:si>
    <x:t xml:space="preserve">Line 24 / Section 08 / Cavity 2</x:t>
  </x:si>
  <x:si>
    <x:t xml:space="preserve">L24-S08-C3</x:t>
  </x:si>
  <x:si>
    <x:t xml:space="preserve">Line 24 / Section 08 / Cavity 3</x:t>
  </x:si>
  <x:si>
    <x:t xml:space="preserve">L24-S09</x:t>
  </x:si>
  <x:si>
    <x:t xml:space="preserve">Line 24 / Section 09</x:t>
  </x:si>
  <x:si>
    <x:t xml:space="preserve">L24-S09-C1</x:t>
  </x:si>
  <x:si>
    <x:t xml:space="preserve">Line 24 / Section 09 / Cavity 1</x:t>
  </x:si>
  <x:si>
    <x:t xml:space="preserve">L24-S09-C2</x:t>
  </x:si>
  <x:si>
    <x:t xml:space="preserve">Line 24 / Section 09 / Cavity 2</x:t>
  </x:si>
  <x:si>
    <x:t xml:space="preserve">L24-S09-C3</x:t>
  </x:si>
  <x:si>
    <x:t xml:space="preserve">Line 24 / Section 09 / Cavity 3</x:t>
  </x:si>
  <x:si>
    <x:t xml:space="preserve">L24-S10</x:t>
  </x:si>
  <x:si>
    <x:t xml:space="preserve">Line 24 / Section 10</x:t>
  </x:si>
  <x:si>
    <x:t xml:space="preserve">L24-S10-C1</x:t>
  </x:si>
  <x:si>
    <x:t xml:space="preserve">Line 24 / Section 10 / Cavity 1</x:t>
  </x:si>
  <x:si>
    <x:t xml:space="preserve">L24-S10-C2</x:t>
  </x:si>
  <x:si>
    <x:t xml:space="preserve">Line 24 / Section 10 / Cavity 2</x:t>
  </x:si>
  <x:si>
    <x:t xml:space="preserve">L24-S10-C3</x:t>
  </x:si>
  <x:si>
    <x:t xml:space="preserve">Line 24 / Section 10 / Cavity 3</x:t>
  </x:si>
  <x:si>
    <x:t xml:space="preserve">L24-S11</x:t>
  </x:si>
  <x:si>
    <x:t xml:space="preserve">Line 24 / Section 11</x:t>
  </x:si>
  <x:si>
    <x:t xml:space="preserve">L24-S11-C1</x:t>
  </x:si>
  <x:si>
    <x:t xml:space="preserve">Line 24 / Section 11 / Cavity 1</x:t>
  </x:si>
  <x:si>
    <x:t xml:space="preserve">L24-S11-C2</x:t>
  </x:si>
  <x:si>
    <x:t xml:space="preserve">Line 24 / Section 11 / Cavity 2</x:t>
  </x:si>
  <x:si>
    <x:t xml:space="preserve">L24-S11-C3</x:t>
  </x:si>
  <x:si>
    <x:t xml:space="preserve">Line 24 / Section 11 / Cavity 3</x:t>
  </x:si>
  <x:si>
    <x:t xml:space="preserve">L24-S12</x:t>
  </x:si>
  <x:si>
    <x:t xml:space="preserve">Line 24 / Section 12</x:t>
  </x:si>
  <x:si>
    <x:t xml:space="preserve">L24-S12-C1</x:t>
  </x:si>
  <x:si>
    <x:t xml:space="preserve">Line 24 / Section 12 / Cavity 1</x:t>
  </x:si>
  <x:si>
    <x:t xml:space="preserve">L24-S12-C2</x:t>
  </x:si>
  <x:si>
    <x:t xml:space="preserve">Line 24 / Section 12 / Cavity 2</x:t>
  </x:si>
  <x:si>
    <x:t xml:space="preserve">L24-S12-C3</x:t>
  </x:si>
  <x:si>
    <x:t xml:space="preserve">Line 24 / Section 12 / Cavity 3</x:t>
  </x:si>
  <x:si>
    <x:t xml:space="preserve">L24-S13</x:t>
  </x:si>
  <x:si>
    <x:t xml:space="preserve">Line 24 / Section 13</x:t>
  </x:si>
  <x:si>
    <x:t xml:space="preserve">L24-S13-C1</x:t>
  </x:si>
  <x:si>
    <x:t xml:space="preserve">Line 24 / Section 13 / Cavity 1</x:t>
  </x:si>
  <x:si>
    <x:t xml:space="preserve">L24-S13-C2</x:t>
  </x:si>
  <x:si>
    <x:t xml:space="preserve">Line 24 / Section 13 / Cavity 2</x:t>
  </x:si>
  <x:si>
    <x:t xml:space="preserve">L24-S13-C3</x:t>
  </x:si>
  <x:si>
    <x:t xml:space="preserve">Line 24 / Section 13 / Cavity 3</x:t>
  </x:si>
  <x:si>
    <x:t xml:space="preserve">L25</x:t>
  </x:si>
  <x:si>
    <x:t xml:space="preserve">Line 25</x:t>
  </x:si>
  <x:si>
    <x:t xml:space="preserve">L25-S01</x:t>
  </x:si>
  <x:si>
    <x:t xml:space="preserve">Line 25 / Section 01</x:t>
  </x:si>
  <x:si>
    <x:t xml:space="preserve">L25-S01-C1</x:t>
  </x:si>
  <x:si>
    <x:t xml:space="preserve">Line 25 / Section 01 / Cavity 1</x:t>
  </x:si>
  <x:si>
    <x:t xml:space="preserve">L25-S01-C2</x:t>
  </x:si>
  <x:si>
    <x:t xml:space="preserve">Line 25 / Section 01 / Cavity 2</x:t>
  </x:si>
  <x:si>
    <x:t xml:space="preserve">L25-S01-C3</x:t>
  </x:si>
  <x:si>
    <x:t xml:space="preserve">Line 25 / Section 01 / Cavity 3</x:t>
  </x:si>
  <x:si>
    <x:t xml:space="preserve">L25-S02</x:t>
  </x:si>
  <x:si>
    <x:t xml:space="preserve">Line 25 / Section 02</x:t>
  </x:si>
  <x:si>
    <x:t xml:space="preserve">L25-S02-C1</x:t>
  </x:si>
  <x:si>
    <x:t xml:space="preserve">Line 25 / Section 02 / Cavity 1</x:t>
  </x:si>
  <x:si>
    <x:t xml:space="preserve">L25-S02-C2</x:t>
  </x:si>
  <x:si>
    <x:t xml:space="preserve">Line 25 / Section 02 / Cavity 2</x:t>
  </x:si>
  <x:si>
    <x:t xml:space="preserve">L25-S02-C3</x:t>
  </x:si>
  <x:si>
    <x:t xml:space="preserve">Line 25 / Section 02 / Cavity 3</x:t>
  </x:si>
  <x:si>
    <x:t xml:space="preserve">L25-S03</x:t>
  </x:si>
  <x:si>
    <x:t xml:space="preserve">Line 25 / Section 03</x:t>
  </x:si>
  <x:si>
    <x:t xml:space="preserve">L25-S03-C1</x:t>
  </x:si>
  <x:si>
    <x:t xml:space="preserve">Line 25 / Section 03 / Cavity 1</x:t>
  </x:si>
  <x:si>
    <x:t xml:space="preserve">L25-S03-C2</x:t>
  </x:si>
  <x:si>
    <x:t xml:space="preserve">Line 25 / Section 03 / Cavity 2</x:t>
  </x:si>
  <x:si>
    <x:t xml:space="preserve">L25-S03-C3</x:t>
  </x:si>
  <x:si>
    <x:t xml:space="preserve">Line 25 / Section 03 / Cavity 3</x:t>
  </x:si>
  <x:si>
    <x:t xml:space="preserve">L25-S04</x:t>
  </x:si>
  <x:si>
    <x:t xml:space="preserve">Line 25 / Section 04</x:t>
  </x:si>
  <x:si>
    <x:t xml:space="preserve">L25-S04-C1</x:t>
  </x:si>
  <x:si>
    <x:t xml:space="preserve">Line 25 / Section 04 / Cavity 1</x:t>
  </x:si>
  <x:si>
    <x:t xml:space="preserve">L25-S04-C2</x:t>
  </x:si>
  <x:si>
    <x:t xml:space="preserve">Line 25 / Section 04 / Cavity 2</x:t>
  </x:si>
  <x:si>
    <x:t xml:space="preserve">L25-S04-C3</x:t>
  </x:si>
  <x:si>
    <x:t xml:space="preserve">Line 25 / Section 04 / Cavity 3</x:t>
  </x:si>
  <x:si>
    <x:t xml:space="preserve">L25-S05</x:t>
  </x:si>
  <x:si>
    <x:t xml:space="preserve">Line 25 / Section 05</x:t>
  </x:si>
  <x:si>
    <x:t xml:space="preserve">L25-S05-C1</x:t>
  </x:si>
  <x:si>
    <x:t xml:space="preserve">Line 25 / Section 05 / Cavity 1</x:t>
  </x:si>
  <x:si>
    <x:t xml:space="preserve">L25-S05-C2</x:t>
  </x:si>
  <x:si>
    <x:t xml:space="preserve">Line 25 / Section 05 / Cavity 2</x:t>
  </x:si>
  <x:si>
    <x:t xml:space="preserve">L25-S05-C3</x:t>
  </x:si>
  <x:si>
    <x:t xml:space="preserve">Line 25 / Section 05 / Cavity 3</x:t>
  </x:si>
  <x:si>
    <x:t xml:space="preserve">L25-S06</x:t>
  </x:si>
  <x:si>
    <x:t xml:space="preserve">Line 25 / Section 06</x:t>
  </x:si>
  <x:si>
    <x:t xml:space="preserve">L25-S06-C1</x:t>
  </x:si>
  <x:si>
    <x:t xml:space="preserve">Line 25 / Section 06 / Cavity 1</x:t>
  </x:si>
  <x:si>
    <x:t xml:space="preserve">L25-S06-C2</x:t>
  </x:si>
  <x:si>
    <x:t xml:space="preserve">Line 25 / Section 06 / Cavity 2</x:t>
  </x:si>
  <x:si>
    <x:t xml:space="preserve">L25-S06-C3</x:t>
  </x:si>
  <x:si>
    <x:t xml:space="preserve">Line 25 / Section 06 / Cavity 3</x:t>
  </x:si>
  <x:si>
    <x:t xml:space="preserve">L25-S07</x:t>
  </x:si>
  <x:si>
    <x:t xml:space="preserve">Line 25 / Section 07</x:t>
  </x:si>
  <x:si>
    <x:t xml:space="preserve">L25-S07-C1</x:t>
  </x:si>
  <x:si>
    <x:t xml:space="preserve">Line 25 / Section 07 / Cavity 1</x:t>
  </x:si>
  <x:si>
    <x:t xml:space="preserve">L25-S07-C2</x:t>
  </x:si>
  <x:si>
    <x:t xml:space="preserve">Line 25 / Section 07 / Cavity 2</x:t>
  </x:si>
  <x:si>
    <x:t xml:space="preserve">L25-S07-C3</x:t>
  </x:si>
  <x:si>
    <x:t xml:space="preserve">Line 25 / Section 07 / Cavity 3</x:t>
  </x:si>
  <x:si>
    <x:t xml:space="preserve">L25-S08</x:t>
  </x:si>
  <x:si>
    <x:t xml:space="preserve">Line 25 / Section 08</x:t>
  </x:si>
  <x:si>
    <x:t xml:space="preserve">L25-S08-C1</x:t>
  </x:si>
  <x:si>
    <x:t xml:space="preserve">Line 25 / Section 08 / Cavity 1</x:t>
  </x:si>
  <x:si>
    <x:t xml:space="preserve">L25-S08-C2</x:t>
  </x:si>
  <x:si>
    <x:t xml:space="preserve">Line 25 / Section 08 / Cavity 2</x:t>
  </x:si>
  <x:si>
    <x:t xml:space="preserve">L25-S08-C3</x:t>
  </x:si>
  <x:si>
    <x:t xml:space="preserve">Line 25 / Section 08 / Cavity 3</x:t>
  </x:si>
  <x:si>
    <x:t xml:space="preserve">L25-S09</x:t>
  </x:si>
  <x:si>
    <x:t xml:space="preserve">Line 25 / Section 09</x:t>
  </x:si>
  <x:si>
    <x:t xml:space="preserve">L25-S09-C1</x:t>
  </x:si>
  <x:si>
    <x:t xml:space="preserve">Line 25 / Section 09 / Cavity 1</x:t>
  </x:si>
  <x:si>
    <x:t xml:space="preserve">L25-S09-C2</x:t>
  </x:si>
  <x:si>
    <x:t xml:space="preserve">Line 25 / Section 09 / Cavity 2</x:t>
  </x:si>
  <x:si>
    <x:t xml:space="preserve">L25-S09-C3</x:t>
  </x:si>
  <x:si>
    <x:t xml:space="preserve">Line 25 / Section 09 / Cavity 3</x:t>
  </x:si>
  <x:si>
    <x:t xml:space="preserve">L25-S10</x:t>
  </x:si>
  <x:si>
    <x:t xml:space="preserve">Line 25 / Section 10</x:t>
  </x:si>
  <x:si>
    <x:t xml:space="preserve">L25-S10-C1</x:t>
  </x:si>
  <x:si>
    <x:t xml:space="preserve">Line 25 / Section 10 / Cavity 1</x:t>
  </x:si>
  <x:si>
    <x:t xml:space="preserve">L25-S10-C2</x:t>
  </x:si>
  <x:si>
    <x:t xml:space="preserve">Line 25 / Section 10 / Cavity 2</x:t>
  </x:si>
  <x:si>
    <x:t xml:space="preserve">L25-S10-C3</x:t>
  </x:si>
  <x:si>
    <x:t xml:space="preserve">Line 25 / Section 10 / Cavity 3</x:t>
  </x:si>
  <x:si>
    <x:t xml:space="preserve">L25-S11</x:t>
  </x:si>
  <x:si>
    <x:t xml:space="preserve">Line 25 / Section 11</x:t>
  </x:si>
  <x:si>
    <x:t xml:space="preserve">L25-S11-C1</x:t>
  </x:si>
  <x:si>
    <x:t xml:space="preserve">Line 25 / Section 11 / Cavity 1</x:t>
  </x:si>
  <x:si>
    <x:t xml:space="preserve">L25-S11-C2</x:t>
  </x:si>
  <x:si>
    <x:t xml:space="preserve">Line 25 / Section 11 / Cavity 2</x:t>
  </x:si>
  <x:si>
    <x:t xml:space="preserve">L25-S11-C3</x:t>
  </x:si>
  <x:si>
    <x:t xml:space="preserve">Line 25 / Section 11 / Cavity 3</x:t>
  </x:si>
  <x:si>
    <x:t xml:space="preserve">L25-S12</x:t>
  </x:si>
  <x:si>
    <x:t xml:space="preserve">Line 25 / Section 12</x:t>
  </x:si>
  <x:si>
    <x:t xml:space="preserve">L25-S12-C1</x:t>
  </x:si>
  <x:si>
    <x:t xml:space="preserve">Line 25 / Section 12 / Cavity 1</x:t>
  </x:si>
  <x:si>
    <x:t xml:space="preserve">L25-S12-C2</x:t>
  </x:si>
  <x:si>
    <x:t xml:space="preserve">Line 25 / Section 12 / Cavity 2</x:t>
  </x:si>
  <x:si>
    <x:t xml:space="preserve">L25-S12-C3</x:t>
  </x:si>
  <x:si>
    <x:t xml:space="preserve">Line 25 / Section 12 / Cavity 3</x:t>
  </x:si>
  <x:si>
    <x:t xml:space="preserve">L25-S13</x:t>
  </x:si>
  <x:si>
    <x:t xml:space="preserve">Line 25 / Section 13</x:t>
  </x:si>
  <x:si>
    <x:t xml:space="preserve">L25-S13-C1</x:t>
  </x:si>
  <x:si>
    <x:t xml:space="preserve">Line 25 / Section 13 / Cavity 1</x:t>
  </x:si>
  <x:si>
    <x:t xml:space="preserve">L25-S13-C2</x:t>
  </x:si>
  <x:si>
    <x:t xml:space="preserve">Line 25 / Section 13 / Cavity 2</x:t>
  </x:si>
  <x:si>
    <x:t xml:space="preserve">L25-S13-C3</x:t>
  </x:si>
  <x:si>
    <x:t xml:space="preserve">Line 25 / Section 13 / Cavity 3</x:t>
  </x:si>
  <x:si>
    <x:t xml:space="preserve">MODEL EXTENSION — SECTION/CAVITY JOB CHANGE ANALYSIS</x:t>
  </x:si>
  <x:si>
    <x:t xml:space="preserve">Component</x:t>
  </x:si>
  <x:si>
    <x:t xml:space="preserve">Workbook/Sheet</x:t>
  </x:si>
  <x:si>
    <x:t xml:space="preserve">Grain</x:t>
  </x:si>
  <x:si>
    <x:t xml:space="preserve">Purpose</x:t>
  </x:si>
  <x:si>
    <x:t xml:space="preserve">Power BI role</x:t>
  </x:si>
  <x:si>
    <x:t xml:space="preserve">Rule</x:t>
  </x:si>
  <x:si>
    <x:t xml:space="preserve">Physical capability</x:t>
  </x:si>
  <x:si>
    <x:t xml:space="preserve">01_MasterData / Lines</x:t>
  </x:si>
  <x:si>
    <x:t xml:space="preserve">13 sections / max 3 cavity positions</x:t>
  </x:si>
  <x:si>
    <x:t xml:space="preserve">DIM_LINE attributes</x:t>
  </x:si>
  <x:si>
    <x:t xml:space="preserve">Capability ≠ active setup</x:t>
  </x:si>
  <x:si>
    <x:t xml:space="preserve">Asset hierarchy</x:t>
  </x:si>
  <x:si>
    <x:t xml:space="preserve">01_MasterData / AssetScope</x:t>
  </x:si>
  <x:si>
    <x:t xml:space="preserve">Physical asset</x:t>
  </x:si>
  <x:si>
    <x:t xml:space="preserve">Line→Section→Cavity hierarchy</x:t>
  </x:si>
  <x:si>
    <x:t xml:space="preserve">DIM_ASSET_SCOPE</x:t>
  </x:si>
  <x:si>
    <x:t xml:space="preserve">No false production precision</x:t>
  </x:si>
  <x:si>
    <x:t xml:space="preserve">Production event ID</x:t>
  </x:si>
  <x:si>
    <x:t xml:space="preserve">02_Supervisor_Log / DailyProduction</x:t>
  </x:si>
  <x:si>
    <x:t xml:space="preserve">Production event</x:t>
  </x:si>
  <x:si>
    <x:t xml:space="preserve">Stable parent key</x:t>
  </x:si>
  <x:si>
    <x:t xml:space="preserve">Existing FACT_PRODUCTION + key</x:t>
  </x:si>
  <x:si>
    <x:t xml:space="preserve">Original grain unchanged</x:t>
  </x:si>
  <x:si>
    <x:t xml:space="preserve">Production configuration</x:t>
  </x:si>
  <x:si>
    <x:t xml:space="preserve">02_Supervisor_Log / ProductionConfiguration</x:t>
  </x:si>
  <x:si>
    <x:t xml:space="preserve">Event × Section</x:t>
  </x:si>
  <x:si>
    <x:t xml:space="preserve">Exact active cavity flags</x:t>
  </x:si>
  <x:si>
    <x:t xml:space="preserve">New detail bridge/fact</x:t>
  </x:si>
  <x:si>
    <x:t xml:space="preserve">Unpivot cavity flags in Power Query</x:t>
  </x:si>
  <x:si>
    <x:t xml:space="preserve">Job change event ID</x:t>
  </x:si>
  <x:si>
    <x:t xml:space="preserve">02_Supervisor_Log / JobChange</x:t>
  </x:si>
  <x:si>
    <x:t xml:space="preserve">Job change event</x:t>
  </x:si>
  <x:si>
    <x:t xml:space="preserve">Existing FACT_JOBCHANGE + key</x:t>
  </x:si>
  <x:si>
    <x:t xml:space="preserve">Existing measures remain</x:t>
  </x:si>
  <x:si>
    <x:t xml:space="preserve">Job change impact</x:t>
  </x:si>
  <x:si>
    <x:t xml:space="preserve">02_Supervisor_Log / JobChangeImpact</x:t>
  </x:si>
  <x:si>
    <x:t xml:space="preserve">Impact record</x:t>
  </x:si>
  <x:si>
    <x:t xml:space="preserve">Where loss occurred</x:t>
  </x:si>
  <x:si>
    <x:t xml:space="preserve">New FACT_JOBCHANGE_IMPACT</x:t>
  </x:si>
  <x:si>
    <x:t xml:space="preserve">Use capacity-weighted loss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</x:si>
</x:sst>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20212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202326"/>
      </x:patternFill>
    </x:fill>
    <x:fill>
      <x:patternFill patternType="solid">
        <x:fgColor rgb="FFE9EDF3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0" fontId="5" fillId="2" borderId="0" xfId="0" applyFont="1" applyFill="1"/>
    <x:xf numFmtId="0" fontId="5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3" fontId="0" fillId="0" borderId="0" xfId="0" applyNumberFormat="1" applyAlignment="1">
      <x:alignment vertical="center"/>
    </x:xf>
    <x:xf numFmtId="2" fontId="0" fillId="0" borderId="0" xfId="0" applyNumberFormat="1" applyAlignment="1">
      <x:alignment vertical="center"/>
    </x:xf>
    <x:xf numFmtId="0" fontId="6" fillId="3" borderId="0" xfId="0" applyFont="1" applyFill="1"/>
    <x:xf numFmtId="0" fontId="5" fillId="4" borderId="0" xfId="0" applyFont="1" applyFill="1" applyAlignment="1">
      <x:alignment horizontal="center" vertical="center" wrapText="1"/>
    </x:xf>
    <x:xf numFmtId="0" fontId="5" fillId="4" borderId="0" xfId="0" applyFon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3" fontId="0" fillId="0" borderId="1" xfId="0" applyNumberFormat="1" applyFont="1" applyFill="1" applyBorder="1" applyAlignment="1">
      <x:alignment vertical="center"/>
    </x:xf>
    <x:xf numFmtId="2" fontId="0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u val="none"/>
        <x:sz val="11"/>
        <x:color rgb="FFFFFFFF"/>
        <x:name val="Carlito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6b82f03f74486" /><Relationship Type="http://schemas.openxmlformats.org/officeDocument/2006/relationships/theme" Target="/xl/theme/theme1.xml" Id="Rf491ca5287974c41" /><Relationship Type="http://schemas.openxmlformats.org/officeDocument/2006/relationships/sharedStrings" Target="/xl/sharedStrings.xml" Id="R0f5c53ca41b141b0" /><Relationship Type="http://schemas.openxmlformats.org/officeDocument/2006/relationships/worksheet" Target="/xl/worksheets/sheet1.xml" Id="Ra26f0ccff3974ee4" /><Relationship Type="http://schemas.openxmlformats.org/officeDocument/2006/relationships/worksheet" Target="/xl/worksheets/sheet2.xml" Id="Rda8dba072f2a4be2" /><Relationship Type="http://schemas.openxmlformats.org/officeDocument/2006/relationships/worksheet" Target="/xl/worksheets/sheet3.xml" Id="Rc29918cb18254ebd" /><Relationship Type="http://schemas.openxmlformats.org/officeDocument/2006/relationships/worksheet" Target="/xl/worksheets/sheet4.xml" Id="Raa7fd4deea4e4e55" /><Relationship Type="http://schemas.openxmlformats.org/officeDocument/2006/relationships/worksheet" Target="/xl/worksheets/sheet5.xml" Id="R64c03af98ce94712" /><Relationship Type="http://schemas.openxmlformats.org/officeDocument/2006/relationships/worksheet" Target="/xl/worksheets/sheet6.xml" Id="R70df906807ca4422" /><Relationship Type="http://schemas.openxmlformats.org/officeDocument/2006/relationships/worksheet" Target="/xl/worksheets/sheet7.xml" Id="Re57c1c1518244edf" /><Relationship Type="http://schemas.openxmlformats.org/officeDocument/2006/relationships/worksheet" Target="/xl/worksheets/sheet8.xml" Id="R83f0b7f783d84919" /><Relationship Type="http://schemas.openxmlformats.org/officeDocument/2006/relationships/worksheet" Target="/xl/worksheets/sheet9.xml" Id="Rd50bd15b7a7944b9" /><Relationship Type="http://schemas.openxmlformats.org/officeDocument/2006/relationships/worksheet" Target="/xl/worksheets/sheet10.xml" Id="R2f159ccfb0e34dd2" /><Relationship Type="http://schemas.openxmlformats.org/officeDocument/2006/relationships/worksheet" Target="/xl/worksheets/sheet11.xml" Id="R4e95de10edea4805" /><Relationship Type="http://schemas.openxmlformats.org/officeDocument/2006/relationships/worksheet" Target="/xl/worksheets/sheet12.xml" Id="R59a68325e4244dcd" /><Relationship Type="http://schemas.openxmlformats.org/officeDocument/2006/relationships/worksheet" Target="/xl/worksheets/sheet13.xml" Id="R7ad8771c104d4303" /><Relationship Type="http://schemas.openxmlformats.org/officeDocument/2006/relationships/worksheet" Target="/xl/worksheets/sheet14.xml" Id="R4a1ff1ec91434471" /><Relationship Type="http://schemas.openxmlformats.org/officeDocument/2006/relationships/worksheet" Target="/xl/worksheets/sheet15.xml" Id="R6d52aa325705459b" /><Relationship Type="http://schemas.openxmlformats.org/officeDocument/2006/relationships/worksheet" Target="/xl/worksheets/sheet16.xml" Id="R19f39188c7a64bfb" /><Relationship Type="http://schemas.openxmlformats.org/officeDocument/2006/relationships/worksheet" Target="/xl/worksheets/sheet17.xml" Id="Rdbc9f6cb98e44439" /><Relationship Type="http://schemas.openxmlformats.org/officeDocument/2006/relationships/worksheet" Target="/xl/worksheets/sheet18.xml" Id="R80d2a61ff42d4a5e" /><Relationship Type="http://schemas.openxmlformats.org/officeDocument/2006/relationships/worksheet" Target="/xl/worksheets/sheet19.xml" Id="Re704bf7ef7874794" /><Relationship Type="http://schemas.openxmlformats.org/officeDocument/2006/relationships/worksheet" Target="/xl/worksheets/sheet20.xml" Id="R08a7516b341743e5" /><Relationship Type="http://schemas.openxmlformats.org/officeDocument/2006/relationships/worksheet" Target="/xl/worksheets/sheet21.xml" Id="R8a83626b32094edf" /><Relationship Type="http://schemas.openxmlformats.org/officeDocument/2006/relationships/worksheet" Target="/xl/worksheets/sheet22.xml" Id="Raafe27c90e1a4b7c" /><Relationship Type="http://schemas.openxmlformats.org/officeDocument/2006/relationships/worksheet" Target="/xl/worksheets/sheet23.xml" Id="R74673d0787c54a28" /><Relationship Type="http://schemas.openxmlformats.org/officeDocument/2006/relationships/worksheet" Target="/xl/worksheets/sheet24.xml" Id="Rcad999e065544106" /><Relationship Type="http://schemas.openxmlformats.org/officeDocument/2006/relationships/worksheet" Target="/xl/worksheets/sheet25.xml" Id="R6c424c2c164d4ac2" /><Relationship Type="http://schemas.openxmlformats.org/officeDocument/2006/relationships/worksheet" Target="/xl/worksheets/sheet26.xml" Id="R08d94a660631489d" /><Relationship Type="http://schemas.openxmlformats.org/officeDocument/2006/relationships/worksheet" Target="/xl/worksheets/sheet27.xml" Id="R67781554bd364631" /><Relationship Type="http://schemas.openxmlformats.org/officeDocument/2006/relationships/worksheet" Target="/xl/worksheets/sheet28.xml" Id="Re36b0654693a4e56" /><Relationship Type="http://schemas.openxmlformats.org/officeDocument/2006/relationships/worksheet" Target="/xl/worksheets/sheet29.xml" Id="R96f69bcafed945fd" /><Relationship Type="http://schemas.openxmlformats.org/officeDocument/2006/relationships/worksheet" Target="/xl/worksheets/sheet30.xml" Id="R0164df6c15834d4c" /></Relationships>
</file>

<file path=xl/tables/table1.xml><?xml version="1.0" encoding="utf-8"?>
<x:table xmlns:x="http://schemas.openxmlformats.org/spreadsheetml/2006/main" id="1" name="Customers" displayName="Customers" ref="A4:C7" totalsRowShown="0">
  <x:tableColumns count="3">
    <x:tableColumn id="1" name="CustomerCode"/>
    <x:tableColumn id="2" name="CustomerName"/>
    <x:tableColumn id="3" name="Country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" displayName="Products" ref="A4:D7" totalsRowShown="0">
  <x:tableColumns count="4">
    <x:tableColumn id="1" name="ProductCode"/>
    <x:tableColumn id="2" name="ProductName"/>
    <x:tableColumn id="3" name="Category"/>
    <x:tableColumn id="4" name="Customer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Orders" displayName="Orders" ref="A4:E19" headerRowCount="1" totalsRowCount="0" totalsRowShown="0">
  <x:tableColumns count="5">
    <x:tableColumn id="1" name="OrderNumber"/>
    <x:tableColumn id="2" name="ProductCode"/>
    <x:tableColumn id="3" name="CustomerCode"/>
    <x:tableColumn id="4" name="TotalMoltenUnits"/>
    <x:tableColumn id="5" name="ProductCustomer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ectName" displayName="DefectName" ref="A4:A13" totalsRowShown="0">
  <x:tableColumns count="1">
    <x:tableColumn id="1" name="Defect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_DowntimeReason" displayName="HE_DowntimeReason" ref="A4:A13" totalsRowShown="0">
  <x:tableColumns count="1">
    <x:tableColumn id="1" name="HE_Downtime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E_LossesReason" displayName="CE_LossesReason" ref="A4:A13" totalsRowShown="0">
  <x:tableColumns count="1">
    <x:tableColumn id="1" name="CE_Losses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lletizerReason" displayName="PalletizerReason" ref="A4:A13" totalsRowShown="0">
  <x:tableColumns count="1">
    <x:tableColumn id="1" name="Palletizer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workStatus" displayName="ReworkStatus" ref="A4:A6" totalsRowShown="0">
  <x:tableColumns count="1">
    <x:tableColumn id="1" name="Rework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seName" displayName="CaseName" ref="A4:A7" totalsRowShown="0">
  <x:tableColumns count="1">
    <x:tableColumn id="1" name="CaseNa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ew" displayName="Crew" ref="A4:A7" totalsRowShown="0">
  <x:tableColumns count="1">
    <x:tableColumn id="1" name="Cre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hift" displayName="Shift" ref="A4:A6" totalsRowShown="0">
  <x:tableColumns count="1">
    <x:tableColumn id="1" name="Shif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6" name="Lines" displayName="Lines" ref="A4:H9" headerRowCount="1" totalsRowCount="0" totalsRowShown="0">
  <x:tableColumns count="8">
    <x:tableColumn id="1" name="FactoryCode"/>
    <x:tableColumn id="2" name="LineNumber"/>
    <x:tableColumn id="3" name="LineStatus"/>
    <x:tableColumn id="4" name="PhysicalSectionsCapability"/>
    <x:tableColumn id="5" name="MaxCavityPositionsPerSection"/>
    <x:tableColumn id="6" name="CapabilityCheck"/>
    <x:tableColumn id="7" name="LineKey"/>
    <x:tableColumn id="8" name="MachineCod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obChangeTypes" displayName="JobChangeTypes" ref="A4:C8" totalsRowShown="0">
  <x:tableColumns count="3">
    <x:tableColumn id="1" name="JobChangeTypeName"/>
    <x:tableColumn id="2" name="TargetT1_Hrs"/>
    <x:tableColumn id="3" name="TargetT2_Hr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7" name="AssetScope" displayName="AssetScope" ref="A4:M269" headerRowCount="1" totalsRowCount="0" totalsRowShown="0">
  <x:tableColumns count="13">
    <x:tableColumn id="1" name="AssetScopeKey"/>
    <x:tableColumn id="2" name="FactoryCode"/>
    <x:tableColumn id="3" name="LineNumber"/>
    <x:tableColumn id="4" name="SectionNumber"/>
    <x:tableColumn id="5" name="CavityNumber"/>
    <x:tableColumn id="6" name="AssetLevel"/>
    <x:tableColumn id="7" name="AssetLabel"/>
    <x:tableColumn id="8" name="ParentAssetScopeKey"/>
    <x:tableColumn id="9" name="PhysicalSectionsCapability"/>
    <x:tableColumn id="10" name="MaxCavityPositionsPerSection"/>
    <x:tableColumn id="11" name="IsPhysicalSlot"/>
    <x:tableColumn id="12" name="IntegrityCheck"/>
    <x:tableColumn id="13" name="AssetKe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8" name="Machines_Table" displayName="Machines_Table" ref="A4:J9" headerRowCount="1" totalsRowCount="0" totalsRowShown="0">
  <x:tableColumns count="10">
    <x:tableColumn id="1" name="MachineKey"/>
    <x:tableColumn id="2" name="FactoryCode"/>
    <x:tableColumn id="3" name="MachineCode"/>
    <x:tableColumn id="4" name="MachineName"/>
    <x:tableColumn id="5" name="CurrentLineNumber"/>
    <x:tableColumn id="6" name="MachineStatus"/>
    <x:tableColumn id="7" name="ValidFrom"/>
    <x:tableColumn id="8" name="ValidTo"/>
    <x:tableColumn id="9" name="MappingCheck"/>
    <x:tableColumn id="10" name="Record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9" name="MachineCapabilityHistory_Table" displayName="MachineCapabilityHistory_Table" ref="A4:L9" headerRowCount="1" totalsRowCount="0" totalsRowShown="0">
  <x:tableColumns count="12">
    <x:tableColumn id="1" name="MachineCapabilityID"/>
    <x:tableColumn id="2" name="MachineCode"/>
    <x:tableColumn id="3" name="FactoryCode"/>
    <x:tableColumn id="4" name="LineNumber"/>
    <x:tableColumn id="5" name="ValidFrom"/>
    <x:tableColumn id="6" name="ValidTo"/>
    <x:tableColumn id="7" name="PhysicalSectionsCapability"/>
    <x:tableColumn id="8" name="MaxCavityPositionsPerSection"/>
    <x:tableColumn id="9" name="CapabilitySource"/>
    <x:tableColumn id="10" name="DateRangeCheck"/>
    <x:tableColumn id="11" name="PhysicalRangeCheck"/>
    <x:tableColumn id="12" name="DataQualityCheck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0" name="ProductLineCapability_Table" displayName="ProductLineCapability_Table" ref="A4:P15" headerRowCount="1" totalsRowCount="0" totalsRowShown="0">
  <x:tableColumns count="16">
    <x:tableColumn id="1" name="ProductLineCapabilityID"/>
    <x:tableColumn id="2" name="ProductCode"/>
    <x:tableColumn id="3" name="FactoryCode"/>
    <x:tableColumn id="4" name="LineNumber"/>
    <x:tableColumn id="5" name="MachineCode"/>
    <x:tableColumn id="6" name="ValidFrom"/>
    <x:tableColumn id="7" name="ValidTo"/>
    <x:tableColumn id="8" name="MaxSectionsAllowed"/>
    <x:tableColumn id="9" name="MaxCavitiesPerSectionAllowed"/>
    <x:tableColumn id="10" name="MinDesignedCyclesPerMin"/>
    <x:tableColumn id="11" name="MaxDesignedCyclesPerMin"/>
    <x:tableColumn id="12" name="CapabilitySource"/>
    <x:tableColumn id="13" name="ReviewStatus"/>
    <x:tableColumn id="14" name="PhysicalCapabilityCheck"/>
    <x:tableColumn id="15" name="ObservedConfigurationCheck"/>
    <x:tableColumn id="16" name="DataQualityCheck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1" name="JobChangeTargets_Table" displayName="JobChangeTargets_Table" ref="A4:J8" headerRowCount="1" totalsRowCount="0" totalsRowShown="0">
  <x:tableColumns count="10">
    <x:tableColumn id="1" name="JobChangeTargetID"/>
    <x:tableColumn id="2" name="JobChangeTypeName"/>
    <x:tableColumn id="3" name="ValidFrom"/>
    <x:tableColumn id="4" name="ValidTo"/>
    <x:tableColumn id="5" name="TargetT1_Hrs"/>
    <x:tableColumn id="6" name="TargetT2_Hrs"/>
    <x:tableColumn id="7" name="TargetSource"/>
    <x:tableColumn id="8" name="DateRangeCheck"/>
    <x:tableColumn id="9" name="TargetRangeCheck"/>
    <x:tableColumn id="10" name="DataQualityCheck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22" name="LossTypes_Table" displayName="LossTypes_Table" ref="A4:I21" headerRowCount="1" totalsRowCount="0" totalsRowShown="0">
  <x:tableColumns count="9">
    <x:tableColumn id="1" name="LossTypeKey"/>
    <x:tableColumn id="2" name="LossTypeCode"/>
    <x:tableColumn id="3" name="Domain"/>
    <x:tableColumn id="4" name="LossArea"/>
    <x:tableColumn id="5" name="LossCategory"/>
    <x:tableColumn id="6" name="IsElapsedTimeLoss"/>
    <x:tableColumn id="7" name="IsPercentageLoss"/>
    <x:tableColumn id="8" name="AdditivityClass"/>
    <x:tableColumn id="9" name="ActiveFlag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3" name="LossReasonHierarchy_Table" displayName="LossReasonHierarchy_Table" ref="A4:I42" headerRowCount="1" totalsRowCount="0" totalsRowShown="0">
  <x:tableColumns count="9">
    <x:tableColumn id="1" name="LossReasonKey"/>
    <x:tableColumn id="2" name="Domain"/>
    <x:tableColumn id="3" name="LossArea"/>
    <x:tableColumn id="4" name="ReasonCategory"/>
    <x:tableColumn id="5" name="ReasonName"/>
    <x:tableColumn id="6" name="ParentReasonGroup"/>
    <x:tableColumn id="7" name="ValidFrom"/>
    <x:tableColumn id="8" name="ValidTo"/>
    <x:tableColumn id="9" name="ActiveFlag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4" name="RootCauses_Table" displayName="RootCauses_Table" ref="A4:D12" headerRowCount="1" totalsRowCount="0" totalsRowShown="0">
  <x:tableColumns count="4">
    <x:tableColumn id="1" name="RootCauseCode"/>
    <x:tableColumn id="2" name="RootCauseName"/>
    <x:tableColumn id="3" name="RootCauseGroup"/>
    <x:tableColumn id="4" name="ActiveFlag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5" name="Departments_Table" displayName="Departments_Table" ref="A4:C12" headerRowCount="1" totalsRowCount="0" totalsRowShown="0">
  <x:tableColumns count="3">
    <x:tableColumn id="1" name="DepartmentCode"/>
    <x:tableColumn id="2" name="DepartmentName"/>
    <x:tableColumn id="3" name="ActiveFlag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6" name="ActionStatus_Table" displayName="ActionStatus_Table" ref="A4:D9" headerRowCount="1" totalsRowCount="0" totalsRowShown="0">
  <x:tableColumns count="4">
    <x:tableColumn id="1" name="ActionStatusCode"/>
    <x:tableColumn id="2" name="ActionStatusName"/>
    <x:tableColumn id="3" name="IsClosed"/>
    <x:tableColumn id="4" name="ActiveFlag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7" name="WarehouseModelMap_Table" displayName="WarehouseModelMap_Table" ref="A4:G16" headerRowCount="1" totalsRowCount="0" totalsRowShown="0">
  <x:tableColumns count="7">
    <x:tableColumn id="1" name="TableName"/>
    <x:tableColumn id="2" name="Workbook"/>
    <x:tableColumn id="3" name="DeclaredGrain"/>
    <x:tableColumn id="4" name="PrimaryBusinessKey"/>
    <x:tableColumn id="5" name="ParentRelationship"/>
    <x:tableColumn id="6" name="MeasureRule"/>
    <x:tableColumn id="7" name="PowerBIModelGuidan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8" name="MeasureSemantics_Table" displayName="MeasureSemantics_Table" ref="A4:E14" headerRowCount="1" totalsRowCount="0" totalsRowShown="0">
  <x:tableColumns count="5">
    <x:tableColumn id="1" name="MeasureName"/>
    <x:tableColumn id="2" name="SourceGrain"/>
    <x:tableColumn id="3" name="Additivity"/>
    <x:tableColumn id="4" name="CorrectAggregation"/>
    <x:tableColumn id="5" name="Warn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9" name="DataQualityRules_Table" displayName="DataQualityRules_Table" ref="A4:F14" headerRowCount="1" totalsRowCount="0" totalsRowShown="0">
  <x:tableColumns count="6">
    <x:tableColumn id="1" name="RuleID"/>
    <x:tableColumn id="2" name="Domain"/>
    <x:tableColumn id="3" name="RuleName"/>
    <x:tableColumn id="4" name="Severity"/>
    <x:tableColumn id="5" name="LoadAction"/>
    <x:tableColumn id="6" name="RuleDefinition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30" name="EnhancementGuide_Master" displayName="EnhancementGuide_Master" ref="A4:D14" headerRowCount="1" totalsRowCount="0" totalsRowShown="0">
  <x:tableColumns count="4">
    <x:tableColumn id="1" name="Priority"/>
    <x:tableColumn id="2" name="Enhancement"/>
    <x:tableColumn id="3" name="ImplementedAs"/>
    <x:tableColumn id="4" name="Operational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c7a61d3b94c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9fe88c5d71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319142d21f47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31a5dcb5fb46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8a02eaa7a64e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8b7a2145c047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3001ec28bb48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10fee92c6c47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f098d618fe47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6e810492dd48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a9a3bcdad9a43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8c5e0b962834e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2bd0f878cbf44d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e05d01345e04f4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1319d45594514f0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008ec1294beb4da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b427db5a7c7f40b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66549046a5cc479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56a2db0075a44f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286cfc9555aa43c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2c5b5185cb794ad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2.xml" Id="R45bfd045ece447f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3.xml" Id="R1d1070e0e52a466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4.xml" Id="Ra6e0d18df50b4c9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5.xml" Id="R547010fd5d69468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72590837e59c465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7.xml" Id="R6e2d48ee4bfb4c00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5" customWidth="1"/>
  </x:cols>
  <x:sheetData>
    <x:row r="1" ht="20.25">
      <x:c r="A1" s="2" t="s">
        <x:v>0</x:v>
      </x:c>
    </x:row>
    <x:row r="2">
      <x:c r="A2" s="3"/>
    </x:row>
    <x:row r="3">
      <x:c r="A3" s="3" t="s">
        <x:v>1</x:v>
      </x:c>
    </x:row>
    <x:row r="4">
      <x:c r="A4" s="3"/>
    </x:row>
    <x:row r="5">
      <x:c r="A5" s="3" t="s">
        <x:v>2</x:v>
      </x:c>
    </x:row>
    <x:row r="6">
      <x:c r="A6" s="3"/>
    </x:row>
    <x:row r="7" ht="15">
      <x:c r="A7" s="4" t="s">
        <x:v>3</x:v>
      </x:c>
    </x:row>
    <x:row r="8">
      <x:c r="A8" s="3" t="s">
        <x:v>4</x:v>
      </x:c>
    </x:row>
    <x:row r="9">
      <x:c r="A9" s="3" t="s">
        <x:v>5</x:v>
      </x:c>
    </x:row>
    <x:row r="10">
      <x:c r="A10" s="3" t="s">
        <x:v>6</x:v>
      </x:c>
    </x:row>
    <x:row r="11">
      <x:c r="A11" s="3" t="s">
        <x:v>7</x:v>
      </x:c>
    </x:row>
    <x:row r="12">
      <x:c r="A12" s="3" t="s">
        <x:v>8</x:v>
      </x:c>
    </x:row>
    <x:row r="13">
      <x:c r="A13" s="3"/>
    </x:row>
    <x:row r="14">
      <x:c r="A14" s="3" t="s">
        <x:v>9</x:v>
      </x:c>
    </x:row>
    <x:row r="15">
      <x:c r="A15" s="3"/>
    </x:row>
    <x:row r="16">
      <x:c r="A16" s="3" t="s">
        <x:v>10</x:v>
      </x:c>
    </x:row>
    <x:row r="18">
      <x:c r="A18" t="s">
        <x:v>11</x:v>
      </x:c>
    </x:row>
    <x:row r="19">
      <x:c r="A19" t="s">
        <x:v>12</x:v>
      </x:c>
    </x:row>
    <x:row r="20">
      <x:c r="A20" t="s">
        <x:v>13</x:v>
      </x:c>
    </x:row>
    <x:row r="21">
      <x:c r="A21" t="s">
        <x:v>14</x:v>
      </x:c>
    </x:row>
    <x:row r="22">
      <x:c r="A22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2" width="28" customWidth="1"/>
    <x:col min="3" max="3" width="14" customWidth="1"/>
  </x:cols>
  <x:sheetData>
    <x:row r="1" ht="24" customHeight="1">
      <x:c r="A1" s="1" t="s">
        <x:v>16</x:v>
      </x:c>
    </x:row>
    <x:row r="2" ht="15">
      <x:c r="A2" s="5" t="s">
        <x:v>17</x:v>
      </x:c>
    </x:row>
    <x:row r="3">
      <x:c r="A3" s="6" t="s">
        <x:v>18</x:v>
      </x:c>
    </x:row>
    <x:row r="4" ht="30" customHeight="1">
      <x:c r="A4" s="8" t="s">
        <x:v>19</x:v>
      </x:c>
      <x:c r="B4" s="8" t="s">
        <x:v>20</x:v>
      </x:c>
      <x:c r="C4" s="8" t="s">
        <x:v>21</x:v>
      </x:c>
      <x:c r="D4" s="34" t="str">
        <x:v>CustomerKey</x:v>
      </x:c>
    </x:row>
    <x:row r="5" ht="18" customHeight="1">
      <x:c r="A5" s="9" t="s">
        <x:v>22</x:v>
      </x:c>
      <x:c r="B5" s="9" t="s">
        <x:v>23</x:v>
      </x:c>
      <x:c r="C5" s="9" t="s">
        <x:v>24</x:v>
      </x:c>
      <x:c r="D5" t="n">
        <x:v>1</x:v>
      </x:c>
    </x:row>
    <x:row r="6" ht="18" customHeight="1">
      <x:c r="A6" s="9" t="s">
        <x:v>25</x:v>
      </x:c>
      <x:c r="B6" s="9" t="s">
        <x:v>26</x:v>
      </x:c>
      <x:c r="C6" s="9" t="s">
        <x:v>24</x:v>
      </x:c>
      <x:c r="D6" t="n">
        <x:v>2</x:v>
      </x:c>
    </x:row>
    <x:row r="7" ht="18" customHeight="1">
      <x:c r="A7" s="9" t="s">
        <x:v>27</x:v>
      </x:c>
      <x:c r="B7" s="9" t="s">
        <x:v>28</x:v>
      </x:c>
      <x:c r="C7" s="9" t="s">
        <x:v>29</x:v>
      </x:c>
      <x:c r="D7" t="n">
        <x:v>3</x:v>
      </x:c>
    </x:row>
    <x:row r="8">
      <x:c r="D8"/>
    </x:row>
    <x:row r="9">
      <x:c r="D9"/>
    </x:row>
    <x:row r="10">
      <x:c r="D10"/>
    </x:row>
    <x:row r="11">
      <x:c r="D11"/>
    </x:row>
    <x:row r="12">
      <x:c r="D12"/>
    </x:row>
    <x:row r="13">
      <x:c r="D13"/>
    </x:row>
    <x:row r="14">
      <x:c r="D14"/>
    </x:row>
    <x:row r="15">
      <x:c r="D15"/>
    </x:row>
    <x:row r="16">
      <x:c r="D16"/>
    </x:row>
    <x:row r="17">
      <x:c r="D17"/>
    </x:row>
    <x:row r="18">
      <x:c r="D18"/>
    </x:row>
    <x:row r="19">
      <x:c r="D19"/>
    </x:row>
    <x:row r="20">
      <x:c r="D20"/>
    </x:row>
    <x:row r="21">
      <x:c r="D21"/>
    </x:row>
    <x:row r="22">
      <x:c r="D22"/>
    </x:row>
    <x:row r="23">
      <x:c r="D23"/>
    </x:row>
    <x:row r="24">
      <x:c r="D24"/>
    </x:row>
    <x:row r="25">
      <x:c r="D25"/>
    </x:row>
    <x:row r="26">
      <x:c r="D26"/>
    </x:row>
    <x:row r="27">
      <x:c r="D27"/>
    </x:row>
    <x:row r="28">
      <x:c r="D28"/>
    </x:row>
    <x:row r="29">
      <x:c r="D29"/>
    </x:row>
    <x:row r="30">
      <x:c r="D30"/>
    </x:row>
    <x:row r="31">
      <x:c r="D31"/>
    </x:row>
    <x:row r="32">
      <x:c r="D32"/>
    </x:row>
    <x:row r="33">
      <x:c r="D33"/>
    </x:row>
    <x:row r="34">
      <x:c r="D34"/>
    </x:row>
    <x:row r="35">
      <x:c r="D35"/>
    </x:row>
    <x:row r="36">
      <x:c r="D36"/>
    </x:row>
    <x:row r="37">
      <x:c r="D37"/>
    </x:row>
    <x:row r="38">
      <x:c r="D38"/>
    </x:row>
    <x:row r="39">
      <x:c r="D39"/>
    </x:row>
    <x:row r="40">
      <x:c r="D40"/>
    </x:row>
    <x:row r="41">
      <x:c r="D41"/>
    </x:row>
    <x:row r="42">
      <x:c r="D42"/>
    </x:row>
    <x:row r="43">
      <x:c r="D43"/>
    </x:row>
    <x:row r="44">
      <x:c r="D44"/>
    </x:row>
    <x:row r="45">
      <x:c r="D45"/>
    </x:row>
    <x:row r="46">
      <x:c r="D46"/>
    </x:row>
    <x:row r="47">
      <x:c r="D47"/>
    </x:row>
    <x:row r="48">
      <x:c r="D48"/>
    </x:row>
    <x:row r="49">
      <x:c r="D49"/>
    </x:row>
    <x:row r="50"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  <x:row r="81">
      <x:c r="D81"/>
    </x:row>
    <x:row r="82">
      <x:c r="D82"/>
    </x:row>
    <x:row r="83">
      <x:c r="D83"/>
    </x:row>
    <x:row r="84">
      <x:c r="D84"/>
    </x:row>
    <x:row r="85">
      <x:c r="D85"/>
    </x:row>
    <x:row r="86">
      <x:c r="D86"/>
    </x:row>
    <x:row r="87">
      <x:c r="D87"/>
    </x:row>
    <x:row r="88">
      <x:c r="D88"/>
    </x:row>
    <x:row r="89">
      <x:c r="D89"/>
    </x:row>
    <x:row r="90">
      <x:c r="D90"/>
    </x:row>
    <x:row r="91">
      <x:c r="D91"/>
    </x:row>
    <x:row r="92">
      <x:c r="D92"/>
    </x:row>
    <x:row r="93">
      <x:c r="D93"/>
    </x:row>
    <x:row r="94">
      <x:c r="D94"/>
    </x:row>
    <x:row r="95">
      <x:c r="D95"/>
    </x:row>
    <x:row r="96">
      <x:c r="D96"/>
    </x:row>
    <x:row r="97">
      <x:c r="D97"/>
    </x:row>
    <x:row r="98">
      <x:c r="D98"/>
    </x:row>
    <x:row r="99">
      <x:c r="D99"/>
    </x:row>
    <x:row r="100">
      <x:c r="D100"/>
    </x:row>
  </x:sheetData>
  <x:pageMargins left="0.7" right="0.7" top="0.75" bottom="0.75" header="0.3" footer="0.3"/>
  <x:tableParts count="1">
    <x:tablePart xmlns:r="http://schemas.openxmlformats.org/officeDocument/2006/relationships" r:id="Rbf9c7a61d3b94c72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  <x:col min="3" max="3" width="14" customWidth="1"/>
    <x:col min="4" max="4" width="16" customWidth="1"/>
  </x:cols>
  <x:sheetData>
    <x:row r="1" ht="24" customHeight="1">
      <x:c r="A1" s="1" t="s">
        <x:v>30</x:v>
      </x:c>
    </x:row>
    <x:row r="2" ht="15">
      <x:c r="A2" s="5" t="s">
        <x:v>31</x:v>
      </x:c>
    </x:row>
    <x:row r="3">
      <x:c r="A3" s="6" t="s">
        <x:v>32</x:v>
      </x:c>
    </x:row>
    <x:row r="4" ht="30" customHeight="1">
      <x:c r="A4" s="8" t="s">
        <x:v>33</x:v>
      </x:c>
      <x:c r="B4" s="8" t="s">
        <x:v>34</x:v>
      </x:c>
      <x:c r="C4" s="8" t="s">
        <x:v>35</x:v>
      </x:c>
      <x:c r="D4" s="8" t="s">
        <x:v>19</x:v>
      </x:c>
      <x:c r="E4" s="34" t="str">
        <x:v>ProductKey</x:v>
      </x:c>
    </x:row>
    <x:row r="5" ht="18" customHeight="1">
      <x:c r="A5" s="9" t="s">
        <x:v>36</x:v>
      </x:c>
      <x:c r="B5" s="9" t="s">
        <x:v>37</x:v>
      </x:c>
      <x:c r="C5" s="9" t="s">
        <x:v>38</x:v>
      </x:c>
      <x:c r="D5" s="9" t="s">
        <x:v>22</x:v>
      </x:c>
      <x:c r="E5" t="n">
        <x:v>1</x:v>
      </x:c>
    </x:row>
    <x:row r="6" ht="18" customHeight="1">
      <x:c r="A6" s="9" t="s">
        <x:v>39</x:v>
      </x:c>
      <x:c r="B6" s="9" t="s">
        <x:v>40</x:v>
      </x:c>
      <x:c r="C6" s="9" t="s">
        <x:v>41</x:v>
      </x:c>
      <x:c r="D6" s="9" t="s">
        <x:v>25</x:v>
      </x:c>
      <x:c r="E6" t="n">
        <x:v>2</x:v>
      </x:c>
    </x:row>
    <x:row r="7" ht="18" customHeight="1">
      <x:c r="A7" s="9" t="s">
        <x:v>42</x:v>
      </x:c>
      <x:c r="B7" s="9" t="s">
        <x:v>43</x:v>
      </x:c>
      <x:c r="C7" s="9" t="s">
        <x:v>38</x:v>
      </x:c>
      <x:c r="D7" s="9" t="s">
        <x:v>22</x:v>
      </x:c>
      <x:c r="E7" t="n">
        <x:v>3</x:v>
      </x:c>
    </x:row>
    <x:row r="8">
      <x:c r="E8"/>
    </x:row>
    <x:row r="9">
      <x:c r="E9"/>
    </x:row>
    <x:row r="10">
      <x:c r="E10"/>
    </x:row>
    <x:row r="11">
      <x:c r="E11"/>
    </x:row>
    <x:row r="12">
      <x:c r="E12"/>
    </x:row>
    <x:row r="13">
      <x:c r="E13"/>
    </x:row>
    <x:row r="14">
      <x:c r="E14"/>
    </x:row>
    <x:row r="15"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  <x:row r="21">
      <x:c r="E21"/>
    </x:row>
    <x:row r="22">
      <x:c r="E22"/>
    </x:row>
    <x:row r="23">
      <x:c r="E23"/>
    </x:row>
    <x:row r="24">
      <x:c r="E24"/>
    </x:row>
    <x:row r="25">
      <x:c r="E25"/>
    </x:row>
    <x:row r="26">
      <x:c r="E26"/>
    </x:row>
    <x:row r="27">
      <x:c r="E27"/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  <x:row r="41">
      <x:c r="E41"/>
    </x:row>
    <x:row r="42">
      <x:c r="E42"/>
    </x:row>
    <x:row r="43">
      <x:c r="E43"/>
    </x:row>
    <x:row r="44">
      <x:c r="E44"/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81">
      <x:c r="E81"/>
    </x:row>
    <x:row r="82">
      <x:c r="E82"/>
    </x:row>
    <x:row r="83">
      <x:c r="E83"/>
    </x:row>
    <x:row r="84">
      <x:c r="E84"/>
    </x:row>
    <x:row r="85">
      <x:c r="E85"/>
    </x:row>
    <x:row r="86">
      <x:c r="E86"/>
    </x:row>
    <x:row r="87">
      <x:c r="E87"/>
    </x:row>
    <x:row r="88">
      <x:c r="E88"/>
    </x:row>
    <x:row r="89">
      <x:c r="E89"/>
    </x:row>
    <x:row r="90">
      <x:c r="E90"/>
    </x:row>
    <x:row r="91">
      <x:c r="E91"/>
    </x:row>
    <x:row r="92">
      <x:c r="E92"/>
    </x:row>
    <x:row r="93">
      <x:c r="E93"/>
    </x:row>
    <x:row r="94">
      <x:c r="E94"/>
    </x:row>
    <x:row r="95">
      <x:c r="E95"/>
    </x:row>
    <x:row r="96">
      <x:c r="E96"/>
    </x:row>
    <x:row r="97">
      <x:c r="E97"/>
    </x:row>
    <x:row r="98">
      <x:c r="E98"/>
    </x:row>
    <x:row r="99">
      <x:c r="E99"/>
    </x:row>
    <x:row r="100">
      <x:c r="E100"/>
    </x:row>
  </x:sheetData>
  <x:pageMargins left="0.7" right="0.7" top="0.75" bottom="0.75" header="0.3" footer="0.3"/>
  <x:tableParts count="1">
    <x:tablePart xmlns:r="http://schemas.openxmlformats.org/officeDocument/2006/relationships" r:id="Rd39fe88c5d714da0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0" customWidth="1"/>
    <x:col min="2" max="2" width="18" customWidth="1"/>
    <x:col min="3" max="3" width="16" customWidth="1"/>
    <x:col min="4" max="4" width="20" customWidth="1"/>
  </x:cols>
  <x:sheetData>
    <x:row r="1" ht="24" customHeight="1">
      <x:c r="A1" s="12" t="s">
        <x:v>44</x:v>
      </x:c>
      <x:c r="B1" s="12"/>
      <x:c r="C1" s="12"/>
      <x:c r="D1" s="12"/>
      <x:c r="E1" s="12"/>
    </x:row>
    <x:row r="2" ht="15">
      <x:c r="A2" s="5" t="s">
        <x:v>45</x:v>
      </x:c>
    </x:row>
    <x:row r="3">
      <x:c r="A3" s="6" t="s">
        <x:v>46</x:v>
      </x:c>
    </x:row>
    <x:row r="4" ht="30" customHeight="1">
      <x:c r="A4" s="13" t="s">
        <x:v>47</x:v>
      </x:c>
      <x:c r="B4" s="13" t="s">
        <x:v>33</x:v>
      </x:c>
      <x:c r="C4" s="13" t="s">
        <x:v>19</x:v>
      </x:c>
      <x:c r="D4" s="13" t="s">
        <x:v>48</x:v>
      </x:c>
      <x:c r="E4" s="14" t="s">
        <x:v>49</x:v>
      </x:c>
      <x:c r="F4" s="34" t="str">
        <x:v>OrderKey</x:v>
      </x:c>
    </x:row>
    <x:row r="5" ht="18" customHeight="1">
      <x:c r="A5" s="9" t="s">
        <x:v>50</x:v>
      </x:c>
      <x:c r="B5" s="9" t="s">
        <x:v>36</x:v>
      </x:c>
      <x:c r="C5" s="9" t="s">
        <x:v>22</x:v>
      </x:c>
      <x:c r="D5" s="10">
        <x:v>1548306</x:v>
      </x:c>
      <x:c r="E5" t="str">
        <x:f>IF(A5="","",IF(COUNTIFS(Products!$A$5:$A$100,B5,Products!$D$5:$D$100,C5)=1,"OK","CHECK"))</x:f>
        <x:v>OK</x:v>
      </x:c>
      <x:c r="F5" t="n">
        <x:v>1</x:v>
      </x:c>
    </x:row>
    <x:row r="6" ht="18" customHeight="1">
      <x:c r="A6" s="9" t="s">
        <x:v>51</x:v>
      </x:c>
      <x:c r="B6" s="9" t="s">
        <x:v>42</x:v>
      </x:c>
      <x:c r="C6" s="9" t="s">
        <x:v>22</x:v>
      </x:c>
      <x:c r="D6" s="10">
        <x:v>1050408</x:v>
      </x:c>
      <x:c r="E6" t="str">
        <x:f>IF(A6="","",IF(COUNTIFS(Products!$A$5:$A$100,B6,Products!$D$5:$D$100,C6)=1,"OK","CHECK"))</x:f>
        <x:v>OK</x:v>
      </x:c>
      <x:c r="F6" t="n">
        <x:v>2</x:v>
      </x:c>
    </x:row>
    <x:row r="7" ht="18" customHeight="1">
      <x:c r="A7" s="9" t="s">
        <x:v>52</x:v>
      </x:c>
      <x:c r="B7" s="9" t="s">
        <x:v>36</x:v>
      </x:c>
      <x:c r="C7" s="9" t="s">
        <x:v>22</x:v>
      </x:c>
      <x:c r="D7" s="10">
        <x:v>2448972</x:v>
      </x:c>
      <x:c r="E7" t="str">
        <x:f>IF(A7="","",IF(COUNTIFS(Products!$A$5:$A$100,B7,Products!$D$5:$D$100,C7)=1,"OK","CHECK"))</x:f>
        <x:v>OK</x:v>
      </x:c>
      <x:c r="F7" t="n">
        <x:v>3</x:v>
      </x:c>
    </x:row>
    <x:row r="8" ht="18" customHeight="1">
      <x:c r="A8" s="9" t="s">
        <x:v>53</x:v>
      </x:c>
      <x:c r="B8" s="9" t="s">
        <x:v>39</x:v>
      </x:c>
      <x:c r="C8" s="9" t="s">
        <x:v>25</x:v>
      </x:c>
      <x:c r="D8" s="10">
        <x:v>2732760</x:v>
      </x:c>
      <x:c r="E8" t="str">
        <x:f>IF(A8="","",IF(COUNTIFS(Products!$A$5:$A$100,B8,Products!$D$5:$D$100,C8)=1,"OK","CHECK"))</x:f>
        <x:v>OK</x:v>
      </x:c>
      <x:c r="F8" t="n">
        <x:v>4</x:v>
      </x:c>
    </x:row>
    <x:row r="9" ht="18" customHeight="1">
      <x:c r="A9" s="9" t="s">
        <x:v>54</x:v>
      </x:c>
      <x:c r="B9" s="9" t="s">
        <x:v>42</x:v>
      </x:c>
      <x:c r="C9" s="9" t="s">
        <x:v>22</x:v>
      </x:c>
      <x:c r="D9" s="10">
        <x:v>462168</x:v>
      </x:c>
      <x:c r="E9" t="str">
        <x:f>IF(A9="","",IF(COUNTIFS(Products!$A$5:$A$100,B9,Products!$D$5:$D$100,C9)=1,"OK","CHECK"))</x:f>
        <x:v>OK</x:v>
      </x:c>
      <x:c r="F9" t="n">
        <x:v>5</x:v>
      </x:c>
    </x:row>
    <x:row r="10" ht="18" customHeight="1">
      <x:c r="A10" s="9" t="s">
        <x:v>55</x:v>
      </x:c>
      <x:c r="B10" s="9" t="s">
        <x:v>42</x:v>
      </x:c>
      <x:c r="C10" s="9" t="s">
        <x:v>22</x:v>
      </x:c>
      <x:c r="D10" s="10">
        <x:v>1111476</x:v>
      </x:c>
      <x:c r="E10" t="str">
        <x:f>IF(A10="","",IF(COUNTIFS(Products!$A$5:$A$100,B10,Products!$D$5:$D$100,C10)=1,"OK","CHECK"))</x:f>
        <x:v>OK</x:v>
      </x:c>
      <x:c r="F10" t="n">
        <x:v>6</x:v>
      </x:c>
    </x:row>
    <x:row r="11" ht="18" customHeight="1">
      <x:c r="A11" s="9" t="s">
        <x:v>56</x:v>
      </x:c>
      <x:c r="B11" s="9" t="s">
        <x:v>39</x:v>
      </x:c>
      <x:c r="C11" s="9" t="s">
        <x:v>25</x:v>
      </x:c>
      <x:c r="D11" s="10">
        <x:v>2712264</x:v>
      </x:c>
      <x:c r="E11" t="str">
        <x:f>IF(A11="","",IF(COUNTIFS(Products!$A$5:$A$100,B11,Products!$D$5:$D$100,C11)=1,"OK","CHECK"))</x:f>
        <x:v>OK</x:v>
      </x:c>
      <x:c r="F11" t="n">
        <x:v>7</x:v>
      </x:c>
    </x:row>
    <x:row r="12" ht="18" customHeight="1">
      <x:c r="A12" s="9" t="s">
        <x:v>57</x:v>
      </x:c>
      <x:c r="B12" s="9" t="s">
        <x:v>36</x:v>
      </x:c>
      <x:c r="C12" s="9" t="s">
        <x:v>22</x:v>
      </x:c>
      <x:c r="D12" s="10">
        <x:v>3348843</x:v>
      </x:c>
      <x:c r="E12" t="str">
        <x:f>IF(A12="","",IF(COUNTIFS(Products!$A$5:$A$100,B12,Products!$D$5:$D$100,C12)=1,"OK","CHECK"))</x:f>
        <x:v>OK</x:v>
      </x:c>
      <x:c r="F12" t="n">
        <x:v>8</x:v>
      </x:c>
    </x:row>
    <x:row r="13" ht="18" customHeight="1">
      <x:c r="A13" s="9" t="s">
        <x:v>58</x:v>
      </x:c>
      <x:c r="B13" s="9" t="s">
        <x:v>42</x:v>
      </x:c>
      <x:c r="C13" s="9" t="s">
        <x:v>22</x:v>
      </x:c>
      <x:c r="D13" s="10">
        <x:v>1243871</x:v>
      </x:c>
      <x:c r="E13" t="str">
        <x:f>IF(A13="","",IF(COUNTIFS(Products!$A$5:$A$100,B13,Products!$D$5:$D$100,C13)=1,"OK","CHECK"))</x:f>
        <x:v>OK</x:v>
      </x:c>
      <x:c r="F13" t="n">
        <x:v>9</x:v>
      </x:c>
    </x:row>
    <x:row r="14" ht="18" customHeight="1">
      <x:c r="A14" s="9" t="s">
        <x:v>59</x:v>
      </x:c>
      <x:c r="B14" s="9" t="s">
        <x:v>42</x:v>
      </x:c>
      <x:c r="C14" s="9" t="s">
        <x:v>22</x:v>
      </x:c>
      <x:c r="D14" s="10">
        <x:v>1907410</x:v>
      </x:c>
      <x:c r="E14" t="str">
        <x:f>IF(A14="","",IF(COUNTIFS(Products!$A$5:$A$100,B14,Products!$D$5:$D$100,C14)=1,"OK","CHECK"))</x:f>
        <x:v>OK</x:v>
      </x:c>
      <x:c r="F14" t="n">
        <x:v>10</x:v>
      </x:c>
    </x:row>
    <x:row r="15" ht="18" customHeight="1">
      <x:c r="A15" s="9" t="s">
        <x:v>60</x:v>
      </x:c>
      <x:c r="B15" s="9" t="s">
        <x:v>39</x:v>
      </x:c>
      <x:c r="C15" s="9" t="s">
        <x:v>25</x:v>
      </x:c>
      <x:c r="D15" s="10">
        <x:v>4150713</x:v>
      </x:c>
      <x:c r="E15" t="str">
        <x:f>IF(A15="","",IF(COUNTIFS(Products!$A$5:$A$100,B15,Products!$D$5:$D$100,C15)=1,"OK","CHECK"))</x:f>
        <x:v>OK</x:v>
      </x:c>
      <x:c r="F15" t="n">
        <x:v>11</x:v>
      </x:c>
    </x:row>
    <x:row r="16" ht="18" customHeight="1">
      <x:c r="A16" s="9" t="s">
        <x:v>61</x:v>
      </x:c>
      <x:c r="B16" s="9" t="s">
        <x:v>36</x:v>
      </x:c>
      <x:c r="C16" s="9" t="s">
        <x:v>22</x:v>
      </x:c>
      <x:c r="D16" s="10">
        <x:v>2296749</x:v>
      </x:c>
      <x:c r="E16" t="str">
        <x:f>IF(A16="","",IF(COUNTIFS(Products!$A$5:$A$100,B16,Products!$D$5:$D$100,C16)=1,"OK","CHECK"))</x:f>
        <x:v>OK</x:v>
      </x:c>
      <x:c r="F16" t="n">
        <x:v>12</x:v>
      </x:c>
    </x:row>
    <x:row r="17" ht="18" customHeight="1">
      <x:c r="A17" s="9" t="s">
        <x:v>62</x:v>
      </x:c>
      <x:c r="B17" s="9" t="s">
        <x:v>42</x:v>
      </x:c>
      <x:c r="C17" s="9" t="s">
        <x:v>22</x:v>
      </x:c>
      <x:c r="D17" s="10">
        <x:v>953813</x:v>
      </x:c>
      <x:c r="E17" t="str">
        <x:f>IF(A17="","",IF(COUNTIFS(Products!$A$5:$A$100,B17,Products!$D$5:$D$100,C17)=1,"OK","CHECK"))</x:f>
        <x:v>OK</x:v>
      </x:c>
      <x:c r="F17" t="n">
        <x:v>13</x:v>
      </x:c>
    </x:row>
    <x:row r="18" ht="18" customHeight="1">
      <x:c r="A18" s="9" t="s">
        <x:v>63</x:v>
      </x:c>
      <x:c r="B18" s="9" t="s">
        <x:v>42</x:v>
      </x:c>
      <x:c r="C18" s="9" t="s">
        <x:v>22</x:v>
      </x:c>
      <x:c r="D18" s="10">
        <x:v>1203753</x:v>
      </x:c>
      <x:c r="E18" t="str">
        <x:f>IF(A18="","",IF(COUNTIFS(Products!$A$5:$A$100,B18,Products!$D$5:$D$100,C18)=1,"OK","CHECK"))</x:f>
        <x:v>OK</x:v>
      </x:c>
      <x:c r="F18" t="n">
        <x:v>14</x:v>
      </x:c>
    </x:row>
    <x:row r="19" ht="18" customHeight="1">
      <x:c r="A19" s="9" t="s">
        <x:v>64</x:v>
      </x:c>
      <x:c r="B19" s="9" t="s">
        <x:v>36</x:v>
      </x:c>
      <x:c r="C19" s="9" t="s">
        <x:v>22</x:v>
      </x:c>
      <x:c r="D19" s="10">
        <x:v>1467677</x:v>
      </x:c>
      <x:c r="E19" t="str">
        <x:f>IF(A19="","",IF(COUNTIFS(Products!$A$5:$A$100,B19,Products!$D$5:$D$100,C19)=1,"OK","CHECK"))</x:f>
        <x:v>OK</x:v>
      </x:c>
      <x:c r="F19" t="n">
        <x:v>15</x:v>
      </x:c>
    </x:row>
    <x:row r="20" ht="18" customHeight="1">
      <x:c r="E20" t="str">
        <x:f>IF(A20="","",IF(COUNTIFS(Products!$A$5:$A$100,B20,Products!$D$5:$D$100,C20)=1,"OK","CHECK"))</x:f>
      </x:c>
      <x:c r="F20"/>
    </x:row>
    <x:row r="21" ht="18" customHeight="1">
      <x:c r="E21" t="str">
        <x:f>IF(A21="","",IF(COUNTIFS(Products!$A$5:$A$100,B21,Products!$D$5:$D$100,C21)=1,"OK","CHECK"))</x:f>
      </x:c>
      <x:c r="F21"/>
    </x:row>
    <x:row r="22" ht="18" customHeight="1">
      <x:c r="E22" t="str">
        <x:f>IF(A22="","",IF(COUNTIFS(Products!$A$5:$A$100,B22,Products!$D$5:$D$100,C22)=1,"OK","CHECK"))</x:f>
      </x:c>
      <x:c r="F22"/>
    </x:row>
    <x:row r="23" ht="18" customHeight="1">
      <x:c r="E23" t="str">
        <x:f>IF(A23="","",IF(COUNTIFS(Products!$A$5:$A$100,B23,Products!$D$5:$D$100,C23)=1,"OK","CHECK"))</x:f>
      </x:c>
      <x:c r="F23"/>
    </x:row>
    <x:row r="24" ht="18" customHeight="1">
      <x:c r="E24" t="str">
        <x:f>IF(A24="","",IF(COUNTIFS(Products!$A$5:$A$100,B24,Products!$D$5:$D$100,C24)=1,"OK","CHECK"))</x:f>
      </x:c>
      <x:c r="F24"/>
    </x:row>
    <x:row r="25" ht="18" customHeight="1">
      <x:c r="E25" t="str">
        <x:f>IF(A25="","",IF(COUNTIFS(Products!$A$5:$A$100,B25,Products!$D$5:$D$100,C25)=1,"OK","CHECK"))</x:f>
      </x:c>
      <x:c r="F25"/>
    </x:row>
    <x:row r="26" ht="18" customHeight="1">
      <x:c r="E26" t="str">
        <x:f>IF(A26="","",IF(COUNTIFS(Products!$A$5:$A$100,B26,Products!$D$5:$D$100,C26)=1,"OK","CHECK"))</x:f>
      </x:c>
      <x:c r="F26"/>
    </x:row>
    <x:row r="27" ht="18" customHeight="1">
      <x:c r="E27" t="str">
        <x:f>IF(A27="","",IF(COUNTIFS(Products!$A$5:$A$100,B27,Products!$D$5:$D$100,C27)=1,"OK","CHECK"))</x:f>
      </x:c>
      <x:c r="F27"/>
    </x:row>
    <x:row r="28" ht="18" customHeight="1">
      <x:c r="E28" t="str">
        <x:f>IF(A28="","",IF(COUNTIFS(Products!$A$5:$A$100,B28,Products!$D$5:$D$100,C28)=1,"OK","CHECK"))</x:f>
      </x:c>
      <x:c r="F28"/>
    </x:row>
    <x:row r="29" ht="18" customHeight="1">
      <x:c r="E29" t="str">
        <x:f>IF(A29="","",IF(COUNTIFS(Products!$A$5:$A$100,B29,Products!$D$5:$D$100,C29)=1,"OK","CHECK"))</x:f>
      </x:c>
      <x:c r="F29"/>
    </x:row>
    <x:row r="30" ht="18" customHeight="1">
      <x:c r="E30" t="str">
        <x:f>IF(A30="","",IF(COUNTIFS(Products!$A$5:$A$100,B30,Products!$D$5:$D$100,C30)=1,"OK","CHECK"))</x:f>
      </x:c>
      <x:c r="F30"/>
    </x:row>
    <x:row r="31" ht="18" customHeight="1">
      <x:c r="E31" t="str">
        <x:f>IF(A31="","",IF(COUNTIFS(Products!$A$5:$A$100,B31,Products!$D$5:$D$100,C31)=1,"OK","CHECK"))</x:f>
      </x:c>
      <x:c r="F31"/>
    </x:row>
    <x:row r="32" ht="18" customHeight="1">
      <x:c r="E32" t="str">
        <x:f>IF(A32="","",IF(COUNTIFS(Products!$A$5:$A$100,B32,Products!$D$5:$D$100,C32)=1,"OK","CHECK"))</x:f>
      </x:c>
      <x:c r="F32"/>
    </x:row>
    <x:row r="33" ht="18" customHeight="1">
      <x:c r="E33" t="str">
        <x:f>IF(A33="","",IF(COUNTIFS(Products!$A$5:$A$100,B33,Products!$D$5:$D$100,C33)=1,"OK","CHECK"))</x:f>
      </x:c>
      <x:c r="F33"/>
    </x:row>
    <x:row r="34" ht="18" customHeight="1">
      <x:c r="E34" t="str">
        <x:f>IF(A34="","",IF(COUNTIFS(Products!$A$5:$A$100,B34,Products!$D$5:$D$100,C34)=1,"OK","CHECK"))</x:f>
      </x:c>
      <x:c r="F34"/>
    </x:row>
    <x:row r="35" ht="18" customHeight="1">
      <x:c r="E35" t="str">
        <x:f>IF(A35="","",IF(COUNTIFS(Products!$A$5:$A$100,B35,Products!$D$5:$D$100,C35)=1,"OK","CHECK"))</x:f>
      </x:c>
      <x:c r="F35"/>
    </x:row>
    <x:row r="36" ht="18" customHeight="1">
      <x:c r="E36" t="str">
        <x:f>IF(A36="","",IF(COUNTIFS(Products!$A$5:$A$100,B36,Products!$D$5:$D$100,C36)=1,"OK","CHECK"))</x:f>
      </x:c>
      <x:c r="F36"/>
    </x:row>
    <x:row r="37" ht="18" customHeight="1">
      <x:c r="E37" t="str">
        <x:f>IF(A37="","",IF(COUNTIFS(Products!$A$5:$A$100,B37,Products!$D$5:$D$100,C37)=1,"OK","CHECK"))</x:f>
      </x:c>
      <x:c r="F37"/>
    </x:row>
    <x:row r="38" ht="18" customHeight="1">
      <x:c r="E38" t="str">
        <x:f>IF(A38="","",IF(COUNTIFS(Products!$A$5:$A$100,B38,Products!$D$5:$D$100,C38)=1,"OK","CHECK"))</x:f>
      </x:c>
      <x:c r="F38"/>
    </x:row>
    <x:row r="39" ht="18" customHeight="1">
      <x:c r="E39" t="str">
        <x:f>IF(A39="","",IF(COUNTIFS(Products!$A$5:$A$100,B39,Products!$D$5:$D$100,C39)=1,"OK","CHECK"))</x:f>
      </x:c>
      <x:c r="F39"/>
    </x:row>
    <x:row r="40" ht="18" customHeight="1">
      <x:c r="E40" t="str">
        <x:f>IF(A40="","",IF(COUNTIFS(Products!$A$5:$A$100,B40,Products!$D$5:$D$100,C40)=1,"OK","CHECK"))</x:f>
      </x:c>
      <x:c r="F40"/>
    </x:row>
    <x:row r="41" ht="18" customHeight="1">
      <x:c r="E41" t="str">
        <x:f>IF(A41="","",IF(COUNTIFS(Products!$A$5:$A$100,B41,Products!$D$5:$D$100,C41)=1,"OK","CHECK"))</x:f>
      </x:c>
      <x:c r="F41"/>
    </x:row>
    <x:row r="42" ht="18" customHeight="1">
      <x:c r="E42" t="str">
        <x:f>IF(A42="","",IF(COUNTIFS(Products!$A$5:$A$100,B42,Products!$D$5:$D$100,C42)=1,"OK","CHECK"))</x:f>
      </x:c>
      <x:c r="F42"/>
    </x:row>
    <x:row r="43" ht="18" customHeight="1">
      <x:c r="E43" t="str">
        <x:f>IF(A43="","",IF(COUNTIFS(Products!$A$5:$A$100,B43,Products!$D$5:$D$100,C43)=1,"OK","CHECK"))</x:f>
      </x:c>
      <x:c r="F43"/>
    </x:row>
    <x:row r="44" ht="18" customHeight="1">
      <x:c r="E44" t="str">
        <x:f>IF(A44="","",IF(COUNTIFS(Products!$A$5:$A$100,B44,Products!$D$5:$D$100,C44)=1,"OK","CHECK"))</x:f>
      </x:c>
      <x:c r="F44"/>
    </x:row>
    <x:row r="45" ht="18" customHeight="1">
      <x:c r="E45" t="str">
        <x:f>IF(A45="","",IF(COUNTIFS(Products!$A$5:$A$100,B45,Products!$D$5:$D$100,C45)=1,"OK","CHECK"))</x:f>
      </x:c>
      <x:c r="F45"/>
    </x:row>
    <x:row r="46" ht="18" customHeight="1">
      <x:c r="E46" t="str">
        <x:f>IF(A46="","",IF(COUNTIFS(Products!$A$5:$A$100,B46,Products!$D$5:$D$100,C46)=1,"OK","CHECK"))</x:f>
      </x:c>
      <x:c r="F46"/>
    </x:row>
    <x:row r="47" ht="18" customHeight="1">
      <x:c r="E47" t="str">
        <x:f>IF(A47="","",IF(COUNTIFS(Products!$A$5:$A$100,B47,Products!$D$5:$D$100,C47)=1,"OK","CHECK"))</x:f>
      </x:c>
      <x:c r="F47"/>
    </x:row>
    <x:row r="48" ht="18" customHeight="1">
      <x:c r="E48" t="str">
        <x:f>IF(A48="","",IF(COUNTIFS(Products!$A$5:$A$100,B48,Products!$D$5:$D$100,C48)=1,"OK","CHECK"))</x:f>
      </x:c>
      <x:c r="F48"/>
    </x:row>
    <x:row r="49" ht="18" customHeight="1">
      <x:c r="E49" t="str">
        <x:f>IF(A49="","",IF(COUNTIFS(Products!$A$5:$A$100,B49,Products!$D$5:$D$100,C49)=1,"OK","CHECK"))</x:f>
      </x:c>
      <x:c r="F49"/>
    </x:row>
    <x:row r="50" ht="18" customHeight="1">
      <x:c r="E50" t="str">
        <x:f>IF(A50="","",IF(COUNTIFS(Products!$A$5:$A$100,B50,Products!$D$5:$D$100,C50)=1,"OK","CHECK"))</x:f>
      </x:c>
      <x:c r="F50"/>
    </x:row>
    <x:row r="51" ht="18" customHeight="1">
      <x:c r="E51" t="str">
        <x:f>IF(A51="","",IF(COUNTIFS(Products!$A$5:$A$100,B51,Products!$D$5:$D$100,C51)=1,"OK","CHECK"))</x:f>
      </x:c>
      <x:c r="F51"/>
    </x:row>
    <x:row r="52" ht="18" customHeight="1">
      <x:c r="E52" t="str">
        <x:f>IF(A52="","",IF(COUNTIFS(Products!$A$5:$A$100,B52,Products!$D$5:$D$100,C52)=1,"OK","CHECK"))</x:f>
      </x:c>
      <x:c r="F52"/>
    </x:row>
    <x:row r="53" ht="18" customHeight="1">
      <x:c r="E53" t="str">
        <x:f>IF(A53="","",IF(COUNTIFS(Products!$A$5:$A$100,B53,Products!$D$5:$D$100,C53)=1,"OK","CHECK"))</x:f>
      </x:c>
      <x:c r="F53"/>
    </x:row>
    <x:row r="54" ht="18" customHeight="1">
      <x:c r="E54" t="str">
        <x:f>IF(A54="","",IF(COUNTIFS(Products!$A$5:$A$100,B54,Products!$D$5:$D$100,C54)=1,"OK","CHECK"))</x:f>
      </x:c>
      <x:c r="F54"/>
    </x:row>
    <x:row r="55" ht="18" customHeight="1">
      <x:c r="E55" t="str">
        <x:f>IF(A55="","",IF(COUNTIFS(Products!$A$5:$A$100,B55,Products!$D$5:$D$100,C55)=1,"OK","CHECK"))</x:f>
      </x:c>
      <x:c r="F55"/>
    </x:row>
    <x:row r="56" ht="18" customHeight="1">
      <x:c r="E56" t="str">
        <x:f>IF(A56="","",IF(COUNTIFS(Products!$A$5:$A$100,B56,Products!$D$5:$D$100,C56)=1,"OK","CHECK"))</x:f>
      </x:c>
      <x:c r="F56"/>
    </x:row>
    <x:row r="57" ht="18" customHeight="1">
      <x:c r="E57" t="str">
        <x:f>IF(A57="","",IF(COUNTIFS(Products!$A$5:$A$100,B57,Products!$D$5:$D$100,C57)=1,"OK","CHECK"))</x:f>
      </x:c>
      <x:c r="F57"/>
    </x:row>
    <x:row r="58" ht="18" customHeight="1">
      <x:c r="E58" t="str">
        <x:f>IF(A58="","",IF(COUNTIFS(Products!$A$5:$A$100,B58,Products!$D$5:$D$100,C58)=1,"OK","CHECK"))</x:f>
      </x:c>
      <x:c r="F58"/>
    </x:row>
    <x:row r="59" ht="18" customHeight="1">
      <x:c r="E59" t="str">
        <x:f>IF(A59="","",IF(COUNTIFS(Products!$A$5:$A$100,B59,Products!$D$5:$D$100,C59)=1,"OK","CHECK"))</x:f>
      </x:c>
      <x:c r="F59"/>
    </x:row>
    <x:row r="60" ht="18" customHeight="1">
      <x:c r="E60" t="str">
        <x:f>IF(A60="","",IF(COUNTIFS(Products!$A$5:$A$100,B60,Products!$D$5:$D$100,C60)=1,"OK","CHECK"))</x:f>
      </x:c>
      <x:c r="F60"/>
    </x:row>
    <x:row r="61" ht="18" customHeight="1">
      <x:c r="E61" t="str">
        <x:f>IF(A61="","",IF(COUNTIFS(Products!$A$5:$A$100,B61,Products!$D$5:$D$100,C61)=1,"OK","CHECK"))</x:f>
      </x:c>
      <x:c r="F61"/>
    </x:row>
    <x:row r="62" ht="18" customHeight="1">
      <x:c r="E62" t="str">
        <x:f>IF(A62="","",IF(COUNTIFS(Products!$A$5:$A$100,B62,Products!$D$5:$D$100,C62)=1,"OK","CHECK"))</x:f>
      </x:c>
      <x:c r="F62"/>
    </x:row>
    <x:row r="63" ht="18" customHeight="1">
      <x:c r="E63" t="str">
        <x:f>IF(A63="","",IF(COUNTIFS(Products!$A$5:$A$100,B63,Products!$D$5:$D$100,C63)=1,"OK","CHECK"))</x:f>
      </x:c>
      <x:c r="F63"/>
    </x:row>
    <x:row r="64" ht="18" customHeight="1">
      <x:c r="E64" t="str">
        <x:f>IF(A64="","",IF(COUNTIFS(Products!$A$5:$A$100,B64,Products!$D$5:$D$100,C64)=1,"OK","CHECK"))</x:f>
      </x:c>
      <x:c r="F64"/>
    </x:row>
    <x:row r="65" ht="18" customHeight="1">
      <x:c r="E65" t="str">
        <x:f>IF(A65="","",IF(COUNTIFS(Products!$A$5:$A$100,B65,Products!$D$5:$D$100,C65)=1,"OK","CHECK"))</x:f>
      </x:c>
      <x:c r="F65"/>
    </x:row>
    <x:row r="66" ht="18" customHeight="1">
      <x:c r="E66" t="str">
        <x:f>IF(A66="","",IF(COUNTIFS(Products!$A$5:$A$100,B66,Products!$D$5:$D$100,C66)=1,"OK","CHECK"))</x:f>
      </x:c>
      <x:c r="F66"/>
    </x:row>
    <x:row r="67" ht="18" customHeight="1">
      <x:c r="E67" t="str">
        <x:f>IF(A67="","",IF(COUNTIFS(Products!$A$5:$A$100,B67,Products!$D$5:$D$100,C67)=1,"OK","CHECK"))</x:f>
      </x:c>
      <x:c r="F67"/>
    </x:row>
    <x:row r="68" ht="18" customHeight="1">
      <x:c r="E68" t="str">
        <x:f>IF(A68="","",IF(COUNTIFS(Products!$A$5:$A$100,B68,Products!$D$5:$D$100,C68)=1,"OK","CHECK"))</x:f>
      </x:c>
      <x:c r="F68"/>
    </x:row>
    <x:row r="69" ht="18" customHeight="1">
      <x:c r="E69" t="str">
        <x:f>IF(A69="","",IF(COUNTIFS(Products!$A$5:$A$100,B69,Products!$D$5:$D$100,C69)=1,"OK","CHECK"))</x:f>
      </x:c>
      <x:c r="F69"/>
    </x:row>
    <x:row r="70" ht="18" customHeight="1">
      <x:c r="E70" t="str">
        <x:f>IF(A70="","",IF(COUNTIFS(Products!$A$5:$A$100,B70,Products!$D$5:$D$100,C70)=1,"OK","CHECK"))</x:f>
      </x:c>
      <x:c r="F70"/>
    </x:row>
    <x:row r="71" ht="18" customHeight="1">
      <x:c r="E71" t="str">
        <x:f>IF(A71="","",IF(COUNTIFS(Products!$A$5:$A$100,B71,Products!$D$5:$D$100,C71)=1,"OK","CHECK"))</x:f>
      </x:c>
      <x:c r="F71"/>
    </x:row>
    <x:row r="72" ht="18" customHeight="1">
      <x:c r="E72" t="str">
        <x:f>IF(A72="","",IF(COUNTIFS(Products!$A$5:$A$100,B72,Products!$D$5:$D$100,C72)=1,"OK","CHECK"))</x:f>
      </x:c>
      <x:c r="F72"/>
    </x:row>
    <x:row r="73" ht="18" customHeight="1">
      <x:c r="E73" t="str">
        <x:f>IF(A73="","",IF(COUNTIFS(Products!$A$5:$A$100,B73,Products!$D$5:$D$100,C73)=1,"OK","CHECK"))</x:f>
      </x:c>
      <x:c r="F73"/>
    </x:row>
    <x:row r="74" ht="18" customHeight="1">
      <x:c r="E74" t="str">
        <x:f>IF(A74="","",IF(COUNTIFS(Products!$A$5:$A$100,B74,Products!$D$5:$D$100,C74)=1,"OK","CHECK"))</x:f>
      </x:c>
      <x:c r="F74"/>
    </x:row>
    <x:row r="75" ht="18" customHeight="1">
      <x:c r="E75" t="str">
        <x:f>IF(A75="","",IF(COUNTIFS(Products!$A$5:$A$100,B75,Products!$D$5:$D$100,C75)=1,"OK","CHECK"))</x:f>
      </x:c>
      <x:c r="F75"/>
    </x:row>
    <x:row r="76" ht="18" customHeight="1">
      <x:c r="E76" t="str">
        <x:f>IF(A76="","",IF(COUNTIFS(Products!$A$5:$A$100,B76,Products!$D$5:$D$100,C76)=1,"OK","CHECK"))</x:f>
      </x:c>
      <x:c r="F76"/>
    </x:row>
    <x:row r="77" ht="18" customHeight="1">
      <x:c r="E77" t="str">
        <x:f>IF(A77="","",IF(COUNTIFS(Products!$A$5:$A$100,B77,Products!$D$5:$D$100,C77)=1,"OK","CHECK"))</x:f>
      </x:c>
      <x:c r="F77"/>
    </x:row>
    <x:row r="78" ht="18" customHeight="1">
      <x:c r="E78" t="str">
        <x:f>IF(A78="","",IF(COUNTIFS(Products!$A$5:$A$100,B78,Products!$D$5:$D$100,C78)=1,"OK","CHECK"))</x:f>
      </x:c>
      <x:c r="F78"/>
    </x:row>
    <x:row r="79" ht="18" customHeight="1">
      <x:c r="E79" t="str">
        <x:f>IF(A79="","",IF(COUNTIFS(Products!$A$5:$A$100,B79,Products!$D$5:$D$100,C79)=1,"OK","CHECK"))</x:f>
      </x:c>
      <x:c r="F79"/>
    </x:row>
    <x:row r="80" ht="18" customHeight="1">
      <x:c r="E80" t="str">
        <x:f>IF(A80="","",IF(COUNTIFS(Products!$A$5:$A$100,B80,Products!$D$5:$D$100,C80)=1,"OK","CHECK"))</x:f>
      </x:c>
      <x:c r="F80"/>
    </x:row>
    <x:row r="81" ht="18" customHeight="1">
      <x:c r="E81" t="str">
        <x:f>IF(A81="","",IF(COUNTIFS(Products!$A$5:$A$100,B81,Products!$D$5:$D$100,C81)=1,"OK","CHECK"))</x:f>
      </x:c>
      <x:c r="F81"/>
    </x:row>
    <x:row r="82" ht="18" customHeight="1">
      <x:c r="E82" t="str">
        <x:f>IF(A82="","",IF(COUNTIFS(Products!$A$5:$A$100,B82,Products!$D$5:$D$100,C82)=1,"OK","CHECK"))</x:f>
      </x:c>
      <x:c r="F82"/>
    </x:row>
    <x:row r="83" ht="18" customHeight="1">
      <x:c r="E83" t="str">
        <x:f>IF(A83="","",IF(COUNTIFS(Products!$A$5:$A$100,B83,Products!$D$5:$D$100,C83)=1,"OK","CHECK"))</x:f>
      </x:c>
      <x:c r="F83"/>
    </x:row>
    <x:row r="84" ht="18" customHeight="1">
      <x:c r="E84" t="str">
        <x:f>IF(A84="","",IF(COUNTIFS(Products!$A$5:$A$100,B84,Products!$D$5:$D$100,C84)=1,"OK","CHECK"))</x:f>
      </x:c>
      <x:c r="F84"/>
    </x:row>
    <x:row r="85" ht="18" customHeight="1">
      <x:c r="E85" t="str">
        <x:f>IF(A85="","",IF(COUNTIFS(Products!$A$5:$A$100,B85,Products!$D$5:$D$100,C85)=1,"OK","CHECK"))</x:f>
      </x:c>
      <x:c r="F85"/>
    </x:row>
    <x:row r="86" ht="18" customHeight="1">
      <x:c r="E86" t="str">
        <x:f>IF(A86="","",IF(COUNTIFS(Products!$A$5:$A$100,B86,Products!$D$5:$D$100,C86)=1,"OK","CHECK"))</x:f>
      </x:c>
      <x:c r="F86"/>
    </x:row>
    <x:row r="87" ht="18" customHeight="1">
      <x:c r="E87" t="str">
        <x:f>IF(A87="","",IF(COUNTIFS(Products!$A$5:$A$100,B87,Products!$D$5:$D$100,C87)=1,"OK","CHECK"))</x:f>
      </x:c>
      <x:c r="F87"/>
    </x:row>
    <x:row r="88" ht="18" customHeight="1">
      <x:c r="E88" t="str">
        <x:f>IF(A88="","",IF(COUNTIFS(Products!$A$5:$A$100,B88,Products!$D$5:$D$100,C88)=1,"OK","CHECK"))</x:f>
      </x:c>
      <x:c r="F88"/>
    </x:row>
    <x:row r="89" ht="18" customHeight="1">
      <x:c r="E89" t="str">
        <x:f>IF(A89="","",IF(COUNTIFS(Products!$A$5:$A$100,B89,Products!$D$5:$D$100,C89)=1,"OK","CHECK"))</x:f>
      </x:c>
      <x:c r="F89"/>
    </x:row>
    <x:row r="90" ht="18" customHeight="1">
      <x:c r="E90" t="str">
        <x:f>IF(A90="","",IF(COUNTIFS(Products!$A$5:$A$100,B90,Products!$D$5:$D$100,C90)=1,"OK","CHECK"))</x:f>
      </x:c>
      <x:c r="F90"/>
    </x:row>
    <x:row r="91" ht="18" customHeight="1">
      <x:c r="E91" t="str">
        <x:f>IF(A91="","",IF(COUNTIFS(Products!$A$5:$A$100,B91,Products!$D$5:$D$100,C91)=1,"OK","CHECK"))</x:f>
      </x:c>
      <x:c r="F91"/>
    </x:row>
    <x:row r="92" ht="18" customHeight="1">
      <x:c r="E92" t="str">
        <x:f>IF(A92="","",IF(COUNTIFS(Products!$A$5:$A$100,B92,Products!$D$5:$D$100,C92)=1,"OK","CHECK"))</x:f>
      </x:c>
      <x:c r="F92"/>
    </x:row>
    <x:row r="93" ht="18" customHeight="1">
      <x:c r="E93" t="str">
        <x:f>IF(A93="","",IF(COUNTIFS(Products!$A$5:$A$100,B93,Products!$D$5:$D$100,C93)=1,"OK","CHECK"))</x:f>
      </x:c>
      <x:c r="F93"/>
    </x:row>
    <x:row r="94" ht="18" customHeight="1">
      <x:c r="E94" t="str">
        <x:f>IF(A94="","",IF(COUNTIFS(Products!$A$5:$A$100,B94,Products!$D$5:$D$100,C94)=1,"OK","CHECK"))</x:f>
      </x:c>
      <x:c r="F94"/>
    </x:row>
    <x:row r="95" ht="18" customHeight="1">
      <x:c r="E95" t="str">
        <x:f>IF(A95="","",IF(COUNTIFS(Products!$A$5:$A$100,B95,Products!$D$5:$D$100,C95)=1,"OK","CHECK"))</x:f>
      </x:c>
      <x:c r="F95"/>
    </x:row>
    <x:row r="96" ht="18" customHeight="1">
      <x:c r="E96" t="str">
        <x:f>IF(A96="","",IF(COUNTIFS(Products!$A$5:$A$100,B96,Products!$D$5:$D$100,C96)=1,"OK","CHECK"))</x:f>
      </x:c>
      <x:c r="F96"/>
    </x:row>
    <x:row r="97" ht="18" customHeight="1">
      <x:c r="E97" t="str">
        <x:f>IF(A97="","",IF(COUNTIFS(Products!$A$5:$A$100,B97,Products!$D$5:$D$100,C97)=1,"OK","CHECK"))</x:f>
      </x:c>
      <x:c r="F97"/>
    </x:row>
    <x:row r="98" ht="18" customHeight="1">
      <x:c r="E98" t="str">
        <x:f>IF(A98="","",IF(COUNTIFS(Products!$A$5:$A$100,B98,Products!$D$5:$D$100,C98)=1,"OK","CHECK"))</x:f>
      </x:c>
      <x:c r="F98"/>
    </x:row>
    <x:row r="99" ht="18" customHeight="1">
      <x:c r="E99" t="str">
        <x:f>IF(A99="","",IF(COUNTIFS(Products!$A$5:$A$100,B99,Products!$D$5:$D$100,C99)=1,"OK","CHECK"))</x:f>
      </x:c>
      <x:c r="F99"/>
    </x:row>
    <x:row r="100" ht="18" customHeight="1">
      <x:c r="E100" t="str">
        <x:f>IF(A100="","",IF(COUNTIFS(Products!$A$5:$A$100,B100,Products!$D$5:$D$100,C100)=1,"OK","CHECK"))</x:f>
      </x:c>
      <x:c r="F100"/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</x:sheetData>
  <x:pageMargins left="0.7" right="0.7" top="0.75" bottom="0.75" header="0.3" footer="0.3"/>
  <x:tableParts count="1">
    <x:tablePart xmlns:r="http://schemas.openxmlformats.org/officeDocument/2006/relationships" r:id="R94319142d21f4747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65</x:v>
      </x:c>
    </x:row>
    <x:row r="2" ht="15">
      <x:c r="A2" s="5" t="s">
        <x:v>66</x:v>
      </x:c>
    </x:row>
    <x:row r="3">
      <x:c r="A3" s="6" t="s">
        <x:v>67</x:v>
      </x:c>
    </x:row>
    <x:row r="4" ht="30" customHeight="1">
      <x:c r="A4" s="8" t="s">
        <x:v>68</x:v>
      </x:c>
      <x:c r="B4" s="34" t="str">
        <x:v>DefectKey</x:v>
      </x:c>
    </x:row>
    <x:row r="5" ht="18" customHeight="1">
      <x:c r="A5" s="9" t="s">
        <x:v>69</x:v>
      </x:c>
      <x:c r="B5" t="n">
        <x:v>1</x:v>
      </x:c>
    </x:row>
    <x:row r="6" ht="18" customHeight="1">
      <x:c r="A6" s="9" t="s">
        <x:v>70</x:v>
      </x:c>
      <x:c r="B6" t="n">
        <x:v>2</x:v>
      </x:c>
    </x:row>
    <x:row r="7" ht="18" customHeight="1">
      <x:c r="A7" s="9" t="s">
        <x:v>71</x:v>
      </x:c>
      <x:c r="B7" t="n">
        <x:v>3</x:v>
      </x:c>
    </x:row>
    <x:row r="8" ht="18" customHeight="1">
      <x:c r="A8" s="9" t="s">
        <x:v>72</x:v>
      </x:c>
      <x:c r="B8" t="n">
        <x:v>4</x:v>
      </x:c>
    </x:row>
    <x:row r="9" ht="18" customHeight="1">
      <x:c r="A9" s="9" t="s">
        <x:v>73</x:v>
      </x:c>
      <x:c r="B9" t="n">
        <x:v>5</x:v>
      </x:c>
    </x:row>
    <x:row r="10" ht="18" customHeight="1">
      <x:c r="A10" s="9" t="s">
        <x:v>74</x:v>
      </x:c>
      <x:c r="B10" t="n">
        <x:v>6</x:v>
      </x:c>
    </x:row>
    <x:row r="11" ht="18" customHeight="1">
      <x:c r="A11" s="9" t="s">
        <x:v>75</x:v>
      </x:c>
      <x:c r="B11" t="n">
        <x:v>7</x:v>
      </x:c>
    </x:row>
    <x:row r="12" ht="18" customHeight="1">
      <x:c r="A12" s="9" t="s">
        <x:v>76</x:v>
      </x:c>
      <x:c r="B12" t="n">
        <x:v>8</x:v>
      </x:c>
    </x:row>
    <x:row r="13" ht="18" customHeight="1">
      <x:c r="A13" s="9" t="s">
        <x:v>77</x:v>
      </x:c>
      <x:c r="B13" t="n">
        <x:v>9</x:v>
      </x:c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c931a5dcb5fb46c2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78</x:v>
      </x:c>
    </x:row>
    <x:row r="2" ht="15">
      <x:c r="A2" s="5" t="s">
        <x:v>79</x:v>
      </x:c>
    </x:row>
    <x:row r="3">
      <x:c r="A3" s="6" t="s">
        <x:v>67</x:v>
      </x:c>
    </x:row>
    <x:row r="4" ht="30" customHeight="1">
      <x:c r="A4" s="8" t="s">
        <x:v>80</x:v>
      </x:c>
      <x:c r="B4" s="34" t="str">
        <x:v>HEReasonKey</x:v>
      </x:c>
    </x:row>
    <x:row r="5" ht="18" customHeight="1">
      <x:c r="A5" s="9" t="s">
        <x:v>81</x:v>
      </x:c>
      <x:c r="B5" t="n">
        <x:v>1</x:v>
      </x:c>
    </x:row>
    <x:row r="6" ht="18" customHeight="1">
      <x:c r="A6" s="9" t="s">
        <x:v>82</x:v>
      </x:c>
      <x:c r="B6" t="n">
        <x:v>2</x:v>
      </x:c>
    </x:row>
    <x:row r="7" ht="18" customHeight="1">
      <x:c r="A7" s="9" t="s">
        <x:v>83</x:v>
      </x:c>
      <x:c r="B7" t="n">
        <x:v>3</x:v>
      </x:c>
    </x:row>
    <x:row r="8" ht="18" customHeight="1">
      <x:c r="A8" s="9" t="s">
        <x:v>84</x:v>
      </x:c>
      <x:c r="B8" t="n">
        <x:v>4</x:v>
      </x:c>
    </x:row>
    <x:row r="9" ht="18" customHeight="1">
      <x:c r="A9" s="9" t="s">
        <x:v>85</x:v>
      </x:c>
      <x:c r="B9" t="n">
        <x:v>5</x:v>
      </x:c>
    </x:row>
    <x:row r="10" ht="18" customHeight="1">
      <x:c r="A10" s="9" t="s">
        <x:v>86</x:v>
      </x:c>
      <x:c r="B10" t="n">
        <x:v>6</x:v>
      </x:c>
    </x:row>
    <x:row r="11" ht="18" customHeight="1">
      <x:c r="A11" s="9" t="s">
        <x:v>87</x:v>
      </x:c>
      <x:c r="B11" t="n">
        <x:v>7</x:v>
      </x:c>
    </x:row>
    <x:row r="12" ht="18" customHeight="1">
      <x:c r="A12" s="9" t="s">
        <x:v>88</x:v>
      </x:c>
      <x:c r="B12" t="n">
        <x:v>8</x:v>
      </x:c>
    </x:row>
    <x:row r="13" ht="18" customHeight="1">
      <x:c r="A13" s="9" t="s">
        <x:v>89</x:v>
      </x:c>
      <x:c r="B13" t="n">
        <x:v>9</x:v>
      </x:c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928a02eaa7a64e59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90</x:v>
      </x:c>
    </x:row>
    <x:row r="2" ht="15">
      <x:c r="A2" s="5" t="s">
        <x:v>91</x:v>
      </x:c>
    </x:row>
    <x:row r="3">
      <x:c r="A3" s="6" t="s">
        <x:v>67</x:v>
      </x:c>
    </x:row>
    <x:row r="4" ht="30" customHeight="1">
      <x:c r="A4" s="8" t="s">
        <x:v>92</x:v>
      </x:c>
      <x:c r="B4" s="34" t="str">
        <x:v>CEReasonKey</x:v>
      </x:c>
    </x:row>
    <x:row r="5" ht="18" customHeight="1">
      <x:c r="A5" s="9" t="s">
        <x:v>93</x:v>
      </x:c>
      <x:c r="B5" t="n">
        <x:v>1</x:v>
      </x:c>
    </x:row>
    <x:row r="6" ht="18" customHeight="1">
      <x:c r="A6" s="9" t="s">
        <x:v>94</x:v>
      </x:c>
      <x:c r="B6" t="n">
        <x:v>2</x:v>
      </x:c>
    </x:row>
    <x:row r="7" ht="18" customHeight="1">
      <x:c r="A7" s="9" t="s">
        <x:v>95</x:v>
      </x:c>
      <x:c r="B7" t="n">
        <x:v>3</x:v>
      </x:c>
    </x:row>
    <x:row r="8" ht="18" customHeight="1">
      <x:c r="A8" s="9" t="s">
        <x:v>96</x:v>
      </x:c>
      <x:c r="B8" t="n">
        <x:v>4</x:v>
      </x:c>
    </x:row>
    <x:row r="9" ht="18" customHeight="1">
      <x:c r="A9" s="9" t="s">
        <x:v>97</x:v>
      </x:c>
      <x:c r="B9" t="n">
        <x:v>5</x:v>
      </x:c>
    </x:row>
    <x:row r="10" ht="18" customHeight="1">
      <x:c r="A10" s="9" t="s">
        <x:v>98</x:v>
      </x:c>
      <x:c r="B10" t="n">
        <x:v>6</x:v>
      </x:c>
    </x:row>
    <x:row r="11" ht="18" customHeight="1">
      <x:c r="A11" s="9" t="s">
        <x:v>99</x:v>
      </x:c>
      <x:c r="B11" t="n">
        <x:v>7</x:v>
      </x:c>
    </x:row>
    <x:row r="12" ht="18" customHeight="1">
      <x:c r="A12" s="9" t="s">
        <x:v>100</x:v>
      </x:c>
      <x:c r="B12" t="n">
        <x:v>8</x:v>
      </x:c>
    </x:row>
    <x:row r="13" ht="18" customHeight="1">
      <x:c r="A13" s="9" t="s">
        <x:v>101</x:v>
      </x:c>
      <x:c r="B13" t="n">
        <x:v>9</x:v>
      </x:c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d08b7a2145c047ed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102</x:v>
      </x:c>
    </x:row>
    <x:row r="2" ht="15">
      <x:c r="A2" s="5" t="s">
        <x:v>103</x:v>
      </x:c>
    </x:row>
    <x:row r="3">
      <x:c r="A3" s="6" t="s">
        <x:v>67</x:v>
      </x:c>
    </x:row>
    <x:row r="4" ht="30" customHeight="1">
      <x:c r="A4" s="8" t="s">
        <x:v>104</x:v>
      </x:c>
      <x:c r="B4" s="34" t="str">
        <x:v>PalletizerReasonKey</x:v>
      </x:c>
    </x:row>
    <x:row r="5" ht="18" customHeight="1">
      <x:c r="A5" s="9" t="s">
        <x:v>105</x:v>
      </x:c>
      <x:c r="B5" t="n">
        <x:v>1</x:v>
      </x:c>
    </x:row>
    <x:row r="6" ht="18" customHeight="1">
      <x:c r="A6" s="9" t="s">
        <x:v>106</x:v>
      </x:c>
      <x:c r="B6" t="n">
        <x:v>2</x:v>
      </x:c>
    </x:row>
    <x:row r="7" ht="18" customHeight="1">
      <x:c r="A7" s="9" t="s">
        <x:v>107</x:v>
      </x:c>
      <x:c r="B7" t="n">
        <x:v>3</x:v>
      </x:c>
    </x:row>
    <x:row r="8" ht="18" customHeight="1">
      <x:c r="A8" s="9" t="s">
        <x:v>108</x:v>
      </x:c>
      <x:c r="B8" t="n">
        <x:v>4</x:v>
      </x:c>
    </x:row>
    <x:row r="9" ht="18" customHeight="1">
      <x:c r="A9" s="9" t="s">
        <x:v>109</x:v>
      </x:c>
      <x:c r="B9" t="n">
        <x:v>5</x:v>
      </x:c>
    </x:row>
    <x:row r="10" ht="18" customHeight="1">
      <x:c r="A10" s="9" t="s">
        <x:v>110</x:v>
      </x:c>
      <x:c r="B10" t="n">
        <x:v>6</x:v>
      </x:c>
    </x:row>
    <x:row r="11" ht="18" customHeight="1">
      <x:c r="A11" s="9" t="s">
        <x:v>111</x:v>
      </x:c>
      <x:c r="B11" t="n">
        <x:v>7</x:v>
      </x:c>
    </x:row>
    <x:row r="12" ht="18" customHeight="1">
      <x:c r="A12" s="9" t="s">
        <x:v>112</x:v>
      </x:c>
      <x:c r="B12" t="n">
        <x:v>8</x:v>
      </x:c>
    </x:row>
    <x:row r="13" ht="18" customHeight="1">
      <x:c r="A13" s="9" t="s">
        <x:v>113</x:v>
      </x:c>
      <x:c r="B13" t="n">
        <x:v>9</x:v>
      </x:c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393001ec28bb48da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114</x:v>
      </x:c>
    </x:row>
    <x:row r="2" ht="15">
      <x:c r="A2" s="5" t="s">
        <x:v>115</x:v>
      </x:c>
    </x:row>
    <x:row r="3">
      <x:c r="A3" s="6" t="s">
        <x:v>67</x:v>
      </x:c>
    </x:row>
    <x:row r="4" ht="30" customHeight="1">
      <x:c r="A4" s="8" t="s">
        <x:v>116</x:v>
      </x:c>
      <x:c r="B4" s="34" t="str">
        <x:v>ReworkStatusKey</x:v>
      </x:c>
    </x:row>
    <x:row r="5" ht="18" customHeight="1">
      <x:c r="A5" s="9" t="s">
        <x:v>117</x:v>
      </x:c>
      <x:c r="B5" t="n">
        <x:v>1</x:v>
      </x:c>
    </x:row>
    <x:row r="6" ht="18" customHeight="1">
      <x:c r="A6" s="9" t="s">
        <x:v>118</x:v>
      </x:c>
      <x:c r="B6" t="n">
        <x:v>2</x:v>
      </x:c>
    </x:row>
    <x:row r="7">
      <x:c r="B7"/>
    </x:row>
    <x:row r="8">
      <x:c r="B8"/>
    </x:row>
    <x:row r="9">
      <x:c r="B9"/>
    </x:row>
    <x:row r="10">
      <x:c r="B10"/>
    </x:row>
    <x:row r="11">
      <x:c r="B11"/>
    </x:row>
    <x:row r="12">
      <x:c r="B12"/>
    </x:row>
    <x:row r="13">
      <x:c r="B13"/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af10fee92c6c4781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119</x:v>
      </x:c>
    </x:row>
    <x:row r="2" ht="15">
      <x:c r="A2" s="5" t="s">
        <x:v>120</x:v>
      </x:c>
    </x:row>
    <x:row r="3">
      <x:c r="A3" s="6" t="s">
        <x:v>67</x:v>
      </x:c>
    </x:row>
    <x:row r="4" ht="30" customHeight="1">
      <x:c r="A4" s="8" t="s">
        <x:v>121</x:v>
      </x:c>
      <x:c r="B4" s="34" t="str">
        <x:v>CaseKey</x:v>
      </x:c>
    </x:row>
    <x:row r="5" ht="18" customHeight="1">
      <x:c r="A5" s="9" t="s">
        <x:v>122</x:v>
      </x:c>
      <x:c r="B5" t="n">
        <x:v>1</x:v>
      </x:c>
    </x:row>
    <x:row r="6" ht="18" customHeight="1">
      <x:c r="A6" s="9" t="s">
        <x:v>123</x:v>
      </x:c>
      <x:c r="B6" t="n">
        <x:v>2</x:v>
      </x:c>
    </x:row>
    <x:row r="7" ht="18" customHeight="1">
      <x:c r="A7" s="9" t="s">
        <x:v>124</x:v>
      </x:c>
      <x:c r="B7" t="n">
        <x:v>3</x:v>
      </x:c>
    </x:row>
    <x:row r="8">
      <x:c r="B8"/>
    </x:row>
    <x:row r="9">
      <x:c r="B9"/>
    </x:row>
    <x:row r="10">
      <x:c r="B10"/>
    </x:row>
    <x:row r="11">
      <x:c r="B11"/>
    </x:row>
    <x:row r="12">
      <x:c r="B12"/>
    </x:row>
    <x:row r="13">
      <x:c r="B13"/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4ef098d618fe476d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125</x:v>
      </x:c>
    </x:row>
    <x:row r="2" ht="15">
      <x:c r="A2" s="5" t="s">
        <x:v>126</x:v>
      </x:c>
    </x:row>
    <x:row r="3">
      <x:c r="A3" s="6" t="s">
        <x:v>67</x:v>
      </x:c>
    </x:row>
    <x:row r="4" ht="30" customHeight="1">
      <x:c r="A4" s="8" t="s">
        <x:v>127</x:v>
      </x:c>
      <x:c r="B4" s="34" t="str">
        <x:v>CrewKey</x:v>
      </x:c>
    </x:row>
    <x:row r="5" ht="18" customHeight="1">
      <x:c r="A5" s="9" t="s">
        <x:v>128</x:v>
      </x:c>
      <x:c r="B5" t="n">
        <x:v>1</x:v>
      </x:c>
    </x:row>
    <x:row r="6" ht="18" customHeight="1">
      <x:c r="A6" s="9" t="s">
        <x:v>129</x:v>
      </x:c>
      <x:c r="B6" t="n">
        <x:v>2</x:v>
      </x:c>
    </x:row>
    <x:row r="7" ht="18" customHeight="1">
      <x:c r="A7" s="9" t="s">
        <x:v>130</x:v>
      </x:c>
      <x:c r="B7" t="n">
        <x:v>3</x:v>
      </x:c>
    </x:row>
    <x:row r="8">
      <x:c r="B8"/>
    </x:row>
    <x:row r="9">
      <x:c r="B9"/>
    </x:row>
    <x:row r="10">
      <x:c r="B10"/>
    </x:row>
    <x:row r="11">
      <x:c r="B11"/>
    </x:row>
    <x:row r="12">
      <x:c r="B12"/>
    </x:row>
    <x:row r="13">
      <x:c r="B13"/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fd6e810492dd48ec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131</x:v>
      </x:c>
    </x:row>
    <x:row r="2" ht="15">
      <x:c r="A2" s="5" t="s">
        <x:v>132</x:v>
      </x:c>
    </x:row>
    <x:row r="3">
      <x:c r="A3" s="6" t="s">
        <x:v>67</x:v>
      </x:c>
    </x:row>
    <x:row r="4" ht="30" customHeight="1">
      <x:c r="A4" s="8" t="s">
        <x:v>133</x:v>
      </x:c>
      <x:c r="B4" s="34" t="str">
        <x:v>ShiftKey</x:v>
      </x:c>
    </x:row>
    <x:row r="5" ht="18" customHeight="1">
      <x:c r="A5" s="9" t="s">
        <x:v>134</x:v>
      </x:c>
      <x:c r="B5" t="n">
        <x:v>1</x:v>
      </x:c>
    </x:row>
    <x:row r="6" ht="18" customHeight="1">
      <x:c r="A6" s="9" t="s">
        <x:v>135</x:v>
      </x:c>
      <x:c r="B6" t="n">
        <x:v>2</x:v>
      </x:c>
    </x:row>
    <x:row r="7">
      <x:c r="B7"/>
    </x:row>
    <x:row r="8">
      <x:c r="B8"/>
    </x:row>
    <x:row r="9">
      <x:c r="B9"/>
    </x:row>
    <x:row r="10">
      <x:c r="B10"/>
    </x:row>
    <x:row r="11">
      <x:c r="B11"/>
    </x:row>
    <x:row r="12">
      <x:c r="B12"/>
    </x:row>
    <x:row r="13">
      <x:c r="B13"/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  <x:tableParts count="1">
    <x:tablePart xmlns:r="http://schemas.openxmlformats.org/officeDocument/2006/relationships" r:id="R9a9a3bcdad9a438c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" width="16" customWidth="1"/>
    <x:col min="2" max="2" width="14" customWidth="1"/>
    <x:col min="3" max="3" width="16" customWidth="1"/>
  </x:cols>
  <x:sheetData>
    <x:row r="1" ht="24" customHeight="1">
      <x:c r="A1" s="12" t="s">
        <x:v>136</x:v>
      </x:c>
      <x:c r="B1" s="12"/>
      <x:c r="C1" s="12"/>
      <x:c r="D1" s="12"/>
      <x:c r="E1" s="12"/>
      <x:c r="F1" s="12"/>
    </x:row>
    <x:row r="2" ht="15">
      <x:c r="A2" s="5" t="s">
        <x:v>137</x:v>
      </x:c>
    </x:row>
    <x:row r="3">
      <x:c r="A3" s="6" t="s">
        <x:v>138</x:v>
      </x:c>
      <x:c r="D3" t="s">
        <x:v>139</x:v>
      </x:c>
    </x:row>
    <x:row r="4" ht="30" customHeight="1">
      <x:c r="A4" s="13" t="s">
        <x:v>140</x:v>
      </x:c>
      <x:c r="B4" s="13" t="s">
        <x:v>141</x:v>
      </x:c>
      <x:c r="C4" s="13" t="s">
        <x:v>142</x:v>
      </x:c>
      <x:c r="D4" s="14" t="s">
        <x:v>143</x:v>
      </x:c>
      <x:c r="E4" s="14" t="s">
        <x:v>144</x:v>
      </x:c>
      <x:c r="F4" s="14" t="s">
        <x:v>145</x:v>
      </x:c>
      <x:c r="G4" s="34" t="str">
        <x:v>LineKey</x:v>
      </x:c>
      <x:c r="H4" s="34" t="str">
        <x:v>MachineCode</x:v>
      </x:c>
    </x:row>
    <x:row r="5" ht="18" customHeight="1">
      <x:c r="A5" s="9" t="s">
        <x:v>146</x:v>
      </x:c>
      <x:c r="B5" s="9">
        <x:v>21</x:v>
      </x:c>
      <x:c r="C5" s="9" t="s">
        <x:v>147</x:v>
      </x:c>
      <x:c r="D5">
        <x:v>13</x:v>
      </x:c>
      <x:c r="E5">
        <x:v>3</x:v>
      </x:c>
      <x:c r="F5" t="str">
        <x:f>IF(AND(D5&gt;=1,D5&lt;=13,E5&gt;=1,E5&lt;=3),"OK","CHECK")</x:f>
        <x:v>OK</x:v>
      </x:c>
      <x:c r="G5" t="str">
        <x:f>A5&amp;"-L"&amp;TEXT(B5,"00")</x:f>
        <x:v>KG01-L21</x:v>
      </x:c>
      <x:c r="H5" t="str">
        <x:f>"M"&amp;TEXT(B5,"00")</x:f>
        <x:v>M21</x:v>
      </x:c>
    </x:row>
    <x:row r="6" ht="18" customHeight="1">
      <x:c r="A6" s="9" t="s">
        <x:v>146</x:v>
      </x:c>
      <x:c r="B6" s="9">
        <x:v>22</x:v>
      </x:c>
      <x:c r="C6" s="9" t="s">
        <x:v>147</x:v>
      </x:c>
      <x:c r="D6">
        <x:v>13</x:v>
      </x:c>
      <x:c r="E6">
        <x:v>3</x:v>
      </x:c>
      <x:c r="F6" t="str">
        <x:f>IF(AND(D6&gt;=1,D6&lt;=13,E6&gt;=1,E6&lt;=3),"OK","CHECK")</x:f>
        <x:v>OK</x:v>
      </x:c>
      <x:c r="G6" t="str">
        <x:f>A6&amp;"-L"&amp;TEXT(B6,"00")</x:f>
        <x:v>KG01-L22</x:v>
      </x:c>
      <x:c r="H6" t="str">
        <x:f>"M"&amp;TEXT(B6,"00")</x:f>
        <x:v>M22</x:v>
      </x:c>
    </x:row>
    <x:row r="7" ht="18" customHeight="1">
      <x:c r="A7" s="9" t="s">
        <x:v>146</x:v>
      </x:c>
      <x:c r="B7" s="9">
        <x:v>23</x:v>
      </x:c>
      <x:c r="C7" s="9" t="s">
        <x:v>147</x:v>
      </x:c>
      <x:c r="D7">
        <x:v>13</x:v>
      </x:c>
      <x:c r="E7">
        <x:v>3</x:v>
      </x:c>
      <x:c r="F7" t="str">
        <x:f>IF(AND(D7&gt;=1,D7&lt;=13,E7&gt;=1,E7&lt;=3),"OK","CHECK")</x:f>
        <x:v>OK</x:v>
      </x:c>
      <x:c r="G7" t="str">
        <x:f>A7&amp;"-L"&amp;TEXT(B7,"00")</x:f>
        <x:v>KG01-L23</x:v>
      </x:c>
      <x:c r="H7" t="str">
        <x:f>"M"&amp;TEXT(B7,"00")</x:f>
        <x:v>M23</x:v>
      </x:c>
    </x:row>
    <x:row r="8" ht="18" customHeight="1">
      <x:c r="A8" s="9" t="s">
        <x:v>146</x:v>
      </x:c>
      <x:c r="B8" s="9">
        <x:v>24</x:v>
      </x:c>
      <x:c r="C8" s="9" t="s">
        <x:v>147</x:v>
      </x:c>
      <x:c r="D8">
        <x:v>13</x:v>
      </x:c>
      <x:c r="E8">
        <x:v>3</x:v>
      </x:c>
      <x:c r="F8" t="str">
        <x:f>IF(AND(D8&gt;=1,D8&lt;=13,E8&gt;=1,E8&lt;=3),"OK","CHECK")</x:f>
        <x:v>OK</x:v>
      </x:c>
      <x:c r="G8" t="str">
        <x:f>A8&amp;"-L"&amp;TEXT(B8,"00")</x:f>
        <x:v>KG01-L24</x:v>
      </x:c>
      <x:c r="H8" t="str">
        <x:f>"M"&amp;TEXT(B8,"00")</x:f>
        <x:v>M24</x:v>
      </x:c>
    </x:row>
    <x:row r="9" ht="18" customHeight="1">
      <x:c r="A9" s="9" t="s">
        <x:v>146</x:v>
      </x:c>
      <x:c r="B9" s="9">
        <x:v>25</x:v>
      </x:c>
      <x:c r="C9" s="9" t="s">
        <x:v>147</x:v>
      </x:c>
      <x:c r="D9">
        <x:v>13</x:v>
      </x:c>
      <x:c r="E9">
        <x:v>3</x:v>
      </x:c>
      <x:c r="F9" t="str">
        <x:f>IF(AND(D9&gt;=1,D9&lt;=13,E9&gt;=1,E9&lt;=3),"OK","CHECK")</x:f>
        <x:v>OK</x:v>
      </x:c>
      <x:c r="G9" t="str">
        <x:f>A9&amp;"-L"&amp;TEXT(B9,"00")</x:f>
        <x:v>KG01-L25</x:v>
      </x:c>
      <x:c r="H9" t="str">
        <x:f>"M"&amp;TEXT(B9,"00")</x:f>
        <x:v>M25</x:v>
      </x:c>
    </x:row>
  </x:sheetData>
  <x:dataValidations count="1">
    <x:dataValidation sqref="D5:E200">
      <x:formula1>1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8c5e0b962834e7c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2" customWidth="1"/>
    <x:col min="2" max="3" width="16" customWidth="1"/>
  </x:cols>
  <x:sheetData>
    <x:row r="1" ht="24" customHeight="1">
      <x:c r="A1" s="1" t="s">
        <x:v>148</x:v>
      </x:c>
    </x:row>
    <x:row r="2" ht="15">
      <x:c r="A2" s="5" t="s">
        <x:v>149</x:v>
      </x:c>
    </x:row>
    <x:row r="3">
      <x:c r="A3" s="6" t="s">
        <x:v>150</x:v>
      </x:c>
    </x:row>
    <x:row r="4" ht="30" customHeight="1">
      <x:c r="A4" s="8" t="s">
        <x:v>151</x:v>
      </x:c>
      <x:c r="B4" s="8" t="s">
        <x:v>152</x:v>
      </x:c>
      <x:c r="C4" s="8" t="s">
        <x:v>153</x:v>
      </x:c>
      <x:c r="D4" s="34" t="str">
        <x:v>JobChangeTypeKey</x:v>
      </x:c>
    </x:row>
    <x:row r="5" ht="18" customHeight="1">
      <x:c r="A5" s="9" t="s">
        <x:v>154</x:v>
      </x:c>
      <x:c r="B5" s="11">
        <x:v>1.5</x:v>
      </x:c>
      <x:c r="C5" s="11">
        <x:v>0.5</x:v>
      </x:c>
      <x:c r="D5" t="n">
        <x:v>1</x:v>
      </x:c>
    </x:row>
    <x:row r="6" ht="18" customHeight="1">
      <x:c r="A6" s="9" t="s">
        <x:v>155</x:v>
      </x:c>
      <x:c r="B6" s="11">
        <x:v>3</x:v>
      </x:c>
      <x:c r="C6" s="11">
        <x:v>1</x:v>
      </x:c>
      <x:c r="D6" t="n">
        <x:v>2</x:v>
      </x:c>
    </x:row>
    <x:row r="7" ht="18" customHeight="1">
      <x:c r="A7" s="9" t="s">
        <x:v>156</x:v>
      </x:c>
      <x:c r="B7" s="11">
        <x:v>6</x:v>
      </x:c>
      <x:c r="C7" s="11">
        <x:v>2</x:v>
      </x:c>
      <x:c r="D7" t="n">
        <x:v>3</x:v>
      </x:c>
    </x:row>
    <x:row r="8" ht="18" customHeight="1">
      <x:c r="A8" s="9" t="s">
        <x:v>157</x:v>
      </x:c>
      <x:c r="B8" s="11">
        <x:v>8</x:v>
      </x:c>
      <x:c r="C8" s="11">
        <x:v>3</x:v>
      </x:c>
      <x:c r="D8" t="n">
        <x:v>4</x:v>
      </x:c>
    </x:row>
    <x:row r="9">
      <x:c r="D9"/>
    </x:row>
    <x:row r="10">
      <x:c r="D10"/>
    </x:row>
    <x:row r="11">
      <x:c r="D11"/>
    </x:row>
    <x:row r="12">
      <x:c r="D12"/>
    </x:row>
    <x:row r="13">
      <x:c r="D13"/>
    </x:row>
    <x:row r="14">
      <x:c r="D14"/>
    </x:row>
    <x:row r="15">
      <x:c r="D15"/>
    </x:row>
    <x:row r="16">
      <x:c r="D16"/>
    </x:row>
    <x:row r="17">
      <x:c r="D17"/>
    </x:row>
    <x:row r="18">
      <x:c r="D18"/>
    </x:row>
    <x:row r="19">
      <x:c r="D19"/>
    </x:row>
    <x:row r="20">
      <x:c r="D20"/>
    </x:row>
    <x:row r="21">
      <x:c r="D21"/>
    </x:row>
    <x:row r="22">
      <x:c r="D22"/>
    </x:row>
    <x:row r="23">
      <x:c r="D23"/>
    </x:row>
    <x:row r="24">
      <x:c r="D24"/>
    </x:row>
    <x:row r="25">
      <x:c r="D25"/>
    </x:row>
    <x:row r="26">
      <x:c r="D26"/>
    </x:row>
    <x:row r="27">
      <x:c r="D27"/>
    </x:row>
    <x:row r="28">
      <x:c r="D28"/>
    </x:row>
    <x:row r="29">
      <x:c r="D29"/>
    </x:row>
    <x:row r="30">
      <x:c r="D30"/>
    </x:row>
    <x:row r="31">
      <x:c r="D31"/>
    </x:row>
    <x:row r="32">
      <x:c r="D32"/>
    </x:row>
    <x:row r="33">
      <x:c r="D33"/>
    </x:row>
    <x:row r="34">
      <x:c r="D34"/>
    </x:row>
    <x:row r="35">
      <x:c r="D35"/>
    </x:row>
    <x:row r="36">
      <x:c r="D36"/>
    </x:row>
    <x:row r="37">
      <x:c r="D37"/>
    </x:row>
    <x:row r="38">
      <x:c r="D38"/>
    </x:row>
    <x:row r="39">
      <x:c r="D39"/>
    </x:row>
    <x:row r="40">
      <x:c r="D40"/>
    </x:row>
    <x:row r="41">
      <x:c r="D41"/>
    </x:row>
    <x:row r="42">
      <x:c r="D42"/>
    </x:row>
    <x:row r="43">
      <x:c r="D43"/>
    </x:row>
    <x:row r="44">
      <x:c r="D44"/>
    </x:row>
    <x:row r="45">
      <x:c r="D45"/>
    </x:row>
    <x:row r="46">
      <x:c r="D46"/>
    </x:row>
    <x:row r="47">
      <x:c r="D47"/>
    </x:row>
    <x:row r="48">
      <x:c r="D48"/>
    </x:row>
    <x:row r="49">
      <x:c r="D49"/>
    </x:row>
    <x:row r="50"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  <x:row r="81">
      <x:c r="D81"/>
    </x:row>
    <x:row r="82">
      <x:c r="D82"/>
    </x:row>
    <x:row r="83">
      <x:c r="D83"/>
    </x:row>
    <x:row r="84">
      <x:c r="D84"/>
    </x:row>
    <x:row r="85">
      <x:c r="D85"/>
    </x:row>
    <x:row r="86">
      <x:c r="D86"/>
    </x:row>
    <x:row r="87">
      <x:c r="D87"/>
    </x:row>
    <x:row r="88">
      <x:c r="D88"/>
    </x:row>
    <x:row r="89">
      <x:c r="D89"/>
    </x:row>
    <x:row r="90">
      <x:c r="D90"/>
    </x:row>
    <x:row r="91">
      <x:c r="D91"/>
    </x:row>
    <x:row r="92">
      <x:c r="D92"/>
    </x:row>
    <x:row r="93">
      <x:c r="D93"/>
    </x:row>
    <x:row r="94">
      <x:c r="D94"/>
    </x:row>
    <x:row r="95">
      <x:c r="D95"/>
    </x:row>
    <x:row r="96">
      <x:c r="D96"/>
    </x:row>
    <x:row r="97">
      <x:c r="D97"/>
    </x:row>
    <x:row r="98">
      <x:c r="D98"/>
    </x:row>
    <x:row r="99">
      <x:c r="D99"/>
    </x:row>
    <x:row r="100">
      <x:c r="D100"/>
    </x:row>
  </x:sheetData>
  <x:pageMargins left="0.7" right="0.7" top="0.75" bottom="0.75" header="0.3" footer="0.3"/>
  <x:tableParts count="1">
    <x:tablePart xmlns:r="http://schemas.openxmlformats.org/officeDocument/2006/relationships" r:id="R72bd0f878cbf44d7"/>
  </x:tableParts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0" customWidth="1"/>
    <x:col min="3" max="3" width="16" customWidth="1"/>
    <x:col min="4" max="5" width="20" customWidth="1"/>
    <x:col min="6" max="6" width="32" customWidth="1"/>
    <x:col min="7" max="8" width="30" customWidth="1"/>
  </x:cols>
  <x:sheetData>
    <x:row r="1" ht="20.25">
      <x:c r="A1" s="1" t="s">
        <x:v>158</x:v>
      </x:c>
    </x:row>
    <x:row r="2">
      <x:c r="A2" s="6" t="s">
        <x:v>159</x:v>
      </x:c>
    </x:row>
    <x:row r="4" ht="15">
      <x:c r="A4" s="7" t="s">
        <x:v>133</x:v>
      </x:c>
      <x:c r="B4" s="7" t="s">
        <x:v>127</x:v>
      </x:c>
      <x:c r="C4" s="7" t="s">
        <x:v>121</x:v>
      </x:c>
      <x:c r="D4" s="7" t="s">
        <x:v>116</x:v>
      </x:c>
      <x:c r="E4" s="7" t="s">
        <x:v>68</x:v>
      </x:c>
      <x:c r="F4" s="7" t="s">
        <x:v>80</x:v>
      </x:c>
      <x:c r="G4" s="7" t="s">
        <x:v>92</x:v>
      </x:c>
      <x:c r="H4" s="7" t="s">
        <x:v>104</x:v>
      </x:c>
      <x:c r="I4" t="s">
        <x:v>160</x:v>
      </x:c>
      <x:c r="J4" t="s">
        <x:v>161</x:v>
      </x:c>
      <x:c r="K4" t="s">
        <x:v>162</x:v>
      </x:c>
      <x:c r="L4" t="s">
        <x:v>163</x:v>
      </x:c>
    </x:row>
    <x:row r="5">
      <x:c r="A5" t="s">
        <x:v>134</x:v>
      </x:c>
      <x:c r="B5" t="s">
        <x:v>128</x:v>
      </x:c>
      <x:c r="C5" t="s">
        <x:v>122</x:v>
      </x:c>
      <x:c r="D5" t="s">
        <x:v>117</x:v>
      </x:c>
      <x:c r="E5" t="s">
        <x:v>69</x:v>
      </x:c>
      <x:c r="F5" t="s">
        <x:v>81</x:v>
      </x:c>
      <x:c r="G5" t="s">
        <x:v>93</x:v>
      </x:c>
      <x:c r="H5" t="s">
        <x:v>105</x:v>
      </x:c>
      <x:c r="I5" t="s">
        <x:v>164</x:v>
      </x:c>
      <x:c r="J5" t="s">
        <x:v>165</x:v>
      </x:c>
      <x:c r="K5">
        <x:v>0</x:v>
      </x:c>
      <x:c r="L5" t="s">
        <x:v>166</x:v>
      </x:c>
    </x:row>
    <x:row r="6">
      <x:c r="A6" t="s">
        <x:v>135</x:v>
      </x:c>
      <x:c r="B6" t="s">
        <x:v>129</x:v>
      </x:c>
      <x:c r="C6" t="s">
        <x:v>123</x:v>
      </x:c>
      <x:c r="D6" t="s">
        <x:v>118</x:v>
      </x:c>
      <x:c r="E6" t="s">
        <x:v>70</x:v>
      </x:c>
      <x:c r="F6" t="s">
        <x:v>82</x:v>
      </x:c>
      <x:c r="G6" t="s">
        <x:v>94</x:v>
      </x:c>
      <x:c r="H6" t="s">
        <x:v>106</x:v>
      </x:c>
      <x:c r="I6" t="s">
        <x:v>167</x:v>
      </x:c>
      <x:c r="J6" t="s">
        <x:v>168</x:v>
      </x:c>
      <x:c r="K6">
        <x:v>1</x:v>
      </x:c>
      <x:c r="L6" t="s">
        <x:v>169</x:v>
      </x:c>
    </x:row>
    <x:row r="7">
      <x:c r="B7" t="s">
        <x:v>130</x:v>
      </x:c>
      <x:c r="C7" t="s">
        <x:v>124</x:v>
      </x:c>
      <x:c r="E7" t="s">
        <x:v>71</x:v>
      </x:c>
      <x:c r="F7" t="s">
        <x:v>83</x:v>
      </x:c>
      <x:c r="G7" t="s">
        <x:v>95</x:v>
      </x:c>
      <x:c r="H7" t="s">
        <x:v>107</x:v>
      </x:c>
      <x:c r="I7" t="s">
        <x:v>170</x:v>
      </x:c>
      <x:c r="J7" t="s">
        <x:v>123</x:v>
      </x:c>
    </x:row>
    <x:row r="8">
      <x:c r="E8" t="s">
        <x:v>72</x:v>
      </x:c>
      <x:c r="F8" t="s">
        <x:v>84</x:v>
      </x:c>
      <x:c r="G8" t="s">
        <x:v>96</x:v>
      </x:c>
      <x:c r="H8" t="s">
        <x:v>108</x:v>
      </x:c>
      <x:c r="J8" t="s">
        <x:v>171</x:v>
      </x:c>
    </x:row>
    <x:row r="9">
      <x:c r="E9" t="s">
        <x:v>73</x:v>
      </x:c>
      <x:c r="F9" t="s">
        <x:v>85</x:v>
      </x:c>
      <x:c r="G9" t="s">
        <x:v>97</x:v>
      </x:c>
      <x:c r="H9" t="s">
        <x:v>109</x:v>
      </x:c>
      <x:c r="J9" t="s">
        <x:v>172</x:v>
      </x:c>
    </x:row>
    <x:row r="10">
      <x:c r="E10" t="s">
        <x:v>74</x:v>
      </x:c>
      <x:c r="F10" t="s">
        <x:v>86</x:v>
      </x:c>
      <x:c r="G10" t="s">
        <x:v>98</x:v>
      </x:c>
      <x:c r="H10" t="s">
        <x:v>110</x:v>
      </x:c>
      <x:c r="J10" t="s">
        <x:v>173</x:v>
      </x:c>
    </x:row>
    <x:row r="11">
      <x:c r="E11" t="s">
        <x:v>75</x:v>
      </x:c>
      <x:c r="F11" t="s">
        <x:v>87</x:v>
      </x:c>
      <x:c r="G11" t="s">
        <x:v>99</x:v>
      </x:c>
      <x:c r="H11" t="s">
        <x:v>111</x:v>
      </x:c>
    </x:row>
    <x:row r="12">
      <x:c r="E12" t="s">
        <x:v>76</x:v>
      </x:c>
      <x:c r="F12" t="s">
        <x:v>88</x:v>
      </x:c>
      <x:c r="G12" t="s">
        <x:v>100</x:v>
      </x:c>
      <x:c r="H12" t="s">
        <x:v>112</x:v>
      </x:c>
    </x:row>
    <x:row r="13">
      <x:c r="E13" t="s">
        <x:v>77</x:v>
      </x:c>
      <x:c r="F13" t="s">
        <x:v>89</x:v>
      </x:c>
      <x:c r="G13" t="s">
        <x:v>101</x:v>
      </x:c>
      <x:c r="H13" t="s">
        <x:v>113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18.5" customWidth="1"/>
    <x:col min="2" max="2" width="14" customWidth="1"/>
    <x:col min="3" max="3" width="13.625" customWidth="1"/>
    <x:col min="4" max="4" width="16.5" customWidth="1"/>
    <x:col min="5" max="5" width="15.25" customWidth="1"/>
    <x:col min="6" max="6" width="12.625" customWidth="1"/>
    <x:col min="7" max="7" width="25.375" customWidth="1"/>
    <x:col min="8" max="8" width="24" customWidth="1"/>
    <x:col min="9" max="9" width="26.375" customWidth="1"/>
    <x:col min="10" max="10" width="30" customWidth="1"/>
    <x:col min="11" max="11" width="15" customWidth="1"/>
    <x:col min="12" max="12" width="15.625" customWidth="1"/>
  </x:cols>
  <x:sheetData>
    <x:row r="1" ht="18">
      <x:c r="A1" s="12" t="s">
        <x:v>174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t="s">
        <x:v>175</x:v>
      </x:c>
    </x:row>
    <x:row r="4" ht="15">
      <x:c r="A4" s="14" t="s">
        <x:v>176</x:v>
      </x:c>
      <x:c r="B4" s="14" t="s">
        <x:v>140</x:v>
      </x:c>
      <x:c r="C4" s="14" t="s">
        <x:v>141</x:v>
      </x:c>
      <x:c r="D4" s="14" t="s">
        <x:v>177</x:v>
      </x:c>
      <x:c r="E4" s="14" t="s">
        <x:v>178</x:v>
      </x:c>
      <x:c r="F4" s="14" t="s">
        <x:v>160</x:v>
      </x:c>
      <x:c r="G4" s="14" t="s">
        <x:v>179</x:v>
      </x:c>
      <x:c r="H4" s="14" t="s">
        <x:v>180</x:v>
      </x:c>
      <x:c r="I4" s="14" t="s">
        <x:v>143</x:v>
      </x:c>
      <x:c r="J4" s="14" t="s">
        <x:v>144</x:v>
      </x:c>
      <x:c r="K4" s="14" t="s">
        <x:v>181</x:v>
      </x:c>
      <x:c r="L4" s="14" t="s">
        <x:v>182</x:v>
      </x:c>
      <x:c r="M4" s="34" t="str">
        <x:v>AssetKey</x:v>
      </x:c>
    </x:row>
    <x:row r="5">
      <x:c r="A5" t="s">
        <x:v>183</x:v>
      </x:c>
      <x:c r="B5" t="s">
        <x:v>146</x:v>
      </x:c>
      <x:c r="C5">
        <x:v>21</x:v>
      </x:c>
      <x:c r="F5" t="s">
        <x:v>164</x:v>
      </x:c>
      <x:c r="G5" t="s">
        <x:v>184</x:v>
      </x:c>
      <x:c r="I5">
        <x:v>13</x:v>
      </x:c>
      <x:c r="J5">
        <x:v>3</x:v>
      </x:c>
      <x:c r="K5">
        <x:v>1</x:v>
      </x:c>
      <x:c r="L5" t="str">
        <x:f t="shared" ref="L5:L68" si="0">IF(F5="Line",IF(AND(D5="",E5=""),"OK","CHECK"),IF(F5="Section",IF(AND(D5&gt;=1,D5&lt;=I5,E5=""),"OK","CHECK"),IF(F5="Cavity",IF(AND(D5&gt;=1,D5&lt;=I5,E5&gt;=1,E5&lt;=J5),"OK","CHECK"),"CHECK")))</x:f>
        <x:v>OK</x:v>
      </x:c>
      <x:c r="M5" t="n">
        <x:v>1</x:v>
      </x:c>
    </x:row>
    <x:row r="6">
      <x:c r="A6" t="s">
        <x:v>185</x:v>
      </x:c>
      <x:c r="B6" t="s">
        <x:v>146</x:v>
      </x:c>
      <x:c r="C6">
        <x:v>21</x:v>
      </x:c>
      <x:c r="D6">
        <x:v>1</x:v>
      </x:c>
      <x:c r="F6" t="s">
        <x:v>167</x:v>
      </x:c>
      <x:c r="G6" t="s">
        <x:v>186</x:v>
      </x:c>
      <x:c r="H6" t="s">
        <x:v>183</x:v>
      </x:c>
      <x:c r="I6">
        <x:v>13</x:v>
      </x:c>
      <x:c r="J6">
        <x:v>3</x:v>
      </x:c>
      <x:c r="K6">
        <x:v>1</x:v>
      </x:c>
      <x:c r="L6" t="str">
        <x:f t="shared" si="0">IF(F6="Line",IF(AND(D6="",E6=""),"OK","CHECK"),IF(F6="Section",IF(AND(D6&gt;=1,D6&lt;=I6,E6=""),"OK","CHECK"),IF(F6="Cavity",IF(AND(D6&gt;=1,D6&lt;=I6,E6&gt;=1,E6&lt;=J6),"OK","CHECK"),"CHECK")))</x:f>
        <x:v>OK</x:v>
      </x:c>
      <x:c r="M6" t="n">
        <x:v>2</x:v>
      </x:c>
    </x:row>
    <x:row r="7">
      <x:c r="A7" t="s">
        <x:v>187</x:v>
      </x:c>
      <x:c r="B7" t="s">
        <x:v>146</x:v>
      </x:c>
      <x:c r="C7">
        <x:v>21</x:v>
      </x:c>
      <x:c r="D7">
        <x:v>1</x:v>
      </x:c>
      <x:c r="E7">
        <x:v>1</x:v>
      </x:c>
      <x:c r="F7" t="s">
        <x:v>170</x:v>
      </x:c>
      <x:c r="G7" t="s">
        <x:v>188</x:v>
      </x:c>
      <x:c r="H7" t="s">
        <x:v>185</x:v>
      </x:c>
      <x:c r="I7">
        <x:v>13</x:v>
      </x:c>
      <x:c r="J7">
        <x:v>3</x:v>
      </x:c>
      <x:c r="K7">
        <x:v>1</x:v>
      </x:c>
      <x:c r="L7" t="str">
        <x:f t="shared" si="0">IF(F7="Line",IF(AND(D7="",E7=""),"OK","CHECK"),IF(F7="Section",IF(AND(D7&gt;=1,D7&lt;=I7,E7=""),"OK","CHECK"),IF(F7="Cavity",IF(AND(D7&gt;=1,D7&lt;=I7,E7&gt;=1,E7&lt;=J7),"OK","CHECK"),"CHECK")))</x:f>
        <x:v>OK</x:v>
      </x:c>
      <x:c r="M7" t="n">
        <x:v>3</x:v>
      </x:c>
    </x:row>
    <x:row r="8">
      <x:c r="A8" t="s">
        <x:v>189</x:v>
      </x:c>
      <x:c r="B8" t="s">
        <x:v>146</x:v>
      </x:c>
      <x:c r="C8">
        <x:v>21</x:v>
      </x:c>
      <x:c r="D8">
        <x:v>1</x:v>
      </x:c>
      <x:c r="E8">
        <x:v>2</x:v>
      </x:c>
      <x:c r="F8" t="s">
        <x:v>170</x:v>
      </x:c>
      <x:c r="G8" t="s">
        <x:v>190</x:v>
      </x:c>
      <x:c r="H8" t="s">
        <x:v>185</x:v>
      </x:c>
      <x:c r="I8">
        <x:v>13</x:v>
      </x:c>
      <x:c r="J8">
        <x:v>3</x:v>
      </x:c>
      <x:c r="K8">
        <x:v>1</x:v>
      </x:c>
      <x:c r="L8" t="str">
        <x:f t="shared" si="0">IF(F8="Line",IF(AND(D8="",E8=""),"OK","CHECK"),IF(F8="Section",IF(AND(D8&gt;=1,D8&lt;=I8,E8=""),"OK","CHECK"),IF(F8="Cavity",IF(AND(D8&gt;=1,D8&lt;=I8,E8&gt;=1,E8&lt;=J8),"OK","CHECK"),"CHECK")))</x:f>
        <x:v>OK</x:v>
      </x:c>
      <x:c r="M8" t="n">
        <x:v>4</x:v>
      </x:c>
    </x:row>
    <x:row r="9">
      <x:c r="A9" t="s">
        <x:v>191</x:v>
      </x:c>
      <x:c r="B9" t="s">
        <x:v>146</x:v>
      </x:c>
      <x:c r="C9">
        <x:v>21</x:v>
      </x:c>
      <x:c r="D9">
        <x:v>1</x:v>
      </x:c>
      <x:c r="E9">
        <x:v>3</x:v>
      </x:c>
      <x:c r="F9" t="s">
        <x:v>170</x:v>
      </x:c>
      <x:c r="G9" t="s">
        <x:v>192</x:v>
      </x:c>
      <x:c r="H9" t="s">
        <x:v>185</x:v>
      </x:c>
      <x:c r="I9">
        <x:v>13</x:v>
      </x:c>
      <x:c r="J9">
        <x:v>3</x:v>
      </x:c>
      <x:c r="K9">
        <x:v>1</x:v>
      </x:c>
      <x:c r="L9" t="str">
        <x:f t="shared" si="0">IF(F9="Line",IF(AND(D9="",E9=""),"OK","CHECK"),IF(F9="Section",IF(AND(D9&gt;=1,D9&lt;=I9,E9=""),"OK","CHECK"),IF(F9="Cavity",IF(AND(D9&gt;=1,D9&lt;=I9,E9&gt;=1,E9&lt;=J9),"OK","CHECK"),"CHECK")))</x:f>
        <x:v>OK</x:v>
      </x:c>
      <x:c r="M9" t="n">
        <x:v>5</x:v>
      </x:c>
    </x:row>
    <x:row r="10">
      <x:c r="A10" t="s">
        <x:v>193</x:v>
      </x:c>
      <x:c r="B10" t="s">
        <x:v>146</x:v>
      </x:c>
      <x:c r="C10">
        <x:v>21</x:v>
      </x:c>
      <x:c r="D10">
        <x:v>2</x:v>
      </x:c>
      <x:c r="F10" t="s">
        <x:v>167</x:v>
      </x:c>
      <x:c r="G10" t="s">
        <x:v>194</x:v>
      </x:c>
      <x:c r="H10" t="s">
        <x:v>183</x:v>
      </x:c>
      <x:c r="I10">
        <x:v>13</x:v>
      </x:c>
      <x:c r="J10">
        <x:v>3</x:v>
      </x:c>
      <x:c r="K10">
        <x:v>1</x:v>
      </x:c>
      <x:c r="L10" t="str">
        <x:f t="shared" si="0">IF(F10="Line",IF(AND(D10="",E10=""),"OK","CHECK"),IF(F10="Section",IF(AND(D10&gt;=1,D10&lt;=I10,E10=""),"OK","CHECK"),IF(F10="Cavity",IF(AND(D10&gt;=1,D10&lt;=I10,E10&gt;=1,E10&lt;=J10),"OK","CHECK"),"CHECK")))</x:f>
        <x:v>OK</x:v>
      </x:c>
      <x:c r="M10" t="n">
        <x:v>6</x:v>
      </x:c>
    </x:row>
    <x:row r="11">
      <x:c r="A11" t="s">
        <x:v>195</x:v>
      </x:c>
      <x:c r="B11" t="s">
        <x:v>146</x:v>
      </x:c>
      <x:c r="C11">
        <x:v>21</x:v>
      </x:c>
      <x:c r="D11">
        <x:v>2</x:v>
      </x:c>
      <x:c r="E11">
        <x:v>1</x:v>
      </x:c>
      <x:c r="F11" t="s">
        <x:v>170</x:v>
      </x:c>
      <x:c r="G11" t="s">
        <x:v>196</x:v>
      </x:c>
      <x:c r="H11" t="s">
        <x:v>193</x:v>
      </x:c>
      <x:c r="I11">
        <x:v>13</x:v>
      </x:c>
      <x:c r="J11">
        <x:v>3</x:v>
      </x:c>
      <x:c r="K11">
        <x:v>1</x:v>
      </x:c>
      <x:c r="L11" t="str">
        <x:f t="shared" si="0">IF(F11="Line",IF(AND(D11="",E11=""),"OK","CHECK"),IF(F11="Section",IF(AND(D11&gt;=1,D11&lt;=I11,E11=""),"OK","CHECK"),IF(F11="Cavity",IF(AND(D11&gt;=1,D11&lt;=I11,E11&gt;=1,E11&lt;=J11),"OK","CHECK"),"CHECK")))</x:f>
        <x:v>OK</x:v>
      </x:c>
      <x:c r="M11" t="n">
        <x:v>7</x:v>
      </x:c>
    </x:row>
    <x:row r="12">
      <x:c r="A12" t="s">
        <x:v>197</x:v>
      </x:c>
      <x:c r="B12" t="s">
        <x:v>146</x:v>
      </x:c>
      <x:c r="C12">
        <x:v>21</x:v>
      </x:c>
      <x:c r="D12">
        <x:v>2</x:v>
      </x:c>
      <x:c r="E12">
        <x:v>2</x:v>
      </x:c>
      <x:c r="F12" t="s">
        <x:v>170</x:v>
      </x:c>
      <x:c r="G12" t="s">
        <x:v>198</x:v>
      </x:c>
      <x:c r="H12" t="s">
        <x:v>193</x:v>
      </x:c>
      <x:c r="I12">
        <x:v>13</x:v>
      </x:c>
      <x:c r="J12">
        <x:v>3</x:v>
      </x:c>
      <x:c r="K12">
        <x:v>1</x:v>
      </x:c>
      <x:c r="L12" t="str">
        <x:f t="shared" si="0">IF(F12="Line",IF(AND(D12="",E12=""),"OK","CHECK"),IF(F12="Section",IF(AND(D12&gt;=1,D12&lt;=I12,E12=""),"OK","CHECK"),IF(F12="Cavity",IF(AND(D12&gt;=1,D12&lt;=I12,E12&gt;=1,E12&lt;=J12),"OK","CHECK"),"CHECK")))</x:f>
        <x:v>OK</x:v>
      </x:c>
      <x:c r="M12" t="n">
        <x:v>8</x:v>
      </x:c>
    </x:row>
    <x:row r="13">
      <x:c r="A13" t="s">
        <x:v>199</x:v>
      </x:c>
      <x:c r="B13" t="s">
        <x:v>146</x:v>
      </x:c>
      <x:c r="C13">
        <x:v>21</x:v>
      </x:c>
      <x:c r="D13">
        <x:v>2</x:v>
      </x:c>
      <x:c r="E13">
        <x:v>3</x:v>
      </x:c>
      <x:c r="F13" t="s">
        <x:v>170</x:v>
      </x:c>
      <x:c r="G13" t="s">
        <x:v>200</x:v>
      </x:c>
      <x:c r="H13" t="s">
        <x:v>193</x:v>
      </x:c>
      <x:c r="I13">
        <x:v>13</x:v>
      </x:c>
      <x:c r="J13">
        <x:v>3</x:v>
      </x:c>
      <x:c r="K13">
        <x:v>1</x:v>
      </x:c>
      <x:c r="L13" t="str">
        <x:f t="shared" si="0">IF(F13="Line",IF(AND(D13="",E13=""),"OK","CHECK"),IF(F13="Section",IF(AND(D13&gt;=1,D13&lt;=I13,E13=""),"OK","CHECK"),IF(F13="Cavity",IF(AND(D13&gt;=1,D13&lt;=I13,E13&gt;=1,E13&lt;=J13),"OK","CHECK"),"CHECK")))</x:f>
        <x:v>OK</x:v>
      </x:c>
      <x:c r="M13" t="n">
        <x:v>9</x:v>
      </x:c>
    </x:row>
    <x:row r="14">
      <x:c r="A14" t="s">
        <x:v>201</x:v>
      </x:c>
      <x:c r="B14" t="s">
        <x:v>146</x:v>
      </x:c>
      <x:c r="C14">
        <x:v>21</x:v>
      </x:c>
      <x:c r="D14">
        <x:v>3</x:v>
      </x:c>
      <x:c r="F14" t="s">
        <x:v>167</x:v>
      </x:c>
      <x:c r="G14" t="s">
        <x:v>202</x:v>
      </x:c>
      <x:c r="H14" t="s">
        <x:v>183</x:v>
      </x:c>
      <x:c r="I14">
        <x:v>13</x:v>
      </x:c>
      <x:c r="J14">
        <x:v>3</x:v>
      </x:c>
      <x:c r="K14">
        <x:v>1</x:v>
      </x:c>
      <x:c r="L14" t="str">
        <x:f t="shared" si="0">IF(F14="Line",IF(AND(D14="",E14=""),"OK","CHECK"),IF(F14="Section",IF(AND(D14&gt;=1,D14&lt;=I14,E14=""),"OK","CHECK"),IF(F14="Cavity",IF(AND(D14&gt;=1,D14&lt;=I14,E14&gt;=1,E14&lt;=J14),"OK","CHECK"),"CHECK")))</x:f>
        <x:v>OK</x:v>
      </x:c>
      <x:c r="M14" t="n">
        <x:v>10</x:v>
      </x:c>
    </x:row>
    <x:row r="15">
      <x:c r="A15" t="s">
        <x:v>203</x:v>
      </x:c>
      <x:c r="B15" t="s">
        <x:v>146</x:v>
      </x:c>
      <x:c r="C15">
        <x:v>21</x:v>
      </x:c>
      <x:c r="D15">
        <x:v>3</x:v>
      </x:c>
      <x:c r="E15">
        <x:v>1</x:v>
      </x:c>
      <x:c r="F15" t="s">
        <x:v>170</x:v>
      </x:c>
      <x:c r="G15" t="s">
        <x:v>204</x:v>
      </x:c>
      <x:c r="H15" t="s">
        <x:v>201</x:v>
      </x:c>
      <x:c r="I15">
        <x:v>13</x:v>
      </x:c>
      <x:c r="J15">
        <x:v>3</x:v>
      </x:c>
      <x:c r="K15">
        <x:v>1</x:v>
      </x:c>
      <x:c r="L15" t="str">
        <x:f t="shared" si="0">IF(F15="Line",IF(AND(D15="",E15=""),"OK","CHECK"),IF(F15="Section",IF(AND(D15&gt;=1,D15&lt;=I15,E15=""),"OK","CHECK"),IF(F15="Cavity",IF(AND(D15&gt;=1,D15&lt;=I15,E15&gt;=1,E15&lt;=J15),"OK","CHECK"),"CHECK")))</x:f>
        <x:v>OK</x:v>
      </x:c>
      <x:c r="M15" t="n">
        <x:v>11</x:v>
      </x:c>
    </x:row>
    <x:row r="16">
      <x:c r="A16" t="s">
        <x:v>205</x:v>
      </x:c>
      <x:c r="B16" t="s">
        <x:v>146</x:v>
      </x:c>
      <x:c r="C16">
        <x:v>21</x:v>
      </x:c>
      <x:c r="D16">
        <x:v>3</x:v>
      </x:c>
      <x:c r="E16">
        <x:v>2</x:v>
      </x:c>
      <x:c r="F16" t="s">
        <x:v>170</x:v>
      </x:c>
      <x:c r="G16" t="s">
        <x:v>206</x:v>
      </x:c>
      <x:c r="H16" t="s">
        <x:v>201</x:v>
      </x:c>
      <x:c r="I16">
        <x:v>13</x:v>
      </x:c>
      <x:c r="J16">
        <x:v>3</x:v>
      </x:c>
      <x:c r="K16">
        <x:v>1</x:v>
      </x:c>
      <x:c r="L16" t="str">
        <x:f t="shared" si="0">IF(F16="Line",IF(AND(D16="",E16=""),"OK","CHECK"),IF(F16="Section",IF(AND(D16&gt;=1,D16&lt;=I16,E16=""),"OK","CHECK"),IF(F16="Cavity",IF(AND(D16&gt;=1,D16&lt;=I16,E16&gt;=1,E16&lt;=J16),"OK","CHECK"),"CHECK")))</x:f>
        <x:v>OK</x:v>
      </x:c>
      <x:c r="M16" t="n">
        <x:v>12</x:v>
      </x:c>
    </x:row>
    <x:row r="17">
      <x:c r="A17" t="s">
        <x:v>207</x:v>
      </x:c>
      <x:c r="B17" t="s">
        <x:v>146</x:v>
      </x:c>
      <x:c r="C17">
        <x:v>21</x:v>
      </x:c>
      <x:c r="D17">
        <x:v>3</x:v>
      </x:c>
      <x:c r="E17">
        <x:v>3</x:v>
      </x:c>
      <x:c r="F17" t="s">
        <x:v>170</x:v>
      </x:c>
      <x:c r="G17" t="s">
        <x:v>208</x:v>
      </x:c>
      <x:c r="H17" t="s">
        <x:v>201</x:v>
      </x:c>
      <x:c r="I17">
        <x:v>13</x:v>
      </x:c>
      <x:c r="J17">
        <x:v>3</x:v>
      </x:c>
      <x:c r="K17">
        <x:v>1</x:v>
      </x:c>
      <x:c r="L17" t="str">
        <x:f t="shared" si="0">IF(F17="Line",IF(AND(D17="",E17=""),"OK","CHECK"),IF(F17="Section",IF(AND(D17&gt;=1,D17&lt;=I17,E17=""),"OK","CHECK"),IF(F17="Cavity",IF(AND(D17&gt;=1,D17&lt;=I17,E17&gt;=1,E17&lt;=J17),"OK","CHECK"),"CHECK")))</x:f>
        <x:v>OK</x:v>
      </x:c>
      <x:c r="M17" t="n">
        <x:v>13</x:v>
      </x:c>
    </x:row>
    <x:row r="18">
      <x:c r="A18" t="s">
        <x:v>209</x:v>
      </x:c>
      <x:c r="B18" t="s">
        <x:v>146</x:v>
      </x:c>
      <x:c r="C18">
        <x:v>21</x:v>
      </x:c>
      <x:c r="D18">
        <x:v>4</x:v>
      </x:c>
      <x:c r="F18" t="s">
        <x:v>167</x:v>
      </x:c>
      <x:c r="G18" t="s">
        <x:v>210</x:v>
      </x:c>
      <x:c r="H18" t="s">
        <x:v>183</x:v>
      </x:c>
      <x:c r="I18">
        <x:v>13</x:v>
      </x:c>
      <x:c r="J18">
        <x:v>3</x:v>
      </x:c>
      <x:c r="K18">
        <x:v>1</x:v>
      </x:c>
      <x:c r="L18" t="str">
        <x:f t="shared" si="0">IF(F18="Line",IF(AND(D18="",E18=""),"OK","CHECK"),IF(F18="Section",IF(AND(D18&gt;=1,D18&lt;=I18,E18=""),"OK","CHECK"),IF(F18="Cavity",IF(AND(D18&gt;=1,D18&lt;=I18,E18&gt;=1,E18&lt;=J18),"OK","CHECK"),"CHECK")))</x:f>
        <x:v>OK</x:v>
      </x:c>
      <x:c r="M18" t="n">
        <x:v>14</x:v>
      </x:c>
    </x:row>
    <x:row r="19">
      <x:c r="A19" t="s">
        <x:v>211</x:v>
      </x:c>
      <x:c r="B19" t="s">
        <x:v>146</x:v>
      </x:c>
      <x:c r="C19">
        <x:v>21</x:v>
      </x:c>
      <x:c r="D19">
        <x:v>4</x:v>
      </x:c>
      <x:c r="E19">
        <x:v>1</x:v>
      </x:c>
      <x:c r="F19" t="s">
        <x:v>170</x:v>
      </x:c>
      <x:c r="G19" t="s">
        <x:v>212</x:v>
      </x:c>
      <x:c r="H19" t="s">
        <x:v>209</x:v>
      </x:c>
      <x:c r="I19">
        <x:v>13</x:v>
      </x:c>
      <x:c r="J19">
        <x:v>3</x:v>
      </x:c>
      <x:c r="K19">
        <x:v>1</x:v>
      </x:c>
      <x:c r="L19" t="str">
        <x:f t="shared" si="0">IF(F19="Line",IF(AND(D19="",E19=""),"OK","CHECK"),IF(F19="Section",IF(AND(D19&gt;=1,D19&lt;=I19,E19=""),"OK","CHECK"),IF(F19="Cavity",IF(AND(D19&gt;=1,D19&lt;=I19,E19&gt;=1,E19&lt;=J19),"OK","CHECK"),"CHECK")))</x:f>
        <x:v>OK</x:v>
      </x:c>
      <x:c r="M19" t="n">
        <x:v>15</x:v>
      </x:c>
    </x:row>
    <x:row r="20">
      <x:c r="A20" t="s">
        <x:v>213</x:v>
      </x:c>
      <x:c r="B20" t="s">
        <x:v>146</x:v>
      </x:c>
      <x:c r="C20">
        <x:v>21</x:v>
      </x:c>
      <x:c r="D20">
        <x:v>4</x:v>
      </x:c>
      <x:c r="E20">
        <x:v>2</x:v>
      </x:c>
      <x:c r="F20" t="s">
        <x:v>170</x:v>
      </x:c>
      <x:c r="G20" t="s">
        <x:v>214</x:v>
      </x:c>
      <x:c r="H20" t="s">
        <x:v>209</x:v>
      </x:c>
      <x:c r="I20">
        <x:v>13</x:v>
      </x:c>
      <x:c r="J20">
        <x:v>3</x:v>
      </x:c>
      <x:c r="K20">
        <x:v>1</x:v>
      </x:c>
      <x:c r="L20" t="str">
        <x:f t="shared" si="0">IF(F20="Line",IF(AND(D20="",E20=""),"OK","CHECK"),IF(F20="Section",IF(AND(D20&gt;=1,D20&lt;=I20,E20=""),"OK","CHECK"),IF(F20="Cavity",IF(AND(D20&gt;=1,D20&lt;=I20,E20&gt;=1,E20&lt;=J20),"OK","CHECK"),"CHECK")))</x:f>
        <x:v>OK</x:v>
      </x:c>
      <x:c r="M20" t="n">
        <x:v>16</x:v>
      </x:c>
    </x:row>
    <x:row r="21">
      <x:c r="A21" t="s">
        <x:v>215</x:v>
      </x:c>
      <x:c r="B21" t="s">
        <x:v>146</x:v>
      </x:c>
      <x:c r="C21">
        <x:v>21</x:v>
      </x:c>
      <x:c r="D21">
        <x:v>4</x:v>
      </x:c>
      <x:c r="E21">
        <x:v>3</x:v>
      </x:c>
      <x:c r="F21" t="s">
        <x:v>170</x:v>
      </x:c>
      <x:c r="G21" t="s">
        <x:v>216</x:v>
      </x:c>
      <x:c r="H21" t="s">
        <x:v>209</x:v>
      </x:c>
      <x:c r="I21">
        <x:v>13</x:v>
      </x:c>
      <x:c r="J21">
        <x:v>3</x:v>
      </x:c>
      <x:c r="K21">
        <x:v>1</x:v>
      </x:c>
      <x:c r="L21" t="str">
        <x:f t="shared" si="0">IF(F21="Line",IF(AND(D21="",E21=""),"OK","CHECK"),IF(F21="Section",IF(AND(D21&gt;=1,D21&lt;=I21,E21=""),"OK","CHECK"),IF(F21="Cavity",IF(AND(D21&gt;=1,D21&lt;=I21,E21&gt;=1,E21&lt;=J21),"OK","CHECK"),"CHECK")))</x:f>
        <x:v>OK</x:v>
      </x:c>
      <x:c r="M21" t="n">
        <x:v>17</x:v>
      </x:c>
    </x:row>
    <x:row r="22">
      <x:c r="A22" t="s">
        <x:v>217</x:v>
      </x:c>
      <x:c r="B22" t="s">
        <x:v>146</x:v>
      </x:c>
      <x:c r="C22">
        <x:v>21</x:v>
      </x:c>
      <x:c r="D22">
        <x:v>5</x:v>
      </x:c>
      <x:c r="F22" t="s">
        <x:v>167</x:v>
      </x:c>
      <x:c r="G22" t="s">
        <x:v>218</x:v>
      </x:c>
      <x:c r="H22" t="s">
        <x:v>183</x:v>
      </x:c>
      <x:c r="I22">
        <x:v>13</x:v>
      </x:c>
      <x:c r="J22">
        <x:v>3</x:v>
      </x:c>
      <x:c r="K22">
        <x:v>1</x:v>
      </x:c>
      <x:c r="L22" t="str">
        <x:f t="shared" si="0">IF(F22="Line",IF(AND(D22="",E22=""),"OK","CHECK"),IF(F22="Section",IF(AND(D22&gt;=1,D22&lt;=I22,E22=""),"OK","CHECK"),IF(F22="Cavity",IF(AND(D22&gt;=1,D22&lt;=I22,E22&gt;=1,E22&lt;=J22),"OK","CHECK"),"CHECK")))</x:f>
        <x:v>OK</x:v>
      </x:c>
      <x:c r="M22" t="n">
        <x:v>18</x:v>
      </x:c>
    </x:row>
    <x:row r="23">
      <x:c r="A23" t="s">
        <x:v>219</x:v>
      </x:c>
      <x:c r="B23" t="s">
        <x:v>146</x:v>
      </x:c>
      <x:c r="C23">
        <x:v>21</x:v>
      </x:c>
      <x:c r="D23">
        <x:v>5</x:v>
      </x:c>
      <x:c r="E23">
        <x:v>1</x:v>
      </x:c>
      <x:c r="F23" t="s">
        <x:v>170</x:v>
      </x:c>
      <x:c r="G23" t="s">
        <x:v>220</x:v>
      </x:c>
      <x:c r="H23" t="s">
        <x:v>217</x:v>
      </x:c>
      <x:c r="I23">
        <x:v>13</x:v>
      </x:c>
      <x:c r="J23">
        <x:v>3</x:v>
      </x:c>
      <x:c r="K23">
        <x:v>1</x:v>
      </x:c>
      <x:c r="L23" t="str">
        <x:f t="shared" si="0">IF(F23="Line",IF(AND(D23="",E23=""),"OK","CHECK"),IF(F23="Section",IF(AND(D23&gt;=1,D23&lt;=I23,E23=""),"OK","CHECK"),IF(F23="Cavity",IF(AND(D23&gt;=1,D23&lt;=I23,E23&gt;=1,E23&lt;=J23),"OK","CHECK"),"CHECK")))</x:f>
        <x:v>OK</x:v>
      </x:c>
      <x:c r="M23" t="n">
        <x:v>19</x:v>
      </x:c>
    </x:row>
    <x:row r="24">
      <x:c r="A24" t="s">
        <x:v>221</x:v>
      </x:c>
      <x:c r="B24" t="s">
        <x:v>146</x:v>
      </x:c>
      <x:c r="C24">
        <x:v>21</x:v>
      </x:c>
      <x:c r="D24">
        <x:v>5</x:v>
      </x:c>
      <x:c r="E24">
        <x:v>2</x:v>
      </x:c>
      <x:c r="F24" t="s">
        <x:v>170</x:v>
      </x:c>
      <x:c r="G24" t="s">
        <x:v>222</x:v>
      </x:c>
      <x:c r="H24" t="s">
        <x:v>217</x:v>
      </x:c>
      <x:c r="I24">
        <x:v>13</x:v>
      </x:c>
      <x:c r="J24">
        <x:v>3</x:v>
      </x:c>
      <x:c r="K24">
        <x:v>1</x:v>
      </x:c>
      <x:c r="L24" t="str">
        <x:f t="shared" si="0">IF(F24="Line",IF(AND(D24="",E24=""),"OK","CHECK"),IF(F24="Section",IF(AND(D24&gt;=1,D24&lt;=I24,E24=""),"OK","CHECK"),IF(F24="Cavity",IF(AND(D24&gt;=1,D24&lt;=I24,E24&gt;=1,E24&lt;=J24),"OK","CHECK"),"CHECK")))</x:f>
        <x:v>OK</x:v>
      </x:c>
      <x:c r="M24" t="n">
        <x:v>20</x:v>
      </x:c>
    </x:row>
    <x:row r="25">
      <x:c r="A25" t="s">
        <x:v>223</x:v>
      </x:c>
      <x:c r="B25" t="s">
        <x:v>146</x:v>
      </x:c>
      <x:c r="C25">
        <x:v>21</x:v>
      </x:c>
      <x:c r="D25">
        <x:v>5</x:v>
      </x:c>
      <x:c r="E25">
        <x:v>3</x:v>
      </x:c>
      <x:c r="F25" t="s">
        <x:v>170</x:v>
      </x:c>
      <x:c r="G25" t="s">
        <x:v>224</x:v>
      </x:c>
      <x:c r="H25" t="s">
        <x:v>217</x:v>
      </x:c>
      <x:c r="I25">
        <x:v>13</x:v>
      </x:c>
      <x:c r="J25">
        <x:v>3</x:v>
      </x:c>
      <x:c r="K25">
        <x:v>1</x:v>
      </x:c>
      <x:c r="L25" t="str">
        <x:f t="shared" si="0">IF(F25="Line",IF(AND(D25="",E25=""),"OK","CHECK"),IF(F25="Section",IF(AND(D25&gt;=1,D25&lt;=I25,E25=""),"OK","CHECK"),IF(F25="Cavity",IF(AND(D25&gt;=1,D25&lt;=I25,E25&gt;=1,E25&lt;=J25),"OK","CHECK"),"CHECK")))</x:f>
        <x:v>OK</x:v>
      </x:c>
      <x:c r="M25" t="n">
        <x:v>21</x:v>
      </x:c>
    </x:row>
    <x:row r="26">
      <x:c r="A26" t="s">
        <x:v>225</x:v>
      </x:c>
      <x:c r="B26" t="s">
        <x:v>146</x:v>
      </x:c>
      <x:c r="C26">
        <x:v>21</x:v>
      </x:c>
      <x:c r="D26">
        <x:v>6</x:v>
      </x:c>
      <x:c r="F26" t="s">
        <x:v>167</x:v>
      </x:c>
      <x:c r="G26" t="s">
        <x:v>226</x:v>
      </x:c>
      <x:c r="H26" t="s">
        <x:v>183</x:v>
      </x:c>
      <x:c r="I26">
        <x:v>13</x:v>
      </x:c>
      <x:c r="J26">
        <x:v>3</x:v>
      </x:c>
      <x:c r="K26">
        <x:v>1</x:v>
      </x:c>
      <x:c r="L26" t="str">
        <x:f t="shared" si="0">IF(F26="Line",IF(AND(D26="",E26=""),"OK","CHECK"),IF(F26="Section",IF(AND(D26&gt;=1,D26&lt;=I26,E26=""),"OK","CHECK"),IF(F26="Cavity",IF(AND(D26&gt;=1,D26&lt;=I26,E26&gt;=1,E26&lt;=J26),"OK","CHECK"),"CHECK")))</x:f>
        <x:v>OK</x:v>
      </x:c>
      <x:c r="M26" t="n">
        <x:v>22</x:v>
      </x:c>
    </x:row>
    <x:row r="27">
      <x:c r="A27" t="s">
        <x:v>227</x:v>
      </x:c>
      <x:c r="B27" t="s">
        <x:v>146</x:v>
      </x:c>
      <x:c r="C27">
        <x:v>21</x:v>
      </x:c>
      <x:c r="D27">
        <x:v>6</x:v>
      </x:c>
      <x:c r="E27">
        <x:v>1</x:v>
      </x:c>
      <x:c r="F27" t="s">
        <x:v>170</x:v>
      </x:c>
      <x:c r="G27" t="s">
        <x:v>228</x:v>
      </x:c>
      <x:c r="H27" t="s">
        <x:v>225</x:v>
      </x:c>
      <x:c r="I27">
        <x:v>13</x:v>
      </x:c>
      <x:c r="J27">
        <x:v>3</x:v>
      </x:c>
      <x:c r="K27">
        <x:v>1</x:v>
      </x:c>
      <x:c r="L27" t="str">
        <x:f t="shared" si="0">IF(F27="Line",IF(AND(D27="",E27=""),"OK","CHECK"),IF(F27="Section",IF(AND(D27&gt;=1,D27&lt;=I27,E27=""),"OK","CHECK"),IF(F27="Cavity",IF(AND(D27&gt;=1,D27&lt;=I27,E27&gt;=1,E27&lt;=J27),"OK","CHECK"),"CHECK")))</x:f>
        <x:v>OK</x:v>
      </x:c>
      <x:c r="M27" t="n">
        <x:v>23</x:v>
      </x:c>
    </x:row>
    <x:row r="28">
      <x:c r="A28" t="s">
        <x:v>229</x:v>
      </x:c>
      <x:c r="B28" t="s">
        <x:v>146</x:v>
      </x:c>
      <x:c r="C28">
        <x:v>21</x:v>
      </x:c>
      <x:c r="D28">
        <x:v>6</x:v>
      </x:c>
      <x:c r="E28">
        <x:v>2</x:v>
      </x:c>
      <x:c r="F28" t="s">
        <x:v>170</x:v>
      </x:c>
      <x:c r="G28" t="s">
        <x:v>230</x:v>
      </x:c>
      <x:c r="H28" t="s">
        <x:v>225</x:v>
      </x:c>
      <x:c r="I28">
        <x:v>13</x:v>
      </x:c>
      <x:c r="J28">
        <x:v>3</x:v>
      </x:c>
      <x:c r="K28">
        <x:v>1</x:v>
      </x:c>
      <x:c r="L28" t="str">
        <x:f t="shared" si="0">IF(F28="Line",IF(AND(D28="",E28=""),"OK","CHECK"),IF(F28="Section",IF(AND(D28&gt;=1,D28&lt;=I28,E28=""),"OK","CHECK"),IF(F28="Cavity",IF(AND(D28&gt;=1,D28&lt;=I28,E28&gt;=1,E28&lt;=J28),"OK","CHECK"),"CHECK")))</x:f>
        <x:v>OK</x:v>
      </x:c>
      <x:c r="M28" t="n">
        <x:v>24</x:v>
      </x:c>
    </x:row>
    <x:row r="29">
      <x:c r="A29" t="s">
        <x:v>231</x:v>
      </x:c>
      <x:c r="B29" t="s">
        <x:v>146</x:v>
      </x:c>
      <x:c r="C29">
        <x:v>21</x:v>
      </x:c>
      <x:c r="D29">
        <x:v>6</x:v>
      </x:c>
      <x:c r="E29">
        <x:v>3</x:v>
      </x:c>
      <x:c r="F29" t="s">
        <x:v>170</x:v>
      </x:c>
      <x:c r="G29" t="s">
        <x:v>232</x:v>
      </x:c>
      <x:c r="H29" t="s">
        <x:v>225</x:v>
      </x:c>
      <x:c r="I29">
        <x:v>13</x:v>
      </x:c>
      <x:c r="J29">
        <x:v>3</x:v>
      </x:c>
      <x:c r="K29">
        <x:v>1</x:v>
      </x:c>
      <x:c r="L29" t="str">
        <x:f t="shared" si="0">IF(F29="Line",IF(AND(D29="",E29=""),"OK","CHECK"),IF(F29="Section",IF(AND(D29&gt;=1,D29&lt;=I29,E29=""),"OK","CHECK"),IF(F29="Cavity",IF(AND(D29&gt;=1,D29&lt;=I29,E29&gt;=1,E29&lt;=J29),"OK","CHECK"),"CHECK")))</x:f>
        <x:v>OK</x:v>
      </x:c>
      <x:c r="M29" t="n">
        <x:v>25</x:v>
      </x:c>
    </x:row>
    <x:row r="30">
      <x:c r="A30" t="s">
        <x:v>233</x:v>
      </x:c>
      <x:c r="B30" t="s">
        <x:v>146</x:v>
      </x:c>
      <x:c r="C30">
        <x:v>21</x:v>
      </x:c>
      <x:c r="D30">
        <x:v>7</x:v>
      </x:c>
      <x:c r="F30" t="s">
        <x:v>167</x:v>
      </x:c>
      <x:c r="G30" t="s">
        <x:v>234</x:v>
      </x:c>
      <x:c r="H30" t="s">
        <x:v>183</x:v>
      </x:c>
      <x:c r="I30">
        <x:v>13</x:v>
      </x:c>
      <x:c r="J30">
        <x:v>3</x:v>
      </x:c>
      <x:c r="K30">
        <x:v>1</x:v>
      </x:c>
      <x:c r="L30" t="str">
        <x:f t="shared" si="0">IF(F30="Line",IF(AND(D30="",E30=""),"OK","CHECK"),IF(F30="Section",IF(AND(D30&gt;=1,D30&lt;=I30,E30=""),"OK","CHECK"),IF(F30="Cavity",IF(AND(D30&gt;=1,D30&lt;=I30,E30&gt;=1,E30&lt;=J30),"OK","CHECK"),"CHECK")))</x:f>
        <x:v>OK</x:v>
      </x:c>
      <x:c r="M30" t="n">
        <x:v>26</x:v>
      </x:c>
    </x:row>
    <x:row r="31">
      <x:c r="A31" t="s">
        <x:v>235</x:v>
      </x:c>
      <x:c r="B31" t="s">
        <x:v>146</x:v>
      </x:c>
      <x:c r="C31">
        <x:v>21</x:v>
      </x:c>
      <x:c r="D31">
        <x:v>7</x:v>
      </x:c>
      <x:c r="E31">
        <x:v>1</x:v>
      </x:c>
      <x:c r="F31" t="s">
        <x:v>170</x:v>
      </x:c>
      <x:c r="G31" t="s">
        <x:v>236</x:v>
      </x:c>
      <x:c r="H31" t="s">
        <x:v>233</x:v>
      </x:c>
      <x:c r="I31">
        <x:v>13</x:v>
      </x:c>
      <x:c r="J31">
        <x:v>3</x:v>
      </x:c>
      <x:c r="K31">
        <x:v>1</x:v>
      </x:c>
      <x:c r="L31" t="str">
        <x:f t="shared" si="0">IF(F31="Line",IF(AND(D31="",E31=""),"OK","CHECK"),IF(F31="Section",IF(AND(D31&gt;=1,D31&lt;=I31,E31=""),"OK","CHECK"),IF(F31="Cavity",IF(AND(D31&gt;=1,D31&lt;=I31,E31&gt;=1,E31&lt;=J31),"OK","CHECK"),"CHECK")))</x:f>
        <x:v>OK</x:v>
      </x:c>
      <x:c r="M31" t="n">
        <x:v>27</x:v>
      </x:c>
    </x:row>
    <x:row r="32">
      <x:c r="A32" t="s">
        <x:v>237</x:v>
      </x:c>
      <x:c r="B32" t="s">
        <x:v>146</x:v>
      </x:c>
      <x:c r="C32">
        <x:v>21</x:v>
      </x:c>
      <x:c r="D32">
        <x:v>7</x:v>
      </x:c>
      <x:c r="E32">
        <x:v>2</x:v>
      </x:c>
      <x:c r="F32" t="s">
        <x:v>170</x:v>
      </x:c>
      <x:c r="G32" t="s">
        <x:v>238</x:v>
      </x:c>
      <x:c r="H32" t="s">
        <x:v>233</x:v>
      </x:c>
      <x:c r="I32">
        <x:v>13</x:v>
      </x:c>
      <x:c r="J32">
        <x:v>3</x:v>
      </x:c>
      <x:c r="K32">
        <x:v>1</x:v>
      </x:c>
      <x:c r="L32" t="str">
        <x:f t="shared" si="0">IF(F32="Line",IF(AND(D32="",E32=""),"OK","CHECK"),IF(F32="Section",IF(AND(D32&gt;=1,D32&lt;=I32,E32=""),"OK","CHECK"),IF(F32="Cavity",IF(AND(D32&gt;=1,D32&lt;=I32,E32&gt;=1,E32&lt;=J32),"OK","CHECK"),"CHECK")))</x:f>
        <x:v>OK</x:v>
      </x:c>
      <x:c r="M32" t="n">
        <x:v>28</x:v>
      </x:c>
    </x:row>
    <x:row r="33">
      <x:c r="A33" t="s">
        <x:v>239</x:v>
      </x:c>
      <x:c r="B33" t="s">
        <x:v>146</x:v>
      </x:c>
      <x:c r="C33">
        <x:v>21</x:v>
      </x:c>
      <x:c r="D33">
        <x:v>7</x:v>
      </x:c>
      <x:c r="E33">
        <x:v>3</x:v>
      </x:c>
      <x:c r="F33" t="s">
        <x:v>170</x:v>
      </x:c>
      <x:c r="G33" t="s">
        <x:v>240</x:v>
      </x:c>
      <x:c r="H33" t="s">
        <x:v>233</x:v>
      </x:c>
      <x:c r="I33">
        <x:v>13</x:v>
      </x:c>
      <x:c r="J33">
        <x:v>3</x:v>
      </x:c>
      <x:c r="K33">
        <x:v>1</x:v>
      </x:c>
      <x:c r="L33" t="str">
        <x:f t="shared" si="0">IF(F33="Line",IF(AND(D33="",E33=""),"OK","CHECK"),IF(F33="Section",IF(AND(D33&gt;=1,D33&lt;=I33,E33=""),"OK","CHECK"),IF(F33="Cavity",IF(AND(D33&gt;=1,D33&lt;=I33,E33&gt;=1,E33&lt;=J33),"OK","CHECK"),"CHECK")))</x:f>
        <x:v>OK</x:v>
      </x:c>
      <x:c r="M33" t="n">
        <x:v>29</x:v>
      </x:c>
    </x:row>
    <x:row r="34">
      <x:c r="A34" t="s">
        <x:v>241</x:v>
      </x:c>
      <x:c r="B34" t="s">
        <x:v>146</x:v>
      </x:c>
      <x:c r="C34">
        <x:v>21</x:v>
      </x:c>
      <x:c r="D34">
        <x:v>8</x:v>
      </x:c>
      <x:c r="F34" t="s">
        <x:v>167</x:v>
      </x:c>
      <x:c r="G34" t="s">
        <x:v>242</x:v>
      </x:c>
      <x:c r="H34" t="s">
        <x:v>183</x:v>
      </x:c>
      <x:c r="I34">
        <x:v>13</x:v>
      </x:c>
      <x:c r="J34">
        <x:v>3</x:v>
      </x:c>
      <x:c r="K34">
        <x:v>1</x:v>
      </x:c>
      <x:c r="L34" t="str">
        <x:f t="shared" si="0">IF(F34="Line",IF(AND(D34="",E34=""),"OK","CHECK"),IF(F34="Section",IF(AND(D34&gt;=1,D34&lt;=I34,E34=""),"OK","CHECK"),IF(F34="Cavity",IF(AND(D34&gt;=1,D34&lt;=I34,E34&gt;=1,E34&lt;=J34),"OK","CHECK"),"CHECK")))</x:f>
        <x:v>OK</x:v>
      </x:c>
      <x:c r="M34" t="n">
        <x:v>30</x:v>
      </x:c>
    </x:row>
    <x:row r="35">
      <x:c r="A35" t="s">
        <x:v>243</x:v>
      </x:c>
      <x:c r="B35" t="s">
        <x:v>146</x:v>
      </x:c>
      <x:c r="C35">
        <x:v>21</x:v>
      </x:c>
      <x:c r="D35">
        <x:v>8</x:v>
      </x:c>
      <x:c r="E35">
        <x:v>1</x:v>
      </x:c>
      <x:c r="F35" t="s">
        <x:v>170</x:v>
      </x:c>
      <x:c r="G35" t="s">
        <x:v>244</x:v>
      </x:c>
      <x:c r="H35" t="s">
        <x:v>241</x:v>
      </x:c>
      <x:c r="I35">
        <x:v>13</x:v>
      </x:c>
      <x:c r="J35">
        <x:v>3</x:v>
      </x:c>
      <x:c r="K35">
        <x:v>1</x:v>
      </x:c>
      <x:c r="L35" t="str">
        <x:f t="shared" si="0">IF(F35="Line",IF(AND(D35="",E35=""),"OK","CHECK"),IF(F35="Section",IF(AND(D35&gt;=1,D35&lt;=I35,E35=""),"OK","CHECK"),IF(F35="Cavity",IF(AND(D35&gt;=1,D35&lt;=I35,E35&gt;=1,E35&lt;=J35),"OK","CHECK"),"CHECK")))</x:f>
        <x:v>OK</x:v>
      </x:c>
      <x:c r="M35" t="n">
        <x:v>31</x:v>
      </x:c>
    </x:row>
    <x:row r="36">
      <x:c r="A36" t="s">
        <x:v>245</x:v>
      </x:c>
      <x:c r="B36" t="s">
        <x:v>146</x:v>
      </x:c>
      <x:c r="C36">
        <x:v>21</x:v>
      </x:c>
      <x:c r="D36">
        <x:v>8</x:v>
      </x:c>
      <x:c r="E36">
        <x:v>2</x:v>
      </x:c>
      <x:c r="F36" t="s">
        <x:v>170</x:v>
      </x:c>
      <x:c r="G36" t="s">
        <x:v>246</x:v>
      </x:c>
      <x:c r="H36" t="s">
        <x:v>241</x:v>
      </x:c>
      <x:c r="I36">
        <x:v>13</x:v>
      </x:c>
      <x:c r="J36">
        <x:v>3</x:v>
      </x:c>
      <x:c r="K36">
        <x:v>1</x:v>
      </x:c>
      <x:c r="L36" t="str">
        <x:f t="shared" si="0">IF(F36="Line",IF(AND(D36="",E36=""),"OK","CHECK"),IF(F36="Section",IF(AND(D36&gt;=1,D36&lt;=I36,E36=""),"OK","CHECK"),IF(F36="Cavity",IF(AND(D36&gt;=1,D36&lt;=I36,E36&gt;=1,E36&lt;=J36),"OK","CHECK"),"CHECK")))</x:f>
        <x:v>OK</x:v>
      </x:c>
      <x:c r="M36" t="n">
        <x:v>32</x:v>
      </x:c>
    </x:row>
    <x:row r="37">
      <x:c r="A37" t="s">
        <x:v>247</x:v>
      </x:c>
      <x:c r="B37" t="s">
        <x:v>146</x:v>
      </x:c>
      <x:c r="C37">
        <x:v>21</x:v>
      </x:c>
      <x:c r="D37">
        <x:v>8</x:v>
      </x:c>
      <x:c r="E37">
        <x:v>3</x:v>
      </x:c>
      <x:c r="F37" t="s">
        <x:v>170</x:v>
      </x:c>
      <x:c r="G37" t="s">
        <x:v>248</x:v>
      </x:c>
      <x:c r="H37" t="s">
        <x:v>241</x:v>
      </x:c>
      <x:c r="I37">
        <x:v>13</x:v>
      </x:c>
      <x:c r="J37">
        <x:v>3</x:v>
      </x:c>
      <x:c r="K37">
        <x:v>1</x:v>
      </x:c>
      <x:c r="L37" t="str">
        <x:f t="shared" si="0">IF(F37="Line",IF(AND(D37="",E37=""),"OK","CHECK"),IF(F37="Section",IF(AND(D37&gt;=1,D37&lt;=I37,E37=""),"OK","CHECK"),IF(F37="Cavity",IF(AND(D37&gt;=1,D37&lt;=I37,E37&gt;=1,E37&lt;=J37),"OK","CHECK"),"CHECK")))</x:f>
        <x:v>OK</x:v>
      </x:c>
      <x:c r="M37" t="n">
        <x:v>33</x:v>
      </x:c>
    </x:row>
    <x:row r="38">
      <x:c r="A38" t="s">
        <x:v>249</x:v>
      </x:c>
      <x:c r="B38" t="s">
        <x:v>146</x:v>
      </x:c>
      <x:c r="C38">
        <x:v>21</x:v>
      </x:c>
      <x:c r="D38">
        <x:v>9</x:v>
      </x:c>
      <x:c r="F38" t="s">
        <x:v>167</x:v>
      </x:c>
      <x:c r="G38" t="s">
        <x:v>250</x:v>
      </x:c>
      <x:c r="H38" t="s">
        <x:v>183</x:v>
      </x:c>
      <x:c r="I38">
        <x:v>13</x:v>
      </x:c>
      <x:c r="J38">
        <x:v>3</x:v>
      </x:c>
      <x:c r="K38">
        <x:v>1</x:v>
      </x:c>
      <x:c r="L38" t="str">
        <x:f t="shared" si="0">IF(F38="Line",IF(AND(D38="",E38=""),"OK","CHECK"),IF(F38="Section",IF(AND(D38&gt;=1,D38&lt;=I38,E38=""),"OK","CHECK"),IF(F38="Cavity",IF(AND(D38&gt;=1,D38&lt;=I38,E38&gt;=1,E38&lt;=J38),"OK","CHECK"),"CHECK")))</x:f>
        <x:v>OK</x:v>
      </x:c>
      <x:c r="M38" t="n">
        <x:v>34</x:v>
      </x:c>
    </x:row>
    <x:row r="39">
      <x:c r="A39" t="s">
        <x:v>251</x:v>
      </x:c>
      <x:c r="B39" t="s">
        <x:v>146</x:v>
      </x:c>
      <x:c r="C39">
        <x:v>21</x:v>
      </x:c>
      <x:c r="D39">
        <x:v>9</x:v>
      </x:c>
      <x:c r="E39">
        <x:v>1</x:v>
      </x:c>
      <x:c r="F39" t="s">
        <x:v>170</x:v>
      </x:c>
      <x:c r="G39" t="s">
        <x:v>252</x:v>
      </x:c>
      <x:c r="H39" t="s">
        <x:v>249</x:v>
      </x:c>
      <x:c r="I39">
        <x:v>13</x:v>
      </x:c>
      <x:c r="J39">
        <x:v>3</x:v>
      </x:c>
      <x:c r="K39">
        <x:v>1</x:v>
      </x:c>
      <x:c r="L39" t="str">
        <x:f t="shared" si="0">IF(F39="Line",IF(AND(D39="",E39=""),"OK","CHECK"),IF(F39="Section",IF(AND(D39&gt;=1,D39&lt;=I39,E39=""),"OK","CHECK"),IF(F39="Cavity",IF(AND(D39&gt;=1,D39&lt;=I39,E39&gt;=1,E39&lt;=J39),"OK","CHECK"),"CHECK")))</x:f>
        <x:v>OK</x:v>
      </x:c>
      <x:c r="M39" t="n">
        <x:v>35</x:v>
      </x:c>
    </x:row>
    <x:row r="40">
      <x:c r="A40" t="s">
        <x:v>253</x:v>
      </x:c>
      <x:c r="B40" t="s">
        <x:v>146</x:v>
      </x:c>
      <x:c r="C40">
        <x:v>21</x:v>
      </x:c>
      <x:c r="D40">
        <x:v>9</x:v>
      </x:c>
      <x:c r="E40">
        <x:v>2</x:v>
      </x:c>
      <x:c r="F40" t="s">
        <x:v>170</x:v>
      </x:c>
      <x:c r="G40" t="s">
        <x:v>254</x:v>
      </x:c>
      <x:c r="H40" t="s">
        <x:v>249</x:v>
      </x:c>
      <x:c r="I40">
        <x:v>13</x:v>
      </x:c>
      <x:c r="J40">
        <x:v>3</x:v>
      </x:c>
      <x:c r="K40">
        <x:v>1</x:v>
      </x:c>
      <x:c r="L40" t="str">
        <x:f t="shared" si="0">IF(F40="Line",IF(AND(D40="",E40=""),"OK","CHECK"),IF(F40="Section",IF(AND(D40&gt;=1,D40&lt;=I40,E40=""),"OK","CHECK"),IF(F40="Cavity",IF(AND(D40&gt;=1,D40&lt;=I40,E40&gt;=1,E40&lt;=J40),"OK","CHECK"),"CHECK")))</x:f>
        <x:v>OK</x:v>
      </x:c>
      <x:c r="M40" t="n">
        <x:v>36</x:v>
      </x:c>
    </x:row>
    <x:row r="41">
      <x:c r="A41" t="s">
        <x:v>255</x:v>
      </x:c>
      <x:c r="B41" t="s">
        <x:v>146</x:v>
      </x:c>
      <x:c r="C41">
        <x:v>21</x:v>
      </x:c>
      <x:c r="D41">
        <x:v>9</x:v>
      </x:c>
      <x:c r="E41">
        <x:v>3</x:v>
      </x:c>
      <x:c r="F41" t="s">
        <x:v>170</x:v>
      </x:c>
      <x:c r="G41" t="s">
        <x:v>256</x:v>
      </x:c>
      <x:c r="H41" t="s">
        <x:v>249</x:v>
      </x:c>
      <x:c r="I41">
        <x:v>13</x:v>
      </x:c>
      <x:c r="J41">
        <x:v>3</x:v>
      </x:c>
      <x:c r="K41">
        <x:v>1</x:v>
      </x:c>
      <x:c r="L41" t="str">
        <x:f t="shared" si="0">IF(F41="Line",IF(AND(D41="",E41=""),"OK","CHECK"),IF(F41="Section",IF(AND(D41&gt;=1,D41&lt;=I41,E41=""),"OK","CHECK"),IF(F41="Cavity",IF(AND(D41&gt;=1,D41&lt;=I41,E41&gt;=1,E41&lt;=J41),"OK","CHECK"),"CHECK")))</x:f>
        <x:v>OK</x:v>
      </x:c>
      <x:c r="M41" t="n">
        <x:v>37</x:v>
      </x:c>
    </x:row>
    <x:row r="42">
      <x:c r="A42" t="s">
        <x:v>257</x:v>
      </x:c>
      <x:c r="B42" t="s">
        <x:v>146</x:v>
      </x:c>
      <x:c r="C42">
        <x:v>21</x:v>
      </x:c>
      <x:c r="D42">
        <x:v>10</x:v>
      </x:c>
      <x:c r="F42" t="s">
        <x:v>167</x:v>
      </x:c>
      <x:c r="G42" t="s">
        <x:v>258</x:v>
      </x:c>
      <x:c r="H42" t="s">
        <x:v>183</x:v>
      </x:c>
      <x:c r="I42">
        <x:v>13</x:v>
      </x:c>
      <x:c r="J42">
        <x:v>3</x:v>
      </x:c>
      <x:c r="K42">
        <x:v>1</x:v>
      </x:c>
      <x:c r="L42" t="str">
        <x:f t="shared" si="0">IF(F42="Line",IF(AND(D42="",E42=""),"OK","CHECK"),IF(F42="Section",IF(AND(D42&gt;=1,D42&lt;=I42,E42=""),"OK","CHECK"),IF(F42="Cavity",IF(AND(D42&gt;=1,D42&lt;=I42,E42&gt;=1,E42&lt;=J42),"OK","CHECK"),"CHECK")))</x:f>
        <x:v>OK</x:v>
      </x:c>
      <x:c r="M42" t="n">
        <x:v>38</x:v>
      </x:c>
    </x:row>
    <x:row r="43">
      <x:c r="A43" t="s">
        <x:v>259</x:v>
      </x:c>
      <x:c r="B43" t="s">
        <x:v>146</x:v>
      </x:c>
      <x:c r="C43">
        <x:v>21</x:v>
      </x:c>
      <x:c r="D43">
        <x:v>10</x:v>
      </x:c>
      <x:c r="E43">
        <x:v>1</x:v>
      </x:c>
      <x:c r="F43" t="s">
        <x:v>170</x:v>
      </x:c>
      <x:c r="G43" t="s">
        <x:v>260</x:v>
      </x:c>
      <x:c r="H43" t="s">
        <x:v>257</x:v>
      </x:c>
      <x:c r="I43">
        <x:v>13</x:v>
      </x:c>
      <x:c r="J43">
        <x:v>3</x:v>
      </x:c>
      <x:c r="K43">
        <x:v>1</x:v>
      </x:c>
      <x:c r="L43" t="str">
        <x:f t="shared" si="0">IF(F43="Line",IF(AND(D43="",E43=""),"OK","CHECK"),IF(F43="Section",IF(AND(D43&gt;=1,D43&lt;=I43,E43=""),"OK","CHECK"),IF(F43="Cavity",IF(AND(D43&gt;=1,D43&lt;=I43,E43&gt;=1,E43&lt;=J43),"OK","CHECK"),"CHECK")))</x:f>
        <x:v>OK</x:v>
      </x:c>
      <x:c r="M43" t="n">
        <x:v>39</x:v>
      </x:c>
    </x:row>
    <x:row r="44">
      <x:c r="A44" t="s">
        <x:v>261</x:v>
      </x:c>
      <x:c r="B44" t="s">
        <x:v>146</x:v>
      </x:c>
      <x:c r="C44">
        <x:v>21</x:v>
      </x:c>
      <x:c r="D44">
        <x:v>10</x:v>
      </x:c>
      <x:c r="E44">
        <x:v>2</x:v>
      </x:c>
      <x:c r="F44" t="s">
        <x:v>170</x:v>
      </x:c>
      <x:c r="G44" t="s">
        <x:v>262</x:v>
      </x:c>
      <x:c r="H44" t="s">
        <x:v>257</x:v>
      </x:c>
      <x:c r="I44">
        <x:v>13</x:v>
      </x:c>
      <x:c r="J44">
        <x:v>3</x:v>
      </x:c>
      <x:c r="K44">
        <x:v>1</x:v>
      </x:c>
      <x:c r="L44" t="str">
        <x:f t="shared" si="0">IF(F44="Line",IF(AND(D44="",E44=""),"OK","CHECK"),IF(F44="Section",IF(AND(D44&gt;=1,D44&lt;=I44,E44=""),"OK","CHECK"),IF(F44="Cavity",IF(AND(D44&gt;=1,D44&lt;=I44,E44&gt;=1,E44&lt;=J44),"OK","CHECK"),"CHECK")))</x:f>
        <x:v>OK</x:v>
      </x:c>
      <x:c r="M44" t="n">
        <x:v>40</x:v>
      </x:c>
    </x:row>
    <x:row r="45">
      <x:c r="A45" t="s">
        <x:v>263</x:v>
      </x:c>
      <x:c r="B45" t="s">
        <x:v>146</x:v>
      </x:c>
      <x:c r="C45">
        <x:v>21</x:v>
      </x:c>
      <x:c r="D45">
        <x:v>10</x:v>
      </x:c>
      <x:c r="E45">
        <x:v>3</x:v>
      </x:c>
      <x:c r="F45" t="s">
        <x:v>170</x:v>
      </x:c>
      <x:c r="G45" t="s">
        <x:v>264</x:v>
      </x:c>
      <x:c r="H45" t="s">
        <x:v>257</x:v>
      </x:c>
      <x:c r="I45">
        <x:v>13</x:v>
      </x:c>
      <x:c r="J45">
        <x:v>3</x:v>
      </x:c>
      <x:c r="K45">
        <x:v>1</x:v>
      </x:c>
      <x:c r="L45" t="str">
        <x:f t="shared" si="0">IF(F45="Line",IF(AND(D45="",E45=""),"OK","CHECK"),IF(F45="Section",IF(AND(D45&gt;=1,D45&lt;=I45,E45=""),"OK","CHECK"),IF(F45="Cavity",IF(AND(D45&gt;=1,D45&lt;=I45,E45&gt;=1,E45&lt;=J45),"OK","CHECK"),"CHECK")))</x:f>
        <x:v>OK</x:v>
      </x:c>
      <x:c r="M45" t="n">
        <x:v>41</x:v>
      </x:c>
    </x:row>
    <x:row r="46">
      <x:c r="A46" t="s">
        <x:v>265</x:v>
      </x:c>
      <x:c r="B46" t="s">
        <x:v>146</x:v>
      </x:c>
      <x:c r="C46">
        <x:v>21</x:v>
      </x:c>
      <x:c r="D46">
        <x:v>11</x:v>
      </x:c>
      <x:c r="F46" t="s">
        <x:v>167</x:v>
      </x:c>
      <x:c r="G46" t="s">
        <x:v>266</x:v>
      </x:c>
      <x:c r="H46" t="s">
        <x:v>183</x:v>
      </x:c>
      <x:c r="I46">
        <x:v>13</x:v>
      </x:c>
      <x:c r="J46">
        <x:v>3</x:v>
      </x:c>
      <x:c r="K46">
        <x:v>1</x:v>
      </x:c>
      <x:c r="L46" t="str">
        <x:f t="shared" si="0">IF(F46="Line",IF(AND(D46="",E46=""),"OK","CHECK"),IF(F46="Section",IF(AND(D46&gt;=1,D46&lt;=I46,E46=""),"OK","CHECK"),IF(F46="Cavity",IF(AND(D46&gt;=1,D46&lt;=I46,E46&gt;=1,E46&lt;=J46),"OK","CHECK"),"CHECK")))</x:f>
        <x:v>OK</x:v>
      </x:c>
      <x:c r="M46" t="n">
        <x:v>42</x:v>
      </x:c>
    </x:row>
    <x:row r="47">
      <x:c r="A47" t="s">
        <x:v>267</x:v>
      </x:c>
      <x:c r="B47" t="s">
        <x:v>146</x:v>
      </x:c>
      <x:c r="C47">
        <x:v>21</x:v>
      </x:c>
      <x:c r="D47">
        <x:v>11</x:v>
      </x:c>
      <x:c r="E47">
        <x:v>1</x:v>
      </x:c>
      <x:c r="F47" t="s">
        <x:v>170</x:v>
      </x:c>
      <x:c r="G47" t="s">
        <x:v>268</x:v>
      </x:c>
      <x:c r="H47" t="s">
        <x:v>265</x:v>
      </x:c>
      <x:c r="I47">
        <x:v>13</x:v>
      </x:c>
      <x:c r="J47">
        <x:v>3</x:v>
      </x:c>
      <x:c r="K47">
        <x:v>1</x:v>
      </x:c>
      <x:c r="L47" t="str">
        <x:f t="shared" si="0">IF(F47="Line",IF(AND(D47="",E47=""),"OK","CHECK"),IF(F47="Section",IF(AND(D47&gt;=1,D47&lt;=I47,E47=""),"OK","CHECK"),IF(F47="Cavity",IF(AND(D47&gt;=1,D47&lt;=I47,E47&gt;=1,E47&lt;=J47),"OK","CHECK"),"CHECK")))</x:f>
        <x:v>OK</x:v>
      </x:c>
      <x:c r="M47" t="n">
        <x:v>43</x:v>
      </x:c>
    </x:row>
    <x:row r="48">
      <x:c r="A48" t="s">
        <x:v>269</x:v>
      </x:c>
      <x:c r="B48" t="s">
        <x:v>146</x:v>
      </x:c>
      <x:c r="C48">
        <x:v>21</x:v>
      </x:c>
      <x:c r="D48">
        <x:v>11</x:v>
      </x:c>
      <x:c r="E48">
        <x:v>2</x:v>
      </x:c>
      <x:c r="F48" t="s">
        <x:v>170</x:v>
      </x:c>
      <x:c r="G48" t="s">
        <x:v>270</x:v>
      </x:c>
      <x:c r="H48" t="s">
        <x:v>265</x:v>
      </x:c>
      <x:c r="I48">
        <x:v>13</x:v>
      </x:c>
      <x:c r="J48">
        <x:v>3</x:v>
      </x:c>
      <x:c r="K48">
        <x:v>1</x:v>
      </x:c>
      <x:c r="L48" t="str">
        <x:f t="shared" si="0">IF(F48="Line",IF(AND(D48="",E48=""),"OK","CHECK"),IF(F48="Section",IF(AND(D48&gt;=1,D48&lt;=I48,E48=""),"OK","CHECK"),IF(F48="Cavity",IF(AND(D48&gt;=1,D48&lt;=I48,E48&gt;=1,E48&lt;=J48),"OK","CHECK"),"CHECK")))</x:f>
        <x:v>OK</x:v>
      </x:c>
      <x:c r="M48" t="n">
        <x:v>44</x:v>
      </x:c>
    </x:row>
    <x:row r="49">
      <x:c r="A49" t="s">
        <x:v>271</x:v>
      </x:c>
      <x:c r="B49" t="s">
        <x:v>146</x:v>
      </x:c>
      <x:c r="C49">
        <x:v>21</x:v>
      </x:c>
      <x:c r="D49">
        <x:v>11</x:v>
      </x:c>
      <x:c r="E49">
        <x:v>3</x:v>
      </x:c>
      <x:c r="F49" t="s">
        <x:v>170</x:v>
      </x:c>
      <x:c r="G49" t="s">
        <x:v>272</x:v>
      </x:c>
      <x:c r="H49" t="s">
        <x:v>265</x:v>
      </x:c>
      <x:c r="I49">
        <x:v>13</x:v>
      </x:c>
      <x:c r="J49">
        <x:v>3</x:v>
      </x:c>
      <x:c r="K49">
        <x:v>1</x:v>
      </x:c>
      <x:c r="L49" t="str">
        <x:f t="shared" si="0">IF(F49="Line",IF(AND(D49="",E49=""),"OK","CHECK"),IF(F49="Section",IF(AND(D49&gt;=1,D49&lt;=I49,E49=""),"OK","CHECK"),IF(F49="Cavity",IF(AND(D49&gt;=1,D49&lt;=I49,E49&gt;=1,E49&lt;=J49),"OK","CHECK"),"CHECK")))</x:f>
        <x:v>OK</x:v>
      </x:c>
      <x:c r="M49" t="n">
        <x:v>45</x:v>
      </x:c>
    </x:row>
    <x:row r="50">
      <x:c r="A50" t="s">
        <x:v>273</x:v>
      </x:c>
      <x:c r="B50" t="s">
        <x:v>146</x:v>
      </x:c>
      <x:c r="C50">
        <x:v>21</x:v>
      </x:c>
      <x:c r="D50">
        <x:v>12</x:v>
      </x:c>
      <x:c r="F50" t="s">
        <x:v>167</x:v>
      </x:c>
      <x:c r="G50" t="s">
        <x:v>274</x:v>
      </x:c>
      <x:c r="H50" t="s">
        <x:v>183</x:v>
      </x:c>
      <x:c r="I50">
        <x:v>13</x:v>
      </x:c>
      <x:c r="J50">
        <x:v>3</x:v>
      </x:c>
      <x:c r="K50">
        <x:v>1</x:v>
      </x:c>
      <x:c r="L50" t="str">
        <x:f t="shared" si="0">IF(F50="Line",IF(AND(D50="",E50=""),"OK","CHECK"),IF(F50="Section",IF(AND(D50&gt;=1,D50&lt;=I50,E50=""),"OK","CHECK"),IF(F50="Cavity",IF(AND(D50&gt;=1,D50&lt;=I50,E50&gt;=1,E50&lt;=J50),"OK","CHECK"),"CHECK")))</x:f>
        <x:v>OK</x:v>
      </x:c>
      <x:c r="M50" t="n">
        <x:v>46</x:v>
      </x:c>
    </x:row>
    <x:row r="51">
      <x:c r="A51" t="s">
        <x:v>275</x:v>
      </x:c>
      <x:c r="B51" t="s">
        <x:v>146</x:v>
      </x:c>
      <x:c r="C51">
        <x:v>21</x:v>
      </x:c>
      <x:c r="D51">
        <x:v>12</x:v>
      </x:c>
      <x:c r="E51">
        <x:v>1</x:v>
      </x:c>
      <x:c r="F51" t="s">
        <x:v>170</x:v>
      </x:c>
      <x:c r="G51" t="s">
        <x:v>276</x:v>
      </x:c>
      <x:c r="H51" t="s">
        <x:v>273</x:v>
      </x:c>
      <x:c r="I51">
        <x:v>13</x:v>
      </x:c>
      <x:c r="J51">
        <x:v>3</x:v>
      </x:c>
      <x:c r="K51">
        <x:v>1</x:v>
      </x:c>
      <x:c r="L51" t="str">
        <x:f t="shared" si="0">IF(F51="Line",IF(AND(D51="",E51=""),"OK","CHECK"),IF(F51="Section",IF(AND(D51&gt;=1,D51&lt;=I51,E51=""),"OK","CHECK"),IF(F51="Cavity",IF(AND(D51&gt;=1,D51&lt;=I51,E51&gt;=1,E51&lt;=J51),"OK","CHECK"),"CHECK")))</x:f>
        <x:v>OK</x:v>
      </x:c>
      <x:c r="M51" t="n">
        <x:v>47</x:v>
      </x:c>
    </x:row>
    <x:row r="52">
      <x:c r="A52" t="s">
        <x:v>277</x:v>
      </x:c>
      <x:c r="B52" t="s">
        <x:v>146</x:v>
      </x:c>
      <x:c r="C52">
        <x:v>21</x:v>
      </x:c>
      <x:c r="D52">
        <x:v>12</x:v>
      </x:c>
      <x:c r="E52">
        <x:v>2</x:v>
      </x:c>
      <x:c r="F52" t="s">
        <x:v>170</x:v>
      </x:c>
      <x:c r="G52" t="s">
        <x:v>278</x:v>
      </x:c>
      <x:c r="H52" t="s">
        <x:v>273</x:v>
      </x:c>
      <x:c r="I52">
        <x:v>13</x:v>
      </x:c>
      <x:c r="J52">
        <x:v>3</x:v>
      </x:c>
      <x:c r="K52">
        <x:v>1</x:v>
      </x:c>
      <x:c r="L52" t="str">
        <x:f t="shared" si="0">IF(F52="Line",IF(AND(D52="",E52=""),"OK","CHECK"),IF(F52="Section",IF(AND(D52&gt;=1,D52&lt;=I52,E52=""),"OK","CHECK"),IF(F52="Cavity",IF(AND(D52&gt;=1,D52&lt;=I52,E52&gt;=1,E52&lt;=J52),"OK","CHECK"),"CHECK")))</x:f>
        <x:v>OK</x:v>
      </x:c>
      <x:c r="M52" t="n">
        <x:v>48</x:v>
      </x:c>
    </x:row>
    <x:row r="53">
      <x:c r="A53" t="s">
        <x:v>279</x:v>
      </x:c>
      <x:c r="B53" t="s">
        <x:v>146</x:v>
      </x:c>
      <x:c r="C53">
        <x:v>21</x:v>
      </x:c>
      <x:c r="D53">
        <x:v>12</x:v>
      </x:c>
      <x:c r="E53">
        <x:v>3</x:v>
      </x:c>
      <x:c r="F53" t="s">
        <x:v>170</x:v>
      </x:c>
      <x:c r="G53" t="s">
        <x:v>280</x:v>
      </x:c>
      <x:c r="H53" t="s">
        <x:v>273</x:v>
      </x:c>
      <x:c r="I53">
        <x:v>13</x:v>
      </x:c>
      <x:c r="J53">
        <x:v>3</x:v>
      </x:c>
      <x:c r="K53">
        <x:v>1</x:v>
      </x:c>
      <x:c r="L53" t="str">
        <x:f t="shared" si="0">IF(F53="Line",IF(AND(D53="",E53=""),"OK","CHECK"),IF(F53="Section",IF(AND(D53&gt;=1,D53&lt;=I53,E53=""),"OK","CHECK"),IF(F53="Cavity",IF(AND(D53&gt;=1,D53&lt;=I53,E53&gt;=1,E53&lt;=J53),"OK","CHECK"),"CHECK")))</x:f>
        <x:v>OK</x:v>
      </x:c>
      <x:c r="M53" t="n">
        <x:v>49</x:v>
      </x:c>
    </x:row>
    <x:row r="54">
      <x:c r="A54" t="s">
        <x:v>281</x:v>
      </x:c>
      <x:c r="B54" t="s">
        <x:v>146</x:v>
      </x:c>
      <x:c r="C54">
        <x:v>21</x:v>
      </x:c>
      <x:c r="D54">
        <x:v>13</x:v>
      </x:c>
      <x:c r="F54" t="s">
        <x:v>167</x:v>
      </x:c>
      <x:c r="G54" t="s">
        <x:v>282</x:v>
      </x:c>
      <x:c r="H54" t="s">
        <x:v>183</x:v>
      </x:c>
      <x:c r="I54">
        <x:v>13</x:v>
      </x:c>
      <x:c r="J54">
        <x:v>3</x:v>
      </x:c>
      <x:c r="K54">
        <x:v>1</x:v>
      </x:c>
      <x:c r="L54" t="str">
        <x:f t="shared" si="0">IF(F54="Line",IF(AND(D54="",E54=""),"OK","CHECK"),IF(F54="Section",IF(AND(D54&gt;=1,D54&lt;=I54,E54=""),"OK","CHECK"),IF(F54="Cavity",IF(AND(D54&gt;=1,D54&lt;=I54,E54&gt;=1,E54&lt;=J54),"OK","CHECK"),"CHECK")))</x:f>
        <x:v>OK</x:v>
      </x:c>
      <x:c r="M54" t="n">
        <x:v>50</x:v>
      </x:c>
    </x:row>
    <x:row r="55">
      <x:c r="A55" t="s">
        <x:v>283</x:v>
      </x:c>
      <x:c r="B55" t="s">
        <x:v>146</x:v>
      </x:c>
      <x:c r="C55">
        <x:v>21</x:v>
      </x:c>
      <x:c r="D55">
        <x:v>13</x:v>
      </x:c>
      <x:c r="E55">
        <x:v>1</x:v>
      </x:c>
      <x:c r="F55" t="s">
        <x:v>170</x:v>
      </x:c>
      <x:c r="G55" t="s">
        <x:v>284</x:v>
      </x:c>
      <x:c r="H55" t="s">
        <x:v>281</x:v>
      </x:c>
      <x:c r="I55">
        <x:v>13</x:v>
      </x:c>
      <x:c r="J55">
        <x:v>3</x:v>
      </x:c>
      <x:c r="K55">
        <x:v>1</x:v>
      </x:c>
      <x:c r="L55" t="str">
        <x:f t="shared" si="0">IF(F55="Line",IF(AND(D55="",E55=""),"OK","CHECK"),IF(F55="Section",IF(AND(D55&gt;=1,D55&lt;=I55,E55=""),"OK","CHECK"),IF(F55="Cavity",IF(AND(D55&gt;=1,D55&lt;=I55,E55&gt;=1,E55&lt;=J55),"OK","CHECK"),"CHECK")))</x:f>
        <x:v>OK</x:v>
      </x:c>
      <x:c r="M55" t="n">
        <x:v>51</x:v>
      </x:c>
    </x:row>
    <x:row r="56">
      <x:c r="A56" t="s">
        <x:v>285</x:v>
      </x:c>
      <x:c r="B56" t="s">
        <x:v>146</x:v>
      </x:c>
      <x:c r="C56">
        <x:v>21</x:v>
      </x:c>
      <x:c r="D56">
        <x:v>13</x:v>
      </x:c>
      <x:c r="E56">
        <x:v>2</x:v>
      </x:c>
      <x:c r="F56" t="s">
        <x:v>170</x:v>
      </x:c>
      <x:c r="G56" t="s">
        <x:v>286</x:v>
      </x:c>
      <x:c r="H56" t="s">
        <x:v>281</x:v>
      </x:c>
      <x:c r="I56">
        <x:v>13</x:v>
      </x:c>
      <x:c r="J56">
        <x:v>3</x:v>
      </x:c>
      <x:c r="K56">
        <x:v>1</x:v>
      </x:c>
      <x:c r="L56" t="str">
        <x:f t="shared" si="0">IF(F56="Line",IF(AND(D56="",E56=""),"OK","CHECK"),IF(F56="Section",IF(AND(D56&gt;=1,D56&lt;=I56,E56=""),"OK","CHECK"),IF(F56="Cavity",IF(AND(D56&gt;=1,D56&lt;=I56,E56&gt;=1,E56&lt;=J56),"OK","CHECK"),"CHECK")))</x:f>
        <x:v>OK</x:v>
      </x:c>
      <x:c r="M56" t="n">
        <x:v>52</x:v>
      </x:c>
    </x:row>
    <x:row r="57">
      <x:c r="A57" t="s">
        <x:v>287</x:v>
      </x:c>
      <x:c r="B57" t="s">
        <x:v>146</x:v>
      </x:c>
      <x:c r="C57">
        <x:v>21</x:v>
      </x:c>
      <x:c r="D57">
        <x:v>13</x:v>
      </x:c>
      <x:c r="E57">
        <x:v>3</x:v>
      </x:c>
      <x:c r="F57" t="s">
        <x:v>170</x:v>
      </x:c>
      <x:c r="G57" t="s">
        <x:v>288</x:v>
      </x:c>
      <x:c r="H57" t="s">
        <x:v>281</x:v>
      </x:c>
      <x:c r="I57">
        <x:v>13</x:v>
      </x:c>
      <x:c r="J57">
        <x:v>3</x:v>
      </x:c>
      <x:c r="K57">
        <x:v>1</x:v>
      </x:c>
      <x:c r="L57" t="str">
        <x:f t="shared" si="0">IF(F57="Line",IF(AND(D57="",E57=""),"OK","CHECK"),IF(F57="Section",IF(AND(D57&gt;=1,D57&lt;=I57,E57=""),"OK","CHECK"),IF(F57="Cavity",IF(AND(D57&gt;=1,D57&lt;=I57,E57&gt;=1,E57&lt;=J57),"OK","CHECK"),"CHECK")))</x:f>
        <x:v>OK</x:v>
      </x:c>
      <x:c r="M57" t="n">
        <x:v>53</x:v>
      </x:c>
    </x:row>
    <x:row r="58">
      <x:c r="A58" t="s">
        <x:v>289</x:v>
      </x:c>
      <x:c r="B58" t="s">
        <x:v>146</x:v>
      </x:c>
      <x:c r="C58">
        <x:v>22</x:v>
      </x:c>
      <x:c r="F58" t="s">
        <x:v>164</x:v>
      </x:c>
      <x:c r="G58" t="s">
        <x:v>290</x:v>
      </x:c>
      <x:c r="I58">
        <x:v>13</x:v>
      </x:c>
      <x:c r="J58">
        <x:v>3</x:v>
      </x:c>
      <x:c r="K58">
        <x:v>1</x:v>
      </x:c>
      <x:c r="L58" t="str">
        <x:f t="shared" si="0">IF(F58="Line",IF(AND(D58="",E58=""),"OK","CHECK"),IF(F58="Section",IF(AND(D58&gt;=1,D58&lt;=I58,E58=""),"OK","CHECK"),IF(F58="Cavity",IF(AND(D58&gt;=1,D58&lt;=I58,E58&gt;=1,E58&lt;=J58),"OK","CHECK"),"CHECK")))</x:f>
        <x:v>OK</x:v>
      </x:c>
      <x:c r="M58" t="n">
        <x:v>54</x:v>
      </x:c>
    </x:row>
    <x:row r="59">
      <x:c r="A59" t="s">
        <x:v>291</x:v>
      </x:c>
      <x:c r="B59" t="s">
        <x:v>146</x:v>
      </x:c>
      <x:c r="C59">
        <x:v>22</x:v>
      </x:c>
      <x:c r="D59">
        <x:v>1</x:v>
      </x:c>
      <x:c r="F59" t="s">
        <x:v>167</x:v>
      </x:c>
      <x:c r="G59" t="s">
        <x:v>292</x:v>
      </x:c>
      <x:c r="H59" t="s">
        <x:v>289</x:v>
      </x:c>
      <x:c r="I59">
        <x:v>13</x:v>
      </x:c>
      <x:c r="J59">
        <x:v>3</x:v>
      </x:c>
      <x:c r="K59">
        <x:v>1</x:v>
      </x:c>
      <x:c r="L59" t="str">
        <x:f t="shared" si="0">IF(F59="Line",IF(AND(D59="",E59=""),"OK","CHECK"),IF(F59="Section",IF(AND(D59&gt;=1,D59&lt;=I59,E59=""),"OK","CHECK"),IF(F59="Cavity",IF(AND(D59&gt;=1,D59&lt;=I59,E59&gt;=1,E59&lt;=J59),"OK","CHECK"),"CHECK")))</x:f>
        <x:v>OK</x:v>
      </x:c>
      <x:c r="M59" t="n">
        <x:v>55</x:v>
      </x:c>
    </x:row>
    <x:row r="60">
      <x:c r="A60" t="s">
        <x:v>293</x:v>
      </x:c>
      <x:c r="B60" t="s">
        <x:v>146</x:v>
      </x:c>
      <x:c r="C60">
        <x:v>22</x:v>
      </x:c>
      <x:c r="D60">
        <x:v>1</x:v>
      </x:c>
      <x:c r="E60">
        <x:v>1</x:v>
      </x:c>
      <x:c r="F60" t="s">
        <x:v>170</x:v>
      </x:c>
      <x:c r="G60" t="s">
        <x:v>294</x:v>
      </x:c>
      <x:c r="H60" t="s">
        <x:v>291</x:v>
      </x:c>
      <x:c r="I60">
        <x:v>13</x:v>
      </x:c>
      <x:c r="J60">
        <x:v>3</x:v>
      </x:c>
      <x:c r="K60">
        <x:v>1</x:v>
      </x:c>
      <x:c r="L60" t="str">
        <x:f t="shared" si="0">IF(F60="Line",IF(AND(D60="",E60=""),"OK","CHECK"),IF(F60="Section",IF(AND(D60&gt;=1,D60&lt;=I60,E60=""),"OK","CHECK"),IF(F60="Cavity",IF(AND(D60&gt;=1,D60&lt;=I60,E60&gt;=1,E60&lt;=J60),"OK","CHECK"),"CHECK")))</x:f>
        <x:v>OK</x:v>
      </x:c>
      <x:c r="M60" t="n">
        <x:v>56</x:v>
      </x:c>
    </x:row>
    <x:row r="61">
      <x:c r="A61" t="s">
        <x:v>295</x:v>
      </x:c>
      <x:c r="B61" t="s">
        <x:v>146</x:v>
      </x:c>
      <x:c r="C61">
        <x:v>22</x:v>
      </x:c>
      <x:c r="D61">
        <x:v>1</x:v>
      </x:c>
      <x:c r="E61">
        <x:v>2</x:v>
      </x:c>
      <x:c r="F61" t="s">
        <x:v>170</x:v>
      </x:c>
      <x:c r="G61" t="s">
        <x:v>296</x:v>
      </x:c>
      <x:c r="H61" t="s">
        <x:v>291</x:v>
      </x:c>
      <x:c r="I61">
        <x:v>13</x:v>
      </x:c>
      <x:c r="J61">
        <x:v>3</x:v>
      </x:c>
      <x:c r="K61">
        <x:v>1</x:v>
      </x:c>
      <x:c r="L61" t="str">
        <x:f t="shared" si="0">IF(F61="Line",IF(AND(D61="",E61=""),"OK","CHECK"),IF(F61="Section",IF(AND(D61&gt;=1,D61&lt;=I61,E61=""),"OK","CHECK"),IF(F61="Cavity",IF(AND(D61&gt;=1,D61&lt;=I61,E61&gt;=1,E61&lt;=J61),"OK","CHECK"),"CHECK")))</x:f>
        <x:v>OK</x:v>
      </x:c>
      <x:c r="M61" t="n">
        <x:v>57</x:v>
      </x:c>
    </x:row>
    <x:row r="62">
      <x:c r="A62" t="s">
        <x:v>297</x:v>
      </x:c>
      <x:c r="B62" t="s">
        <x:v>146</x:v>
      </x:c>
      <x:c r="C62">
        <x:v>22</x:v>
      </x:c>
      <x:c r="D62">
        <x:v>1</x:v>
      </x:c>
      <x:c r="E62">
        <x:v>3</x:v>
      </x:c>
      <x:c r="F62" t="s">
        <x:v>170</x:v>
      </x:c>
      <x:c r="G62" t="s">
        <x:v>298</x:v>
      </x:c>
      <x:c r="H62" t="s">
        <x:v>291</x:v>
      </x:c>
      <x:c r="I62">
        <x:v>13</x:v>
      </x:c>
      <x:c r="J62">
        <x:v>3</x:v>
      </x:c>
      <x:c r="K62">
        <x:v>1</x:v>
      </x:c>
      <x:c r="L62" t="str">
        <x:f t="shared" si="0">IF(F62="Line",IF(AND(D62="",E62=""),"OK","CHECK"),IF(F62="Section",IF(AND(D62&gt;=1,D62&lt;=I62,E62=""),"OK","CHECK"),IF(F62="Cavity",IF(AND(D62&gt;=1,D62&lt;=I62,E62&gt;=1,E62&lt;=J62),"OK","CHECK"),"CHECK")))</x:f>
        <x:v>OK</x:v>
      </x:c>
      <x:c r="M62" t="n">
        <x:v>58</x:v>
      </x:c>
    </x:row>
    <x:row r="63">
      <x:c r="A63" t="s">
        <x:v>299</x:v>
      </x:c>
      <x:c r="B63" t="s">
        <x:v>146</x:v>
      </x:c>
      <x:c r="C63">
        <x:v>22</x:v>
      </x:c>
      <x:c r="D63">
        <x:v>2</x:v>
      </x:c>
      <x:c r="F63" t="s">
        <x:v>167</x:v>
      </x:c>
      <x:c r="G63" t="s">
        <x:v>300</x:v>
      </x:c>
      <x:c r="H63" t="s">
        <x:v>289</x:v>
      </x:c>
      <x:c r="I63">
        <x:v>13</x:v>
      </x:c>
      <x:c r="J63">
        <x:v>3</x:v>
      </x:c>
      <x:c r="K63">
        <x:v>1</x:v>
      </x:c>
      <x:c r="L63" t="str">
        <x:f t="shared" si="0">IF(F63="Line",IF(AND(D63="",E63=""),"OK","CHECK"),IF(F63="Section",IF(AND(D63&gt;=1,D63&lt;=I63,E63=""),"OK","CHECK"),IF(F63="Cavity",IF(AND(D63&gt;=1,D63&lt;=I63,E63&gt;=1,E63&lt;=J63),"OK","CHECK"),"CHECK")))</x:f>
        <x:v>OK</x:v>
      </x:c>
      <x:c r="M63" t="n">
        <x:v>59</x:v>
      </x:c>
    </x:row>
    <x:row r="64">
      <x:c r="A64" t="s">
        <x:v>301</x:v>
      </x:c>
      <x:c r="B64" t="s">
        <x:v>146</x:v>
      </x:c>
      <x:c r="C64">
        <x:v>22</x:v>
      </x:c>
      <x:c r="D64">
        <x:v>2</x:v>
      </x:c>
      <x:c r="E64">
        <x:v>1</x:v>
      </x:c>
      <x:c r="F64" t="s">
        <x:v>170</x:v>
      </x:c>
      <x:c r="G64" t="s">
        <x:v>302</x:v>
      </x:c>
      <x:c r="H64" t="s">
        <x:v>299</x:v>
      </x:c>
      <x:c r="I64">
        <x:v>13</x:v>
      </x:c>
      <x:c r="J64">
        <x:v>3</x:v>
      </x:c>
      <x:c r="K64">
        <x:v>1</x:v>
      </x:c>
      <x:c r="L64" t="str">
        <x:f t="shared" si="0">IF(F64="Line",IF(AND(D64="",E64=""),"OK","CHECK"),IF(F64="Section",IF(AND(D64&gt;=1,D64&lt;=I64,E64=""),"OK","CHECK"),IF(F64="Cavity",IF(AND(D64&gt;=1,D64&lt;=I64,E64&gt;=1,E64&lt;=J64),"OK","CHECK"),"CHECK")))</x:f>
        <x:v>OK</x:v>
      </x:c>
      <x:c r="M64" t="n">
        <x:v>60</x:v>
      </x:c>
    </x:row>
    <x:row r="65">
      <x:c r="A65" t="s">
        <x:v>303</x:v>
      </x:c>
      <x:c r="B65" t="s">
        <x:v>146</x:v>
      </x:c>
      <x:c r="C65">
        <x:v>22</x:v>
      </x:c>
      <x:c r="D65">
        <x:v>2</x:v>
      </x:c>
      <x:c r="E65">
        <x:v>2</x:v>
      </x:c>
      <x:c r="F65" t="s">
        <x:v>170</x:v>
      </x:c>
      <x:c r="G65" t="s">
        <x:v>304</x:v>
      </x:c>
      <x:c r="H65" t="s">
        <x:v>299</x:v>
      </x:c>
      <x:c r="I65">
        <x:v>13</x:v>
      </x:c>
      <x:c r="J65">
        <x:v>3</x:v>
      </x:c>
      <x:c r="K65">
        <x:v>1</x:v>
      </x:c>
      <x:c r="L65" t="str">
        <x:f t="shared" si="0">IF(F65="Line",IF(AND(D65="",E65=""),"OK","CHECK"),IF(F65="Section",IF(AND(D65&gt;=1,D65&lt;=I65,E65=""),"OK","CHECK"),IF(F65="Cavity",IF(AND(D65&gt;=1,D65&lt;=I65,E65&gt;=1,E65&lt;=J65),"OK","CHECK"),"CHECK")))</x:f>
        <x:v>OK</x:v>
      </x:c>
      <x:c r="M65" t="n">
        <x:v>61</x:v>
      </x:c>
    </x:row>
    <x:row r="66">
      <x:c r="A66" t="s">
        <x:v>305</x:v>
      </x:c>
      <x:c r="B66" t="s">
        <x:v>146</x:v>
      </x:c>
      <x:c r="C66">
        <x:v>22</x:v>
      </x:c>
      <x:c r="D66">
        <x:v>2</x:v>
      </x:c>
      <x:c r="E66">
        <x:v>3</x:v>
      </x:c>
      <x:c r="F66" t="s">
        <x:v>170</x:v>
      </x:c>
      <x:c r="G66" t="s">
        <x:v>306</x:v>
      </x:c>
      <x:c r="H66" t="s">
        <x:v>299</x:v>
      </x:c>
      <x:c r="I66">
        <x:v>13</x:v>
      </x:c>
      <x:c r="J66">
        <x:v>3</x:v>
      </x:c>
      <x:c r="K66">
        <x:v>1</x:v>
      </x:c>
      <x:c r="L66" t="str">
        <x:f t="shared" si="0">IF(F66="Line",IF(AND(D66="",E66=""),"OK","CHECK"),IF(F66="Section",IF(AND(D66&gt;=1,D66&lt;=I66,E66=""),"OK","CHECK"),IF(F66="Cavity",IF(AND(D66&gt;=1,D66&lt;=I66,E66&gt;=1,E66&lt;=J66),"OK","CHECK"),"CHECK")))</x:f>
        <x:v>OK</x:v>
      </x:c>
      <x:c r="M66" t="n">
        <x:v>62</x:v>
      </x:c>
    </x:row>
    <x:row r="67">
      <x:c r="A67" t="s">
        <x:v>307</x:v>
      </x:c>
      <x:c r="B67" t="s">
        <x:v>146</x:v>
      </x:c>
      <x:c r="C67">
        <x:v>22</x:v>
      </x:c>
      <x:c r="D67">
        <x:v>3</x:v>
      </x:c>
      <x:c r="F67" t="s">
        <x:v>167</x:v>
      </x:c>
      <x:c r="G67" t="s">
        <x:v>308</x:v>
      </x:c>
      <x:c r="H67" t="s">
        <x:v>289</x:v>
      </x:c>
      <x:c r="I67">
        <x:v>13</x:v>
      </x:c>
      <x:c r="J67">
        <x:v>3</x:v>
      </x:c>
      <x:c r="K67">
        <x:v>1</x:v>
      </x:c>
      <x:c r="L67" t="str">
        <x:f t="shared" si="0">IF(F67="Line",IF(AND(D67="",E67=""),"OK","CHECK"),IF(F67="Section",IF(AND(D67&gt;=1,D67&lt;=I67,E67=""),"OK","CHECK"),IF(F67="Cavity",IF(AND(D67&gt;=1,D67&lt;=I67,E67&gt;=1,E67&lt;=J67),"OK","CHECK"),"CHECK")))</x:f>
        <x:v>OK</x:v>
      </x:c>
      <x:c r="M67" t="n">
        <x:v>63</x:v>
      </x:c>
    </x:row>
    <x:row r="68">
      <x:c r="A68" t="s">
        <x:v>309</x:v>
      </x:c>
      <x:c r="B68" t="s">
        <x:v>146</x:v>
      </x:c>
      <x:c r="C68">
        <x:v>22</x:v>
      </x:c>
      <x:c r="D68">
        <x:v>3</x:v>
      </x:c>
      <x:c r="E68">
        <x:v>1</x:v>
      </x:c>
      <x:c r="F68" t="s">
        <x:v>170</x:v>
      </x:c>
      <x:c r="G68" t="s">
        <x:v>310</x:v>
      </x:c>
      <x:c r="H68" t="s">
        <x:v>307</x:v>
      </x:c>
      <x:c r="I68">
        <x:v>13</x:v>
      </x:c>
      <x:c r="J68">
        <x:v>3</x:v>
      </x:c>
      <x:c r="K68">
        <x:v>1</x:v>
      </x:c>
      <x:c r="L68" t="str">
        <x:f t="shared" si="0">IF(F68="Line",IF(AND(D68="",E68=""),"OK","CHECK"),IF(F68="Section",IF(AND(D68&gt;=1,D68&lt;=I68,E68=""),"OK","CHECK"),IF(F68="Cavity",IF(AND(D68&gt;=1,D68&lt;=I68,E68&gt;=1,E68&lt;=J68),"OK","CHECK"),"CHECK")))</x:f>
        <x:v>OK</x:v>
      </x:c>
      <x:c r="M68" t="n">
        <x:v>64</x:v>
      </x:c>
    </x:row>
    <x:row r="69">
      <x:c r="A69" t="s">
        <x:v>311</x:v>
      </x:c>
      <x:c r="B69" t="s">
        <x:v>146</x:v>
      </x:c>
      <x:c r="C69">
        <x:v>22</x:v>
      </x:c>
      <x:c r="D69">
        <x:v>3</x:v>
      </x:c>
      <x:c r="E69">
        <x:v>2</x:v>
      </x:c>
      <x:c r="F69" t="s">
        <x:v>170</x:v>
      </x:c>
      <x:c r="G69" t="s">
        <x:v>312</x:v>
      </x:c>
      <x:c r="H69" t="s">
        <x:v>307</x:v>
      </x:c>
      <x:c r="I69">
        <x:v>13</x:v>
      </x:c>
      <x:c r="J69">
        <x:v>3</x:v>
      </x:c>
      <x:c r="K69">
        <x:v>1</x:v>
      </x:c>
      <x:c r="L69" t="str">
        <x:f t="shared" ref="L69:L132" si="1">IF(F69="Line",IF(AND(D69="",E69=""),"OK","CHECK"),IF(F69="Section",IF(AND(D69&gt;=1,D69&lt;=I69,E69=""),"OK","CHECK"),IF(F69="Cavity",IF(AND(D69&gt;=1,D69&lt;=I69,E69&gt;=1,E69&lt;=J69),"OK","CHECK"),"CHECK")))</x:f>
        <x:v>OK</x:v>
      </x:c>
      <x:c r="M69" t="n">
        <x:v>65</x:v>
      </x:c>
    </x:row>
    <x:row r="70">
      <x:c r="A70" t="s">
        <x:v>313</x:v>
      </x:c>
      <x:c r="B70" t="s">
        <x:v>146</x:v>
      </x:c>
      <x:c r="C70">
        <x:v>22</x:v>
      </x:c>
      <x:c r="D70">
        <x:v>3</x:v>
      </x:c>
      <x:c r="E70">
        <x:v>3</x:v>
      </x:c>
      <x:c r="F70" t="s">
        <x:v>170</x:v>
      </x:c>
      <x:c r="G70" t="s">
        <x:v>314</x:v>
      </x:c>
      <x:c r="H70" t="s">
        <x:v>307</x:v>
      </x:c>
      <x:c r="I70">
        <x:v>13</x:v>
      </x:c>
      <x:c r="J70">
        <x:v>3</x:v>
      </x:c>
      <x:c r="K70">
        <x:v>1</x:v>
      </x:c>
      <x:c r="L70" t="str">
        <x:f t="shared" si="1">IF(F70="Line",IF(AND(D70="",E70=""),"OK","CHECK"),IF(F70="Section",IF(AND(D70&gt;=1,D70&lt;=I70,E70=""),"OK","CHECK"),IF(F70="Cavity",IF(AND(D70&gt;=1,D70&lt;=I70,E70&gt;=1,E70&lt;=J70),"OK","CHECK"),"CHECK")))</x:f>
        <x:v>OK</x:v>
      </x:c>
      <x:c r="M70" t="n">
        <x:v>66</x:v>
      </x:c>
    </x:row>
    <x:row r="71">
      <x:c r="A71" t="s">
        <x:v>315</x:v>
      </x:c>
      <x:c r="B71" t="s">
        <x:v>146</x:v>
      </x:c>
      <x:c r="C71">
        <x:v>22</x:v>
      </x:c>
      <x:c r="D71">
        <x:v>4</x:v>
      </x:c>
      <x:c r="F71" t="s">
        <x:v>167</x:v>
      </x:c>
      <x:c r="G71" t="s">
        <x:v>316</x:v>
      </x:c>
      <x:c r="H71" t="s">
        <x:v>289</x:v>
      </x:c>
      <x:c r="I71">
        <x:v>13</x:v>
      </x:c>
      <x:c r="J71">
        <x:v>3</x:v>
      </x:c>
      <x:c r="K71">
        <x:v>1</x:v>
      </x:c>
      <x:c r="L71" t="str">
        <x:f t="shared" si="1">IF(F71="Line",IF(AND(D71="",E71=""),"OK","CHECK"),IF(F71="Section",IF(AND(D71&gt;=1,D71&lt;=I71,E71=""),"OK","CHECK"),IF(F71="Cavity",IF(AND(D71&gt;=1,D71&lt;=I71,E71&gt;=1,E71&lt;=J71),"OK","CHECK"),"CHECK")))</x:f>
        <x:v>OK</x:v>
      </x:c>
      <x:c r="M71" t="n">
        <x:v>67</x:v>
      </x:c>
    </x:row>
    <x:row r="72">
      <x:c r="A72" t="s">
        <x:v>317</x:v>
      </x:c>
      <x:c r="B72" t="s">
        <x:v>146</x:v>
      </x:c>
      <x:c r="C72">
        <x:v>22</x:v>
      </x:c>
      <x:c r="D72">
        <x:v>4</x:v>
      </x:c>
      <x:c r="E72">
        <x:v>1</x:v>
      </x:c>
      <x:c r="F72" t="s">
        <x:v>170</x:v>
      </x:c>
      <x:c r="G72" t="s">
        <x:v>318</x:v>
      </x:c>
      <x:c r="H72" t="s">
        <x:v>315</x:v>
      </x:c>
      <x:c r="I72">
        <x:v>13</x:v>
      </x:c>
      <x:c r="J72">
        <x:v>3</x:v>
      </x:c>
      <x:c r="K72">
        <x:v>1</x:v>
      </x:c>
      <x:c r="L72" t="str">
        <x:f t="shared" si="1">IF(F72="Line",IF(AND(D72="",E72=""),"OK","CHECK"),IF(F72="Section",IF(AND(D72&gt;=1,D72&lt;=I72,E72=""),"OK","CHECK"),IF(F72="Cavity",IF(AND(D72&gt;=1,D72&lt;=I72,E72&gt;=1,E72&lt;=J72),"OK","CHECK"),"CHECK")))</x:f>
        <x:v>OK</x:v>
      </x:c>
      <x:c r="M72" t="n">
        <x:v>68</x:v>
      </x:c>
    </x:row>
    <x:row r="73">
      <x:c r="A73" t="s">
        <x:v>319</x:v>
      </x:c>
      <x:c r="B73" t="s">
        <x:v>146</x:v>
      </x:c>
      <x:c r="C73">
        <x:v>22</x:v>
      </x:c>
      <x:c r="D73">
        <x:v>4</x:v>
      </x:c>
      <x:c r="E73">
        <x:v>2</x:v>
      </x:c>
      <x:c r="F73" t="s">
        <x:v>170</x:v>
      </x:c>
      <x:c r="G73" t="s">
        <x:v>320</x:v>
      </x:c>
      <x:c r="H73" t="s">
        <x:v>315</x:v>
      </x:c>
      <x:c r="I73">
        <x:v>13</x:v>
      </x:c>
      <x:c r="J73">
        <x:v>3</x:v>
      </x:c>
      <x:c r="K73">
        <x:v>1</x:v>
      </x:c>
      <x:c r="L73" t="str">
        <x:f t="shared" si="1">IF(F73="Line",IF(AND(D73="",E73=""),"OK","CHECK"),IF(F73="Section",IF(AND(D73&gt;=1,D73&lt;=I73,E73=""),"OK","CHECK"),IF(F73="Cavity",IF(AND(D73&gt;=1,D73&lt;=I73,E73&gt;=1,E73&lt;=J73),"OK","CHECK"),"CHECK")))</x:f>
        <x:v>OK</x:v>
      </x:c>
      <x:c r="M73" t="n">
        <x:v>69</x:v>
      </x:c>
    </x:row>
    <x:row r="74">
      <x:c r="A74" t="s">
        <x:v>321</x:v>
      </x:c>
      <x:c r="B74" t="s">
        <x:v>146</x:v>
      </x:c>
      <x:c r="C74">
        <x:v>22</x:v>
      </x:c>
      <x:c r="D74">
        <x:v>4</x:v>
      </x:c>
      <x:c r="E74">
        <x:v>3</x:v>
      </x:c>
      <x:c r="F74" t="s">
        <x:v>170</x:v>
      </x:c>
      <x:c r="G74" t="s">
        <x:v>322</x:v>
      </x:c>
      <x:c r="H74" t="s">
        <x:v>315</x:v>
      </x:c>
      <x:c r="I74">
        <x:v>13</x:v>
      </x:c>
      <x:c r="J74">
        <x:v>3</x:v>
      </x:c>
      <x:c r="K74">
        <x:v>1</x:v>
      </x:c>
      <x:c r="L74" t="str">
        <x:f t="shared" si="1">IF(F74="Line",IF(AND(D74="",E74=""),"OK","CHECK"),IF(F74="Section",IF(AND(D74&gt;=1,D74&lt;=I74,E74=""),"OK","CHECK"),IF(F74="Cavity",IF(AND(D74&gt;=1,D74&lt;=I74,E74&gt;=1,E74&lt;=J74),"OK","CHECK"),"CHECK")))</x:f>
        <x:v>OK</x:v>
      </x:c>
      <x:c r="M74" t="n">
        <x:v>70</x:v>
      </x:c>
    </x:row>
    <x:row r="75">
      <x:c r="A75" t="s">
        <x:v>323</x:v>
      </x:c>
      <x:c r="B75" t="s">
        <x:v>146</x:v>
      </x:c>
      <x:c r="C75">
        <x:v>22</x:v>
      </x:c>
      <x:c r="D75">
        <x:v>5</x:v>
      </x:c>
      <x:c r="F75" t="s">
        <x:v>167</x:v>
      </x:c>
      <x:c r="G75" t="s">
        <x:v>324</x:v>
      </x:c>
      <x:c r="H75" t="s">
        <x:v>289</x:v>
      </x:c>
      <x:c r="I75">
        <x:v>13</x:v>
      </x:c>
      <x:c r="J75">
        <x:v>3</x:v>
      </x:c>
      <x:c r="K75">
        <x:v>1</x:v>
      </x:c>
      <x:c r="L75" t="str">
        <x:f t="shared" si="1">IF(F75="Line",IF(AND(D75="",E75=""),"OK","CHECK"),IF(F75="Section",IF(AND(D75&gt;=1,D75&lt;=I75,E75=""),"OK","CHECK"),IF(F75="Cavity",IF(AND(D75&gt;=1,D75&lt;=I75,E75&gt;=1,E75&lt;=J75),"OK","CHECK"),"CHECK")))</x:f>
        <x:v>OK</x:v>
      </x:c>
      <x:c r="M75" t="n">
        <x:v>71</x:v>
      </x:c>
    </x:row>
    <x:row r="76">
      <x:c r="A76" t="s">
        <x:v>325</x:v>
      </x:c>
      <x:c r="B76" t="s">
        <x:v>146</x:v>
      </x:c>
      <x:c r="C76">
        <x:v>22</x:v>
      </x:c>
      <x:c r="D76">
        <x:v>5</x:v>
      </x:c>
      <x:c r="E76">
        <x:v>1</x:v>
      </x:c>
      <x:c r="F76" t="s">
        <x:v>170</x:v>
      </x:c>
      <x:c r="G76" t="s">
        <x:v>326</x:v>
      </x:c>
      <x:c r="H76" t="s">
        <x:v>323</x:v>
      </x:c>
      <x:c r="I76">
        <x:v>13</x:v>
      </x:c>
      <x:c r="J76">
        <x:v>3</x:v>
      </x:c>
      <x:c r="K76">
        <x:v>1</x:v>
      </x:c>
      <x:c r="L76" t="str">
        <x:f t="shared" si="1">IF(F76="Line",IF(AND(D76="",E76=""),"OK","CHECK"),IF(F76="Section",IF(AND(D76&gt;=1,D76&lt;=I76,E76=""),"OK","CHECK"),IF(F76="Cavity",IF(AND(D76&gt;=1,D76&lt;=I76,E76&gt;=1,E76&lt;=J76),"OK","CHECK"),"CHECK")))</x:f>
        <x:v>OK</x:v>
      </x:c>
      <x:c r="M76" t="n">
        <x:v>72</x:v>
      </x:c>
    </x:row>
    <x:row r="77">
      <x:c r="A77" t="s">
        <x:v>327</x:v>
      </x:c>
      <x:c r="B77" t="s">
        <x:v>146</x:v>
      </x:c>
      <x:c r="C77">
        <x:v>22</x:v>
      </x:c>
      <x:c r="D77">
        <x:v>5</x:v>
      </x:c>
      <x:c r="E77">
        <x:v>2</x:v>
      </x:c>
      <x:c r="F77" t="s">
        <x:v>170</x:v>
      </x:c>
      <x:c r="G77" t="s">
        <x:v>328</x:v>
      </x:c>
      <x:c r="H77" t="s">
        <x:v>323</x:v>
      </x:c>
      <x:c r="I77">
        <x:v>13</x:v>
      </x:c>
      <x:c r="J77">
        <x:v>3</x:v>
      </x:c>
      <x:c r="K77">
        <x:v>1</x:v>
      </x:c>
      <x:c r="L77" t="str">
        <x:f t="shared" si="1">IF(F77="Line",IF(AND(D77="",E77=""),"OK","CHECK"),IF(F77="Section",IF(AND(D77&gt;=1,D77&lt;=I77,E77=""),"OK","CHECK"),IF(F77="Cavity",IF(AND(D77&gt;=1,D77&lt;=I77,E77&gt;=1,E77&lt;=J77),"OK","CHECK"),"CHECK")))</x:f>
        <x:v>OK</x:v>
      </x:c>
      <x:c r="M77" t="n">
        <x:v>73</x:v>
      </x:c>
    </x:row>
    <x:row r="78">
      <x:c r="A78" t="s">
        <x:v>329</x:v>
      </x:c>
      <x:c r="B78" t="s">
        <x:v>146</x:v>
      </x:c>
      <x:c r="C78">
        <x:v>22</x:v>
      </x:c>
      <x:c r="D78">
        <x:v>5</x:v>
      </x:c>
      <x:c r="E78">
        <x:v>3</x:v>
      </x:c>
      <x:c r="F78" t="s">
        <x:v>170</x:v>
      </x:c>
      <x:c r="G78" t="s">
        <x:v>330</x:v>
      </x:c>
      <x:c r="H78" t="s">
        <x:v>323</x:v>
      </x:c>
      <x:c r="I78">
        <x:v>13</x:v>
      </x:c>
      <x:c r="J78">
        <x:v>3</x:v>
      </x:c>
      <x:c r="K78">
        <x:v>1</x:v>
      </x:c>
      <x:c r="L78" t="str">
        <x:f t="shared" si="1">IF(F78="Line",IF(AND(D78="",E78=""),"OK","CHECK"),IF(F78="Section",IF(AND(D78&gt;=1,D78&lt;=I78,E78=""),"OK","CHECK"),IF(F78="Cavity",IF(AND(D78&gt;=1,D78&lt;=I78,E78&gt;=1,E78&lt;=J78),"OK","CHECK"),"CHECK")))</x:f>
        <x:v>OK</x:v>
      </x:c>
      <x:c r="M78" t="n">
        <x:v>74</x:v>
      </x:c>
    </x:row>
    <x:row r="79">
      <x:c r="A79" t="s">
        <x:v>331</x:v>
      </x:c>
      <x:c r="B79" t="s">
        <x:v>146</x:v>
      </x:c>
      <x:c r="C79">
        <x:v>22</x:v>
      </x:c>
      <x:c r="D79">
        <x:v>6</x:v>
      </x:c>
      <x:c r="F79" t="s">
        <x:v>167</x:v>
      </x:c>
      <x:c r="G79" t="s">
        <x:v>332</x:v>
      </x:c>
      <x:c r="H79" t="s">
        <x:v>289</x:v>
      </x:c>
      <x:c r="I79">
        <x:v>13</x:v>
      </x:c>
      <x:c r="J79">
        <x:v>3</x:v>
      </x:c>
      <x:c r="K79">
        <x:v>1</x:v>
      </x:c>
      <x:c r="L79" t="str">
        <x:f t="shared" si="1">IF(F79="Line",IF(AND(D79="",E79=""),"OK","CHECK"),IF(F79="Section",IF(AND(D79&gt;=1,D79&lt;=I79,E79=""),"OK","CHECK"),IF(F79="Cavity",IF(AND(D79&gt;=1,D79&lt;=I79,E79&gt;=1,E79&lt;=J79),"OK","CHECK"),"CHECK")))</x:f>
        <x:v>OK</x:v>
      </x:c>
      <x:c r="M79" t="n">
        <x:v>75</x:v>
      </x:c>
    </x:row>
    <x:row r="80">
      <x:c r="A80" t="s">
        <x:v>333</x:v>
      </x:c>
      <x:c r="B80" t="s">
        <x:v>146</x:v>
      </x:c>
      <x:c r="C80">
        <x:v>22</x:v>
      </x:c>
      <x:c r="D80">
        <x:v>6</x:v>
      </x:c>
      <x:c r="E80">
        <x:v>1</x:v>
      </x:c>
      <x:c r="F80" t="s">
        <x:v>170</x:v>
      </x:c>
      <x:c r="G80" t="s">
        <x:v>334</x:v>
      </x:c>
      <x:c r="H80" t="s">
        <x:v>331</x:v>
      </x:c>
      <x:c r="I80">
        <x:v>13</x:v>
      </x:c>
      <x:c r="J80">
        <x:v>3</x:v>
      </x:c>
      <x:c r="K80">
        <x:v>1</x:v>
      </x:c>
      <x:c r="L80" t="str">
        <x:f t="shared" si="1">IF(F80="Line",IF(AND(D80="",E80=""),"OK","CHECK"),IF(F80="Section",IF(AND(D80&gt;=1,D80&lt;=I80,E80=""),"OK","CHECK"),IF(F80="Cavity",IF(AND(D80&gt;=1,D80&lt;=I80,E80&gt;=1,E80&lt;=J80),"OK","CHECK"),"CHECK")))</x:f>
        <x:v>OK</x:v>
      </x:c>
      <x:c r="M80" t="n">
        <x:v>76</x:v>
      </x:c>
    </x:row>
    <x:row r="81">
      <x:c r="A81" t="s">
        <x:v>335</x:v>
      </x:c>
      <x:c r="B81" t="s">
        <x:v>146</x:v>
      </x:c>
      <x:c r="C81">
        <x:v>22</x:v>
      </x:c>
      <x:c r="D81">
        <x:v>6</x:v>
      </x:c>
      <x:c r="E81">
        <x:v>2</x:v>
      </x:c>
      <x:c r="F81" t="s">
        <x:v>170</x:v>
      </x:c>
      <x:c r="G81" t="s">
        <x:v>336</x:v>
      </x:c>
      <x:c r="H81" t="s">
        <x:v>331</x:v>
      </x:c>
      <x:c r="I81">
        <x:v>13</x:v>
      </x:c>
      <x:c r="J81">
        <x:v>3</x:v>
      </x:c>
      <x:c r="K81">
        <x:v>1</x:v>
      </x:c>
      <x:c r="L81" t="str">
        <x:f t="shared" si="1">IF(F81="Line",IF(AND(D81="",E81=""),"OK","CHECK"),IF(F81="Section",IF(AND(D81&gt;=1,D81&lt;=I81,E81=""),"OK","CHECK"),IF(F81="Cavity",IF(AND(D81&gt;=1,D81&lt;=I81,E81&gt;=1,E81&lt;=J81),"OK","CHECK"),"CHECK")))</x:f>
        <x:v>OK</x:v>
      </x:c>
      <x:c r="M81" t="n">
        <x:v>77</x:v>
      </x:c>
    </x:row>
    <x:row r="82">
      <x:c r="A82" t="s">
        <x:v>337</x:v>
      </x:c>
      <x:c r="B82" t="s">
        <x:v>146</x:v>
      </x:c>
      <x:c r="C82">
        <x:v>22</x:v>
      </x:c>
      <x:c r="D82">
        <x:v>6</x:v>
      </x:c>
      <x:c r="E82">
        <x:v>3</x:v>
      </x:c>
      <x:c r="F82" t="s">
        <x:v>170</x:v>
      </x:c>
      <x:c r="G82" t="s">
        <x:v>338</x:v>
      </x:c>
      <x:c r="H82" t="s">
        <x:v>331</x:v>
      </x:c>
      <x:c r="I82">
        <x:v>13</x:v>
      </x:c>
      <x:c r="J82">
        <x:v>3</x:v>
      </x:c>
      <x:c r="K82">
        <x:v>1</x:v>
      </x:c>
      <x:c r="L82" t="str">
        <x:f t="shared" si="1">IF(F82="Line",IF(AND(D82="",E82=""),"OK","CHECK"),IF(F82="Section",IF(AND(D82&gt;=1,D82&lt;=I82,E82=""),"OK","CHECK"),IF(F82="Cavity",IF(AND(D82&gt;=1,D82&lt;=I82,E82&gt;=1,E82&lt;=J82),"OK","CHECK"),"CHECK")))</x:f>
        <x:v>OK</x:v>
      </x:c>
      <x:c r="M82" t="n">
        <x:v>78</x:v>
      </x:c>
    </x:row>
    <x:row r="83">
      <x:c r="A83" t="s">
        <x:v>339</x:v>
      </x:c>
      <x:c r="B83" t="s">
        <x:v>146</x:v>
      </x:c>
      <x:c r="C83">
        <x:v>22</x:v>
      </x:c>
      <x:c r="D83">
        <x:v>7</x:v>
      </x:c>
      <x:c r="F83" t="s">
        <x:v>167</x:v>
      </x:c>
      <x:c r="G83" t="s">
        <x:v>340</x:v>
      </x:c>
      <x:c r="H83" t="s">
        <x:v>289</x:v>
      </x:c>
      <x:c r="I83">
        <x:v>13</x:v>
      </x:c>
      <x:c r="J83">
        <x:v>3</x:v>
      </x:c>
      <x:c r="K83">
        <x:v>1</x:v>
      </x:c>
      <x:c r="L83" t="str">
        <x:f t="shared" si="1">IF(F83="Line",IF(AND(D83="",E83=""),"OK","CHECK"),IF(F83="Section",IF(AND(D83&gt;=1,D83&lt;=I83,E83=""),"OK","CHECK"),IF(F83="Cavity",IF(AND(D83&gt;=1,D83&lt;=I83,E83&gt;=1,E83&lt;=J83),"OK","CHECK"),"CHECK")))</x:f>
        <x:v>OK</x:v>
      </x:c>
      <x:c r="M83" t="n">
        <x:v>79</x:v>
      </x:c>
    </x:row>
    <x:row r="84">
      <x:c r="A84" t="s">
        <x:v>341</x:v>
      </x:c>
      <x:c r="B84" t="s">
        <x:v>146</x:v>
      </x:c>
      <x:c r="C84">
        <x:v>22</x:v>
      </x:c>
      <x:c r="D84">
        <x:v>7</x:v>
      </x:c>
      <x:c r="E84">
        <x:v>1</x:v>
      </x:c>
      <x:c r="F84" t="s">
        <x:v>170</x:v>
      </x:c>
      <x:c r="G84" t="s">
        <x:v>342</x:v>
      </x:c>
      <x:c r="H84" t="s">
        <x:v>339</x:v>
      </x:c>
      <x:c r="I84">
        <x:v>13</x:v>
      </x:c>
      <x:c r="J84">
        <x:v>3</x:v>
      </x:c>
      <x:c r="K84">
        <x:v>1</x:v>
      </x:c>
      <x:c r="L84" t="str">
        <x:f t="shared" si="1">IF(F84="Line",IF(AND(D84="",E84=""),"OK","CHECK"),IF(F84="Section",IF(AND(D84&gt;=1,D84&lt;=I84,E84=""),"OK","CHECK"),IF(F84="Cavity",IF(AND(D84&gt;=1,D84&lt;=I84,E84&gt;=1,E84&lt;=J84),"OK","CHECK"),"CHECK")))</x:f>
        <x:v>OK</x:v>
      </x:c>
      <x:c r="M84" t="n">
        <x:v>80</x:v>
      </x:c>
    </x:row>
    <x:row r="85">
      <x:c r="A85" t="s">
        <x:v>343</x:v>
      </x:c>
      <x:c r="B85" t="s">
        <x:v>146</x:v>
      </x:c>
      <x:c r="C85">
        <x:v>22</x:v>
      </x:c>
      <x:c r="D85">
        <x:v>7</x:v>
      </x:c>
      <x:c r="E85">
        <x:v>2</x:v>
      </x:c>
      <x:c r="F85" t="s">
        <x:v>170</x:v>
      </x:c>
      <x:c r="G85" t="s">
        <x:v>344</x:v>
      </x:c>
      <x:c r="H85" t="s">
        <x:v>339</x:v>
      </x:c>
      <x:c r="I85">
        <x:v>13</x:v>
      </x:c>
      <x:c r="J85">
        <x:v>3</x:v>
      </x:c>
      <x:c r="K85">
        <x:v>1</x:v>
      </x:c>
      <x:c r="L85" t="str">
        <x:f t="shared" si="1">IF(F85="Line",IF(AND(D85="",E85=""),"OK","CHECK"),IF(F85="Section",IF(AND(D85&gt;=1,D85&lt;=I85,E85=""),"OK","CHECK"),IF(F85="Cavity",IF(AND(D85&gt;=1,D85&lt;=I85,E85&gt;=1,E85&lt;=J85),"OK","CHECK"),"CHECK")))</x:f>
        <x:v>OK</x:v>
      </x:c>
      <x:c r="M85" t="n">
        <x:v>81</x:v>
      </x:c>
    </x:row>
    <x:row r="86">
      <x:c r="A86" t="s">
        <x:v>345</x:v>
      </x:c>
      <x:c r="B86" t="s">
        <x:v>146</x:v>
      </x:c>
      <x:c r="C86">
        <x:v>22</x:v>
      </x:c>
      <x:c r="D86">
        <x:v>7</x:v>
      </x:c>
      <x:c r="E86">
        <x:v>3</x:v>
      </x:c>
      <x:c r="F86" t="s">
        <x:v>170</x:v>
      </x:c>
      <x:c r="G86" t="s">
        <x:v>346</x:v>
      </x:c>
      <x:c r="H86" t="s">
        <x:v>339</x:v>
      </x:c>
      <x:c r="I86">
        <x:v>13</x:v>
      </x:c>
      <x:c r="J86">
        <x:v>3</x:v>
      </x:c>
      <x:c r="K86">
        <x:v>1</x:v>
      </x:c>
      <x:c r="L86" t="str">
        <x:f t="shared" si="1">IF(F86="Line",IF(AND(D86="",E86=""),"OK","CHECK"),IF(F86="Section",IF(AND(D86&gt;=1,D86&lt;=I86,E86=""),"OK","CHECK"),IF(F86="Cavity",IF(AND(D86&gt;=1,D86&lt;=I86,E86&gt;=1,E86&lt;=J86),"OK","CHECK"),"CHECK")))</x:f>
        <x:v>OK</x:v>
      </x:c>
      <x:c r="M86" t="n">
        <x:v>82</x:v>
      </x:c>
    </x:row>
    <x:row r="87">
      <x:c r="A87" t="s">
        <x:v>347</x:v>
      </x:c>
      <x:c r="B87" t="s">
        <x:v>146</x:v>
      </x:c>
      <x:c r="C87">
        <x:v>22</x:v>
      </x:c>
      <x:c r="D87">
        <x:v>8</x:v>
      </x:c>
      <x:c r="F87" t="s">
        <x:v>167</x:v>
      </x:c>
      <x:c r="G87" t="s">
        <x:v>348</x:v>
      </x:c>
      <x:c r="H87" t="s">
        <x:v>289</x:v>
      </x:c>
      <x:c r="I87">
        <x:v>13</x:v>
      </x:c>
      <x:c r="J87">
        <x:v>3</x:v>
      </x:c>
      <x:c r="K87">
        <x:v>1</x:v>
      </x:c>
      <x:c r="L87" t="str">
        <x:f t="shared" si="1">IF(F87="Line",IF(AND(D87="",E87=""),"OK","CHECK"),IF(F87="Section",IF(AND(D87&gt;=1,D87&lt;=I87,E87=""),"OK","CHECK"),IF(F87="Cavity",IF(AND(D87&gt;=1,D87&lt;=I87,E87&gt;=1,E87&lt;=J87),"OK","CHECK"),"CHECK")))</x:f>
        <x:v>OK</x:v>
      </x:c>
      <x:c r="M87" t="n">
        <x:v>83</x:v>
      </x:c>
    </x:row>
    <x:row r="88">
      <x:c r="A88" t="s">
        <x:v>349</x:v>
      </x:c>
      <x:c r="B88" t="s">
        <x:v>146</x:v>
      </x:c>
      <x:c r="C88">
        <x:v>22</x:v>
      </x:c>
      <x:c r="D88">
        <x:v>8</x:v>
      </x:c>
      <x:c r="E88">
        <x:v>1</x:v>
      </x:c>
      <x:c r="F88" t="s">
        <x:v>170</x:v>
      </x:c>
      <x:c r="G88" t="s">
        <x:v>350</x:v>
      </x:c>
      <x:c r="H88" t="s">
        <x:v>347</x:v>
      </x:c>
      <x:c r="I88">
        <x:v>13</x:v>
      </x:c>
      <x:c r="J88">
        <x:v>3</x:v>
      </x:c>
      <x:c r="K88">
        <x:v>1</x:v>
      </x:c>
      <x:c r="L88" t="str">
        <x:f t="shared" si="1">IF(F88="Line",IF(AND(D88="",E88=""),"OK","CHECK"),IF(F88="Section",IF(AND(D88&gt;=1,D88&lt;=I88,E88=""),"OK","CHECK"),IF(F88="Cavity",IF(AND(D88&gt;=1,D88&lt;=I88,E88&gt;=1,E88&lt;=J88),"OK","CHECK"),"CHECK")))</x:f>
        <x:v>OK</x:v>
      </x:c>
      <x:c r="M88" t="n">
        <x:v>84</x:v>
      </x:c>
    </x:row>
    <x:row r="89">
      <x:c r="A89" t="s">
        <x:v>351</x:v>
      </x:c>
      <x:c r="B89" t="s">
        <x:v>146</x:v>
      </x:c>
      <x:c r="C89">
        <x:v>22</x:v>
      </x:c>
      <x:c r="D89">
        <x:v>8</x:v>
      </x:c>
      <x:c r="E89">
        <x:v>2</x:v>
      </x:c>
      <x:c r="F89" t="s">
        <x:v>170</x:v>
      </x:c>
      <x:c r="G89" t="s">
        <x:v>352</x:v>
      </x:c>
      <x:c r="H89" t="s">
        <x:v>347</x:v>
      </x:c>
      <x:c r="I89">
        <x:v>13</x:v>
      </x:c>
      <x:c r="J89">
        <x:v>3</x:v>
      </x:c>
      <x:c r="K89">
        <x:v>1</x:v>
      </x:c>
      <x:c r="L89" t="str">
        <x:f t="shared" si="1">IF(F89="Line",IF(AND(D89="",E89=""),"OK","CHECK"),IF(F89="Section",IF(AND(D89&gt;=1,D89&lt;=I89,E89=""),"OK","CHECK"),IF(F89="Cavity",IF(AND(D89&gt;=1,D89&lt;=I89,E89&gt;=1,E89&lt;=J89),"OK","CHECK"),"CHECK")))</x:f>
        <x:v>OK</x:v>
      </x:c>
      <x:c r="M89" t="n">
        <x:v>85</x:v>
      </x:c>
    </x:row>
    <x:row r="90">
      <x:c r="A90" t="s">
        <x:v>353</x:v>
      </x:c>
      <x:c r="B90" t="s">
        <x:v>146</x:v>
      </x:c>
      <x:c r="C90">
        <x:v>22</x:v>
      </x:c>
      <x:c r="D90">
        <x:v>8</x:v>
      </x:c>
      <x:c r="E90">
        <x:v>3</x:v>
      </x:c>
      <x:c r="F90" t="s">
        <x:v>170</x:v>
      </x:c>
      <x:c r="G90" t="s">
        <x:v>354</x:v>
      </x:c>
      <x:c r="H90" t="s">
        <x:v>347</x:v>
      </x:c>
      <x:c r="I90">
        <x:v>13</x:v>
      </x:c>
      <x:c r="J90">
        <x:v>3</x:v>
      </x:c>
      <x:c r="K90">
        <x:v>1</x:v>
      </x:c>
      <x:c r="L90" t="str">
        <x:f t="shared" si="1">IF(F90="Line",IF(AND(D90="",E90=""),"OK","CHECK"),IF(F90="Section",IF(AND(D90&gt;=1,D90&lt;=I90,E90=""),"OK","CHECK"),IF(F90="Cavity",IF(AND(D90&gt;=1,D90&lt;=I90,E90&gt;=1,E90&lt;=J90),"OK","CHECK"),"CHECK")))</x:f>
        <x:v>OK</x:v>
      </x:c>
      <x:c r="M90" t="n">
        <x:v>86</x:v>
      </x:c>
    </x:row>
    <x:row r="91">
      <x:c r="A91" t="s">
        <x:v>355</x:v>
      </x:c>
      <x:c r="B91" t="s">
        <x:v>146</x:v>
      </x:c>
      <x:c r="C91">
        <x:v>22</x:v>
      </x:c>
      <x:c r="D91">
        <x:v>9</x:v>
      </x:c>
      <x:c r="F91" t="s">
        <x:v>167</x:v>
      </x:c>
      <x:c r="G91" t="s">
        <x:v>356</x:v>
      </x:c>
      <x:c r="H91" t="s">
        <x:v>289</x:v>
      </x:c>
      <x:c r="I91">
        <x:v>13</x:v>
      </x:c>
      <x:c r="J91">
        <x:v>3</x:v>
      </x:c>
      <x:c r="K91">
        <x:v>1</x:v>
      </x:c>
      <x:c r="L91" t="str">
        <x:f t="shared" si="1">IF(F91="Line",IF(AND(D91="",E91=""),"OK","CHECK"),IF(F91="Section",IF(AND(D91&gt;=1,D91&lt;=I91,E91=""),"OK","CHECK"),IF(F91="Cavity",IF(AND(D91&gt;=1,D91&lt;=I91,E91&gt;=1,E91&lt;=J91),"OK","CHECK"),"CHECK")))</x:f>
        <x:v>OK</x:v>
      </x:c>
      <x:c r="M91" t="n">
        <x:v>87</x:v>
      </x:c>
    </x:row>
    <x:row r="92">
      <x:c r="A92" t="s">
        <x:v>357</x:v>
      </x:c>
      <x:c r="B92" t="s">
        <x:v>146</x:v>
      </x:c>
      <x:c r="C92">
        <x:v>22</x:v>
      </x:c>
      <x:c r="D92">
        <x:v>9</x:v>
      </x:c>
      <x:c r="E92">
        <x:v>1</x:v>
      </x:c>
      <x:c r="F92" t="s">
        <x:v>170</x:v>
      </x:c>
      <x:c r="G92" t="s">
        <x:v>358</x:v>
      </x:c>
      <x:c r="H92" t="s">
        <x:v>355</x:v>
      </x:c>
      <x:c r="I92">
        <x:v>13</x:v>
      </x:c>
      <x:c r="J92">
        <x:v>3</x:v>
      </x:c>
      <x:c r="K92">
        <x:v>1</x:v>
      </x:c>
      <x:c r="L92" t="str">
        <x:f t="shared" si="1">IF(F92="Line",IF(AND(D92="",E92=""),"OK","CHECK"),IF(F92="Section",IF(AND(D92&gt;=1,D92&lt;=I92,E92=""),"OK","CHECK"),IF(F92="Cavity",IF(AND(D92&gt;=1,D92&lt;=I92,E92&gt;=1,E92&lt;=J92),"OK","CHECK"),"CHECK")))</x:f>
        <x:v>OK</x:v>
      </x:c>
      <x:c r="M92" t="n">
        <x:v>88</x:v>
      </x:c>
    </x:row>
    <x:row r="93">
      <x:c r="A93" t="s">
        <x:v>359</x:v>
      </x:c>
      <x:c r="B93" t="s">
        <x:v>146</x:v>
      </x:c>
      <x:c r="C93">
        <x:v>22</x:v>
      </x:c>
      <x:c r="D93">
        <x:v>9</x:v>
      </x:c>
      <x:c r="E93">
        <x:v>2</x:v>
      </x:c>
      <x:c r="F93" t="s">
        <x:v>170</x:v>
      </x:c>
      <x:c r="G93" t="s">
        <x:v>360</x:v>
      </x:c>
      <x:c r="H93" t="s">
        <x:v>355</x:v>
      </x:c>
      <x:c r="I93">
        <x:v>13</x:v>
      </x:c>
      <x:c r="J93">
        <x:v>3</x:v>
      </x:c>
      <x:c r="K93">
        <x:v>1</x:v>
      </x:c>
      <x:c r="L93" t="str">
        <x:f t="shared" si="1">IF(F93="Line",IF(AND(D93="",E93=""),"OK","CHECK"),IF(F93="Section",IF(AND(D93&gt;=1,D93&lt;=I93,E93=""),"OK","CHECK"),IF(F93="Cavity",IF(AND(D93&gt;=1,D93&lt;=I93,E93&gt;=1,E93&lt;=J93),"OK","CHECK"),"CHECK")))</x:f>
        <x:v>OK</x:v>
      </x:c>
      <x:c r="M93" t="n">
        <x:v>89</x:v>
      </x:c>
    </x:row>
    <x:row r="94">
      <x:c r="A94" t="s">
        <x:v>361</x:v>
      </x:c>
      <x:c r="B94" t="s">
        <x:v>146</x:v>
      </x:c>
      <x:c r="C94">
        <x:v>22</x:v>
      </x:c>
      <x:c r="D94">
        <x:v>9</x:v>
      </x:c>
      <x:c r="E94">
        <x:v>3</x:v>
      </x:c>
      <x:c r="F94" t="s">
        <x:v>170</x:v>
      </x:c>
      <x:c r="G94" t="s">
        <x:v>362</x:v>
      </x:c>
      <x:c r="H94" t="s">
        <x:v>355</x:v>
      </x:c>
      <x:c r="I94">
        <x:v>13</x:v>
      </x:c>
      <x:c r="J94">
        <x:v>3</x:v>
      </x:c>
      <x:c r="K94">
        <x:v>1</x:v>
      </x:c>
      <x:c r="L94" t="str">
        <x:f t="shared" si="1">IF(F94="Line",IF(AND(D94="",E94=""),"OK","CHECK"),IF(F94="Section",IF(AND(D94&gt;=1,D94&lt;=I94,E94=""),"OK","CHECK"),IF(F94="Cavity",IF(AND(D94&gt;=1,D94&lt;=I94,E94&gt;=1,E94&lt;=J94),"OK","CHECK"),"CHECK")))</x:f>
        <x:v>OK</x:v>
      </x:c>
      <x:c r="M94" t="n">
        <x:v>90</x:v>
      </x:c>
    </x:row>
    <x:row r="95">
      <x:c r="A95" t="s">
        <x:v>363</x:v>
      </x:c>
      <x:c r="B95" t="s">
        <x:v>146</x:v>
      </x:c>
      <x:c r="C95">
        <x:v>22</x:v>
      </x:c>
      <x:c r="D95">
        <x:v>10</x:v>
      </x:c>
      <x:c r="F95" t="s">
        <x:v>167</x:v>
      </x:c>
      <x:c r="G95" t="s">
        <x:v>364</x:v>
      </x:c>
      <x:c r="H95" t="s">
        <x:v>289</x:v>
      </x:c>
      <x:c r="I95">
        <x:v>13</x:v>
      </x:c>
      <x:c r="J95">
        <x:v>3</x:v>
      </x:c>
      <x:c r="K95">
        <x:v>1</x:v>
      </x:c>
      <x:c r="L95" t="str">
        <x:f t="shared" si="1">IF(F95="Line",IF(AND(D95="",E95=""),"OK","CHECK"),IF(F95="Section",IF(AND(D95&gt;=1,D95&lt;=I95,E95=""),"OK","CHECK"),IF(F95="Cavity",IF(AND(D95&gt;=1,D95&lt;=I95,E95&gt;=1,E95&lt;=J95),"OK","CHECK"),"CHECK")))</x:f>
        <x:v>OK</x:v>
      </x:c>
      <x:c r="M95" t="n">
        <x:v>91</x:v>
      </x:c>
    </x:row>
    <x:row r="96">
      <x:c r="A96" t="s">
        <x:v>365</x:v>
      </x:c>
      <x:c r="B96" t="s">
        <x:v>146</x:v>
      </x:c>
      <x:c r="C96">
        <x:v>22</x:v>
      </x:c>
      <x:c r="D96">
        <x:v>10</x:v>
      </x:c>
      <x:c r="E96">
        <x:v>1</x:v>
      </x:c>
      <x:c r="F96" t="s">
        <x:v>170</x:v>
      </x:c>
      <x:c r="G96" t="s">
        <x:v>366</x:v>
      </x:c>
      <x:c r="H96" t="s">
        <x:v>363</x:v>
      </x:c>
      <x:c r="I96">
        <x:v>13</x:v>
      </x:c>
      <x:c r="J96">
        <x:v>3</x:v>
      </x:c>
      <x:c r="K96">
        <x:v>1</x:v>
      </x:c>
      <x:c r="L96" t="str">
        <x:f t="shared" si="1">IF(F96="Line",IF(AND(D96="",E96=""),"OK","CHECK"),IF(F96="Section",IF(AND(D96&gt;=1,D96&lt;=I96,E96=""),"OK","CHECK"),IF(F96="Cavity",IF(AND(D96&gt;=1,D96&lt;=I96,E96&gt;=1,E96&lt;=J96),"OK","CHECK"),"CHECK")))</x:f>
        <x:v>OK</x:v>
      </x:c>
      <x:c r="M96" t="n">
        <x:v>92</x:v>
      </x:c>
    </x:row>
    <x:row r="97">
      <x:c r="A97" t="s">
        <x:v>367</x:v>
      </x:c>
      <x:c r="B97" t="s">
        <x:v>146</x:v>
      </x:c>
      <x:c r="C97">
        <x:v>22</x:v>
      </x:c>
      <x:c r="D97">
        <x:v>10</x:v>
      </x:c>
      <x:c r="E97">
        <x:v>2</x:v>
      </x:c>
      <x:c r="F97" t="s">
        <x:v>170</x:v>
      </x:c>
      <x:c r="G97" t="s">
        <x:v>368</x:v>
      </x:c>
      <x:c r="H97" t="s">
        <x:v>363</x:v>
      </x:c>
      <x:c r="I97">
        <x:v>13</x:v>
      </x:c>
      <x:c r="J97">
        <x:v>3</x:v>
      </x:c>
      <x:c r="K97">
        <x:v>1</x:v>
      </x:c>
      <x:c r="L97" t="str">
        <x:f t="shared" si="1">IF(F97="Line",IF(AND(D97="",E97=""),"OK","CHECK"),IF(F97="Section",IF(AND(D97&gt;=1,D97&lt;=I97,E97=""),"OK","CHECK"),IF(F97="Cavity",IF(AND(D97&gt;=1,D97&lt;=I97,E97&gt;=1,E97&lt;=J97),"OK","CHECK"),"CHECK")))</x:f>
        <x:v>OK</x:v>
      </x:c>
      <x:c r="M97" t="n">
        <x:v>93</x:v>
      </x:c>
    </x:row>
    <x:row r="98">
      <x:c r="A98" t="s">
        <x:v>369</x:v>
      </x:c>
      <x:c r="B98" t="s">
        <x:v>146</x:v>
      </x:c>
      <x:c r="C98">
        <x:v>22</x:v>
      </x:c>
      <x:c r="D98">
        <x:v>10</x:v>
      </x:c>
      <x:c r="E98">
        <x:v>3</x:v>
      </x:c>
      <x:c r="F98" t="s">
        <x:v>170</x:v>
      </x:c>
      <x:c r="G98" t="s">
        <x:v>370</x:v>
      </x:c>
      <x:c r="H98" t="s">
        <x:v>363</x:v>
      </x:c>
      <x:c r="I98">
        <x:v>13</x:v>
      </x:c>
      <x:c r="J98">
        <x:v>3</x:v>
      </x:c>
      <x:c r="K98">
        <x:v>1</x:v>
      </x:c>
      <x:c r="L98" t="str">
        <x:f t="shared" si="1">IF(F98="Line",IF(AND(D98="",E98=""),"OK","CHECK"),IF(F98="Section",IF(AND(D98&gt;=1,D98&lt;=I98,E98=""),"OK","CHECK"),IF(F98="Cavity",IF(AND(D98&gt;=1,D98&lt;=I98,E98&gt;=1,E98&lt;=J98),"OK","CHECK"),"CHECK")))</x:f>
        <x:v>OK</x:v>
      </x:c>
      <x:c r="M98" t="n">
        <x:v>94</x:v>
      </x:c>
    </x:row>
    <x:row r="99">
      <x:c r="A99" t="s">
        <x:v>371</x:v>
      </x:c>
      <x:c r="B99" t="s">
        <x:v>146</x:v>
      </x:c>
      <x:c r="C99">
        <x:v>22</x:v>
      </x:c>
      <x:c r="D99">
        <x:v>11</x:v>
      </x:c>
      <x:c r="F99" t="s">
        <x:v>167</x:v>
      </x:c>
      <x:c r="G99" t="s">
        <x:v>372</x:v>
      </x:c>
      <x:c r="H99" t="s">
        <x:v>289</x:v>
      </x:c>
      <x:c r="I99">
        <x:v>13</x:v>
      </x:c>
      <x:c r="J99">
        <x:v>3</x:v>
      </x:c>
      <x:c r="K99">
        <x:v>1</x:v>
      </x:c>
      <x:c r="L99" t="str">
        <x:f t="shared" si="1">IF(F99="Line",IF(AND(D99="",E99=""),"OK","CHECK"),IF(F99="Section",IF(AND(D99&gt;=1,D99&lt;=I99,E99=""),"OK","CHECK"),IF(F99="Cavity",IF(AND(D99&gt;=1,D99&lt;=I99,E99&gt;=1,E99&lt;=J99),"OK","CHECK"),"CHECK")))</x:f>
        <x:v>OK</x:v>
      </x:c>
      <x:c r="M99" t="n">
        <x:v>95</x:v>
      </x:c>
    </x:row>
    <x:row r="100">
      <x:c r="A100" t="s">
        <x:v>373</x:v>
      </x:c>
      <x:c r="B100" t="s">
        <x:v>146</x:v>
      </x:c>
      <x:c r="C100">
        <x:v>22</x:v>
      </x:c>
      <x:c r="D100">
        <x:v>11</x:v>
      </x:c>
      <x:c r="E100">
        <x:v>1</x:v>
      </x:c>
      <x:c r="F100" t="s">
        <x:v>170</x:v>
      </x:c>
      <x:c r="G100" t="s">
        <x:v>374</x:v>
      </x:c>
      <x:c r="H100" t="s">
        <x:v>371</x:v>
      </x:c>
      <x:c r="I100">
        <x:v>13</x:v>
      </x:c>
      <x:c r="J100">
        <x:v>3</x:v>
      </x:c>
      <x:c r="K100">
        <x:v>1</x:v>
      </x:c>
      <x:c r="L100" t="str">
        <x:f t="shared" si="1">IF(F100="Line",IF(AND(D100="",E100=""),"OK","CHECK"),IF(F100="Section",IF(AND(D100&gt;=1,D100&lt;=I100,E100=""),"OK","CHECK"),IF(F100="Cavity",IF(AND(D100&gt;=1,D100&lt;=I100,E100&gt;=1,E100&lt;=J100),"OK","CHECK"),"CHECK")))</x:f>
        <x:v>OK</x:v>
      </x:c>
      <x:c r="M100" t="n">
        <x:v>96</x:v>
      </x:c>
    </x:row>
    <x:row r="101">
      <x:c r="A101" t="s">
        <x:v>375</x:v>
      </x:c>
      <x:c r="B101" t="s">
        <x:v>146</x:v>
      </x:c>
      <x:c r="C101">
        <x:v>22</x:v>
      </x:c>
      <x:c r="D101">
        <x:v>11</x:v>
      </x:c>
      <x:c r="E101">
        <x:v>2</x:v>
      </x:c>
      <x:c r="F101" t="s">
        <x:v>170</x:v>
      </x:c>
      <x:c r="G101" t="s">
        <x:v>376</x:v>
      </x:c>
      <x:c r="H101" t="s">
        <x:v>371</x:v>
      </x:c>
      <x:c r="I101">
        <x:v>13</x:v>
      </x:c>
      <x:c r="J101">
        <x:v>3</x:v>
      </x:c>
      <x:c r="K101">
        <x:v>1</x:v>
      </x:c>
      <x:c r="L101" t="str">
        <x:f t="shared" si="1">IF(F101="Line",IF(AND(D101="",E101=""),"OK","CHECK"),IF(F101="Section",IF(AND(D101&gt;=1,D101&lt;=I101,E101=""),"OK","CHECK"),IF(F101="Cavity",IF(AND(D101&gt;=1,D101&lt;=I101,E101&gt;=1,E101&lt;=J101),"OK","CHECK"),"CHECK")))</x:f>
        <x:v>OK</x:v>
      </x:c>
      <x:c r="M101" t="n">
        <x:v>97</x:v>
      </x:c>
    </x:row>
    <x:row r="102">
      <x:c r="A102" t="s">
        <x:v>377</x:v>
      </x:c>
      <x:c r="B102" t="s">
        <x:v>146</x:v>
      </x:c>
      <x:c r="C102">
        <x:v>22</x:v>
      </x:c>
      <x:c r="D102">
        <x:v>11</x:v>
      </x:c>
      <x:c r="E102">
        <x:v>3</x:v>
      </x:c>
      <x:c r="F102" t="s">
        <x:v>170</x:v>
      </x:c>
      <x:c r="G102" t="s">
        <x:v>378</x:v>
      </x:c>
      <x:c r="H102" t="s">
        <x:v>371</x:v>
      </x:c>
      <x:c r="I102">
        <x:v>13</x:v>
      </x:c>
      <x:c r="J102">
        <x:v>3</x:v>
      </x:c>
      <x:c r="K102">
        <x:v>1</x:v>
      </x:c>
      <x:c r="L102" t="str">
        <x:f t="shared" si="1">IF(F102="Line",IF(AND(D102="",E102=""),"OK","CHECK"),IF(F102="Section",IF(AND(D102&gt;=1,D102&lt;=I102,E102=""),"OK","CHECK"),IF(F102="Cavity",IF(AND(D102&gt;=1,D102&lt;=I102,E102&gt;=1,E102&lt;=J102),"OK","CHECK"),"CHECK")))</x:f>
        <x:v>OK</x:v>
      </x:c>
      <x:c r="M102" t="n">
        <x:v>98</x:v>
      </x:c>
    </x:row>
    <x:row r="103">
      <x:c r="A103" t="s">
        <x:v>379</x:v>
      </x:c>
      <x:c r="B103" t="s">
        <x:v>146</x:v>
      </x:c>
      <x:c r="C103">
        <x:v>22</x:v>
      </x:c>
      <x:c r="D103">
        <x:v>12</x:v>
      </x:c>
      <x:c r="F103" t="s">
        <x:v>167</x:v>
      </x:c>
      <x:c r="G103" t="s">
        <x:v>380</x:v>
      </x:c>
      <x:c r="H103" t="s">
        <x:v>289</x:v>
      </x:c>
      <x:c r="I103">
        <x:v>13</x:v>
      </x:c>
      <x:c r="J103">
        <x:v>3</x:v>
      </x:c>
      <x:c r="K103">
        <x:v>1</x:v>
      </x:c>
      <x:c r="L103" t="str">
        <x:f t="shared" si="1">IF(F103="Line",IF(AND(D103="",E103=""),"OK","CHECK"),IF(F103="Section",IF(AND(D103&gt;=1,D103&lt;=I103,E103=""),"OK","CHECK"),IF(F103="Cavity",IF(AND(D103&gt;=1,D103&lt;=I103,E103&gt;=1,E103&lt;=J103),"OK","CHECK"),"CHECK")))</x:f>
        <x:v>OK</x:v>
      </x:c>
      <x:c r="M103" t="n">
        <x:v>99</x:v>
      </x:c>
    </x:row>
    <x:row r="104">
      <x:c r="A104" t="s">
        <x:v>381</x:v>
      </x:c>
      <x:c r="B104" t="s">
        <x:v>146</x:v>
      </x:c>
      <x:c r="C104">
        <x:v>22</x:v>
      </x:c>
      <x:c r="D104">
        <x:v>12</x:v>
      </x:c>
      <x:c r="E104">
        <x:v>1</x:v>
      </x:c>
      <x:c r="F104" t="s">
        <x:v>170</x:v>
      </x:c>
      <x:c r="G104" t="s">
        <x:v>382</x:v>
      </x:c>
      <x:c r="H104" t="s">
        <x:v>379</x:v>
      </x:c>
      <x:c r="I104">
        <x:v>13</x:v>
      </x:c>
      <x:c r="J104">
        <x:v>3</x:v>
      </x:c>
      <x:c r="K104">
        <x:v>1</x:v>
      </x:c>
      <x:c r="L104" t="str">
        <x:f t="shared" si="1">IF(F104="Line",IF(AND(D104="",E104=""),"OK","CHECK"),IF(F104="Section",IF(AND(D104&gt;=1,D104&lt;=I104,E104=""),"OK","CHECK"),IF(F104="Cavity",IF(AND(D104&gt;=1,D104&lt;=I104,E104&gt;=1,E104&lt;=J104),"OK","CHECK"),"CHECK")))</x:f>
        <x:v>OK</x:v>
      </x:c>
      <x:c r="M104" t="n">
        <x:v>100</x:v>
      </x:c>
    </x:row>
    <x:row r="105">
      <x:c r="A105" t="s">
        <x:v>383</x:v>
      </x:c>
      <x:c r="B105" t="s">
        <x:v>146</x:v>
      </x:c>
      <x:c r="C105">
        <x:v>22</x:v>
      </x:c>
      <x:c r="D105">
        <x:v>12</x:v>
      </x:c>
      <x:c r="E105">
        <x:v>2</x:v>
      </x:c>
      <x:c r="F105" t="s">
        <x:v>170</x:v>
      </x:c>
      <x:c r="G105" t="s">
        <x:v>384</x:v>
      </x:c>
      <x:c r="H105" t="s">
        <x:v>379</x:v>
      </x:c>
      <x:c r="I105">
        <x:v>13</x:v>
      </x:c>
      <x:c r="J105">
        <x:v>3</x:v>
      </x:c>
      <x:c r="K105">
        <x:v>1</x:v>
      </x:c>
      <x:c r="L105" t="str">
        <x:f t="shared" si="1">IF(F105="Line",IF(AND(D105="",E105=""),"OK","CHECK"),IF(F105="Section",IF(AND(D105&gt;=1,D105&lt;=I105,E105=""),"OK","CHECK"),IF(F105="Cavity",IF(AND(D105&gt;=1,D105&lt;=I105,E105&gt;=1,E105&lt;=J105),"OK","CHECK"),"CHECK")))</x:f>
        <x:v>OK</x:v>
      </x:c>
      <x:c r="M105" t="n">
        <x:v>101</x:v>
      </x:c>
    </x:row>
    <x:row r="106">
      <x:c r="A106" t="s">
        <x:v>385</x:v>
      </x:c>
      <x:c r="B106" t="s">
        <x:v>146</x:v>
      </x:c>
      <x:c r="C106">
        <x:v>22</x:v>
      </x:c>
      <x:c r="D106">
        <x:v>12</x:v>
      </x:c>
      <x:c r="E106">
        <x:v>3</x:v>
      </x:c>
      <x:c r="F106" t="s">
        <x:v>170</x:v>
      </x:c>
      <x:c r="G106" t="s">
        <x:v>386</x:v>
      </x:c>
      <x:c r="H106" t="s">
        <x:v>379</x:v>
      </x:c>
      <x:c r="I106">
        <x:v>13</x:v>
      </x:c>
      <x:c r="J106">
        <x:v>3</x:v>
      </x:c>
      <x:c r="K106">
        <x:v>1</x:v>
      </x:c>
      <x:c r="L106" t="str">
        <x:f t="shared" si="1">IF(F106="Line",IF(AND(D106="",E106=""),"OK","CHECK"),IF(F106="Section",IF(AND(D106&gt;=1,D106&lt;=I106,E106=""),"OK","CHECK"),IF(F106="Cavity",IF(AND(D106&gt;=1,D106&lt;=I106,E106&gt;=1,E106&lt;=J106),"OK","CHECK"),"CHECK")))</x:f>
        <x:v>OK</x:v>
      </x:c>
      <x:c r="M106" t="n">
        <x:v>102</x:v>
      </x:c>
    </x:row>
    <x:row r="107">
      <x:c r="A107" t="s">
        <x:v>387</x:v>
      </x:c>
      <x:c r="B107" t="s">
        <x:v>146</x:v>
      </x:c>
      <x:c r="C107">
        <x:v>22</x:v>
      </x:c>
      <x:c r="D107">
        <x:v>13</x:v>
      </x:c>
      <x:c r="F107" t="s">
        <x:v>167</x:v>
      </x:c>
      <x:c r="G107" t="s">
        <x:v>388</x:v>
      </x:c>
      <x:c r="H107" t="s">
        <x:v>289</x:v>
      </x:c>
      <x:c r="I107">
        <x:v>13</x:v>
      </x:c>
      <x:c r="J107">
        <x:v>3</x:v>
      </x:c>
      <x:c r="K107">
        <x:v>1</x:v>
      </x:c>
      <x:c r="L107" t="str">
        <x:f t="shared" si="1">IF(F107="Line",IF(AND(D107="",E107=""),"OK","CHECK"),IF(F107="Section",IF(AND(D107&gt;=1,D107&lt;=I107,E107=""),"OK","CHECK"),IF(F107="Cavity",IF(AND(D107&gt;=1,D107&lt;=I107,E107&gt;=1,E107&lt;=J107),"OK","CHECK"),"CHECK")))</x:f>
        <x:v>OK</x:v>
      </x:c>
      <x:c r="M107" t="n">
        <x:v>103</x:v>
      </x:c>
    </x:row>
    <x:row r="108">
      <x:c r="A108" t="s">
        <x:v>389</x:v>
      </x:c>
      <x:c r="B108" t="s">
        <x:v>146</x:v>
      </x:c>
      <x:c r="C108">
        <x:v>22</x:v>
      </x:c>
      <x:c r="D108">
        <x:v>13</x:v>
      </x:c>
      <x:c r="E108">
        <x:v>1</x:v>
      </x:c>
      <x:c r="F108" t="s">
        <x:v>170</x:v>
      </x:c>
      <x:c r="G108" t="s">
        <x:v>390</x:v>
      </x:c>
      <x:c r="H108" t="s">
        <x:v>387</x:v>
      </x:c>
      <x:c r="I108">
        <x:v>13</x:v>
      </x:c>
      <x:c r="J108">
        <x:v>3</x:v>
      </x:c>
      <x:c r="K108">
        <x:v>1</x:v>
      </x:c>
      <x:c r="L108" t="str">
        <x:f t="shared" si="1">IF(F108="Line",IF(AND(D108="",E108=""),"OK","CHECK"),IF(F108="Section",IF(AND(D108&gt;=1,D108&lt;=I108,E108=""),"OK","CHECK"),IF(F108="Cavity",IF(AND(D108&gt;=1,D108&lt;=I108,E108&gt;=1,E108&lt;=J108),"OK","CHECK"),"CHECK")))</x:f>
        <x:v>OK</x:v>
      </x:c>
      <x:c r="M108" t="n">
        <x:v>104</x:v>
      </x:c>
    </x:row>
    <x:row r="109">
      <x:c r="A109" t="s">
        <x:v>391</x:v>
      </x:c>
      <x:c r="B109" t="s">
        <x:v>146</x:v>
      </x:c>
      <x:c r="C109">
        <x:v>22</x:v>
      </x:c>
      <x:c r="D109">
        <x:v>13</x:v>
      </x:c>
      <x:c r="E109">
        <x:v>2</x:v>
      </x:c>
      <x:c r="F109" t="s">
        <x:v>170</x:v>
      </x:c>
      <x:c r="G109" t="s">
        <x:v>392</x:v>
      </x:c>
      <x:c r="H109" t="s">
        <x:v>387</x:v>
      </x:c>
      <x:c r="I109">
        <x:v>13</x:v>
      </x:c>
      <x:c r="J109">
        <x:v>3</x:v>
      </x:c>
      <x:c r="K109">
        <x:v>1</x:v>
      </x:c>
      <x:c r="L109" t="str">
        <x:f t="shared" si="1">IF(F109="Line",IF(AND(D109="",E109=""),"OK","CHECK"),IF(F109="Section",IF(AND(D109&gt;=1,D109&lt;=I109,E109=""),"OK","CHECK"),IF(F109="Cavity",IF(AND(D109&gt;=1,D109&lt;=I109,E109&gt;=1,E109&lt;=J109),"OK","CHECK"),"CHECK")))</x:f>
        <x:v>OK</x:v>
      </x:c>
      <x:c r="M109" t="n">
        <x:v>105</x:v>
      </x:c>
    </x:row>
    <x:row r="110">
      <x:c r="A110" t="s">
        <x:v>393</x:v>
      </x:c>
      <x:c r="B110" t="s">
        <x:v>146</x:v>
      </x:c>
      <x:c r="C110">
        <x:v>22</x:v>
      </x:c>
      <x:c r="D110">
        <x:v>13</x:v>
      </x:c>
      <x:c r="E110">
        <x:v>3</x:v>
      </x:c>
      <x:c r="F110" t="s">
        <x:v>170</x:v>
      </x:c>
      <x:c r="G110" t="s">
        <x:v>394</x:v>
      </x:c>
      <x:c r="H110" t="s">
        <x:v>387</x:v>
      </x:c>
      <x:c r="I110">
        <x:v>13</x:v>
      </x:c>
      <x:c r="J110">
        <x:v>3</x:v>
      </x:c>
      <x:c r="K110">
        <x:v>1</x:v>
      </x:c>
      <x:c r="L110" t="str">
        <x:f t="shared" si="1">IF(F110="Line",IF(AND(D110="",E110=""),"OK","CHECK"),IF(F110="Section",IF(AND(D110&gt;=1,D110&lt;=I110,E110=""),"OK","CHECK"),IF(F110="Cavity",IF(AND(D110&gt;=1,D110&lt;=I110,E110&gt;=1,E110&lt;=J110),"OK","CHECK"),"CHECK")))</x:f>
        <x:v>OK</x:v>
      </x:c>
      <x:c r="M110" t="n">
        <x:v>106</x:v>
      </x:c>
    </x:row>
    <x:row r="111">
      <x:c r="A111" t="s">
        <x:v>395</x:v>
      </x:c>
      <x:c r="B111" t="s">
        <x:v>146</x:v>
      </x:c>
      <x:c r="C111">
        <x:v>23</x:v>
      </x:c>
      <x:c r="F111" t="s">
        <x:v>164</x:v>
      </x:c>
      <x:c r="G111" t="s">
        <x:v>396</x:v>
      </x:c>
      <x:c r="I111">
        <x:v>13</x:v>
      </x:c>
      <x:c r="J111">
        <x:v>3</x:v>
      </x:c>
      <x:c r="K111">
        <x:v>1</x:v>
      </x:c>
      <x:c r="L111" t="str">
        <x:f t="shared" si="1">IF(F111="Line",IF(AND(D111="",E111=""),"OK","CHECK"),IF(F111="Section",IF(AND(D111&gt;=1,D111&lt;=I111,E111=""),"OK","CHECK"),IF(F111="Cavity",IF(AND(D111&gt;=1,D111&lt;=I111,E111&gt;=1,E111&lt;=J111),"OK","CHECK"),"CHECK")))</x:f>
        <x:v>OK</x:v>
      </x:c>
      <x:c r="M111" t="n">
        <x:v>107</x:v>
      </x:c>
    </x:row>
    <x:row r="112">
      <x:c r="A112" t="s">
        <x:v>397</x:v>
      </x:c>
      <x:c r="B112" t="s">
        <x:v>146</x:v>
      </x:c>
      <x:c r="C112">
        <x:v>23</x:v>
      </x:c>
      <x:c r="D112">
        <x:v>1</x:v>
      </x:c>
      <x:c r="F112" t="s">
        <x:v>167</x:v>
      </x:c>
      <x:c r="G112" t="s">
        <x:v>398</x:v>
      </x:c>
      <x:c r="H112" t="s">
        <x:v>395</x:v>
      </x:c>
      <x:c r="I112">
        <x:v>13</x:v>
      </x:c>
      <x:c r="J112">
        <x:v>3</x:v>
      </x:c>
      <x:c r="K112">
        <x:v>1</x:v>
      </x:c>
      <x:c r="L112" t="str">
        <x:f t="shared" si="1">IF(F112="Line",IF(AND(D112="",E112=""),"OK","CHECK"),IF(F112="Section",IF(AND(D112&gt;=1,D112&lt;=I112,E112=""),"OK","CHECK"),IF(F112="Cavity",IF(AND(D112&gt;=1,D112&lt;=I112,E112&gt;=1,E112&lt;=J112),"OK","CHECK"),"CHECK")))</x:f>
        <x:v>OK</x:v>
      </x:c>
      <x:c r="M112" t="n">
        <x:v>108</x:v>
      </x:c>
    </x:row>
    <x:row r="113">
      <x:c r="A113" t="s">
        <x:v>399</x:v>
      </x:c>
      <x:c r="B113" t="s">
        <x:v>146</x:v>
      </x:c>
      <x:c r="C113">
        <x:v>23</x:v>
      </x:c>
      <x:c r="D113">
        <x:v>1</x:v>
      </x:c>
      <x:c r="E113">
        <x:v>1</x:v>
      </x:c>
      <x:c r="F113" t="s">
        <x:v>170</x:v>
      </x:c>
      <x:c r="G113" t="s">
        <x:v>400</x:v>
      </x:c>
      <x:c r="H113" t="s">
        <x:v>397</x:v>
      </x:c>
      <x:c r="I113">
        <x:v>13</x:v>
      </x:c>
      <x:c r="J113">
        <x:v>3</x:v>
      </x:c>
      <x:c r="K113">
        <x:v>1</x:v>
      </x:c>
      <x:c r="L113" t="str">
        <x:f t="shared" si="1">IF(F113="Line",IF(AND(D113="",E113=""),"OK","CHECK"),IF(F113="Section",IF(AND(D113&gt;=1,D113&lt;=I113,E113=""),"OK","CHECK"),IF(F113="Cavity",IF(AND(D113&gt;=1,D113&lt;=I113,E113&gt;=1,E113&lt;=J113),"OK","CHECK"),"CHECK")))</x:f>
        <x:v>OK</x:v>
      </x:c>
      <x:c r="M113" t="n">
        <x:v>109</x:v>
      </x:c>
    </x:row>
    <x:row r="114">
      <x:c r="A114" t="s">
        <x:v>401</x:v>
      </x:c>
      <x:c r="B114" t="s">
        <x:v>146</x:v>
      </x:c>
      <x:c r="C114">
        <x:v>23</x:v>
      </x:c>
      <x:c r="D114">
        <x:v>1</x:v>
      </x:c>
      <x:c r="E114">
        <x:v>2</x:v>
      </x:c>
      <x:c r="F114" t="s">
        <x:v>170</x:v>
      </x:c>
      <x:c r="G114" t="s">
        <x:v>402</x:v>
      </x:c>
      <x:c r="H114" t="s">
        <x:v>397</x:v>
      </x:c>
      <x:c r="I114">
        <x:v>13</x:v>
      </x:c>
      <x:c r="J114">
        <x:v>3</x:v>
      </x:c>
      <x:c r="K114">
        <x:v>1</x:v>
      </x:c>
      <x:c r="L114" t="str">
        <x:f t="shared" si="1">IF(F114="Line",IF(AND(D114="",E114=""),"OK","CHECK"),IF(F114="Section",IF(AND(D114&gt;=1,D114&lt;=I114,E114=""),"OK","CHECK"),IF(F114="Cavity",IF(AND(D114&gt;=1,D114&lt;=I114,E114&gt;=1,E114&lt;=J114),"OK","CHECK"),"CHECK")))</x:f>
        <x:v>OK</x:v>
      </x:c>
      <x:c r="M114" t="n">
        <x:v>110</x:v>
      </x:c>
    </x:row>
    <x:row r="115">
      <x:c r="A115" t="s">
        <x:v>403</x:v>
      </x:c>
      <x:c r="B115" t="s">
        <x:v>146</x:v>
      </x:c>
      <x:c r="C115">
        <x:v>23</x:v>
      </x:c>
      <x:c r="D115">
        <x:v>1</x:v>
      </x:c>
      <x:c r="E115">
        <x:v>3</x:v>
      </x:c>
      <x:c r="F115" t="s">
        <x:v>170</x:v>
      </x:c>
      <x:c r="G115" t="s">
        <x:v>404</x:v>
      </x:c>
      <x:c r="H115" t="s">
        <x:v>397</x:v>
      </x:c>
      <x:c r="I115">
        <x:v>13</x:v>
      </x:c>
      <x:c r="J115">
        <x:v>3</x:v>
      </x:c>
      <x:c r="K115">
        <x:v>1</x:v>
      </x:c>
      <x:c r="L115" t="str">
        <x:f t="shared" si="1">IF(F115="Line",IF(AND(D115="",E115=""),"OK","CHECK"),IF(F115="Section",IF(AND(D115&gt;=1,D115&lt;=I115,E115=""),"OK","CHECK"),IF(F115="Cavity",IF(AND(D115&gt;=1,D115&lt;=I115,E115&gt;=1,E115&lt;=J115),"OK","CHECK"),"CHECK")))</x:f>
        <x:v>OK</x:v>
      </x:c>
      <x:c r="M115" t="n">
        <x:v>111</x:v>
      </x:c>
    </x:row>
    <x:row r="116">
      <x:c r="A116" t="s">
        <x:v>405</x:v>
      </x:c>
      <x:c r="B116" t="s">
        <x:v>146</x:v>
      </x:c>
      <x:c r="C116">
        <x:v>23</x:v>
      </x:c>
      <x:c r="D116">
        <x:v>2</x:v>
      </x:c>
      <x:c r="F116" t="s">
        <x:v>167</x:v>
      </x:c>
      <x:c r="G116" t="s">
        <x:v>406</x:v>
      </x:c>
      <x:c r="H116" t="s">
        <x:v>395</x:v>
      </x:c>
      <x:c r="I116">
        <x:v>13</x:v>
      </x:c>
      <x:c r="J116">
        <x:v>3</x:v>
      </x:c>
      <x:c r="K116">
        <x:v>1</x:v>
      </x:c>
      <x:c r="L116" t="str">
        <x:f t="shared" si="1">IF(F116="Line",IF(AND(D116="",E116=""),"OK","CHECK"),IF(F116="Section",IF(AND(D116&gt;=1,D116&lt;=I116,E116=""),"OK","CHECK"),IF(F116="Cavity",IF(AND(D116&gt;=1,D116&lt;=I116,E116&gt;=1,E116&lt;=J116),"OK","CHECK"),"CHECK")))</x:f>
        <x:v>OK</x:v>
      </x:c>
      <x:c r="M116" t="n">
        <x:v>112</x:v>
      </x:c>
    </x:row>
    <x:row r="117">
      <x:c r="A117" t="s">
        <x:v>407</x:v>
      </x:c>
      <x:c r="B117" t="s">
        <x:v>146</x:v>
      </x:c>
      <x:c r="C117">
        <x:v>23</x:v>
      </x:c>
      <x:c r="D117">
        <x:v>2</x:v>
      </x:c>
      <x:c r="E117">
        <x:v>1</x:v>
      </x:c>
      <x:c r="F117" t="s">
        <x:v>170</x:v>
      </x:c>
      <x:c r="G117" t="s">
        <x:v>408</x:v>
      </x:c>
      <x:c r="H117" t="s">
        <x:v>405</x:v>
      </x:c>
      <x:c r="I117">
        <x:v>13</x:v>
      </x:c>
      <x:c r="J117">
        <x:v>3</x:v>
      </x:c>
      <x:c r="K117">
        <x:v>1</x:v>
      </x:c>
      <x:c r="L117" t="str">
        <x:f t="shared" si="1">IF(F117="Line",IF(AND(D117="",E117=""),"OK","CHECK"),IF(F117="Section",IF(AND(D117&gt;=1,D117&lt;=I117,E117=""),"OK","CHECK"),IF(F117="Cavity",IF(AND(D117&gt;=1,D117&lt;=I117,E117&gt;=1,E117&lt;=J117),"OK","CHECK"),"CHECK")))</x:f>
        <x:v>OK</x:v>
      </x:c>
      <x:c r="M117" t="n">
        <x:v>113</x:v>
      </x:c>
    </x:row>
    <x:row r="118">
      <x:c r="A118" t="s">
        <x:v>409</x:v>
      </x:c>
      <x:c r="B118" t="s">
        <x:v>146</x:v>
      </x:c>
      <x:c r="C118">
        <x:v>23</x:v>
      </x:c>
      <x:c r="D118">
        <x:v>2</x:v>
      </x:c>
      <x:c r="E118">
        <x:v>2</x:v>
      </x:c>
      <x:c r="F118" t="s">
        <x:v>170</x:v>
      </x:c>
      <x:c r="G118" t="s">
        <x:v>410</x:v>
      </x:c>
      <x:c r="H118" t="s">
        <x:v>405</x:v>
      </x:c>
      <x:c r="I118">
        <x:v>13</x:v>
      </x:c>
      <x:c r="J118">
        <x:v>3</x:v>
      </x:c>
      <x:c r="K118">
        <x:v>1</x:v>
      </x:c>
      <x:c r="L118" t="str">
        <x:f t="shared" si="1">IF(F118="Line",IF(AND(D118="",E118=""),"OK","CHECK"),IF(F118="Section",IF(AND(D118&gt;=1,D118&lt;=I118,E118=""),"OK","CHECK"),IF(F118="Cavity",IF(AND(D118&gt;=1,D118&lt;=I118,E118&gt;=1,E118&lt;=J118),"OK","CHECK"),"CHECK")))</x:f>
        <x:v>OK</x:v>
      </x:c>
      <x:c r="M118" t="n">
        <x:v>114</x:v>
      </x:c>
    </x:row>
    <x:row r="119">
      <x:c r="A119" t="s">
        <x:v>411</x:v>
      </x:c>
      <x:c r="B119" t="s">
        <x:v>146</x:v>
      </x:c>
      <x:c r="C119">
        <x:v>23</x:v>
      </x:c>
      <x:c r="D119">
        <x:v>2</x:v>
      </x:c>
      <x:c r="E119">
        <x:v>3</x:v>
      </x:c>
      <x:c r="F119" t="s">
        <x:v>170</x:v>
      </x:c>
      <x:c r="G119" t="s">
        <x:v>412</x:v>
      </x:c>
      <x:c r="H119" t="s">
        <x:v>405</x:v>
      </x:c>
      <x:c r="I119">
        <x:v>13</x:v>
      </x:c>
      <x:c r="J119">
        <x:v>3</x:v>
      </x:c>
      <x:c r="K119">
        <x:v>1</x:v>
      </x:c>
      <x:c r="L119" t="str">
        <x:f t="shared" si="1">IF(F119="Line",IF(AND(D119="",E119=""),"OK","CHECK"),IF(F119="Section",IF(AND(D119&gt;=1,D119&lt;=I119,E119=""),"OK","CHECK"),IF(F119="Cavity",IF(AND(D119&gt;=1,D119&lt;=I119,E119&gt;=1,E119&lt;=J119),"OK","CHECK"),"CHECK")))</x:f>
        <x:v>OK</x:v>
      </x:c>
      <x:c r="M119" t="n">
        <x:v>115</x:v>
      </x:c>
    </x:row>
    <x:row r="120">
      <x:c r="A120" t="s">
        <x:v>413</x:v>
      </x:c>
      <x:c r="B120" t="s">
        <x:v>146</x:v>
      </x:c>
      <x:c r="C120">
        <x:v>23</x:v>
      </x:c>
      <x:c r="D120">
        <x:v>3</x:v>
      </x:c>
      <x:c r="F120" t="s">
        <x:v>167</x:v>
      </x:c>
      <x:c r="G120" t="s">
        <x:v>414</x:v>
      </x:c>
      <x:c r="H120" t="s">
        <x:v>395</x:v>
      </x:c>
      <x:c r="I120">
        <x:v>13</x:v>
      </x:c>
      <x:c r="J120">
        <x:v>3</x:v>
      </x:c>
      <x:c r="K120">
        <x:v>1</x:v>
      </x:c>
      <x:c r="L120" t="str">
        <x:f t="shared" si="1">IF(F120="Line",IF(AND(D120="",E120=""),"OK","CHECK"),IF(F120="Section",IF(AND(D120&gt;=1,D120&lt;=I120,E120=""),"OK","CHECK"),IF(F120="Cavity",IF(AND(D120&gt;=1,D120&lt;=I120,E120&gt;=1,E120&lt;=J120),"OK","CHECK"),"CHECK")))</x:f>
        <x:v>OK</x:v>
      </x:c>
      <x:c r="M120" t="n">
        <x:v>116</x:v>
      </x:c>
    </x:row>
    <x:row r="121">
      <x:c r="A121" t="s">
        <x:v>415</x:v>
      </x:c>
      <x:c r="B121" t="s">
        <x:v>146</x:v>
      </x:c>
      <x:c r="C121">
        <x:v>23</x:v>
      </x:c>
      <x:c r="D121">
        <x:v>3</x:v>
      </x:c>
      <x:c r="E121">
        <x:v>1</x:v>
      </x:c>
      <x:c r="F121" t="s">
        <x:v>170</x:v>
      </x:c>
      <x:c r="G121" t="s">
        <x:v>416</x:v>
      </x:c>
      <x:c r="H121" t="s">
        <x:v>413</x:v>
      </x:c>
      <x:c r="I121">
        <x:v>13</x:v>
      </x:c>
      <x:c r="J121">
        <x:v>3</x:v>
      </x:c>
      <x:c r="K121">
        <x:v>1</x:v>
      </x:c>
      <x:c r="L121" t="str">
        <x:f t="shared" si="1">IF(F121="Line",IF(AND(D121="",E121=""),"OK","CHECK"),IF(F121="Section",IF(AND(D121&gt;=1,D121&lt;=I121,E121=""),"OK","CHECK"),IF(F121="Cavity",IF(AND(D121&gt;=1,D121&lt;=I121,E121&gt;=1,E121&lt;=J121),"OK","CHECK"),"CHECK")))</x:f>
        <x:v>OK</x:v>
      </x:c>
      <x:c r="M121" t="n">
        <x:v>117</x:v>
      </x:c>
    </x:row>
    <x:row r="122">
      <x:c r="A122" t="s">
        <x:v>417</x:v>
      </x:c>
      <x:c r="B122" t="s">
        <x:v>146</x:v>
      </x:c>
      <x:c r="C122">
        <x:v>23</x:v>
      </x:c>
      <x:c r="D122">
        <x:v>3</x:v>
      </x:c>
      <x:c r="E122">
        <x:v>2</x:v>
      </x:c>
      <x:c r="F122" t="s">
        <x:v>170</x:v>
      </x:c>
      <x:c r="G122" t="s">
        <x:v>418</x:v>
      </x:c>
      <x:c r="H122" t="s">
        <x:v>413</x:v>
      </x:c>
      <x:c r="I122">
        <x:v>13</x:v>
      </x:c>
      <x:c r="J122">
        <x:v>3</x:v>
      </x:c>
      <x:c r="K122">
        <x:v>1</x:v>
      </x:c>
      <x:c r="L122" t="str">
        <x:f t="shared" si="1">IF(F122="Line",IF(AND(D122="",E122=""),"OK","CHECK"),IF(F122="Section",IF(AND(D122&gt;=1,D122&lt;=I122,E122=""),"OK","CHECK"),IF(F122="Cavity",IF(AND(D122&gt;=1,D122&lt;=I122,E122&gt;=1,E122&lt;=J122),"OK","CHECK"),"CHECK")))</x:f>
        <x:v>OK</x:v>
      </x:c>
      <x:c r="M122" t="n">
        <x:v>118</x:v>
      </x:c>
    </x:row>
    <x:row r="123">
      <x:c r="A123" t="s">
        <x:v>419</x:v>
      </x:c>
      <x:c r="B123" t="s">
        <x:v>146</x:v>
      </x:c>
      <x:c r="C123">
        <x:v>23</x:v>
      </x:c>
      <x:c r="D123">
        <x:v>3</x:v>
      </x:c>
      <x:c r="E123">
        <x:v>3</x:v>
      </x:c>
      <x:c r="F123" t="s">
        <x:v>170</x:v>
      </x:c>
      <x:c r="G123" t="s">
        <x:v>420</x:v>
      </x:c>
      <x:c r="H123" t="s">
        <x:v>413</x:v>
      </x:c>
      <x:c r="I123">
        <x:v>13</x:v>
      </x:c>
      <x:c r="J123">
        <x:v>3</x:v>
      </x:c>
      <x:c r="K123">
        <x:v>1</x:v>
      </x:c>
      <x:c r="L123" t="str">
        <x:f t="shared" si="1">IF(F123="Line",IF(AND(D123="",E123=""),"OK","CHECK"),IF(F123="Section",IF(AND(D123&gt;=1,D123&lt;=I123,E123=""),"OK","CHECK"),IF(F123="Cavity",IF(AND(D123&gt;=1,D123&lt;=I123,E123&gt;=1,E123&lt;=J123),"OK","CHECK"),"CHECK")))</x:f>
        <x:v>OK</x:v>
      </x:c>
      <x:c r="M123" t="n">
        <x:v>119</x:v>
      </x:c>
    </x:row>
    <x:row r="124">
      <x:c r="A124" t="s">
        <x:v>421</x:v>
      </x:c>
      <x:c r="B124" t="s">
        <x:v>146</x:v>
      </x:c>
      <x:c r="C124">
        <x:v>23</x:v>
      </x:c>
      <x:c r="D124">
        <x:v>4</x:v>
      </x:c>
      <x:c r="F124" t="s">
        <x:v>167</x:v>
      </x:c>
      <x:c r="G124" t="s">
        <x:v>422</x:v>
      </x:c>
      <x:c r="H124" t="s">
        <x:v>395</x:v>
      </x:c>
      <x:c r="I124">
        <x:v>13</x:v>
      </x:c>
      <x:c r="J124">
        <x:v>3</x:v>
      </x:c>
      <x:c r="K124">
        <x:v>1</x:v>
      </x:c>
      <x:c r="L124" t="str">
        <x:f t="shared" si="1">IF(F124="Line",IF(AND(D124="",E124=""),"OK","CHECK"),IF(F124="Section",IF(AND(D124&gt;=1,D124&lt;=I124,E124=""),"OK","CHECK"),IF(F124="Cavity",IF(AND(D124&gt;=1,D124&lt;=I124,E124&gt;=1,E124&lt;=J124),"OK","CHECK"),"CHECK")))</x:f>
        <x:v>OK</x:v>
      </x:c>
      <x:c r="M124" t="n">
        <x:v>120</x:v>
      </x:c>
    </x:row>
    <x:row r="125">
      <x:c r="A125" t="s">
        <x:v>423</x:v>
      </x:c>
      <x:c r="B125" t="s">
        <x:v>146</x:v>
      </x:c>
      <x:c r="C125">
        <x:v>23</x:v>
      </x:c>
      <x:c r="D125">
        <x:v>4</x:v>
      </x:c>
      <x:c r="E125">
        <x:v>1</x:v>
      </x:c>
      <x:c r="F125" t="s">
        <x:v>170</x:v>
      </x:c>
      <x:c r="G125" t="s">
        <x:v>424</x:v>
      </x:c>
      <x:c r="H125" t="s">
        <x:v>421</x:v>
      </x:c>
      <x:c r="I125">
        <x:v>13</x:v>
      </x:c>
      <x:c r="J125">
        <x:v>3</x:v>
      </x:c>
      <x:c r="K125">
        <x:v>1</x:v>
      </x:c>
      <x:c r="L125" t="str">
        <x:f t="shared" si="1">IF(F125="Line",IF(AND(D125="",E125=""),"OK","CHECK"),IF(F125="Section",IF(AND(D125&gt;=1,D125&lt;=I125,E125=""),"OK","CHECK"),IF(F125="Cavity",IF(AND(D125&gt;=1,D125&lt;=I125,E125&gt;=1,E125&lt;=J125),"OK","CHECK"),"CHECK")))</x:f>
        <x:v>OK</x:v>
      </x:c>
      <x:c r="M125" t="n">
        <x:v>121</x:v>
      </x:c>
    </x:row>
    <x:row r="126">
      <x:c r="A126" t="s">
        <x:v>425</x:v>
      </x:c>
      <x:c r="B126" t="s">
        <x:v>146</x:v>
      </x:c>
      <x:c r="C126">
        <x:v>23</x:v>
      </x:c>
      <x:c r="D126">
        <x:v>4</x:v>
      </x:c>
      <x:c r="E126">
        <x:v>2</x:v>
      </x:c>
      <x:c r="F126" t="s">
        <x:v>170</x:v>
      </x:c>
      <x:c r="G126" t="s">
        <x:v>426</x:v>
      </x:c>
      <x:c r="H126" t="s">
        <x:v>421</x:v>
      </x:c>
      <x:c r="I126">
        <x:v>13</x:v>
      </x:c>
      <x:c r="J126">
        <x:v>3</x:v>
      </x:c>
      <x:c r="K126">
        <x:v>1</x:v>
      </x:c>
      <x:c r="L126" t="str">
        <x:f t="shared" si="1">IF(F126="Line",IF(AND(D126="",E126=""),"OK","CHECK"),IF(F126="Section",IF(AND(D126&gt;=1,D126&lt;=I126,E126=""),"OK","CHECK"),IF(F126="Cavity",IF(AND(D126&gt;=1,D126&lt;=I126,E126&gt;=1,E126&lt;=J126),"OK","CHECK"),"CHECK")))</x:f>
        <x:v>OK</x:v>
      </x:c>
      <x:c r="M126" t="n">
        <x:v>122</x:v>
      </x:c>
    </x:row>
    <x:row r="127">
      <x:c r="A127" t="s">
        <x:v>427</x:v>
      </x:c>
      <x:c r="B127" t="s">
        <x:v>146</x:v>
      </x:c>
      <x:c r="C127">
        <x:v>23</x:v>
      </x:c>
      <x:c r="D127">
        <x:v>4</x:v>
      </x:c>
      <x:c r="E127">
        <x:v>3</x:v>
      </x:c>
      <x:c r="F127" t="s">
        <x:v>170</x:v>
      </x:c>
      <x:c r="G127" t="s">
        <x:v>428</x:v>
      </x:c>
      <x:c r="H127" t="s">
        <x:v>421</x:v>
      </x:c>
      <x:c r="I127">
        <x:v>13</x:v>
      </x:c>
      <x:c r="J127">
        <x:v>3</x:v>
      </x:c>
      <x:c r="K127">
        <x:v>1</x:v>
      </x:c>
      <x:c r="L127" t="str">
        <x:f t="shared" si="1">IF(F127="Line",IF(AND(D127="",E127=""),"OK","CHECK"),IF(F127="Section",IF(AND(D127&gt;=1,D127&lt;=I127,E127=""),"OK","CHECK"),IF(F127="Cavity",IF(AND(D127&gt;=1,D127&lt;=I127,E127&gt;=1,E127&lt;=J127),"OK","CHECK"),"CHECK")))</x:f>
        <x:v>OK</x:v>
      </x:c>
      <x:c r="M127" t="n">
        <x:v>123</x:v>
      </x:c>
    </x:row>
    <x:row r="128">
      <x:c r="A128" t="s">
        <x:v>429</x:v>
      </x:c>
      <x:c r="B128" t="s">
        <x:v>146</x:v>
      </x:c>
      <x:c r="C128">
        <x:v>23</x:v>
      </x:c>
      <x:c r="D128">
        <x:v>5</x:v>
      </x:c>
      <x:c r="F128" t="s">
        <x:v>167</x:v>
      </x:c>
      <x:c r="G128" t="s">
        <x:v>430</x:v>
      </x:c>
      <x:c r="H128" t="s">
        <x:v>395</x:v>
      </x:c>
      <x:c r="I128">
        <x:v>13</x:v>
      </x:c>
      <x:c r="J128">
        <x:v>3</x:v>
      </x:c>
      <x:c r="K128">
        <x:v>1</x:v>
      </x:c>
      <x:c r="L128" t="str">
        <x:f t="shared" si="1">IF(F128="Line",IF(AND(D128="",E128=""),"OK","CHECK"),IF(F128="Section",IF(AND(D128&gt;=1,D128&lt;=I128,E128=""),"OK","CHECK"),IF(F128="Cavity",IF(AND(D128&gt;=1,D128&lt;=I128,E128&gt;=1,E128&lt;=J128),"OK","CHECK"),"CHECK")))</x:f>
        <x:v>OK</x:v>
      </x:c>
      <x:c r="M128" t="n">
        <x:v>124</x:v>
      </x:c>
    </x:row>
    <x:row r="129">
      <x:c r="A129" t="s">
        <x:v>431</x:v>
      </x:c>
      <x:c r="B129" t="s">
        <x:v>146</x:v>
      </x:c>
      <x:c r="C129">
        <x:v>23</x:v>
      </x:c>
      <x:c r="D129">
        <x:v>5</x:v>
      </x:c>
      <x:c r="E129">
        <x:v>1</x:v>
      </x:c>
      <x:c r="F129" t="s">
        <x:v>170</x:v>
      </x:c>
      <x:c r="G129" t="s">
        <x:v>432</x:v>
      </x:c>
      <x:c r="H129" t="s">
        <x:v>429</x:v>
      </x:c>
      <x:c r="I129">
        <x:v>13</x:v>
      </x:c>
      <x:c r="J129">
        <x:v>3</x:v>
      </x:c>
      <x:c r="K129">
        <x:v>1</x:v>
      </x:c>
      <x:c r="L129" t="str">
        <x:f t="shared" si="1">IF(F129="Line",IF(AND(D129="",E129=""),"OK","CHECK"),IF(F129="Section",IF(AND(D129&gt;=1,D129&lt;=I129,E129=""),"OK","CHECK"),IF(F129="Cavity",IF(AND(D129&gt;=1,D129&lt;=I129,E129&gt;=1,E129&lt;=J129),"OK","CHECK"),"CHECK")))</x:f>
        <x:v>OK</x:v>
      </x:c>
      <x:c r="M129" t="n">
        <x:v>125</x:v>
      </x:c>
    </x:row>
    <x:row r="130">
      <x:c r="A130" t="s">
        <x:v>433</x:v>
      </x:c>
      <x:c r="B130" t="s">
        <x:v>146</x:v>
      </x:c>
      <x:c r="C130">
        <x:v>23</x:v>
      </x:c>
      <x:c r="D130">
        <x:v>5</x:v>
      </x:c>
      <x:c r="E130">
        <x:v>2</x:v>
      </x:c>
      <x:c r="F130" t="s">
        <x:v>170</x:v>
      </x:c>
      <x:c r="G130" t="s">
        <x:v>434</x:v>
      </x:c>
      <x:c r="H130" t="s">
        <x:v>429</x:v>
      </x:c>
      <x:c r="I130">
        <x:v>13</x:v>
      </x:c>
      <x:c r="J130">
        <x:v>3</x:v>
      </x:c>
      <x:c r="K130">
        <x:v>1</x:v>
      </x:c>
      <x:c r="L130" t="str">
        <x:f t="shared" si="1">IF(F130="Line",IF(AND(D130="",E130=""),"OK","CHECK"),IF(F130="Section",IF(AND(D130&gt;=1,D130&lt;=I130,E130=""),"OK","CHECK"),IF(F130="Cavity",IF(AND(D130&gt;=1,D130&lt;=I130,E130&gt;=1,E130&lt;=J130),"OK","CHECK"),"CHECK")))</x:f>
        <x:v>OK</x:v>
      </x:c>
      <x:c r="M130" t="n">
        <x:v>126</x:v>
      </x:c>
    </x:row>
    <x:row r="131">
      <x:c r="A131" t="s">
        <x:v>435</x:v>
      </x:c>
      <x:c r="B131" t="s">
        <x:v>146</x:v>
      </x:c>
      <x:c r="C131">
        <x:v>23</x:v>
      </x:c>
      <x:c r="D131">
        <x:v>5</x:v>
      </x:c>
      <x:c r="E131">
        <x:v>3</x:v>
      </x:c>
      <x:c r="F131" t="s">
        <x:v>170</x:v>
      </x:c>
      <x:c r="G131" t="s">
        <x:v>436</x:v>
      </x:c>
      <x:c r="H131" t="s">
        <x:v>429</x:v>
      </x:c>
      <x:c r="I131">
        <x:v>13</x:v>
      </x:c>
      <x:c r="J131">
        <x:v>3</x:v>
      </x:c>
      <x:c r="K131">
        <x:v>1</x:v>
      </x:c>
      <x:c r="L131" t="str">
        <x:f t="shared" si="1">IF(F131="Line",IF(AND(D131="",E131=""),"OK","CHECK"),IF(F131="Section",IF(AND(D131&gt;=1,D131&lt;=I131,E131=""),"OK","CHECK"),IF(F131="Cavity",IF(AND(D131&gt;=1,D131&lt;=I131,E131&gt;=1,E131&lt;=J131),"OK","CHECK"),"CHECK")))</x:f>
        <x:v>OK</x:v>
      </x:c>
      <x:c r="M131" t="n">
        <x:v>127</x:v>
      </x:c>
    </x:row>
    <x:row r="132">
      <x:c r="A132" t="s">
        <x:v>437</x:v>
      </x:c>
      <x:c r="B132" t="s">
        <x:v>146</x:v>
      </x:c>
      <x:c r="C132">
        <x:v>23</x:v>
      </x:c>
      <x:c r="D132">
        <x:v>6</x:v>
      </x:c>
      <x:c r="F132" t="s">
        <x:v>167</x:v>
      </x:c>
      <x:c r="G132" t="s">
        <x:v>438</x:v>
      </x:c>
      <x:c r="H132" t="s">
        <x:v>395</x:v>
      </x:c>
      <x:c r="I132">
        <x:v>13</x:v>
      </x:c>
      <x:c r="J132">
        <x:v>3</x:v>
      </x:c>
      <x:c r="K132">
        <x:v>1</x:v>
      </x:c>
      <x:c r="L132" t="str">
        <x:f t="shared" si="1">IF(F132="Line",IF(AND(D132="",E132=""),"OK","CHECK"),IF(F132="Section",IF(AND(D132&gt;=1,D132&lt;=I132,E132=""),"OK","CHECK"),IF(F132="Cavity",IF(AND(D132&gt;=1,D132&lt;=I132,E132&gt;=1,E132&lt;=J132),"OK","CHECK"),"CHECK")))</x:f>
        <x:v>OK</x:v>
      </x:c>
      <x:c r="M132" t="n">
        <x:v>128</x:v>
      </x:c>
    </x:row>
    <x:row r="133">
      <x:c r="A133" t="s">
        <x:v>439</x:v>
      </x:c>
      <x:c r="B133" t="s">
        <x:v>146</x:v>
      </x:c>
      <x:c r="C133">
        <x:v>23</x:v>
      </x:c>
      <x:c r="D133">
        <x:v>6</x:v>
      </x:c>
      <x:c r="E133">
        <x:v>1</x:v>
      </x:c>
      <x:c r="F133" t="s">
        <x:v>170</x:v>
      </x:c>
      <x:c r="G133" t="s">
        <x:v>440</x:v>
      </x:c>
      <x:c r="H133" t="s">
        <x:v>437</x:v>
      </x:c>
      <x:c r="I133">
        <x:v>13</x:v>
      </x:c>
      <x:c r="J133">
        <x:v>3</x:v>
      </x:c>
      <x:c r="K133">
        <x:v>1</x:v>
      </x:c>
      <x:c r="L133" t="str">
        <x:f t="shared" ref="L133:L196" si="2">IF(F133="Line",IF(AND(D133="",E133=""),"OK","CHECK"),IF(F133="Section",IF(AND(D133&gt;=1,D133&lt;=I133,E133=""),"OK","CHECK"),IF(F133="Cavity",IF(AND(D133&gt;=1,D133&lt;=I133,E133&gt;=1,E133&lt;=J133),"OK","CHECK"),"CHECK")))</x:f>
        <x:v>OK</x:v>
      </x:c>
      <x:c r="M133" t="n">
        <x:v>129</x:v>
      </x:c>
    </x:row>
    <x:row r="134">
      <x:c r="A134" t="s">
        <x:v>441</x:v>
      </x:c>
      <x:c r="B134" t="s">
        <x:v>146</x:v>
      </x:c>
      <x:c r="C134">
        <x:v>23</x:v>
      </x:c>
      <x:c r="D134">
        <x:v>6</x:v>
      </x:c>
      <x:c r="E134">
        <x:v>2</x:v>
      </x:c>
      <x:c r="F134" t="s">
        <x:v>170</x:v>
      </x:c>
      <x:c r="G134" t="s">
        <x:v>442</x:v>
      </x:c>
      <x:c r="H134" t="s">
        <x:v>437</x:v>
      </x:c>
      <x:c r="I134">
        <x:v>13</x:v>
      </x:c>
      <x:c r="J134">
        <x:v>3</x:v>
      </x:c>
      <x:c r="K134">
        <x:v>1</x:v>
      </x:c>
      <x:c r="L134" t="str">
        <x:f t="shared" si="2">IF(F134="Line",IF(AND(D134="",E134=""),"OK","CHECK"),IF(F134="Section",IF(AND(D134&gt;=1,D134&lt;=I134,E134=""),"OK","CHECK"),IF(F134="Cavity",IF(AND(D134&gt;=1,D134&lt;=I134,E134&gt;=1,E134&lt;=J134),"OK","CHECK"),"CHECK")))</x:f>
        <x:v>OK</x:v>
      </x:c>
      <x:c r="M134" t="n">
        <x:v>130</x:v>
      </x:c>
    </x:row>
    <x:row r="135">
      <x:c r="A135" t="s">
        <x:v>443</x:v>
      </x:c>
      <x:c r="B135" t="s">
        <x:v>146</x:v>
      </x:c>
      <x:c r="C135">
        <x:v>23</x:v>
      </x:c>
      <x:c r="D135">
        <x:v>6</x:v>
      </x:c>
      <x:c r="E135">
        <x:v>3</x:v>
      </x:c>
      <x:c r="F135" t="s">
        <x:v>170</x:v>
      </x:c>
      <x:c r="G135" t="s">
        <x:v>444</x:v>
      </x:c>
      <x:c r="H135" t="s">
        <x:v>437</x:v>
      </x:c>
      <x:c r="I135">
        <x:v>13</x:v>
      </x:c>
      <x:c r="J135">
        <x:v>3</x:v>
      </x:c>
      <x:c r="K135">
        <x:v>1</x:v>
      </x:c>
      <x:c r="L135" t="str">
        <x:f t="shared" si="2">IF(F135="Line",IF(AND(D135="",E135=""),"OK","CHECK"),IF(F135="Section",IF(AND(D135&gt;=1,D135&lt;=I135,E135=""),"OK","CHECK"),IF(F135="Cavity",IF(AND(D135&gt;=1,D135&lt;=I135,E135&gt;=1,E135&lt;=J135),"OK","CHECK"),"CHECK")))</x:f>
        <x:v>OK</x:v>
      </x:c>
      <x:c r="M135" t="n">
        <x:v>131</x:v>
      </x:c>
    </x:row>
    <x:row r="136">
      <x:c r="A136" t="s">
        <x:v>445</x:v>
      </x:c>
      <x:c r="B136" t="s">
        <x:v>146</x:v>
      </x:c>
      <x:c r="C136">
        <x:v>23</x:v>
      </x:c>
      <x:c r="D136">
        <x:v>7</x:v>
      </x:c>
      <x:c r="F136" t="s">
        <x:v>167</x:v>
      </x:c>
      <x:c r="G136" t="s">
        <x:v>446</x:v>
      </x:c>
      <x:c r="H136" t="s">
        <x:v>395</x:v>
      </x:c>
      <x:c r="I136">
        <x:v>13</x:v>
      </x:c>
      <x:c r="J136">
        <x:v>3</x:v>
      </x:c>
      <x:c r="K136">
        <x:v>1</x:v>
      </x:c>
      <x:c r="L136" t="str">
        <x:f t="shared" si="2">IF(F136="Line",IF(AND(D136="",E136=""),"OK","CHECK"),IF(F136="Section",IF(AND(D136&gt;=1,D136&lt;=I136,E136=""),"OK","CHECK"),IF(F136="Cavity",IF(AND(D136&gt;=1,D136&lt;=I136,E136&gt;=1,E136&lt;=J136),"OK","CHECK"),"CHECK")))</x:f>
        <x:v>OK</x:v>
      </x:c>
      <x:c r="M136" t="n">
        <x:v>132</x:v>
      </x:c>
    </x:row>
    <x:row r="137">
      <x:c r="A137" t="s">
        <x:v>447</x:v>
      </x:c>
      <x:c r="B137" t="s">
        <x:v>146</x:v>
      </x:c>
      <x:c r="C137">
        <x:v>23</x:v>
      </x:c>
      <x:c r="D137">
        <x:v>7</x:v>
      </x:c>
      <x:c r="E137">
        <x:v>1</x:v>
      </x:c>
      <x:c r="F137" t="s">
        <x:v>170</x:v>
      </x:c>
      <x:c r="G137" t="s">
        <x:v>448</x:v>
      </x:c>
      <x:c r="H137" t="s">
        <x:v>445</x:v>
      </x:c>
      <x:c r="I137">
        <x:v>13</x:v>
      </x:c>
      <x:c r="J137">
        <x:v>3</x:v>
      </x:c>
      <x:c r="K137">
        <x:v>1</x:v>
      </x:c>
      <x:c r="L137" t="str">
        <x:f t="shared" si="2">IF(F137="Line",IF(AND(D137="",E137=""),"OK","CHECK"),IF(F137="Section",IF(AND(D137&gt;=1,D137&lt;=I137,E137=""),"OK","CHECK"),IF(F137="Cavity",IF(AND(D137&gt;=1,D137&lt;=I137,E137&gt;=1,E137&lt;=J137),"OK","CHECK"),"CHECK")))</x:f>
        <x:v>OK</x:v>
      </x:c>
      <x:c r="M137" t="n">
        <x:v>133</x:v>
      </x:c>
    </x:row>
    <x:row r="138">
      <x:c r="A138" t="s">
        <x:v>449</x:v>
      </x:c>
      <x:c r="B138" t="s">
        <x:v>146</x:v>
      </x:c>
      <x:c r="C138">
        <x:v>23</x:v>
      </x:c>
      <x:c r="D138">
        <x:v>7</x:v>
      </x:c>
      <x:c r="E138">
        <x:v>2</x:v>
      </x:c>
      <x:c r="F138" t="s">
        <x:v>170</x:v>
      </x:c>
      <x:c r="G138" t="s">
        <x:v>450</x:v>
      </x:c>
      <x:c r="H138" t="s">
        <x:v>445</x:v>
      </x:c>
      <x:c r="I138">
        <x:v>13</x:v>
      </x:c>
      <x:c r="J138">
        <x:v>3</x:v>
      </x:c>
      <x:c r="K138">
        <x:v>1</x:v>
      </x:c>
      <x:c r="L138" t="str">
        <x:f t="shared" si="2">IF(F138="Line",IF(AND(D138="",E138=""),"OK","CHECK"),IF(F138="Section",IF(AND(D138&gt;=1,D138&lt;=I138,E138=""),"OK","CHECK"),IF(F138="Cavity",IF(AND(D138&gt;=1,D138&lt;=I138,E138&gt;=1,E138&lt;=J138),"OK","CHECK"),"CHECK")))</x:f>
        <x:v>OK</x:v>
      </x:c>
      <x:c r="M138" t="n">
        <x:v>134</x:v>
      </x:c>
    </x:row>
    <x:row r="139">
      <x:c r="A139" t="s">
        <x:v>451</x:v>
      </x:c>
      <x:c r="B139" t="s">
        <x:v>146</x:v>
      </x:c>
      <x:c r="C139">
        <x:v>23</x:v>
      </x:c>
      <x:c r="D139">
        <x:v>7</x:v>
      </x:c>
      <x:c r="E139">
        <x:v>3</x:v>
      </x:c>
      <x:c r="F139" t="s">
        <x:v>170</x:v>
      </x:c>
      <x:c r="G139" t="s">
        <x:v>452</x:v>
      </x:c>
      <x:c r="H139" t="s">
        <x:v>445</x:v>
      </x:c>
      <x:c r="I139">
        <x:v>13</x:v>
      </x:c>
      <x:c r="J139">
        <x:v>3</x:v>
      </x:c>
      <x:c r="K139">
        <x:v>1</x:v>
      </x:c>
      <x:c r="L139" t="str">
        <x:f t="shared" si="2">IF(F139="Line",IF(AND(D139="",E139=""),"OK","CHECK"),IF(F139="Section",IF(AND(D139&gt;=1,D139&lt;=I139,E139=""),"OK","CHECK"),IF(F139="Cavity",IF(AND(D139&gt;=1,D139&lt;=I139,E139&gt;=1,E139&lt;=J139),"OK","CHECK"),"CHECK")))</x:f>
        <x:v>OK</x:v>
      </x:c>
      <x:c r="M139" t="n">
        <x:v>135</x:v>
      </x:c>
    </x:row>
    <x:row r="140">
      <x:c r="A140" t="s">
        <x:v>453</x:v>
      </x:c>
      <x:c r="B140" t="s">
        <x:v>146</x:v>
      </x:c>
      <x:c r="C140">
        <x:v>23</x:v>
      </x:c>
      <x:c r="D140">
        <x:v>8</x:v>
      </x:c>
      <x:c r="F140" t="s">
        <x:v>167</x:v>
      </x:c>
      <x:c r="G140" t="s">
        <x:v>454</x:v>
      </x:c>
      <x:c r="H140" t="s">
        <x:v>395</x:v>
      </x:c>
      <x:c r="I140">
        <x:v>13</x:v>
      </x:c>
      <x:c r="J140">
        <x:v>3</x:v>
      </x:c>
      <x:c r="K140">
        <x:v>1</x:v>
      </x:c>
      <x:c r="L140" t="str">
        <x:f t="shared" si="2">IF(F140="Line",IF(AND(D140="",E140=""),"OK","CHECK"),IF(F140="Section",IF(AND(D140&gt;=1,D140&lt;=I140,E140=""),"OK","CHECK"),IF(F140="Cavity",IF(AND(D140&gt;=1,D140&lt;=I140,E140&gt;=1,E140&lt;=J140),"OK","CHECK"),"CHECK")))</x:f>
        <x:v>OK</x:v>
      </x:c>
      <x:c r="M140" t="n">
        <x:v>136</x:v>
      </x:c>
    </x:row>
    <x:row r="141">
      <x:c r="A141" t="s">
        <x:v>455</x:v>
      </x:c>
      <x:c r="B141" t="s">
        <x:v>146</x:v>
      </x:c>
      <x:c r="C141">
        <x:v>23</x:v>
      </x:c>
      <x:c r="D141">
        <x:v>8</x:v>
      </x:c>
      <x:c r="E141">
        <x:v>1</x:v>
      </x:c>
      <x:c r="F141" t="s">
        <x:v>170</x:v>
      </x:c>
      <x:c r="G141" t="s">
        <x:v>456</x:v>
      </x:c>
      <x:c r="H141" t="s">
        <x:v>453</x:v>
      </x:c>
      <x:c r="I141">
        <x:v>13</x:v>
      </x:c>
      <x:c r="J141">
        <x:v>3</x:v>
      </x:c>
      <x:c r="K141">
        <x:v>1</x:v>
      </x:c>
      <x:c r="L141" t="str">
        <x:f t="shared" si="2">IF(F141="Line",IF(AND(D141="",E141=""),"OK","CHECK"),IF(F141="Section",IF(AND(D141&gt;=1,D141&lt;=I141,E141=""),"OK","CHECK"),IF(F141="Cavity",IF(AND(D141&gt;=1,D141&lt;=I141,E141&gt;=1,E141&lt;=J141),"OK","CHECK"),"CHECK")))</x:f>
        <x:v>OK</x:v>
      </x:c>
      <x:c r="M141" t="n">
        <x:v>137</x:v>
      </x:c>
    </x:row>
    <x:row r="142">
      <x:c r="A142" t="s">
        <x:v>457</x:v>
      </x:c>
      <x:c r="B142" t="s">
        <x:v>146</x:v>
      </x:c>
      <x:c r="C142">
        <x:v>23</x:v>
      </x:c>
      <x:c r="D142">
        <x:v>8</x:v>
      </x:c>
      <x:c r="E142">
        <x:v>2</x:v>
      </x:c>
      <x:c r="F142" t="s">
        <x:v>170</x:v>
      </x:c>
      <x:c r="G142" t="s">
        <x:v>458</x:v>
      </x:c>
      <x:c r="H142" t="s">
        <x:v>453</x:v>
      </x:c>
      <x:c r="I142">
        <x:v>13</x:v>
      </x:c>
      <x:c r="J142">
        <x:v>3</x:v>
      </x:c>
      <x:c r="K142">
        <x:v>1</x:v>
      </x:c>
      <x:c r="L142" t="str">
        <x:f t="shared" si="2">IF(F142="Line",IF(AND(D142="",E142=""),"OK","CHECK"),IF(F142="Section",IF(AND(D142&gt;=1,D142&lt;=I142,E142=""),"OK","CHECK"),IF(F142="Cavity",IF(AND(D142&gt;=1,D142&lt;=I142,E142&gt;=1,E142&lt;=J142),"OK","CHECK"),"CHECK")))</x:f>
        <x:v>OK</x:v>
      </x:c>
      <x:c r="M142" t="n">
        <x:v>138</x:v>
      </x:c>
    </x:row>
    <x:row r="143">
      <x:c r="A143" t="s">
        <x:v>459</x:v>
      </x:c>
      <x:c r="B143" t="s">
        <x:v>146</x:v>
      </x:c>
      <x:c r="C143">
        <x:v>23</x:v>
      </x:c>
      <x:c r="D143">
        <x:v>8</x:v>
      </x:c>
      <x:c r="E143">
        <x:v>3</x:v>
      </x:c>
      <x:c r="F143" t="s">
        <x:v>170</x:v>
      </x:c>
      <x:c r="G143" t="s">
        <x:v>460</x:v>
      </x:c>
      <x:c r="H143" t="s">
        <x:v>453</x:v>
      </x:c>
      <x:c r="I143">
        <x:v>13</x:v>
      </x:c>
      <x:c r="J143">
        <x:v>3</x:v>
      </x:c>
      <x:c r="K143">
        <x:v>1</x:v>
      </x:c>
      <x:c r="L143" t="str">
        <x:f t="shared" si="2">IF(F143="Line",IF(AND(D143="",E143=""),"OK","CHECK"),IF(F143="Section",IF(AND(D143&gt;=1,D143&lt;=I143,E143=""),"OK","CHECK"),IF(F143="Cavity",IF(AND(D143&gt;=1,D143&lt;=I143,E143&gt;=1,E143&lt;=J143),"OK","CHECK"),"CHECK")))</x:f>
        <x:v>OK</x:v>
      </x:c>
      <x:c r="M143" t="n">
        <x:v>139</x:v>
      </x:c>
    </x:row>
    <x:row r="144">
      <x:c r="A144" t="s">
        <x:v>461</x:v>
      </x:c>
      <x:c r="B144" t="s">
        <x:v>146</x:v>
      </x:c>
      <x:c r="C144">
        <x:v>23</x:v>
      </x:c>
      <x:c r="D144">
        <x:v>9</x:v>
      </x:c>
      <x:c r="F144" t="s">
        <x:v>167</x:v>
      </x:c>
      <x:c r="G144" t="s">
        <x:v>462</x:v>
      </x:c>
      <x:c r="H144" t="s">
        <x:v>395</x:v>
      </x:c>
      <x:c r="I144">
        <x:v>13</x:v>
      </x:c>
      <x:c r="J144">
        <x:v>3</x:v>
      </x:c>
      <x:c r="K144">
        <x:v>1</x:v>
      </x:c>
      <x:c r="L144" t="str">
        <x:f t="shared" si="2">IF(F144="Line",IF(AND(D144="",E144=""),"OK","CHECK"),IF(F144="Section",IF(AND(D144&gt;=1,D144&lt;=I144,E144=""),"OK","CHECK"),IF(F144="Cavity",IF(AND(D144&gt;=1,D144&lt;=I144,E144&gt;=1,E144&lt;=J144),"OK","CHECK"),"CHECK")))</x:f>
        <x:v>OK</x:v>
      </x:c>
      <x:c r="M144" t="n">
        <x:v>140</x:v>
      </x:c>
    </x:row>
    <x:row r="145">
      <x:c r="A145" t="s">
        <x:v>463</x:v>
      </x:c>
      <x:c r="B145" t="s">
        <x:v>146</x:v>
      </x:c>
      <x:c r="C145">
        <x:v>23</x:v>
      </x:c>
      <x:c r="D145">
        <x:v>9</x:v>
      </x:c>
      <x:c r="E145">
        <x:v>1</x:v>
      </x:c>
      <x:c r="F145" t="s">
        <x:v>170</x:v>
      </x:c>
      <x:c r="G145" t="s">
        <x:v>464</x:v>
      </x:c>
      <x:c r="H145" t="s">
        <x:v>461</x:v>
      </x:c>
      <x:c r="I145">
        <x:v>13</x:v>
      </x:c>
      <x:c r="J145">
        <x:v>3</x:v>
      </x:c>
      <x:c r="K145">
        <x:v>1</x:v>
      </x:c>
      <x:c r="L145" t="str">
        <x:f t="shared" si="2">IF(F145="Line",IF(AND(D145="",E145=""),"OK","CHECK"),IF(F145="Section",IF(AND(D145&gt;=1,D145&lt;=I145,E145=""),"OK","CHECK"),IF(F145="Cavity",IF(AND(D145&gt;=1,D145&lt;=I145,E145&gt;=1,E145&lt;=J145),"OK","CHECK"),"CHECK")))</x:f>
        <x:v>OK</x:v>
      </x:c>
      <x:c r="M145" t="n">
        <x:v>141</x:v>
      </x:c>
    </x:row>
    <x:row r="146">
      <x:c r="A146" t="s">
        <x:v>465</x:v>
      </x:c>
      <x:c r="B146" t="s">
        <x:v>146</x:v>
      </x:c>
      <x:c r="C146">
        <x:v>23</x:v>
      </x:c>
      <x:c r="D146">
        <x:v>9</x:v>
      </x:c>
      <x:c r="E146">
        <x:v>2</x:v>
      </x:c>
      <x:c r="F146" t="s">
        <x:v>170</x:v>
      </x:c>
      <x:c r="G146" t="s">
        <x:v>466</x:v>
      </x:c>
      <x:c r="H146" t="s">
        <x:v>461</x:v>
      </x:c>
      <x:c r="I146">
        <x:v>13</x:v>
      </x:c>
      <x:c r="J146">
        <x:v>3</x:v>
      </x:c>
      <x:c r="K146">
        <x:v>1</x:v>
      </x:c>
      <x:c r="L146" t="str">
        <x:f t="shared" si="2">IF(F146="Line",IF(AND(D146="",E146=""),"OK","CHECK"),IF(F146="Section",IF(AND(D146&gt;=1,D146&lt;=I146,E146=""),"OK","CHECK"),IF(F146="Cavity",IF(AND(D146&gt;=1,D146&lt;=I146,E146&gt;=1,E146&lt;=J146),"OK","CHECK"),"CHECK")))</x:f>
        <x:v>OK</x:v>
      </x:c>
      <x:c r="M146" t="n">
        <x:v>142</x:v>
      </x:c>
    </x:row>
    <x:row r="147">
      <x:c r="A147" t="s">
        <x:v>467</x:v>
      </x:c>
      <x:c r="B147" t="s">
        <x:v>146</x:v>
      </x:c>
      <x:c r="C147">
        <x:v>23</x:v>
      </x:c>
      <x:c r="D147">
        <x:v>9</x:v>
      </x:c>
      <x:c r="E147">
        <x:v>3</x:v>
      </x:c>
      <x:c r="F147" t="s">
        <x:v>170</x:v>
      </x:c>
      <x:c r="G147" t="s">
        <x:v>468</x:v>
      </x:c>
      <x:c r="H147" t="s">
        <x:v>461</x:v>
      </x:c>
      <x:c r="I147">
        <x:v>13</x:v>
      </x:c>
      <x:c r="J147">
        <x:v>3</x:v>
      </x:c>
      <x:c r="K147">
        <x:v>1</x:v>
      </x:c>
      <x:c r="L147" t="str">
        <x:f t="shared" si="2">IF(F147="Line",IF(AND(D147="",E147=""),"OK","CHECK"),IF(F147="Section",IF(AND(D147&gt;=1,D147&lt;=I147,E147=""),"OK","CHECK"),IF(F147="Cavity",IF(AND(D147&gt;=1,D147&lt;=I147,E147&gt;=1,E147&lt;=J147),"OK","CHECK"),"CHECK")))</x:f>
        <x:v>OK</x:v>
      </x:c>
      <x:c r="M147" t="n">
        <x:v>143</x:v>
      </x:c>
    </x:row>
    <x:row r="148">
      <x:c r="A148" t="s">
        <x:v>469</x:v>
      </x:c>
      <x:c r="B148" t="s">
        <x:v>146</x:v>
      </x:c>
      <x:c r="C148">
        <x:v>23</x:v>
      </x:c>
      <x:c r="D148">
        <x:v>10</x:v>
      </x:c>
      <x:c r="F148" t="s">
        <x:v>167</x:v>
      </x:c>
      <x:c r="G148" t="s">
        <x:v>470</x:v>
      </x:c>
      <x:c r="H148" t="s">
        <x:v>395</x:v>
      </x:c>
      <x:c r="I148">
        <x:v>13</x:v>
      </x:c>
      <x:c r="J148">
        <x:v>3</x:v>
      </x:c>
      <x:c r="K148">
        <x:v>1</x:v>
      </x:c>
      <x:c r="L148" t="str">
        <x:f t="shared" si="2">IF(F148="Line",IF(AND(D148="",E148=""),"OK","CHECK"),IF(F148="Section",IF(AND(D148&gt;=1,D148&lt;=I148,E148=""),"OK","CHECK"),IF(F148="Cavity",IF(AND(D148&gt;=1,D148&lt;=I148,E148&gt;=1,E148&lt;=J148),"OK","CHECK"),"CHECK")))</x:f>
        <x:v>OK</x:v>
      </x:c>
      <x:c r="M148" t="n">
        <x:v>144</x:v>
      </x:c>
    </x:row>
    <x:row r="149">
      <x:c r="A149" t="s">
        <x:v>471</x:v>
      </x:c>
      <x:c r="B149" t="s">
        <x:v>146</x:v>
      </x:c>
      <x:c r="C149">
        <x:v>23</x:v>
      </x:c>
      <x:c r="D149">
        <x:v>10</x:v>
      </x:c>
      <x:c r="E149">
        <x:v>1</x:v>
      </x:c>
      <x:c r="F149" t="s">
        <x:v>170</x:v>
      </x:c>
      <x:c r="G149" t="s">
        <x:v>472</x:v>
      </x:c>
      <x:c r="H149" t="s">
        <x:v>469</x:v>
      </x:c>
      <x:c r="I149">
        <x:v>13</x:v>
      </x:c>
      <x:c r="J149">
        <x:v>3</x:v>
      </x:c>
      <x:c r="K149">
        <x:v>1</x:v>
      </x:c>
      <x:c r="L149" t="str">
        <x:f t="shared" si="2">IF(F149="Line",IF(AND(D149="",E149=""),"OK","CHECK"),IF(F149="Section",IF(AND(D149&gt;=1,D149&lt;=I149,E149=""),"OK","CHECK"),IF(F149="Cavity",IF(AND(D149&gt;=1,D149&lt;=I149,E149&gt;=1,E149&lt;=J149),"OK","CHECK"),"CHECK")))</x:f>
        <x:v>OK</x:v>
      </x:c>
      <x:c r="M149" t="n">
        <x:v>145</x:v>
      </x:c>
    </x:row>
    <x:row r="150">
      <x:c r="A150" t="s">
        <x:v>473</x:v>
      </x:c>
      <x:c r="B150" t="s">
        <x:v>146</x:v>
      </x:c>
      <x:c r="C150">
        <x:v>23</x:v>
      </x:c>
      <x:c r="D150">
        <x:v>10</x:v>
      </x:c>
      <x:c r="E150">
        <x:v>2</x:v>
      </x:c>
      <x:c r="F150" t="s">
        <x:v>170</x:v>
      </x:c>
      <x:c r="G150" t="s">
        <x:v>474</x:v>
      </x:c>
      <x:c r="H150" t="s">
        <x:v>469</x:v>
      </x:c>
      <x:c r="I150">
        <x:v>13</x:v>
      </x:c>
      <x:c r="J150">
        <x:v>3</x:v>
      </x:c>
      <x:c r="K150">
        <x:v>1</x:v>
      </x:c>
      <x:c r="L150" t="str">
        <x:f t="shared" si="2">IF(F150="Line",IF(AND(D150="",E150=""),"OK","CHECK"),IF(F150="Section",IF(AND(D150&gt;=1,D150&lt;=I150,E150=""),"OK","CHECK"),IF(F150="Cavity",IF(AND(D150&gt;=1,D150&lt;=I150,E150&gt;=1,E150&lt;=J150),"OK","CHECK"),"CHECK")))</x:f>
        <x:v>OK</x:v>
      </x:c>
      <x:c r="M150" t="n">
        <x:v>146</x:v>
      </x:c>
    </x:row>
    <x:row r="151">
      <x:c r="A151" t="s">
        <x:v>475</x:v>
      </x:c>
      <x:c r="B151" t="s">
        <x:v>146</x:v>
      </x:c>
      <x:c r="C151">
        <x:v>23</x:v>
      </x:c>
      <x:c r="D151">
        <x:v>10</x:v>
      </x:c>
      <x:c r="E151">
        <x:v>3</x:v>
      </x:c>
      <x:c r="F151" t="s">
        <x:v>170</x:v>
      </x:c>
      <x:c r="G151" t="s">
        <x:v>476</x:v>
      </x:c>
      <x:c r="H151" t="s">
        <x:v>469</x:v>
      </x:c>
      <x:c r="I151">
        <x:v>13</x:v>
      </x:c>
      <x:c r="J151">
        <x:v>3</x:v>
      </x:c>
      <x:c r="K151">
        <x:v>1</x:v>
      </x:c>
      <x:c r="L151" t="str">
        <x:f t="shared" si="2">IF(F151="Line",IF(AND(D151="",E151=""),"OK","CHECK"),IF(F151="Section",IF(AND(D151&gt;=1,D151&lt;=I151,E151=""),"OK","CHECK"),IF(F151="Cavity",IF(AND(D151&gt;=1,D151&lt;=I151,E151&gt;=1,E151&lt;=J151),"OK","CHECK"),"CHECK")))</x:f>
        <x:v>OK</x:v>
      </x:c>
      <x:c r="M151" t="n">
        <x:v>147</x:v>
      </x:c>
    </x:row>
    <x:row r="152">
      <x:c r="A152" t="s">
        <x:v>477</x:v>
      </x:c>
      <x:c r="B152" t="s">
        <x:v>146</x:v>
      </x:c>
      <x:c r="C152">
        <x:v>23</x:v>
      </x:c>
      <x:c r="D152">
        <x:v>11</x:v>
      </x:c>
      <x:c r="F152" t="s">
        <x:v>167</x:v>
      </x:c>
      <x:c r="G152" t="s">
        <x:v>478</x:v>
      </x:c>
      <x:c r="H152" t="s">
        <x:v>395</x:v>
      </x:c>
      <x:c r="I152">
        <x:v>13</x:v>
      </x:c>
      <x:c r="J152">
        <x:v>3</x:v>
      </x:c>
      <x:c r="K152">
        <x:v>1</x:v>
      </x:c>
      <x:c r="L152" t="str">
        <x:f t="shared" si="2">IF(F152="Line",IF(AND(D152="",E152=""),"OK","CHECK"),IF(F152="Section",IF(AND(D152&gt;=1,D152&lt;=I152,E152=""),"OK","CHECK"),IF(F152="Cavity",IF(AND(D152&gt;=1,D152&lt;=I152,E152&gt;=1,E152&lt;=J152),"OK","CHECK"),"CHECK")))</x:f>
        <x:v>OK</x:v>
      </x:c>
      <x:c r="M152" t="n">
        <x:v>148</x:v>
      </x:c>
    </x:row>
    <x:row r="153">
      <x:c r="A153" t="s">
        <x:v>479</x:v>
      </x:c>
      <x:c r="B153" t="s">
        <x:v>146</x:v>
      </x:c>
      <x:c r="C153">
        <x:v>23</x:v>
      </x:c>
      <x:c r="D153">
        <x:v>11</x:v>
      </x:c>
      <x:c r="E153">
        <x:v>1</x:v>
      </x:c>
      <x:c r="F153" t="s">
        <x:v>170</x:v>
      </x:c>
      <x:c r="G153" t="s">
        <x:v>480</x:v>
      </x:c>
      <x:c r="H153" t="s">
        <x:v>477</x:v>
      </x:c>
      <x:c r="I153">
        <x:v>13</x:v>
      </x:c>
      <x:c r="J153">
        <x:v>3</x:v>
      </x:c>
      <x:c r="K153">
        <x:v>1</x:v>
      </x:c>
      <x:c r="L153" t="str">
        <x:f t="shared" si="2">IF(F153="Line",IF(AND(D153="",E153=""),"OK","CHECK"),IF(F153="Section",IF(AND(D153&gt;=1,D153&lt;=I153,E153=""),"OK","CHECK"),IF(F153="Cavity",IF(AND(D153&gt;=1,D153&lt;=I153,E153&gt;=1,E153&lt;=J153),"OK","CHECK"),"CHECK")))</x:f>
        <x:v>OK</x:v>
      </x:c>
      <x:c r="M153" t="n">
        <x:v>149</x:v>
      </x:c>
    </x:row>
    <x:row r="154">
      <x:c r="A154" t="s">
        <x:v>481</x:v>
      </x:c>
      <x:c r="B154" t="s">
        <x:v>146</x:v>
      </x:c>
      <x:c r="C154">
        <x:v>23</x:v>
      </x:c>
      <x:c r="D154">
        <x:v>11</x:v>
      </x:c>
      <x:c r="E154">
        <x:v>2</x:v>
      </x:c>
      <x:c r="F154" t="s">
        <x:v>170</x:v>
      </x:c>
      <x:c r="G154" t="s">
        <x:v>482</x:v>
      </x:c>
      <x:c r="H154" t="s">
        <x:v>477</x:v>
      </x:c>
      <x:c r="I154">
        <x:v>13</x:v>
      </x:c>
      <x:c r="J154">
        <x:v>3</x:v>
      </x:c>
      <x:c r="K154">
        <x:v>1</x:v>
      </x:c>
      <x:c r="L154" t="str">
        <x:f t="shared" si="2">IF(F154="Line",IF(AND(D154="",E154=""),"OK","CHECK"),IF(F154="Section",IF(AND(D154&gt;=1,D154&lt;=I154,E154=""),"OK","CHECK"),IF(F154="Cavity",IF(AND(D154&gt;=1,D154&lt;=I154,E154&gt;=1,E154&lt;=J154),"OK","CHECK"),"CHECK")))</x:f>
        <x:v>OK</x:v>
      </x:c>
      <x:c r="M154" t="n">
        <x:v>150</x:v>
      </x:c>
    </x:row>
    <x:row r="155">
      <x:c r="A155" t="s">
        <x:v>483</x:v>
      </x:c>
      <x:c r="B155" t="s">
        <x:v>146</x:v>
      </x:c>
      <x:c r="C155">
        <x:v>23</x:v>
      </x:c>
      <x:c r="D155">
        <x:v>11</x:v>
      </x:c>
      <x:c r="E155">
        <x:v>3</x:v>
      </x:c>
      <x:c r="F155" t="s">
        <x:v>170</x:v>
      </x:c>
      <x:c r="G155" t="s">
        <x:v>484</x:v>
      </x:c>
      <x:c r="H155" t="s">
        <x:v>477</x:v>
      </x:c>
      <x:c r="I155">
        <x:v>13</x:v>
      </x:c>
      <x:c r="J155">
        <x:v>3</x:v>
      </x:c>
      <x:c r="K155">
        <x:v>1</x:v>
      </x:c>
      <x:c r="L155" t="str">
        <x:f t="shared" si="2">IF(F155="Line",IF(AND(D155="",E155=""),"OK","CHECK"),IF(F155="Section",IF(AND(D155&gt;=1,D155&lt;=I155,E155=""),"OK","CHECK"),IF(F155="Cavity",IF(AND(D155&gt;=1,D155&lt;=I155,E155&gt;=1,E155&lt;=J155),"OK","CHECK"),"CHECK")))</x:f>
        <x:v>OK</x:v>
      </x:c>
      <x:c r="M155" t="n">
        <x:v>151</x:v>
      </x:c>
    </x:row>
    <x:row r="156">
      <x:c r="A156" t="s">
        <x:v>485</x:v>
      </x:c>
      <x:c r="B156" t="s">
        <x:v>146</x:v>
      </x:c>
      <x:c r="C156">
        <x:v>23</x:v>
      </x:c>
      <x:c r="D156">
        <x:v>12</x:v>
      </x:c>
      <x:c r="F156" t="s">
        <x:v>167</x:v>
      </x:c>
      <x:c r="G156" t="s">
        <x:v>486</x:v>
      </x:c>
      <x:c r="H156" t="s">
        <x:v>395</x:v>
      </x:c>
      <x:c r="I156">
        <x:v>13</x:v>
      </x:c>
      <x:c r="J156">
        <x:v>3</x:v>
      </x:c>
      <x:c r="K156">
        <x:v>1</x:v>
      </x:c>
      <x:c r="L156" t="str">
        <x:f t="shared" si="2">IF(F156="Line",IF(AND(D156="",E156=""),"OK","CHECK"),IF(F156="Section",IF(AND(D156&gt;=1,D156&lt;=I156,E156=""),"OK","CHECK"),IF(F156="Cavity",IF(AND(D156&gt;=1,D156&lt;=I156,E156&gt;=1,E156&lt;=J156),"OK","CHECK"),"CHECK")))</x:f>
        <x:v>OK</x:v>
      </x:c>
      <x:c r="M156" t="n">
        <x:v>152</x:v>
      </x:c>
    </x:row>
    <x:row r="157">
      <x:c r="A157" t="s">
        <x:v>487</x:v>
      </x:c>
      <x:c r="B157" t="s">
        <x:v>146</x:v>
      </x:c>
      <x:c r="C157">
        <x:v>23</x:v>
      </x:c>
      <x:c r="D157">
        <x:v>12</x:v>
      </x:c>
      <x:c r="E157">
        <x:v>1</x:v>
      </x:c>
      <x:c r="F157" t="s">
        <x:v>170</x:v>
      </x:c>
      <x:c r="G157" t="s">
        <x:v>488</x:v>
      </x:c>
      <x:c r="H157" t="s">
        <x:v>485</x:v>
      </x:c>
      <x:c r="I157">
        <x:v>13</x:v>
      </x:c>
      <x:c r="J157">
        <x:v>3</x:v>
      </x:c>
      <x:c r="K157">
        <x:v>1</x:v>
      </x:c>
      <x:c r="L157" t="str">
        <x:f t="shared" si="2">IF(F157="Line",IF(AND(D157="",E157=""),"OK","CHECK"),IF(F157="Section",IF(AND(D157&gt;=1,D157&lt;=I157,E157=""),"OK","CHECK"),IF(F157="Cavity",IF(AND(D157&gt;=1,D157&lt;=I157,E157&gt;=1,E157&lt;=J157),"OK","CHECK"),"CHECK")))</x:f>
        <x:v>OK</x:v>
      </x:c>
      <x:c r="M157" t="n">
        <x:v>153</x:v>
      </x:c>
    </x:row>
    <x:row r="158">
      <x:c r="A158" t="s">
        <x:v>489</x:v>
      </x:c>
      <x:c r="B158" t="s">
        <x:v>146</x:v>
      </x:c>
      <x:c r="C158">
        <x:v>23</x:v>
      </x:c>
      <x:c r="D158">
        <x:v>12</x:v>
      </x:c>
      <x:c r="E158">
        <x:v>2</x:v>
      </x:c>
      <x:c r="F158" t="s">
        <x:v>170</x:v>
      </x:c>
      <x:c r="G158" t="s">
        <x:v>490</x:v>
      </x:c>
      <x:c r="H158" t="s">
        <x:v>485</x:v>
      </x:c>
      <x:c r="I158">
        <x:v>13</x:v>
      </x:c>
      <x:c r="J158">
        <x:v>3</x:v>
      </x:c>
      <x:c r="K158">
        <x:v>1</x:v>
      </x:c>
      <x:c r="L158" t="str">
        <x:f t="shared" si="2">IF(F158="Line",IF(AND(D158="",E158=""),"OK","CHECK"),IF(F158="Section",IF(AND(D158&gt;=1,D158&lt;=I158,E158=""),"OK","CHECK"),IF(F158="Cavity",IF(AND(D158&gt;=1,D158&lt;=I158,E158&gt;=1,E158&lt;=J158),"OK","CHECK"),"CHECK")))</x:f>
        <x:v>OK</x:v>
      </x:c>
      <x:c r="M158" t="n">
        <x:v>154</x:v>
      </x:c>
    </x:row>
    <x:row r="159">
      <x:c r="A159" t="s">
        <x:v>491</x:v>
      </x:c>
      <x:c r="B159" t="s">
        <x:v>146</x:v>
      </x:c>
      <x:c r="C159">
        <x:v>23</x:v>
      </x:c>
      <x:c r="D159">
        <x:v>12</x:v>
      </x:c>
      <x:c r="E159">
        <x:v>3</x:v>
      </x:c>
      <x:c r="F159" t="s">
        <x:v>170</x:v>
      </x:c>
      <x:c r="G159" t="s">
        <x:v>492</x:v>
      </x:c>
      <x:c r="H159" t="s">
        <x:v>485</x:v>
      </x:c>
      <x:c r="I159">
        <x:v>13</x:v>
      </x:c>
      <x:c r="J159">
        <x:v>3</x:v>
      </x:c>
      <x:c r="K159">
        <x:v>1</x:v>
      </x:c>
      <x:c r="L159" t="str">
        <x:f t="shared" si="2">IF(F159="Line",IF(AND(D159="",E159=""),"OK","CHECK"),IF(F159="Section",IF(AND(D159&gt;=1,D159&lt;=I159,E159=""),"OK","CHECK"),IF(F159="Cavity",IF(AND(D159&gt;=1,D159&lt;=I159,E159&gt;=1,E159&lt;=J159),"OK","CHECK"),"CHECK")))</x:f>
        <x:v>OK</x:v>
      </x:c>
      <x:c r="M159" t="n">
        <x:v>155</x:v>
      </x:c>
    </x:row>
    <x:row r="160">
      <x:c r="A160" t="s">
        <x:v>493</x:v>
      </x:c>
      <x:c r="B160" t="s">
        <x:v>146</x:v>
      </x:c>
      <x:c r="C160">
        <x:v>23</x:v>
      </x:c>
      <x:c r="D160">
        <x:v>13</x:v>
      </x:c>
      <x:c r="F160" t="s">
        <x:v>167</x:v>
      </x:c>
      <x:c r="G160" t="s">
        <x:v>494</x:v>
      </x:c>
      <x:c r="H160" t="s">
        <x:v>395</x:v>
      </x:c>
      <x:c r="I160">
        <x:v>13</x:v>
      </x:c>
      <x:c r="J160">
        <x:v>3</x:v>
      </x:c>
      <x:c r="K160">
        <x:v>1</x:v>
      </x:c>
      <x:c r="L160" t="str">
        <x:f t="shared" si="2">IF(F160="Line",IF(AND(D160="",E160=""),"OK","CHECK"),IF(F160="Section",IF(AND(D160&gt;=1,D160&lt;=I160,E160=""),"OK","CHECK"),IF(F160="Cavity",IF(AND(D160&gt;=1,D160&lt;=I160,E160&gt;=1,E160&lt;=J160),"OK","CHECK"),"CHECK")))</x:f>
        <x:v>OK</x:v>
      </x:c>
      <x:c r="M160" t="n">
        <x:v>156</x:v>
      </x:c>
    </x:row>
    <x:row r="161">
      <x:c r="A161" t="s">
        <x:v>495</x:v>
      </x:c>
      <x:c r="B161" t="s">
        <x:v>146</x:v>
      </x:c>
      <x:c r="C161">
        <x:v>23</x:v>
      </x:c>
      <x:c r="D161">
        <x:v>13</x:v>
      </x:c>
      <x:c r="E161">
        <x:v>1</x:v>
      </x:c>
      <x:c r="F161" t="s">
        <x:v>170</x:v>
      </x:c>
      <x:c r="G161" t="s">
        <x:v>496</x:v>
      </x:c>
      <x:c r="H161" t="s">
        <x:v>493</x:v>
      </x:c>
      <x:c r="I161">
        <x:v>13</x:v>
      </x:c>
      <x:c r="J161">
        <x:v>3</x:v>
      </x:c>
      <x:c r="K161">
        <x:v>1</x:v>
      </x:c>
      <x:c r="L161" t="str">
        <x:f t="shared" si="2">IF(F161="Line",IF(AND(D161="",E161=""),"OK","CHECK"),IF(F161="Section",IF(AND(D161&gt;=1,D161&lt;=I161,E161=""),"OK","CHECK"),IF(F161="Cavity",IF(AND(D161&gt;=1,D161&lt;=I161,E161&gt;=1,E161&lt;=J161),"OK","CHECK"),"CHECK")))</x:f>
        <x:v>OK</x:v>
      </x:c>
      <x:c r="M161" t="n">
        <x:v>157</x:v>
      </x:c>
    </x:row>
    <x:row r="162">
      <x:c r="A162" t="s">
        <x:v>497</x:v>
      </x:c>
      <x:c r="B162" t="s">
        <x:v>146</x:v>
      </x:c>
      <x:c r="C162">
        <x:v>23</x:v>
      </x:c>
      <x:c r="D162">
        <x:v>13</x:v>
      </x:c>
      <x:c r="E162">
        <x:v>2</x:v>
      </x:c>
      <x:c r="F162" t="s">
        <x:v>170</x:v>
      </x:c>
      <x:c r="G162" t="s">
        <x:v>498</x:v>
      </x:c>
      <x:c r="H162" t="s">
        <x:v>493</x:v>
      </x:c>
      <x:c r="I162">
        <x:v>13</x:v>
      </x:c>
      <x:c r="J162">
        <x:v>3</x:v>
      </x:c>
      <x:c r="K162">
        <x:v>1</x:v>
      </x:c>
      <x:c r="L162" t="str">
        <x:f t="shared" si="2">IF(F162="Line",IF(AND(D162="",E162=""),"OK","CHECK"),IF(F162="Section",IF(AND(D162&gt;=1,D162&lt;=I162,E162=""),"OK","CHECK"),IF(F162="Cavity",IF(AND(D162&gt;=1,D162&lt;=I162,E162&gt;=1,E162&lt;=J162),"OK","CHECK"),"CHECK")))</x:f>
        <x:v>OK</x:v>
      </x:c>
      <x:c r="M162" t="n">
        <x:v>158</x:v>
      </x:c>
    </x:row>
    <x:row r="163">
      <x:c r="A163" t="s">
        <x:v>499</x:v>
      </x:c>
      <x:c r="B163" t="s">
        <x:v>146</x:v>
      </x:c>
      <x:c r="C163">
        <x:v>23</x:v>
      </x:c>
      <x:c r="D163">
        <x:v>13</x:v>
      </x:c>
      <x:c r="E163">
        <x:v>3</x:v>
      </x:c>
      <x:c r="F163" t="s">
        <x:v>170</x:v>
      </x:c>
      <x:c r="G163" t="s">
        <x:v>500</x:v>
      </x:c>
      <x:c r="H163" t="s">
        <x:v>493</x:v>
      </x:c>
      <x:c r="I163">
        <x:v>13</x:v>
      </x:c>
      <x:c r="J163">
        <x:v>3</x:v>
      </x:c>
      <x:c r="K163">
        <x:v>1</x:v>
      </x:c>
      <x:c r="L163" t="str">
        <x:f t="shared" si="2">IF(F163="Line",IF(AND(D163="",E163=""),"OK","CHECK"),IF(F163="Section",IF(AND(D163&gt;=1,D163&lt;=I163,E163=""),"OK","CHECK"),IF(F163="Cavity",IF(AND(D163&gt;=1,D163&lt;=I163,E163&gt;=1,E163&lt;=J163),"OK","CHECK"),"CHECK")))</x:f>
        <x:v>OK</x:v>
      </x:c>
      <x:c r="M163" t="n">
        <x:v>159</x:v>
      </x:c>
    </x:row>
    <x:row r="164">
      <x:c r="A164" t="s">
        <x:v>501</x:v>
      </x:c>
      <x:c r="B164" t="s">
        <x:v>146</x:v>
      </x:c>
      <x:c r="C164">
        <x:v>24</x:v>
      </x:c>
      <x:c r="F164" t="s">
        <x:v>164</x:v>
      </x:c>
      <x:c r="G164" t="s">
        <x:v>502</x:v>
      </x:c>
      <x:c r="I164">
        <x:v>13</x:v>
      </x:c>
      <x:c r="J164">
        <x:v>3</x:v>
      </x:c>
      <x:c r="K164">
        <x:v>1</x:v>
      </x:c>
      <x:c r="L164" t="str">
        <x:f t="shared" si="2">IF(F164="Line",IF(AND(D164="",E164=""),"OK","CHECK"),IF(F164="Section",IF(AND(D164&gt;=1,D164&lt;=I164,E164=""),"OK","CHECK"),IF(F164="Cavity",IF(AND(D164&gt;=1,D164&lt;=I164,E164&gt;=1,E164&lt;=J164),"OK","CHECK"),"CHECK")))</x:f>
        <x:v>OK</x:v>
      </x:c>
      <x:c r="M164" t="n">
        <x:v>160</x:v>
      </x:c>
    </x:row>
    <x:row r="165">
      <x:c r="A165" t="s">
        <x:v>503</x:v>
      </x:c>
      <x:c r="B165" t="s">
        <x:v>146</x:v>
      </x:c>
      <x:c r="C165">
        <x:v>24</x:v>
      </x:c>
      <x:c r="D165">
        <x:v>1</x:v>
      </x:c>
      <x:c r="F165" t="s">
        <x:v>167</x:v>
      </x:c>
      <x:c r="G165" t="s">
        <x:v>504</x:v>
      </x:c>
      <x:c r="H165" t="s">
        <x:v>501</x:v>
      </x:c>
      <x:c r="I165">
        <x:v>13</x:v>
      </x:c>
      <x:c r="J165">
        <x:v>3</x:v>
      </x:c>
      <x:c r="K165">
        <x:v>1</x:v>
      </x:c>
      <x:c r="L165" t="str">
        <x:f t="shared" si="2">IF(F165="Line",IF(AND(D165="",E165=""),"OK","CHECK"),IF(F165="Section",IF(AND(D165&gt;=1,D165&lt;=I165,E165=""),"OK","CHECK"),IF(F165="Cavity",IF(AND(D165&gt;=1,D165&lt;=I165,E165&gt;=1,E165&lt;=J165),"OK","CHECK"),"CHECK")))</x:f>
        <x:v>OK</x:v>
      </x:c>
      <x:c r="M165" t="n">
        <x:v>161</x:v>
      </x:c>
    </x:row>
    <x:row r="166">
      <x:c r="A166" t="s">
        <x:v>505</x:v>
      </x:c>
      <x:c r="B166" t="s">
        <x:v>146</x:v>
      </x:c>
      <x:c r="C166">
        <x:v>24</x:v>
      </x:c>
      <x:c r="D166">
        <x:v>1</x:v>
      </x:c>
      <x:c r="E166">
        <x:v>1</x:v>
      </x:c>
      <x:c r="F166" t="s">
        <x:v>170</x:v>
      </x:c>
      <x:c r="G166" t="s">
        <x:v>506</x:v>
      </x:c>
      <x:c r="H166" t="s">
        <x:v>503</x:v>
      </x:c>
      <x:c r="I166">
        <x:v>13</x:v>
      </x:c>
      <x:c r="J166">
        <x:v>3</x:v>
      </x:c>
      <x:c r="K166">
        <x:v>1</x:v>
      </x:c>
      <x:c r="L166" t="str">
        <x:f t="shared" si="2">IF(F166="Line",IF(AND(D166="",E166=""),"OK","CHECK"),IF(F166="Section",IF(AND(D166&gt;=1,D166&lt;=I166,E166=""),"OK","CHECK"),IF(F166="Cavity",IF(AND(D166&gt;=1,D166&lt;=I166,E166&gt;=1,E166&lt;=J166),"OK","CHECK"),"CHECK")))</x:f>
        <x:v>OK</x:v>
      </x:c>
      <x:c r="M166" t="n">
        <x:v>162</x:v>
      </x:c>
    </x:row>
    <x:row r="167">
      <x:c r="A167" t="s">
        <x:v>507</x:v>
      </x:c>
      <x:c r="B167" t="s">
        <x:v>146</x:v>
      </x:c>
      <x:c r="C167">
        <x:v>24</x:v>
      </x:c>
      <x:c r="D167">
        <x:v>1</x:v>
      </x:c>
      <x:c r="E167">
        <x:v>2</x:v>
      </x:c>
      <x:c r="F167" t="s">
        <x:v>170</x:v>
      </x:c>
      <x:c r="G167" t="s">
        <x:v>508</x:v>
      </x:c>
      <x:c r="H167" t="s">
        <x:v>503</x:v>
      </x:c>
      <x:c r="I167">
        <x:v>13</x:v>
      </x:c>
      <x:c r="J167">
        <x:v>3</x:v>
      </x:c>
      <x:c r="K167">
        <x:v>1</x:v>
      </x:c>
      <x:c r="L167" t="str">
        <x:f t="shared" si="2">IF(F167="Line",IF(AND(D167="",E167=""),"OK","CHECK"),IF(F167="Section",IF(AND(D167&gt;=1,D167&lt;=I167,E167=""),"OK","CHECK"),IF(F167="Cavity",IF(AND(D167&gt;=1,D167&lt;=I167,E167&gt;=1,E167&lt;=J167),"OK","CHECK"),"CHECK")))</x:f>
        <x:v>OK</x:v>
      </x:c>
      <x:c r="M167" t="n">
        <x:v>163</x:v>
      </x:c>
    </x:row>
    <x:row r="168">
      <x:c r="A168" t="s">
        <x:v>509</x:v>
      </x:c>
      <x:c r="B168" t="s">
        <x:v>146</x:v>
      </x:c>
      <x:c r="C168">
        <x:v>24</x:v>
      </x:c>
      <x:c r="D168">
        <x:v>1</x:v>
      </x:c>
      <x:c r="E168">
        <x:v>3</x:v>
      </x:c>
      <x:c r="F168" t="s">
        <x:v>170</x:v>
      </x:c>
      <x:c r="G168" t="s">
        <x:v>510</x:v>
      </x:c>
      <x:c r="H168" t="s">
        <x:v>503</x:v>
      </x:c>
      <x:c r="I168">
        <x:v>13</x:v>
      </x:c>
      <x:c r="J168">
        <x:v>3</x:v>
      </x:c>
      <x:c r="K168">
        <x:v>1</x:v>
      </x:c>
      <x:c r="L168" t="str">
        <x:f t="shared" si="2">IF(F168="Line",IF(AND(D168="",E168=""),"OK","CHECK"),IF(F168="Section",IF(AND(D168&gt;=1,D168&lt;=I168,E168=""),"OK","CHECK"),IF(F168="Cavity",IF(AND(D168&gt;=1,D168&lt;=I168,E168&gt;=1,E168&lt;=J168),"OK","CHECK"),"CHECK")))</x:f>
        <x:v>OK</x:v>
      </x:c>
      <x:c r="M168" t="n">
        <x:v>164</x:v>
      </x:c>
    </x:row>
    <x:row r="169">
      <x:c r="A169" t="s">
        <x:v>511</x:v>
      </x:c>
      <x:c r="B169" t="s">
        <x:v>146</x:v>
      </x:c>
      <x:c r="C169">
        <x:v>24</x:v>
      </x:c>
      <x:c r="D169">
        <x:v>2</x:v>
      </x:c>
      <x:c r="F169" t="s">
        <x:v>167</x:v>
      </x:c>
      <x:c r="G169" t="s">
        <x:v>512</x:v>
      </x:c>
      <x:c r="H169" t="s">
        <x:v>501</x:v>
      </x:c>
      <x:c r="I169">
        <x:v>13</x:v>
      </x:c>
      <x:c r="J169">
        <x:v>3</x:v>
      </x:c>
      <x:c r="K169">
        <x:v>1</x:v>
      </x:c>
      <x:c r="L169" t="str">
        <x:f t="shared" si="2">IF(F169="Line",IF(AND(D169="",E169=""),"OK","CHECK"),IF(F169="Section",IF(AND(D169&gt;=1,D169&lt;=I169,E169=""),"OK","CHECK"),IF(F169="Cavity",IF(AND(D169&gt;=1,D169&lt;=I169,E169&gt;=1,E169&lt;=J169),"OK","CHECK"),"CHECK")))</x:f>
        <x:v>OK</x:v>
      </x:c>
      <x:c r="M169" t="n">
        <x:v>165</x:v>
      </x:c>
    </x:row>
    <x:row r="170">
      <x:c r="A170" t="s">
        <x:v>513</x:v>
      </x:c>
      <x:c r="B170" t="s">
        <x:v>146</x:v>
      </x:c>
      <x:c r="C170">
        <x:v>24</x:v>
      </x:c>
      <x:c r="D170">
        <x:v>2</x:v>
      </x:c>
      <x:c r="E170">
        <x:v>1</x:v>
      </x:c>
      <x:c r="F170" t="s">
        <x:v>170</x:v>
      </x:c>
      <x:c r="G170" t="s">
        <x:v>514</x:v>
      </x:c>
      <x:c r="H170" t="s">
        <x:v>511</x:v>
      </x:c>
      <x:c r="I170">
        <x:v>13</x:v>
      </x:c>
      <x:c r="J170">
        <x:v>3</x:v>
      </x:c>
      <x:c r="K170">
        <x:v>1</x:v>
      </x:c>
      <x:c r="L170" t="str">
        <x:f t="shared" si="2">IF(F170="Line",IF(AND(D170="",E170=""),"OK","CHECK"),IF(F170="Section",IF(AND(D170&gt;=1,D170&lt;=I170,E170=""),"OK","CHECK"),IF(F170="Cavity",IF(AND(D170&gt;=1,D170&lt;=I170,E170&gt;=1,E170&lt;=J170),"OK","CHECK"),"CHECK")))</x:f>
        <x:v>OK</x:v>
      </x:c>
      <x:c r="M170" t="n">
        <x:v>166</x:v>
      </x:c>
    </x:row>
    <x:row r="171">
      <x:c r="A171" t="s">
        <x:v>515</x:v>
      </x:c>
      <x:c r="B171" t="s">
        <x:v>146</x:v>
      </x:c>
      <x:c r="C171">
        <x:v>24</x:v>
      </x:c>
      <x:c r="D171">
        <x:v>2</x:v>
      </x:c>
      <x:c r="E171">
        <x:v>2</x:v>
      </x:c>
      <x:c r="F171" t="s">
        <x:v>170</x:v>
      </x:c>
      <x:c r="G171" t="s">
        <x:v>516</x:v>
      </x:c>
      <x:c r="H171" t="s">
        <x:v>511</x:v>
      </x:c>
      <x:c r="I171">
        <x:v>13</x:v>
      </x:c>
      <x:c r="J171">
        <x:v>3</x:v>
      </x:c>
      <x:c r="K171">
        <x:v>1</x:v>
      </x:c>
      <x:c r="L171" t="str">
        <x:f t="shared" si="2">IF(F171="Line",IF(AND(D171="",E171=""),"OK","CHECK"),IF(F171="Section",IF(AND(D171&gt;=1,D171&lt;=I171,E171=""),"OK","CHECK"),IF(F171="Cavity",IF(AND(D171&gt;=1,D171&lt;=I171,E171&gt;=1,E171&lt;=J171),"OK","CHECK"),"CHECK")))</x:f>
        <x:v>OK</x:v>
      </x:c>
      <x:c r="M171" t="n">
        <x:v>167</x:v>
      </x:c>
    </x:row>
    <x:row r="172">
      <x:c r="A172" t="s">
        <x:v>517</x:v>
      </x:c>
      <x:c r="B172" t="s">
        <x:v>146</x:v>
      </x:c>
      <x:c r="C172">
        <x:v>24</x:v>
      </x:c>
      <x:c r="D172">
        <x:v>2</x:v>
      </x:c>
      <x:c r="E172">
        <x:v>3</x:v>
      </x:c>
      <x:c r="F172" t="s">
        <x:v>170</x:v>
      </x:c>
      <x:c r="G172" t="s">
        <x:v>518</x:v>
      </x:c>
      <x:c r="H172" t="s">
        <x:v>511</x:v>
      </x:c>
      <x:c r="I172">
        <x:v>13</x:v>
      </x:c>
      <x:c r="J172">
        <x:v>3</x:v>
      </x:c>
      <x:c r="K172">
        <x:v>1</x:v>
      </x:c>
      <x:c r="L172" t="str">
        <x:f t="shared" si="2">IF(F172="Line",IF(AND(D172="",E172=""),"OK","CHECK"),IF(F172="Section",IF(AND(D172&gt;=1,D172&lt;=I172,E172=""),"OK","CHECK"),IF(F172="Cavity",IF(AND(D172&gt;=1,D172&lt;=I172,E172&gt;=1,E172&lt;=J172),"OK","CHECK"),"CHECK")))</x:f>
        <x:v>OK</x:v>
      </x:c>
      <x:c r="M172" t="n">
        <x:v>168</x:v>
      </x:c>
    </x:row>
    <x:row r="173">
      <x:c r="A173" t="s">
        <x:v>519</x:v>
      </x:c>
      <x:c r="B173" t="s">
        <x:v>146</x:v>
      </x:c>
      <x:c r="C173">
        <x:v>24</x:v>
      </x:c>
      <x:c r="D173">
        <x:v>3</x:v>
      </x:c>
      <x:c r="F173" t="s">
        <x:v>167</x:v>
      </x:c>
      <x:c r="G173" t="s">
        <x:v>520</x:v>
      </x:c>
      <x:c r="H173" t="s">
        <x:v>501</x:v>
      </x:c>
      <x:c r="I173">
        <x:v>13</x:v>
      </x:c>
      <x:c r="J173">
        <x:v>3</x:v>
      </x:c>
      <x:c r="K173">
        <x:v>1</x:v>
      </x:c>
      <x:c r="L173" t="str">
        <x:f t="shared" si="2">IF(F173="Line",IF(AND(D173="",E173=""),"OK","CHECK"),IF(F173="Section",IF(AND(D173&gt;=1,D173&lt;=I173,E173=""),"OK","CHECK"),IF(F173="Cavity",IF(AND(D173&gt;=1,D173&lt;=I173,E173&gt;=1,E173&lt;=J173),"OK","CHECK"),"CHECK")))</x:f>
        <x:v>OK</x:v>
      </x:c>
      <x:c r="M173" t="n">
        <x:v>169</x:v>
      </x:c>
    </x:row>
    <x:row r="174">
      <x:c r="A174" t="s">
        <x:v>521</x:v>
      </x:c>
      <x:c r="B174" t="s">
        <x:v>146</x:v>
      </x:c>
      <x:c r="C174">
        <x:v>24</x:v>
      </x:c>
      <x:c r="D174">
        <x:v>3</x:v>
      </x:c>
      <x:c r="E174">
        <x:v>1</x:v>
      </x:c>
      <x:c r="F174" t="s">
        <x:v>170</x:v>
      </x:c>
      <x:c r="G174" t="s">
        <x:v>522</x:v>
      </x:c>
      <x:c r="H174" t="s">
        <x:v>519</x:v>
      </x:c>
      <x:c r="I174">
        <x:v>13</x:v>
      </x:c>
      <x:c r="J174">
        <x:v>3</x:v>
      </x:c>
      <x:c r="K174">
        <x:v>1</x:v>
      </x:c>
      <x:c r="L174" t="str">
        <x:f t="shared" si="2">IF(F174="Line",IF(AND(D174="",E174=""),"OK","CHECK"),IF(F174="Section",IF(AND(D174&gt;=1,D174&lt;=I174,E174=""),"OK","CHECK"),IF(F174="Cavity",IF(AND(D174&gt;=1,D174&lt;=I174,E174&gt;=1,E174&lt;=J174),"OK","CHECK"),"CHECK")))</x:f>
        <x:v>OK</x:v>
      </x:c>
      <x:c r="M174" t="n">
        <x:v>170</x:v>
      </x:c>
    </x:row>
    <x:row r="175">
      <x:c r="A175" t="s">
        <x:v>523</x:v>
      </x:c>
      <x:c r="B175" t="s">
        <x:v>146</x:v>
      </x:c>
      <x:c r="C175">
        <x:v>24</x:v>
      </x:c>
      <x:c r="D175">
        <x:v>3</x:v>
      </x:c>
      <x:c r="E175">
        <x:v>2</x:v>
      </x:c>
      <x:c r="F175" t="s">
        <x:v>170</x:v>
      </x:c>
      <x:c r="G175" t="s">
        <x:v>524</x:v>
      </x:c>
      <x:c r="H175" t="s">
        <x:v>519</x:v>
      </x:c>
      <x:c r="I175">
        <x:v>13</x:v>
      </x:c>
      <x:c r="J175">
        <x:v>3</x:v>
      </x:c>
      <x:c r="K175">
        <x:v>1</x:v>
      </x:c>
      <x:c r="L175" t="str">
        <x:f t="shared" si="2">IF(F175="Line",IF(AND(D175="",E175=""),"OK","CHECK"),IF(F175="Section",IF(AND(D175&gt;=1,D175&lt;=I175,E175=""),"OK","CHECK"),IF(F175="Cavity",IF(AND(D175&gt;=1,D175&lt;=I175,E175&gt;=1,E175&lt;=J175),"OK","CHECK"),"CHECK")))</x:f>
        <x:v>OK</x:v>
      </x:c>
      <x:c r="M175" t="n">
        <x:v>171</x:v>
      </x:c>
    </x:row>
    <x:row r="176">
      <x:c r="A176" t="s">
        <x:v>525</x:v>
      </x:c>
      <x:c r="B176" t="s">
        <x:v>146</x:v>
      </x:c>
      <x:c r="C176">
        <x:v>24</x:v>
      </x:c>
      <x:c r="D176">
        <x:v>3</x:v>
      </x:c>
      <x:c r="E176">
        <x:v>3</x:v>
      </x:c>
      <x:c r="F176" t="s">
        <x:v>170</x:v>
      </x:c>
      <x:c r="G176" t="s">
        <x:v>526</x:v>
      </x:c>
      <x:c r="H176" t="s">
        <x:v>519</x:v>
      </x:c>
      <x:c r="I176">
        <x:v>13</x:v>
      </x:c>
      <x:c r="J176">
        <x:v>3</x:v>
      </x:c>
      <x:c r="K176">
        <x:v>1</x:v>
      </x:c>
      <x:c r="L176" t="str">
        <x:f t="shared" si="2">IF(F176="Line",IF(AND(D176="",E176=""),"OK","CHECK"),IF(F176="Section",IF(AND(D176&gt;=1,D176&lt;=I176,E176=""),"OK","CHECK"),IF(F176="Cavity",IF(AND(D176&gt;=1,D176&lt;=I176,E176&gt;=1,E176&lt;=J176),"OK","CHECK"),"CHECK")))</x:f>
        <x:v>OK</x:v>
      </x:c>
      <x:c r="M176" t="n">
        <x:v>172</x:v>
      </x:c>
    </x:row>
    <x:row r="177">
      <x:c r="A177" t="s">
        <x:v>527</x:v>
      </x:c>
      <x:c r="B177" t="s">
        <x:v>146</x:v>
      </x:c>
      <x:c r="C177">
        <x:v>24</x:v>
      </x:c>
      <x:c r="D177">
        <x:v>4</x:v>
      </x:c>
      <x:c r="F177" t="s">
        <x:v>167</x:v>
      </x:c>
      <x:c r="G177" t="s">
        <x:v>528</x:v>
      </x:c>
      <x:c r="H177" t="s">
        <x:v>501</x:v>
      </x:c>
      <x:c r="I177">
        <x:v>13</x:v>
      </x:c>
      <x:c r="J177">
        <x:v>3</x:v>
      </x:c>
      <x:c r="K177">
        <x:v>1</x:v>
      </x:c>
      <x:c r="L177" t="str">
        <x:f t="shared" si="2">IF(F177="Line",IF(AND(D177="",E177=""),"OK","CHECK"),IF(F177="Section",IF(AND(D177&gt;=1,D177&lt;=I177,E177=""),"OK","CHECK"),IF(F177="Cavity",IF(AND(D177&gt;=1,D177&lt;=I177,E177&gt;=1,E177&lt;=J177),"OK","CHECK"),"CHECK")))</x:f>
        <x:v>OK</x:v>
      </x:c>
      <x:c r="M177" t="n">
        <x:v>173</x:v>
      </x:c>
    </x:row>
    <x:row r="178">
      <x:c r="A178" t="s">
        <x:v>529</x:v>
      </x:c>
      <x:c r="B178" t="s">
        <x:v>146</x:v>
      </x:c>
      <x:c r="C178">
        <x:v>24</x:v>
      </x:c>
      <x:c r="D178">
        <x:v>4</x:v>
      </x:c>
      <x:c r="E178">
        <x:v>1</x:v>
      </x:c>
      <x:c r="F178" t="s">
        <x:v>170</x:v>
      </x:c>
      <x:c r="G178" t="s">
        <x:v>530</x:v>
      </x:c>
      <x:c r="H178" t="s">
        <x:v>527</x:v>
      </x:c>
      <x:c r="I178">
        <x:v>13</x:v>
      </x:c>
      <x:c r="J178">
        <x:v>3</x:v>
      </x:c>
      <x:c r="K178">
        <x:v>1</x:v>
      </x:c>
      <x:c r="L178" t="str">
        <x:f t="shared" si="2">IF(F178="Line",IF(AND(D178="",E178=""),"OK","CHECK"),IF(F178="Section",IF(AND(D178&gt;=1,D178&lt;=I178,E178=""),"OK","CHECK"),IF(F178="Cavity",IF(AND(D178&gt;=1,D178&lt;=I178,E178&gt;=1,E178&lt;=J178),"OK","CHECK"),"CHECK")))</x:f>
        <x:v>OK</x:v>
      </x:c>
      <x:c r="M178" t="n">
        <x:v>174</x:v>
      </x:c>
    </x:row>
    <x:row r="179">
      <x:c r="A179" t="s">
        <x:v>531</x:v>
      </x:c>
      <x:c r="B179" t="s">
        <x:v>146</x:v>
      </x:c>
      <x:c r="C179">
        <x:v>24</x:v>
      </x:c>
      <x:c r="D179">
        <x:v>4</x:v>
      </x:c>
      <x:c r="E179">
        <x:v>2</x:v>
      </x:c>
      <x:c r="F179" t="s">
        <x:v>170</x:v>
      </x:c>
      <x:c r="G179" t="s">
        <x:v>532</x:v>
      </x:c>
      <x:c r="H179" t="s">
        <x:v>527</x:v>
      </x:c>
      <x:c r="I179">
        <x:v>13</x:v>
      </x:c>
      <x:c r="J179">
        <x:v>3</x:v>
      </x:c>
      <x:c r="K179">
        <x:v>1</x:v>
      </x:c>
      <x:c r="L179" t="str">
        <x:f t="shared" si="2">IF(F179="Line",IF(AND(D179="",E179=""),"OK","CHECK"),IF(F179="Section",IF(AND(D179&gt;=1,D179&lt;=I179,E179=""),"OK","CHECK"),IF(F179="Cavity",IF(AND(D179&gt;=1,D179&lt;=I179,E179&gt;=1,E179&lt;=J179),"OK","CHECK"),"CHECK")))</x:f>
        <x:v>OK</x:v>
      </x:c>
      <x:c r="M179" t="n">
        <x:v>175</x:v>
      </x:c>
    </x:row>
    <x:row r="180">
      <x:c r="A180" t="s">
        <x:v>533</x:v>
      </x:c>
      <x:c r="B180" t="s">
        <x:v>146</x:v>
      </x:c>
      <x:c r="C180">
        <x:v>24</x:v>
      </x:c>
      <x:c r="D180">
        <x:v>4</x:v>
      </x:c>
      <x:c r="E180">
        <x:v>3</x:v>
      </x:c>
      <x:c r="F180" t="s">
        <x:v>170</x:v>
      </x:c>
      <x:c r="G180" t="s">
        <x:v>534</x:v>
      </x:c>
      <x:c r="H180" t="s">
        <x:v>527</x:v>
      </x:c>
      <x:c r="I180">
        <x:v>13</x:v>
      </x:c>
      <x:c r="J180">
        <x:v>3</x:v>
      </x:c>
      <x:c r="K180">
        <x:v>1</x:v>
      </x:c>
      <x:c r="L180" t="str">
        <x:f t="shared" si="2">IF(F180="Line",IF(AND(D180="",E180=""),"OK","CHECK"),IF(F180="Section",IF(AND(D180&gt;=1,D180&lt;=I180,E180=""),"OK","CHECK"),IF(F180="Cavity",IF(AND(D180&gt;=1,D180&lt;=I180,E180&gt;=1,E180&lt;=J180),"OK","CHECK"),"CHECK")))</x:f>
        <x:v>OK</x:v>
      </x:c>
      <x:c r="M180" t="n">
        <x:v>176</x:v>
      </x:c>
    </x:row>
    <x:row r="181">
      <x:c r="A181" t="s">
        <x:v>535</x:v>
      </x:c>
      <x:c r="B181" t="s">
        <x:v>146</x:v>
      </x:c>
      <x:c r="C181">
        <x:v>24</x:v>
      </x:c>
      <x:c r="D181">
        <x:v>5</x:v>
      </x:c>
      <x:c r="F181" t="s">
        <x:v>167</x:v>
      </x:c>
      <x:c r="G181" t="s">
        <x:v>536</x:v>
      </x:c>
      <x:c r="H181" t="s">
        <x:v>501</x:v>
      </x:c>
      <x:c r="I181">
        <x:v>13</x:v>
      </x:c>
      <x:c r="J181">
        <x:v>3</x:v>
      </x:c>
      <x:c r="K181">
        <x:v>1</x:v>
      </x:c>
      <x:c r="L181" t="str">
        <x:f t="shared" si="2">IF(F181="Line",IF(AND(D181="",E181=""),"OK","CHECK"),IF(F181="Section",IF(AND(D181&gt;=1,D181&lt;=I181,E181=""),"OK","CHECK"),IF(F181="Cavity",IF(AND(D181&gt;=1,D181&lt;=I181,E181&gt;=1,E181&lt;=J181),"OK","CHECK"),"CHECK")))</x:f>
        <x:v>OK</x:v>
      </x:c>
      <x:c r="M181" t="n">
        <x:v>177</x:v>
      </x:c>
    </x:row>
    <x:row r="182">
      <x:c r="A182" t="s">
        <x:v>537</x:v>
      </x:c>
      <x:c r="B182" t="s">
        <x:v>146</x:v>
      </x:c>
      <x:c r="C182">
        <x:v>24</x:v>
      </x:c>
      <x:c r="D182">
        <x:v>5</x:v>
      </x:c>
      <x:c r="E182">
        <x:v>1</x:v>
      </x:c>
      <x:c r="F182" t="s">
        <x:v>170</x:v>
      </x:c>
      <x:c r="G182" t="s">
        <x:v>538</x:v>
      </x:c>
      <x:c r="H182" t="s">
        <x:v>535</x:v>
      </x:c>
      <x:c r="I182">
        <x:v>13</x:v>
      </x:c>
      <x:c r="J182">
        <x:v>3</x:v>
      </x:c>
      <x:c r="K182">
        <x:v>1</x:v>
      </x:c>
      <x:c r="L182" t="str">
        <x:f t="shared" si="2">IF(F182="Line",IF(AND(D182="",E182=""),"OK","CHECK"),IF(F182="Section",IF(AND(D182&gt;=1,D182&lt;=I182,E182=""),"OK","CHECK"),IF(F182="Cavity",IF(AND(D182&gt;=1,D182&lt;=I182,E182&gt;=1,E182&lt;=J182),"OK","CHECK"),"CHECK")))</x:f>
        <x:v>OK</x:v>
      </x:c>
      <x:c r="M182" t="n">
        <x:v>178</x:v>
      </x:c>
    </x:row>
    <x:row r="183">
      <x:c r="A183" t="s">
        <x:v>539</x:v>
      </x:c>
      <x:c r="B183" t="s">
        <x:v>146</x:v>
      </x:c>
      <x:c r="C183">
        <x:v>24</x:v>
      </x:c>
      <x:c r="D183">
        <x:v>5</x:v>
      </x:c>
      <x:c r="E183">
        <x:v>2</x:v>
      </x:c>
      <x:c r="F183" t="s">
        <x:v>170</x:v>
      </x:c>
      <x:c r="G183" t="s">
        <x:v>540</x:v>
      </x:c>
      <x:c r="H183" t="s">
        <x:v>535</x:v>
      </x:c>
      <x:c r="I183">
        <x:v>13</x:v>
      </x:c>
      <x:c r="J183">
        <x:v>3</x:v>
      </x:c>
      <x:c r="K183">
        <x:v>1</x:v>
      </x:c>
      <x:c r="L183" t="str">
        <x:f t="shared" si="2">IF(F183="Line",IF(AND(D183="",E183=""),"OK","CHECK"),IF(F183="Section",IF(AND(D183&gt;=1,D183&lt;=I183,E183=""),"OK","CHECK"),IF(F183="Cavity",IF(AND(D183&gt;=1,D183&lt;=I183,E183&gt;=1,E183&lt;=J183),"OK","CHECK"),"CHECK")))</x:f>
        <x:v>OK</x:v>
      </x:c>
      <x:c r="M183" t="n">
        <x:v>179</x:v>
      </x:c>
    </x:row>
    <x:row r="184">
      <x:c r="A184" t="s">
        <x:v>541</x:v>
      </x:c>
      <x:c r="B184" t="s">
        <x:v>146</x:v>
      </x:c>
      <x:c r="C184">
        <x:v>24</x:v>
      </x:c>
      <x:c r="D184">
        <x:v>5</x:v>
      </x:c>
      <x:c r="E184">
        <x:v>3</x:v>
      </x:c>
      <x:c r="F184" t="s">
        <x:v>170</x:v>
      </x:c>
      <x:c r="G184" t="s">
        <x:v>542</x:v>
      </x:c>
      <x:c r="H184" t="s">
        <x:v>535</x:v>
      </x:c>
      <x:c r="I184">
        <x:v>13</x:v>
      </x:c>
      <x:c r="J184">
        <x:v>3</x:v>
      </x:c>
      <x:c r="K184">
        <x:v>1</x:v>
      </x:c>
      <x:c r="L184" t="str">
        <x:f t="shared" si="2">IF(F184="Line",IF(AND(D184="",E184=""),"OK","CHECK"),IF(F184="Section",IF(AND(D184&gt;=1,D184&lt;=I184,E184=""),"OK","CHECK"),IF(F184="Cavity",IF(AND(D184&gt;=1,D184&lt;=I184,E184&gt;=1,E184&lt;=J184),"OK","CHECK"),"CHECK")))</x:f>
        <x:v>OK</x:v>
      </x:c>
      <x:c r="M184" t="n">
        <x:v>180</x:v>
      </x:c>
    </x:row>
    <x:row r="185">
      <x:c r="A185" t="s">
        <x:v>543</x:v>
      </x:c>
      <x:c r="B185" t="s">
        <x:v>146</x:v>
      </x:c>
      <x:c r="C185">
        <x:v>24</x:v>
      </x:c>
      <x:c r="D185">
        <x:v>6</x:v>
      </x:c>
      <x:c r="F185" t="s">
        <x:v>167</x:v>
      </x:c>
      <x:c r="G185" t="s">
        <x:v>544</x:v>
      </x:c>
      <x:c r="H185" t="s">
        <x:v>501</x:v>
      </x:c>
      <x:c r="I185">
        <x:v>13</x:v>
      </x:c>
      <x:c r="J185">
        <x:v>3</x:v>
      </x:c>
      <x:c r="K185">
        <x:v>1</x:v>
      </x:c>
      <x:c r="L185" t="str">
        <x:f t="shared" si="2">IF(F185="Line",IF(AND(D185="",E185=""),"OK","CHECK"),IF(F185="Section",IF(AND(D185&gt;=1,D185&lt;=I185,E185=""),"OK","CHECK"),IF(F185="Cavity",IF(AND(D185&gt;=1,D185&lt;=I185,E185&gt;=1,E185&lt;=J185),"OK","CHECK"),"CHECK")))</x:f>
        <x:v>OK</x:v>
      </x:c>
      <x:c r="M185" t="n">
        <x:v>181</x:v>
      </x:c>
    </x:row>
    <x:row r="186">
      <x:c r="A186" t="s">
        <x:v>545</x:v>
      </x:c>
      <x:c r="B186" t="s">
        <x:v>146</x:v>
      </x:c>
      <x:c r="C186">
        <x:v>24</x:v>
      </x:c>
      <x:c r="D186">
        <x:v>6</x:v>
      </x:c>
      <x:c r="E186">
        <x:v>1</x:v>
      </x:c>
      <x:c r="F186" t="s">
        <x:v>170</x:v>
      </x:c>
      <x:c r="G186" t="s">
        <x:v>546</x:v>
      </x:c>
      <x:c r="H186" t="s">
        <x:v>543</x:v>
      </x:c>
      <x:c r="I186">
        <x:v>13</x:v>
      </x:c>
      <x:c r="J186">
        <x:v>3</x:v>
      </x:c>
      <x:c r="K186">
        <x:v>1</x:v>
      </x:c>
      <x:c r="L186" t="str">
        <x:f t="shared" si="2">IF(F186="Line",IF(AND(D186="",E186=""),"OK","CHECK"),IF(F186="Section",IF(AND(D186&gt;=1,D186&lt;=I186,E186=""),"OK","CHECK"),IF(F186="Cavity",IF(AND(D186&gt;=1,D186&lt;=I186,E186&gt;=1,E186&lt;=J186),"OK","CHECK"),"CHECK")))</x:f>
        <x:v>OK</x:v>
      </x:c>
      <x:c r="M186" t="n">
        <x:v>182</x:v>
      </x:c>
    </x:row>
    <x:row r="187">
      <x:c r="A187" t="s">
        <x:v>547</x:v>
      </x:c>
      <x:c r="B187" t="s">
        <x:v>146</x:v>
      </x:c>
      <x:c r="C187">
        <x:v>24</x:v>
      </x:c>
      <x:c r="D187">
        <x:v>6</x:v>
      </x:c>
      <x:c r="E187">
        <x:v>2</x:v>
      </x:c>
      <x:c r="F187" t="s">
        <x:v>170</x:v>
      </x:c>
      <x:c r="G187" t="s">
        <x:v>548</x:v>
      </x:c>
      <x:c r="H187" t="s">
        <x:v>543</x:v>
      </x:c>
      <x:c r="I187">
        <x:v>13</x:v>
      </x:c>
      <x:c r="J187">
        <x:v>3</x:v>
      </x:c>
      <x:c r="K187">
        <x:v>1</x:v>
      </x:c>
      <x:c r="L187" t="str">
        <x:f t="shared" si="2">IF(F187="Line",IF(AND(D187="",E187=""),"OK","CHECK"),IF(F187="Section",IF(AND(D187&gt;=1,D187&lt;=I187,E187=""),"OK","CHECK"),IF(F187="Cavity",IF(AND(D187&gt;=1,D187&lt;=I187,E187&gt;=1,E187&lt;=J187),"OK","CHECK"),"CHECK")))</x:f>
        <x:v>OK</x:v>
      </x:c>
      <x:c r="M187" t="n">
        <x:v>183</x:v>
      </x:c>
    </x:row>
    <x:row r="188">
      <x:c r="A188" t="s">
        <x:v>549</x:v>
      </x:c>
      <x:c r="B188" t="s">
        <x:v>146</x:v>
      </x:c>
      <x:c r="C188">
        <x:v>24</x:v>
      </x:c>
      <x:c r="D188">
        <x:v>6</x:v>
      </x:c>
      <x:c r="E188">
        <x:v>3</x:v>
      </x:c>
      <x:c r="F188" t="s">
        <x:v>170</x:v>
      </x:c>
      <x:c r="G188" t="s">
        <x:v>550</x:v>
      </x:c>
      <x:c r="H188" t="s">
        <x:v>543</x:v>
      </x:c>
      <x:c r="I188">
        <x:v>13</x:v>
      </x:c>
      <x:c r="J188">
        <x:v>3</x:v>
      </x:c>
      <x:c r="K188">
        <x:v>1</x:v>
      </x:c>
      <x:c r="L188" t="str">
        <x:f t="shared" si="2">IF(F188="Line",IF(AND(D188="",E188=""),"OK","CHECK"),IF(F188="Section",IF(AND(D188&gt;=1,D188&lt;=I188,E188=""),"OK","CHECK"),IF(F188="Cavity",IF(AND(D188&gt;=1,D188&lt;=I188,E188&gt;=1,E188&lt;=J188),"OK","CHECK"),"CHECK")))</x:f>
        <x:v>OK</x:v>
      </x:c>
      <x:c r="M188" t="n">
        <x:v>184</x:v>
      </x:c>
    </x:row>
    <x:row r="189">
      <x:c r="A189" t="s">
        <x:v>551</x:v>
      </x:c>
      <x:c r="B189" t="s">
        <x:v>146</x:v>
      </x:c>
      <x:c r="C189">
        <x:v>24</x:v>
      </x:c>
      <x:c r="D189">
        <x:v>7</x:v>
      </x:c>
      <x:c r="F189" t="s">
        <x:v>167</x:v>
      </x:c>
      <x:c r="G189" t="s">
        <x:v>552</x:v>
      </x:c>
      <x:c r="H189" t="s">
        <x:v>501</x:v>
      </x:c>
      <x:c r="I189">
        <x:v>13</x:v>
      </x:c>
      <x:c r="J189">
        <x:v>3</x:v>
      </x:c>
      <x:c r="K189">
        <x:v>1</x:v>
      </x:c>
      <x:c r="L189" t="str">
        <x:f t="shared" si="2">IF(F189="Line",IF(AND(D189="",E189=""),"OK","CHECK"),IF(F189="Section",IF(AND(D189&gt;=1,D189&lt;=I189,E189=""),"OK","CHECK"),IF(F189="Cavity",IF(AND(D189&gt;=1,D189&lt;=I189,E189&gt;=1,E189&lt;=J189),"OK","CHECK"),"CHECK")))</x:f>
        <x:v>OK</x:v>
      </x:c>
      <x:c r="M189" t="n">
        <x:v>185</x:v>
      </x:c>
    </x:row>
    <x:row r="190">
      <x:c r="A190" t="s">
        <x:v>553</x:v>
      </x:c>
      <x:c r="B190" t="s">
        <x:v>146</x:v>
      </x:c>
      <x:c r="C190">
        <x:v>24</x:v>
      </x:c>
      <x:c r="D190">
        <x:v>7</x:v>
      </x:c>
      <x:c r="E190">
        <x:v>1</x:v>
      </x:c>
      <x:c r="F190" t="s">
        <x:v>170</x:v>
      </x:c>
      <x:c r="G190" t="s">
        <x:v>554</x:v>
      </x:c>
      <x:c r="H190" t="s">
        <x:v>551</x:v>
      </x:c>
      <x:c r="I190">
        <x:v>13</x:v>
      </x:c>
      <x:c r="J190">
        <x:v>3</x:v>
      </x:c>
      <x:c r="K190">
        <x:v>1</x:v>
      </x:c>
      <x:c r="L190" t="str">
        <x:f t="shared" si="2">IF(F190="Line",IF(AND(D190="",E190=""),"OK","CHECK"),IF(F190="Section",IF(AND(D190&gt;=1,D190&lt;=I190,E190=""),"OK","CHECK"),IF(F190="Cavity",IF(AND(D190&gt;=1,D190&lt;=I190,E190&gt;=1,E190&lt;=J190),"OK","CHECK"),"CHECK")))</x:f>
        <x:v>OK</x:v>
      </x:c>
      <x:c r="M190" t="n">
        <x:v>186</x:v>
      </x:c>
    </x:row>
    <x:row r="191">
      <x:c r="A191" t="s">
        <x:v>555</x:v>
      </x:c>
      <x:c r="B191" t="s">
        <x:v>146</x:v>
      </x:c>
      <x:c r="C191">
        <x:v>24</x:v>
      </x:c>
      <x:c r="D191">
        <x:v>7</x:v>
      </x:c>
      <x:c r="E191">
        <x:v>2</x:v>
      </x:c>
      <x:c r="F191" t="s">
        <x:v>170</x:v>
      </x:c>
      <x:c r="G191" t="s">
        <x:v>556</x:v>
      </x:c>
      <x:c r="H191" t="s">
        <x:v>551</x:v>
      </x:c>
      <x:c r="I191">
        <x:v>13</x:v>
      </x:c>
      <x:c r="J191">
        <x:v>3</x:v>
      </x:c>
      <x:c r="K191">
        <x:v>1</x:v>
      </x:c>
      <x:c r="L191" t="str">
        <x:f t="shared" si="2">IF(F191="Line",IF(AND(D191="",E191=""),"OK","CHECK"),IF(F191="Section",IF(AND(D191&gt;=1,D191&lt;=I191,E191=""),"OK","CHECK"),IF(F191="Cavity",IF(AND(D191&gt;=1,D191&lt;=I191,E191&gt;=1,E191&lt;=J191),"OK","CHECK"),"CHECK")))</x:f>
        <x:v>OK</x:v>
      </x:c>
      <x:c r="M191" t="n">
        <x:v>187</x:v>
      </x:c>
    </x:row>
    <x:row r="192">
      <x:c r="A192" t="s">
        <x:v>557</x:v>
      </x:c>
      <x:c r="B192" t="s">
        <x:v>146</x:v>
      </x:c>
      <x:c r="C192">
        <x:v>24</x:v>
      </x:c>
      <x:c r="D192">
        <x:v>7</x:v>
      </x:c>
      <x:c r="E192">
        <x:v>3</x:v>
      </x:c>
      <x:c r="F192" t="s">
        <x:v>170</x:v>
      </x:c>
      <x:c r="G192" t="s">
        <x:v>558</x:v>
      </x:c>
      <x:c r="H192" t="s">
        <x:v>551</x:v>
      </x:c>
      <x:c r="I192">
        <x:v>13</x:v>
      </x:c>
      <x:c r="J192">
        <x:v>3</x:v>
      </x:c>
      <x:c r="K192">
        <x:v>1</x:v>
      </x:c>
      <x:c r="L192" t="str">
        <x:f t="shared" si="2">IF(F192="Line",IF(AND(D192="",E192=""),"OK","CHECK"),IF(F192="Section",IF(AND(D192&gt;=1,D192&lt;=I192,E192=""),"OK","CHECK"),IF(F192="Cavity",IF(AND(D192&gt;=1,D192&lt;=I192,E192&gt;=1,E192&lt;=J192),"OK","CHECK"),"CHECK")))</x:f>
        <x:v>OK</x:v>
      </x:c>
      <x:c r="M192" t="n">
        <x:v>188</x:v>
      </x:c>
    </x:row>
    <x:row r="193">
      <x:c r="A193" t="s">
        <x:v>559</x:v>
      </x:c>
      <x:c r="B193" t="s">
        <x:v>146</x:v>
      </x:c>
      <x:c r="C193">
        <x:v>24</x:v>
      </x:c>
      <x:c r="D193">
        <x:v>8</x:v>
      </x:c>
      <x:c r="F193" t="s">
        <x:v>167</x:v>
      </x:c>
      <x:c r="G193" t="s">
        <x:v>560</x:v>
      </x:c>
      <x:c r="H193" t="s">
        <x:v>501</x:v>
      </x:c>
      <x:c r="I193">
        <x:v>13</x:v>
      </x:c>
      <x:c r="J193">
        <x:v>3</x:v>
      </x:c>
      <x:c r="K193">
        <x:v>1</x:v>
      </x:c>
      <x:c r="L193" t="str">
        <x:f t="shared" si="2">IF(F193="Line",IF(AND(D193="",E193=""),"OK","CHECK"),IF(F193="Section",IF(AND(D193&gt;=1,D193&lt;=I193,E193=""),"OK","CHECK"),IF(F193="Cavity",IF(AND(D193&gt;=1,D193&lt;=I193,E193&gt;=1,E193&lt;=J193),"OK","CHECK"),"CHECK")))</x:f>
        <x:v>OK</x:v>
      </x:c>
      <x:c r="M193" t="n">
        <x:v>189</x:v>
      </x:c>
    </x:row>
    <x:row r="194">
      <x:c r="A194" t="s">
        <x:v>561</x:v>
      </x:c>
      <x:c r="B194" t="s">
        <x:v>146</x:v>
      </x:c>
      <x:c r="C194">
        <x:v>24</x:v>
      </x:c>
      <x:c r="D194">
        <x:v>8</x:v>
      </x:c>
      <x:c r="E194">
        <x:v>1</x:v>
      </x:c>
      <x:c r="F194" t="s">
        <x:v>170</x:v>
      </x:c>
      <x:c r="G194" t="s">
        <x:v>562</x:v>
      </x:c>
      <x:c r="H194" t="s">
        <x:v>559</x:v>
      </x:c>
      <x:c r="I194">
        <x:v>13</x:v>
      </x:c>
      <x:c r="J194">
        <x:v>3</x:v>
      </x:c>
      <x:c r="K194">
        <x:v>1</x:v>
      </x:c>
      <x:c r="L194" t="str">
        <x:f t="shared" si="2">IF(F194="Line",IF(AND(D194="",E194=""),"OK","CHECK"),IF(F194="Section",IF(AND(D194&gt;=1,D194&lt;=I194,E194=""),"OK","CHECK"),IF(F194="Cavity",IF(AND(D194&gt;=1,D194&lt;=I194,E194&gt;=1,E194&lt;=J194),"OK","CHECK"),"CHECK")))</x:f>
        <x:v>OK</x:v>
      </x:c>
      <x:c r="M194" t="n">
        <x:v>190</x:v>
      </x:c>
    </x:row>
    <x:row r="195">
      <x:c r="A195" t="s">
        <x:v>563</x:v>
      </x:c>
      <x:c r="B195" t="s">
        <x:v>146</x:v>
      </x:c>
      <x:c r="C195">
        <x:v>24</x:v>
      </x:c>
      <x:c r="D195">
        <x:v>8</x:v>
      </x:c>
      <x:c r="E195">
        <x:v>2</x:v>
      </x:c>
      <x:c r="F195" t="s">
        <x:v>170</x:v>
      </x:c>
      <x:c r="G195" t="s">
        <x:v>564</x:v>
      </x:c>
      <x:c r="H195" t="s">
        <x:v>559</x:v>
      </x:c>
      <x:c r="I195">
        <x:v>13</x:v>
      </x:c>
      <x:c r="J195">
        <x:v>3</x:v>
      </x:c>
      <x:c r="K195">
        <x:v>1</x:v>
      </x:c>
      <x:c r="L195" t="str">
        <x:f t="shared" si="2">IF(F195="Line",IF(AND(D195="",E195=""),"OK","CHECK"),IF(F195="Section",IF(AND(D195&gt;=1,D195&lt;=I195,E195=""),"OK","CHECK"),IF(F195="Cavity",IF(AND(D195&gt;=1,D195&lt;=I195,E195&gt;=1,E195&lt;=J195),"OK","CHECK"),"CHECK")))</x:f>
        <x:v>OK</x:v>
      </x:c>
      <x:c r="M195" t="n">
        <x:v>191</x:v>
      </x:c>
    </x:row>
    <x:row r="196">
      <x:c r="A196" t="s">
        <x:v>565</x:v>
      </x:c>
      <x:c r="B196" t="s">
        <x:v>146</x:v>
      </x:c>
      <x:c r="C196">
        <x:v>24</x:v>
      </x:c>
      <x:c r="D196">
        <x:v>8</x:v>
      </x:c>
      <x:c r="E196">
        <x:v>3</x:v>
      </x:c>
      <x:c r="F196" t="s">
        <x:v>170</x:v>
      </x:c>
      <x:c r="G196" t="s">
        <x:v>566</x:v>
      </x:c>
      <x:c r="H196" t="s">
        <x:v>559</x:v>
      </x:c>
      <x:c r="I196">
        <x:v>13</x:v>
      </x:c>
      <x:c r="J196">
        <x:v>3</x:v>
      </x:c>
      <x:c r="K196">
        <x:v>1</x:v>
      </x:c>
      <x:c r="L196" t="str">
        <x:f t="shared" si="2">IF(F196="Line",IF(AND(D196="",E196=""),"OK","CHECK"),IF(F196="Section",IF(AND(D196&gt;=1,D196&lt;=I196,E196=""),"OK","CHECK"),IF(F196="Cavity",IF(AND(D196&gt;=1,D196&lt;=I196,E196&gt;=1,E196&lt;=J196),"OK","CHECK"),"CHECK")))</x:f>
        <x:v>OK</x:v>
      </x:c>
      <x:c r="M196" t="n">
        <x:v>192</x:v>
      </x:c>
    </x:row>
    <x:row r="197">
      <x:c r="A197" t="s">
        <x:v>567</x:v>
      </x:c>
      <x:c r="B197" t="s">
        <x:v>146</x:v>
      </x:c>
      <x:c r="C197">
        <x:v>24</x:v>
      </x:c>
      <x:c r="D197">
        <x:v>9</x:v>
      </x:c>
      <x:c r="F197" t="s">
        <x:v>167</x:v>
      </x:c>
      <x:c r="G197" t="s">
        <x:v>568</x:v>
      </x:c>
      <x:c r="H197" t="s">
        <x:v>501</x:v>
      </x:c>
      <x:c r="I197">
        <x:v>13</x:v>
      </x:c>
      <x:c r="J197">
        <x:v>3</x:v>
      </x:c>
      <x:c r="K197">
        <x:v>1</x:v>
      </x:c>
      <x:c r="L197" t="str">
        <x:f t="shared" ref="L197:L260" si="3">IF(F197="Line",IF(AND(D197="",E197=""),"OK","CHECK"),IF(F197="Section",IF(AND(D197&gt;=1,D197&lt;=I197,E197=""),"OK","CHECK"),IF(F197="Cavity",IF(AND(D197&gt;=1,D197&lt;=I197,E197&gt;=1,E197&lt;=J197),"OK","CHECK"),"CHECK")))</x:f>
        <x:v>OK</x:v>
      </x:c>
      <x:c r="M197" t="n">
        <x:v>193</x:v>
      </x:c>
    </x:row>
    <x:row r="198">
      <x:c r="A198" t="s">
        <x:v>569</x:v>
      </x:c>
      <x:c r="B198" t="s">
        <x:v>146</x:v>
      </x:c>
      <x:c r="C198">
        <x:v>24</x:v>
      </x:c>
      <x:c r="D198">
        <x:v>9</x:v>
      </x:c>
      <x:c r="E198">
        <x:v>1</x:v>
      </x:c>
      <x:c r="F198" t="s">
        <x:v>170</x:v>
      </x:c>
      <x:c r="G198" t="s">
        <x:v>570</x:v>
      </x:c>
      <x:c r="H198" t="s">
        <x:v>567</x:v>
      </x:c>
      <x:c r="I198">
        <x:v>13</x:v>
      </x:c>
      <x:c r="J198">
        <x:v>3</x:v>
      </x:c>
      <x:c r="K198">
        <x:v>1</x:v>
      </x:c>
      <x:c r="L198" t="str">
        <x:f t="shared" si="3">IF(F198="Line",IF(AND(D198="",E198=""),"OK","CHECK"),IF(F198="Section",IF(AND(D198&gt;=1,D198&lt;=I198,E198=""),"OK","CHECK"),IF(F198="Cavity",IF(AND(D198&gt;=1,D198&lt;=I198,E198&gt;=1,E198&lt;=J198),"OK","CHECK"),"CHECK")))</x:f>
        <x:v>OK</x:v>
      </x:c>
      <x:c r="M198" t="n">
        <x:v>194</x:v>
      </x:c>
    </x:row>
    <x:row r="199">
      <x:c r="A199" t="s">
        <x:v>571</x:v>
      </x:c>
      <x:c r="B199" t="s">
        <x:v>146</x:v>
      </x:c>
      <x:c r="C199">
        <x:v>24</x:v>
      </x:c>
      <x:c r="D199">
        <x:v>9</x:v>
      </x:c>
      <x:c r="E199">
        <x:v>2</x:v>
      </x:c>
      <x:c r="F199" t="s">
        <x:v>170</x:v>
      </x:c>
      <x:c r="G199" t="s">
        <x:v>572</x:v>
      </x:c>
      <x:c r="H199" t="s">
        <x:v>567</x:v>
      </x:c>
      <x:c r="I199">
        <x:v>13</x:v>
      </x:c>
      <x:c r="J199">
        <x:v>3</x:v>
      </x:c>
      <x:c r="K199">
        <x:v>1</x:v>
      </x:c>
      <x:c r="L199" t="str">
        <x:f t="shared" si="3">IF(F199="Line",IF(AND(D199="",E199=""),"OK","CHECK"),IF(F199="Section",IF(AND(D199&gt;=1,D199&lt;=I199,E199=""),"OK","CHECK"),IF(F199="Cavity",IF(AND(D199&gt;=1,D199&lt;=I199,E199&gt;=1,E199&lt;=J199),"OK","CHECK"),"CHECK")))</x:f>
        <x:v>OK</x:v>
      </x:c>
      <x:c r="M199" t="n">
        <x:v>195</x:v>
      </x:c>
    </x:row>
    <x:row r="200">
      <x:c r="A200" t="s">
        <x:v>573</x:v>
      </x:c>
      <x:c r="B200" t="s">
        <x:v>146</x:v>
      </x:c>
      <x:c r="C200">
        <x:v>24</x:v>
      </x:c>
      <x:c r="D200">
        <x:v>9</x:v>
      </x:c>
      <x:c r="E200">
        <x:v>3</x:v>
      </x:c>
      <x:c r="F200" t="s">
        <x:v>170</x:v>
      </x:c>
      <x:c r="G200" t="s">
        <x:v>574</x:v>
      </x:c>
      <x:c r="H200" t="s">
        <x:v>567</x:v>
      </x:c>
      <x:c r="I200">
        <x:v>13</x:v>
      </x:c>
      <x:c r="J200">
        <x:v>3</x:v>
      </x:c>
      <x:c r="K200">
        <x:v>1</x:v>
      </x:c>
      <x:c r="L200" t="str">
        <x:f t="shared" si="3">IF(F200="Line",IF(AND(D200="",E200=""),"OK","CHECK"),IF(F200="Section",IF(AND(D200&gt;=1,D200&lt;=I200,E200=""),"OK","CHECK"),IF(F200="Cavity",IF(AND(D200&gt;=1,D200&lt;=I200,E200&gt;=1,E200&lt;=J200),"OK","CHECK"),"CHECK")))</x:f>
        <x:v>OK</x:v>
      </x:c>
      <x:c r="M200" t="n">
        <x:v>196</x:v>
      </x:c>
    </x:row>
    <x:row r="201">
      <x:c r="A201" t="s">
        <x:v>575</x:v>
      </x:c>
      <x:c r="B201" t="s">
        <x:v>146</x:v>
      </x:c>
      <x:c r="C201">
        <x:v>24</x:v>
      </x:c>
      <x:c r="D201">
        <x:v>10</x:v>
      </x:c>
      <x:c r="F201" t="s">
        <x:v>167</x:v>
      </x:c>
      <x:c r="G201" t="s">
        <x:v>576</x:v>
      </x:c>
      <x:c r="H201" t="s">
        <x:v>501</x:v>
      </x:c>
      <x:c r="I201">
        <x:v>13</x:v>
      </x:c>
      <x:c r="J201">
        <x:v>3</x:v>
      </x:c>
      <x:c r="K201">
        <x:v>1</x:v>
      </x:c>
      <x:c r="L201" t="str">
        <x:f t="shared" si="3">IF(F201="Line",IF(AND(D201="",E201=""),"OK","CHECK"),IF(F201="Section",IF(AND(D201&gt;=1,D201&lt;=I201,E201=""),"OK","CHECK"),IF(F201="Cavity",IF(AND(D201&gt;=1,D201&lt;=I201,E201&gt;=1,E201&lt;=J201),"OK","CHECK"),"CHECK")))</x:f>
        <x:v>OK</x:v>
      </x:c>
      <x:c r="M201" t="n">
        <x:v>197</x:v>
      </x:c>
    </x:row>
    <x:row r="202">
      <x:c r="A202" t="s">
        <x:v>577</x:v>
      </x:c>
      <x:c r="B202" t="s">
        <x:v>146</x:v>
      </x:c>
      <x:c r="C202">
        <x:v>24</x:v>
      </x:c>
      <x:c r="D202">
        <x:v>10</x:v>
      </x:c>
      <x:c r="E202">
        <x:v>1</x:v>
      </x:c>
      <x:c r="F202" t="s">
        <x:v>170</x:v>
      </x:c>
      <x:c r="G202" t="s">
        <x:v>578</x:v>
      </x:c>
      <x:c r="H202" t="s">
        <x:v>575</x:v>
      </x:c>
      <x:c r="I202">
        <x:v>13</x:v>
      </x:c>
      <x:c r="J202">
        <x:v>3</x:v>
      </x:c>
      <x:c r="K202">
        <x:v>1</x:v>
      </x:c>
      <x:c r="L202" t="str">
        <x:f t="shared" si="3">IF(F202="Line",IF(AND(D202="",E202=""),"OK","CHECK"),IF(F202="Section",IF(AND(D202&gt;=1,D202&lt;=I202,E202=""),"OK","CHECK"),IF(F202="Cavity",IF(AND(D202&gt;=1,D202&lt;=I202,E202&gt;=1,E202&lt;=J202),"OK","CHECK"),"CHECK")))</x:f>
        <x:v>OK</x:v>
      </x:c>
      <x:c r="M202" t="n">
        <x:v>198</x:v>
      </x:c>
    </x:row>
    <x:row r="203">
      <x:c r="A203" t="s">
        <x:v>579</x:v>
      </x:c>
      <x:c r="B203" t="s">
        <x:v>146</x:v>
      </x:c>
      <x:c r="C203">
        <x:v>24</x:v>
      </x:c>
      <x:c r="D203">
        <x:v>10</x:v>
      </x:c>
      <x:c r="E203">
        <x:v>2</x:v>
      </x:c>
      <x:c r="F203" t="s">
        <x:v>170</x:v>
      </x:c>
      <x:c r="G203" t="s">
        <x:v>580</x:v>
      </x:c>
      <x:c r="H203" t="s">
        <x:v>575</x:v>
      </x:c>
      <x:c r="I203">
        <x:v>13</x:v>
      </x:c>
      <x:c r="J203">
        <x:v>3</x:v>
      </x:c>
      <x:c r="K203">
        <x:v>1</x:v>
      </x:c>
      <x:c r="L203" t="str">
        <x:f t="shared" si="3">IF(F203="Line",IF(AND(D203="",E203=""),"OK","CHECK"),IF(F203="Section",IF(AND(D203&gt;=1,D203&lt;=I203,E203=""),"OK","CHECK"),IF(F203="Cavity",IF(AND(D203&gt;=1,D203&lt;=I203,E203&gt;=1,E203&lt;=J203),"OK","CHECK"),"CHECK")))</x:f>
        <x:v>OK</x:v>
      </x:c>
      <x:c r="M203" t="n">
        <x:v>199</x:v>
      </x:c>
    </x:row>
    <x:row r="204">
      <x:c r="A204" t="s">
        <x:v>581</x:v>
      </x:c>
      <x:c r="B204" t="s">
        <x:v>146</x:v>
      </x:c>
      <x:c r="C204">
        <x:v>24</x:v>
      </x:c>
      <x:c r="D204">
        <x:v>10</x:v>
      </x:c>
      <x:c r="E204">
        <x:v>3</x:v>
      </x:c>
      <x:c r="F204" t="s">
        <x:v>170</x:v>
      </x:c>
      <x:c r="G204" t="s">
        <x:v>582</x:v>
      </x:c>
      <x:c r="H204" t="s">
        <x:v>575</x:v>
      </x:c>
      <x:c r="I204">
        <x:v>13</x:v>
      </x:c>
      <x:c r="J204">
        <x:v>3</x:v>
      </x:c>
      <x:c r="K204">
        <x:v>1</x:v>
      </x:c>
      <x:c r="L204" t="str">
        <x:f t="shared" si="3">IF(F204="Line",IF(AND(D204="",E204=""),"OK","CHECK"),IF(F204="Section",IF(AND(D204&gt;=1,D204&lt;=I204,E204=""),"OK","CHECK"),IF(F204="Cavity",IF(AND(D204&gt;=1,D204&lt;=I204,E204&gt;=1,E204&lt;=J204),"OK","CHECK"),"CHECK")))</x:f>
        <x:v>OK</x:v>
      </x:c>
      <x:c r="M204" t="n">
        <x:v>200</x:v>
      </x:c>
    </x:row>
    <x:row r="205">
      <x:c r="A205" t="s">
        <x:v>583</x:v>
      </x:c>
      <x:c r="B205" t="s">
        <x:v>146</x:v>
      </x:c>
      <x:c r="C205">
        <x:v>24</x:v>
      </x:c>
      <x:c r="D205">
        <x:v>11</x:v>
      </x:c>
      <x:c r="F205" t="s">
        <x:v>167</x:v>
      </x:c>
      <x:c r="G205" t="s">
        <x:v>584</x:v>
      </x:c>
      <x:c r="H205" t="s">
        <x:v>501</x:v>
      </x:c>
      <x:c r="I205">
        <x:v>13</x:v>
      </x:c>
      <x:c r="J205">
        <x:v>3</x:v>
      </x:c>
      <x:c r="K205">
        <x:v>1</x:v>
      </x:c>
      <x:c r="L205" t="str">
        <x:f t="shared" si="3">IF(F205="Line",IF(AND(D205="",E205=""),"OK","CHECK"),IF(F205="Section",IF(AND(D205&gt;=1,D205&lt;=I205,E205=""),"OK","CHECK"),IF(F205="Cavity",IF(AND(D205&gt;=1,D205&lt;=I205,E205&gt;=1,E205&lt;=J205),"OK","CHECK"),"CHECK")))</x:f>
        <x:v>OK</x:v>
      </x:c>
      <x:c r="M205" t="n">
        <x:v>201</x:v>
      </x:c>
    </x:row>
    <x:row r="206">
      <x:c r="A206" t="s">
        <x:v>585</x:v>
      </x:c>
      <x:c r="B206" t="s">
        <x:v>146</x:v>
      </x:c>
      <x:c r="C206">
        <x:v>24</x:v>
      </x:c>
      <x:c r="D206">
        <x:v>11</x:v>
      </x:c>
      <x:c r="E206">
        <x:v>1</x:v>
      </x:c>
      <x:c r="F206" t="s">
        <x:v>170</x:v>
      </x:c>
      <x:c r="G206" t="s">
        <x:v>586</x:v>
      </x:c>
      <x:c r="H206" t="s">
        <x:v>583</x:v>
      </x:c>
      <x:c r="I206">
        <x:v>13</x:v>
      </x:c>
      <x:c r="J206">
        <x:v>3</x:v>
      </x:c>
      <x:c r="K206">
        <x:v>1</x:v>
      </x:c>
      <x:c r="L206" t="str">
        <x:f t="shared" si="3">IF(F206="Line",IF(AND(D206="",E206=""),"OK","CHECK"),IF(F206="Section",IF(AND(D206&gt;=1,D206&lt;=I206,E206=""),"OK","CHECK"),IF(F206="Cavity",IF(AND(D206&gt;=1,D206&lt;=I206,E206&gt;=1,E206&lt;=J206),"OK","CHECK"),"CHECK")))</x:f>
        <x:v>OK</x:v>
      </x:c>
      <x:c r="M206" t="n">
        <x:v>202</x:v>
      </x:c>
    </x:row>
    <x:row r="207">
      <x:c r="A207" t="s">
        <x:v>587</x:v>
      </x:c>
      <x:c r="B207" t="s">
        <x:v>146</x:v>
      </x:c>
      <x:c r="C207">
        <x:v>24</x:v>
      </x:c>
      <x:c r="D207">
        <x:v>11</x:v>
      </x:c>
      <x:c r="E207">
        <x:v>2</x:v>
      </x:c>
      <x:c r="F207" t="s">
        <x:v>170</x:v>
      </x:c>
      <x:c r="G207" t="s">
        <x:v>588</x:v>
      </x:c>
      <x:c r="H207" t="s">
        <x:v>583</x:v>
      </x:c>
      <x:c r="I207">
        <x:v>13</x:v>
      </x:c>
      <x:c r="J207">
        <x:v>3</x:v>
      </x:c>
      <x:c r="K207">
        <x:v>1</x:v>
      </x:c>
      <x:c r="L207" t="str">
        <x:f t="shared" si="3">IF(F207="Line",IF(AND(D207="",E207=""),"OK","CHECK"),IF(F207="Section",IF(AND(D207&gt;=1,D207&lt;=I207,E207=""),"OK","CHECK"),IF(F207="Cavity",IF(AND(D207&gt;=1,D207&lt;=I207,E207&gt;=1,E207&lt;=J207),"OK","CHECK"),"CHECK")))</x:f>
        <x:v>OK</x:v>
      </x:c>
      <x:c r="M207" t="n">
        <x:v>203</x:v>
      </x:c>
    </x:row>
    <x:row r="208">
      <x:c r="A208" t="s">
        <x:v>589</x:v>
      </x:c>
      <x:c r="B208" t="s">
        <x:v>146</x:v>
      </x:c>
      <x:c r="C208">
        <x:v>24</x:v>
      </x:c>
      <x:c r="D208">
        <x:v>11</x:v>
      </x:c>
      <x:c r="E208">
        <x:v>3</x:v>
      </x:c>
      <x:c r="F208" t="s">
        <x:v>170</x:v>
      </x:c>
      <x:c r="G208" t="s">
        <x:v>590</x:v>
      </x:c>
      <x:c r="H208" t="s">
        <x:v>583</x:v>
      </x:c>
      <x:c r="I208">
        <x:v>13</x:v>
      </x:c>
      <x:c r="J208">
        <x:v>3</x:v>
      </x:c>
      <x:c r="K208">
        <x:v>1</x:v>
      </x:c>
      <x:c r="L208" t="str">
        <x:f t="shared" si="3">IF(F208="Line",IF(AND(D208="",E208=""),"OK","CHECK"),IF(F208="Section",IF(AND(D208&gt;=1,D208&lt;=I208,E208=""),"OK","CHECK"),IF(F208="Cavity",IF(AND(D208&gt;=1,D208&lt;=I208,E208&gt;=1,E208&lt;=J208),"OK","CHECK"),"CHECK")))</x:f>
        <x:v>OK</x:v>
      </x:c>
      <x:c r="M208" t="n">
        <x:v>204</x:v>
      </x:c>
    </x:row>
    <x:row r="209">
      <x:c r="A209" t="s">
        <x:v>591</x:v>
      </x:c>
      <x:c r="B209" t="s">
        <x:v>146</x:v>
      </x:c>
      <x:c r="C209">
        <x:v>24</x:v>
      </x:c>
      <x:c r="D209">
        <x:v>12</x:v>
      </x:c>
      <x:c r="F209" t="s">
        <x:v>167</x:v>
      </x:c>
      <x:c r="G209" t="s">
        <x:v>592</x:v>
      </x:c>
      <x:c r="H209" t="s">
        <x:v>501</x:v>
      </x:c>
      <x:c r="I209">
        <x:v>13</x:v>
      </x:c>
      <x:c r="J209">
        <x:v>3</x:v>
      </x:c>
      <x:c r="K209">
        <x:v>1</x:v>
      </x:c>
      <x:c r="L209" t="str">
        <x:f t="shared" si="3">IF(F209="Line",IF(AND(D209="",E209=""),"OK","CHECK"),IF(F209="Section",IF(AND(D209&gt;=1,D209&lt;=I209,E209=""),"OK","CHECK"),IF(F209="Cavity",IF(AND(D209&gt;=1,D209&lt;=I209,E209&gt;=1,E209&lt;=J209),"OK","CHECK"),"CHECK")))</x:f>
        <x:v>OK</x:v>
      </x:c>
      <x:c r="M209" t="n">
        <x:v>205</x:v>
      </x:c>
    </x:row>
    <x:row r="210">
      <x:c r="A210" t="s">
        <x:v>593</x:v>
      </x:c>
      <x:c r="B210" t="s">
        <x:v>146</x:v>
      </x:c>
      <x:c r="C210">
        <x:v>24</x:v>
      </x:c>
      <x:c r="D210">
        <x:v>12</x:v>
      </x:c>
      <x:c r="E210">
        <x:v>1</x:v>
      </x:c>
      <x:c r="F210" t="s">
        <x:v>170</x:v>
      </x:c>
      <x:c r="G210" t="s">
        <x:v>594</x:v>
      </x:c>
      <x:c r="H210" t="s">
        <x:v>591</x:v>
      </x:c>
      <x:c r="I210">
        <x:v>13</x:v>
      </x:c>
      <x:c r="J210">
        <x:v>3</x:v>
      </x:c>
      <x:c r="K210">
        <x:v>1</x:v>
      </x:c>
      <x:c r="L210" t="str">
        <x:f t="shared" si="3">IF(F210="Line",IF(AND(D210="",E210=""),"OK","CHECK"),IF(F210="Section",IF(AND(D210&gt;=1,D210&lt;=I210,E210=""),"OK","CHECK"),IF(F210="Cavity",IF(AND(D210&gt;=1,D210&lt;=I210,E210&gt;=1,E210&lt;=J210),"OK","CHECK"),"CHECK")))</x:f>
        <x:v>OK</x:v>
      </x:c>
      <x:c r="M210" t="n">
        <x:v>206</x:v>
      </x:c>
    </x:row>
    <x:row r="211">
      <x:c r="A211" t="s">
        <x:v>595</x:v>
      </x:c>
      <x:c r="B211" t="s">
        <x:v>146</x:v>
      </x:c>
      <x:c r="C211">
        <x:v>24</x:v>
      </x:c>
      <x:c r="D211">
        <x:v>12</x:v>
      </x:c>
      <x:c r="E211">
        <x:v>2</x:v>
      </x:c>
      <x:c r="F211" t="s">
        <x:v>170</x:v>
      </x:c>
      <x:c r="G211" t="s">
        <x:v>596</x:v>
      </x:c>
      <x:c r="H211" t="s">
        <x:v>591</x:v>
      </x:c>
      <x:c r="I211">
        <x:v>13</x:v>
      </x:c>
      <x:c r="J211">
        <x:v>3</x:v>
      </x:c>
      <x:c r="K211">
        <x:v>1</x:v>
      </x:c>
      <x:c r="L211" t="str">
        <x:f t="shared" si="3">IF(F211="Line",IF(AND(D211="",E211=""),"OK","CHECK"),IF(F211="Section",IF(AND(D211&gt;=1,D211&lt;=I211,E211=""),"OK","CHECK"),IF(F211="Cavity",IF(AND(D211&gt;=1,D211&lt;=I211,E211&gt;=1,E211&lt;=J211),"OK","CHECK"),"CHECK")))</x:f>
        <x:v>OK</x:v>
      </x:c>
      <x:c r="M211" t="n">
        <x:v>207</x:v>
      </x:c>
    </x:row>
    <x:row r="212">
      <x:c r="A212" t="s">
        <x:v>597</x:v>
      </x:c>
      <x:c r="B212" t="s">
        <x:v>146</x:v>
      </x:c>
      <x:c r="C212">
        <x:v>24</x:v>
      </x:c>
      <x:c r="D212">
        <x:v>12</x:v>
      </x:c>
      <x:c r="E212">
        <x:v>3</x:v>
      </x:c>
      <x:c r="F212" t="s">
        <x:v>170</x:v>
      </x:c>
      <x:c r="G212" t="s">
        <x:v>598</x:v>
      </x:c>
      <x:c r="H212" t="s">
        <x:v>591</x:v>
      </x:c>
      <x:c r="I212">
        <x:v>13</x:v>
      </x:c>
      <x:c r="J212">
        <x:v>3</x:v>
      </x:c>
      <x:c r="K212">
        <x:v>1</x:v>
      </x:c>
      <x:c r="L212" t="str">
        <x:f t="shared" si="3">IF(F212="Line",IF(AND(D212="",E212=""),"OK","CHECK"),IF(F212="Section",IF(AND(D212&gt;=1,D212&lt;=I212,E212=""),"OK","CHECK"),IF(F212="Cavity",IF(AND(D212&gt;=1,D212&lt;=I212,E212&gt;=1,E212&lt;=J212),"OK","CHECK"),"CHECK")))</x:f>
        <x:v>OK</x:v>
      </x:c>
      <x:c r="M212" t="n">
        <x:v>208</x:v>
      </x:c>
    </x:row>
    <x:row r="213">
      <x:c r="A213" t="s">
        <x:v>599</x:v>
      </x:c>
      <x:c r="B213" t="s">
        <x:v>146</x:v>
      </x:c>
      <x:c r="C213">
        <x:v>24</x:v>
      </x:c>
      <x:c r="D213">
        <x:v>13</x:v>
      </x:c>
      <x:c r="F213" t="s">
        <x:v>167</x:v>
      </x:c>
      <x:c r="G213" t="s">
        <x:v>600</x:v>
      </x:c>
      <x:c r="H213" t="s">
        <x:v>501</x:v>
      </x:c>
      <x:c r="I213">
        <x:v>13</x:v>
      </x:c>
      <x:c r="J213">
        <x:v>3</x:v>
      </x:c>
      <x:c r="K213">
        <x:v>1</x:v>
      </x:c>
      <x:c r="L213" t="str">
        <x:f t="shared" si="3">IF(F213="Line",IF(AND(D213="",E213=""),"OK","CHECK"),IF(F213="Section",IF(AND(D213&gt;=1,D213&lt;=I213,E213=""),"OK","CHECK"),IF(F213="Cavity",IF(AND(D213&gt;=1,D213&lt;=I213,E213&gt;=1,E213&lt;=J213),"OK","CHECK"),"CHECK")))</x:f>
        <x:v>OK</x:v>
      </x:c>
      <x:c r="M213" t="n">
        <x:v>209</x:v>
      </x:c>
    </x:row>
    <x:row r="214">
      <x:c r="A214" t="s">
        <x:v>601</x:v>
      </x:c>
      <x:c r="B214" t="s">
        <x:v>146</x:v>
      </x:c>
      <x:c r="C214">
        <x:v>24</x:v>
      </x:c>
      <x:c r="D214">
        <x:v>13</x:v>
      </x:c>
      <x:c r="E214">
        <x:v>1</x:v>
      </x:c>
      <x:c r="F214" t="s">
        <x:v>170</x:v>
      </x:c>
      <x:c r="G214" t="s">
        <x:v>602</x:v>
      </x:c>
      <x:c r="H214" t="s">
        <x:v>599</x:v>
      </x:c>
      <x:c r="I214">
        <x:v>13</x:v>
      </x:c>
      <x:c r="J214">
        <x:v>3</x:v>
      </x:c>
      <x:c r="K214">
        <x:v>1</x:v>
      </x:c>
      <x:c r="L214" t="str">
        <x:f t="shared" si="3">IF(F214="Line",IF(AND(D214="",E214=""),"OK","CHECK"),IF(F214="Section",IF(AND(D214&gt;=1,D214&lt;=I214,E214=""),"OK","CHECK"),IF(F214="Cavity",IF(AND(D214&gt;=1,D214&lt;=I214,E214&gt;=1,E214&lt;=J214),"OK","CHECK"),"CHECK")))</x:f>
        <x:v>OK</x:v>
      </x:c>
      <x:c r="M214" t="n">
        <x:v>210</x:v>
      </x:c>
    </x:row>
    <x:row r="215">
      <x:c r="A215" t="s">
        <x:v>603</x:v>
      </x:c>
      <x:c r="B215" t="s">
        <x:v>146</x:v>
      </x:c>
      <x:c r="C215">
        <x:v>24</x:v>
      </x:c>
      <x:c r="D215">
        <x:v>13</x:v>
      </x:c>
      <x:c r="E215">
        <x:v>2</x:v>
      </x:c>
      <x:c r="F215" t="s">
        <x:v>170</x:v>
      </x:c>
      <x:c r="G215" t="s">
        <x:v>604</x:v>
      </x:c>
      <x:c r="H215" t="s">
        <x:v>599</x:v>
      </x:c>
      <x:c r="I215">
        <x:v>13</x:v>
      </x:c>
      <x:c r="J215">
        <x:v>3</x:v>
      </x:c>
      <x:c r="K215">
        <x:v>1</x:v>
      </x:c>
      <x:c r="L215" t="str">
        <x:f t="shared" si="3">IF(F215="Line",IF(AND(D215="",E215=""),"OK","CHECK"),IF(F215="Section",IF(AND(D215&gt;=1,D215&lt;=I215,E215=""),"OK","CHECK"),IF(F215="Cavity",IF(AND(D215&gt;=1,D215&lt;=I215,E215&gt;=1,E215&lt;=J215),"OK","CHECK"),"CHECK")))</x:f>
        <x:v>OK</x:v>
      </x:c>
      <x:c r="M215" t="n">
        <x:v>211</x:v>
      </x:c>
    </x:row>
    <x:row r="216">
      <x:c r="A216" t="s">
        <x:v>605</x:v>
      </x:c>
      <x:c r="B216" t="s">
        <x:v>146</x:v>
      </x:c>
      <x:c r="C216">
        <x:v>24</x:v>
      </x:c>
      <x:c r="D216">
        <x:v>13</x:v>
      </x:c>
      <x:c r="E216">
        <x:v>3</x:v>
      </x:c>
      <x:c r="F216" t="s">
        <x:v>170</x:v>
      </x:c>
      <x:c r="G216" t="s">
        <x:v>606</x:v>
      </x:c>
      <x:c r="H216" t="s">
        <x:v>599</x:v>
      </x:c>
      <x:c r="I216">
        <x:v>13</x:v>
      </x:c>
      <x:c r="J216">
        <x:v>3</x:v>
      </x:c>
      <x:c r="K216">
        <x:v>1</x:v>
      </x:c>
      <x:c r="L216" t="str">
        <x:f t="shared" si="3">IF(F216="Line",IF(AND(D216="",E216=""),"OK","CHECK"),IF(F216="Section",IF(AND(D216&gt;=1,D216&lt;=I216,E216=""),"OK","CHECK"),IF(F216="Cavity",IF(AND(D216&gt;=1,D216&lt;=I216,E216&gt;=1,E216&lt;=J216),"OK","CHECK"),"CHECK")))</x:f>
        <x:v>OK</x:v>
      </x:c>
      <x:c r="M216" t="n">
        <x:v>212</x:v>
      </x:c>
    </x:row>
    <x:row r="217">
      <x:c r="A217" t="s">
        <x:v>607</x:v>
      </x:c>
      <x:c r="B217" t="s">
        <x:v>146</x:v>
      </x:c>
      <x:c r="C217">
        <x:v>25</x:v>
      </x:c>
      <x:c r="F217" t="s">
        <x:v>164</x:v>
      </x:c>
      <x:c r="G217" t="s">
        <x:v>608</x:v>
      </x:c>
      <x:c r="I217">
        <x:v>13</x:v>
      </x:c>
      <x:c r="J217">
        <x:v>3</x:v>
      </x:c>
      <x:c r="K217">
        <x:v>1</x:v>
      </x:c>
      <x:c r="L217" t="str">
        <x:f t="shared" si="3">IF(F217="Line",IF(AND(D217="",E217=""),"OK","CHECK"),IF(F217="Section",IF(AND(D217&gt;=1,D217&lt;=I217,E217=""),"OK","CHECK"),IF(F217="Cavity",IF(AND(D217&gt;=1,D217&lt;=I217,E217&gt;=1,E217&lt;=J217),"OK","CHECK"),"CHECK")))</x:f>
        <x:v>OK</x:v>
      </x:c>
      <x:c r="M217" t="n">
        <x:v>213</x:v>
      </x:c>
    </x:row>
    <x:row r="218">
      <x:c r="A218" t="s">
        <x:v>609</x:v>
      </x:c>
      <x:c r="B218" t="s">
        <x:v>146</x:v>
      </x:c>
      <x:c r="C218">
        <x:v>25</x:v>
      </x:c>
      <x:c r="D218">
        <x:v>1</x:v>
      </x:c>
      <x:c r="F218" t="s">
        <x:v>167</x:v>
      </x:c>
      <x:c r="G218" t="s">
        <x:v>610</x:v>
      </x:c>
      <x:c r="H218" t="s">
        <x:v>607</x:v>
      </x:c>
      <x:c r="I218">
        <x:v>13</x:v>
      </x:c>
      <x:c r="J218">
        <x:v>3</x:v>
      </x:c>
      <x:c r="K218">
        <x:v>1</x:v>
      </x:c>
      <x:c r="L218" t="str">
        <x:f t="shared" si="3">IF(F218="Line",IF(AND(D218="",E218=""),"OK","CHECK"),IF(F218="Section",IF(AND(D218&gt;=1,D218&lt;=I218,E218=""),"OK","CHECK"),IF(F218="Cavity",IF(AND(D218&gt;=1,D218&lt;=I218,E218&gt;=1,E218&lt;=J218),"OK","CHECK"),"CHECK")))</x:f>
        <x:v>OK</x:v>
      </x:c>
      <x:c r="M218" t="n">
        <x:v>214</x:v>
      </x:c>
    </x:row>
    <x:row r="219">
      <x:c r="A219" t="s">
        <x:v>611</x:v>
      </x:c>
      <x:c r="B219" t="s">
        <x:v>146</x:v>
      </x:c>
      <x:c r="C219">
        <x:v>25</x:v>
      </x:c>
      <x:c r="D219">
        <x:v>1</x:v>
      </x:c>
      <x:c r="E219">
        <x:v>1</x:v>
      </x:c>
      <x:c r="F219" t="s">
        <x:v>170</x:v>
      </x:c>
      <x:c r="G219" t="s">
        <x:v>612</x:v>
      </x:c>
      <x:c r="H219" t="s">
        <x:v>609</x:v>
      </x:c>
      <x:c r="I219">
        <x:v>13</x:v>
      </x:c>
      <x:c r="J219">
        <x:v>3</x:v>
      </x:c>
      <x:c r="K219">
        <x:v>1</x:v>
      </x:c>
      <x:c r="L219" t="str">
        <x:f t="shared" si="3">IF(F219="Line",IF(AND(D219="",E219=""),"OK","CHECK"),IF(F219="Section",IF(AND(D219&gt;=1,D219&lt;=I219,E219=""),"OK","CHECK"),IF(F219="Cavity",IF(AND(D219&gt;=1,D219&lt;=I219,E219&gt;=1,E219&lt;=J219),"OK","CHECK"),"CHECK")))</x:f>
        <x:v>OK</x:v>
      </x:c>
      <x:c r="M219" t="n">
        <x:v>215</x:v>
      </x:c>
    </x:row>
    <x:row r="220">
      <x:c r="A220" t="s">
        <x:v>613</x:v>
      </x:c>
      <x:c r="B220" t="s">
        <x:v>146</x:v>
      </x:c>
      <x:c r="C220">
        <x:v>25</x:v>
      </x:c>
      <x:c r="D220">
        <x:v>1</x:v>
      </x:c>
      <x:c r="E220">
        <x:v>2</x:v>
      </x:c>
      <x:c r="F220" t="s">
        <x:v>170</x:v>
      </x:c>
      <x:c r="G220" t="s">
        <x:v>614</x:v>
      </x:c>
      <x:c r="H220" t="s">
        <x:v>609</x:v>
      </x:c>
      <x:c r="I220">
        <x:v>13</x:v>
      </x:c>
      <x:c r="J220">
        <x:v>3</x:v>
      </x:c>
      <x:c r="K220">
        <x:v>1</x:v>
      </x:c>
      <x:c r="L220" t="str">
        <x:f t="shared" si="3">IF(F220="Line",IF(AND(D220="",E220=""),"OK","CHECK"),IF(F220="Section",IF(AND(D220&gt;=1,D220&lt;=I220,E220=""),"OK","CHECK"),IF(F220="Cavity",IF(AND(D220&gt;=1,D220&lt;=I220,E220&gt;=1,E220&lt;=J220),"OK","CHECK"),"CHECK")))</x:f>
        <x:v>OK</x:v>
      </x:c>
      <x:c r="M220" t="n">
        <x:v>216</x:v>
      </x:c>
    </x:row>
    <x:row r="221">
      <x:c r="A221" t="s">
        <x:v>615</x:v>
      </x:c>
      <x:c r="B221" t="s">
        <x:v>146</x:v>
      </x:c>
      <x:c r="C221">
        <x:v>25</x:v>
      </x:c>
      <x:c r="D221">
        <x:v>1</x:v>
      </x:c>
      <x:c r="E221">
        <x:v>3</x:v>
      </x:c>
      <x:c r="F221" t="s">
        <x:v>170</x:v>
      </x:c>
      <x:c r="G221" t="s">
        <x:v>616</x:v>
      </x:c>
      <x:c r="H221" t="s">
        <x:v>609</x:v>
      </x:c>
      <x:c r="I221">
        <x:v>13</x:v>
      </x:c>
      <x:c r="J221">
        <x:v>3</x:v>
      </x:c>
      <x:c r="K221">
        <x:v>1</x:v>
      </x:c>
      <x:c r="L221" t="str">
        <x:f t="shared" si="3">IF(F221="Line",IF(AND(D221="",E221=""),"OK","CHECK"),IF(F221="Section",IF(AND(D221&gt;=1,D221&lt;=I221,E221=""),"OK","CHECK"),IF(F221="Cavity",IF(AND(D221&gt;=1,D221&lt;=I221,E221&gt;=1,E221&lt;=J221),"OK","CHECK"),"CHECK")))</x:f>
        <x:v>OK</x:v>
      </x:c>
      <x:c r="M221" t="n">
        <x:v>217</x:v>
      </x:c>
    </x:row>
    <x:row r="222">
      <x:c r="A222" t="s">
        <x:v>617</x:v>
      </x:c>
      <x:c r="B222" t="s">
        <x:v>146</x:v>
      </x:c>
      <x:c r="C222">
        <x:v>25</x:v>
      </x:c>
      <x:c r="D222">
        <x:v>2</x:v>
      </x:c>
      <x:c r="F222" t="s">
        <x:v>167</x:v>
      </x:c>
      <x:c r="G222" t="s">
        <x:v>618</x:v>
      </x:c>
      <x:c r="H222" t="s">
        <x:v>607</x:v>
      </x:c>
      <x:c r="I222">
        <x:v>13</x:v>
      </x:c>
      <x:c r="J222">
        <x:v>3</x:v>
      </x:c>
      <x:c r="K222">
        <x:v>1</x:v>
      </x:c>
      <x:c r="L222" t="str">
        <x:f t="shared" si="3">IF(F222="Line",IF(AND(D222="",E222=""),"OK","CHECK"),IF(F222="Section",IF(AND(D222&gt;=1,D222&lt;=I222,E222=""),"OK","CHECK"),IF(F222="Cavity",IF(AND(D222&gt;=1,D222&lt;=I222,E222&gt;=1,E222&lt;=J222),"OK","CHECK"),"CHECK")))</x:f>
        <x:v>OK</x:v>
      </x:c>
      <x:c r="M222" t="n">
        <x:v>218</x:v>
      </x:c>
    </x:row>
    <x:row r="223">
      <x:c r="A223" t="s">
        <x:v>619</x:v>
      </x:c>
      <x:c r="B223" t="s">
        <x:v>146</x:v>
      </x:c>
      <x:c r="C223">
        <x:v>25</x:v>
      </x:c>
      <x:c r="D223">
        <x:v>2</x:v>
      </x:c>
      <x:c r="E223">
        <x:v>1</x:v>
      </x:c>
      <x:c r="F223" t="s">
        <x:v>170</x:v>
      </x:c>
      <x:c r="G223" t="s">
        <x:v>620</x:v>
      </x:c>
      <x:c r="H223" t="s">
        <x:v>617</x:v>
      </x:c>
      <x:c r="I223">
        <x:v>13</x:v>
      </x:c>
      <x:c r="J223">
        <x:v>3</x:v>
      </x:c>
      <x:c r="K223">
        <x:v>1</x:v>
      </x:c>
      <x:c r="L223" t="str">
        <x:f t="shared" si="3">IF(F223="Line",IF(AND(D223="",E223=""),"OK","CHECK"),IF(F223="Section",IF(AND(D223&gt;=1,D223&lt;=I223,E223=""),"OK","CHECK"),IF(F223="Cavity",IF(AND(D223&gt;=1,D223&lt;=I223,E223&gt;=1,E223&lt;=J223),"OK","CHECK"),"CHECK")))</x:f>
        <x:v>OK</x:v>
      </x:c>
      <x:c r="M223" t="n">
        <x:v>219</x:v>
      </x:c>
    </x:row>
    <x:row r="224">
      <x:c r="A224" t="s">
        <x:v>621</x:v>
      </x:c>
      <x:c r="B224" t="s">
        <x:v>146</x:v>
      </x:c>
      <x:c r="C224">
        <x:v>25</x:v>
      </x:c>
      <x:c r="D224">
        <x:v>2</x:v>
      </x:c>
      <x:c r="E224">
        <x:v>2</x:v>
      </x:c>
      <x:c r="F224" t="s">
        <x:v>170</x:v>
      </x:c>
      <x:c r="G224" t="s">
        <x:v>622</x:v>
      </x:c>
      <x:c r="H224" t="s">
        <x:v>617</x:v>
      </x:c>
      <x:c r="I224">
        <x:v>13</x:v>
      </x:c>
      <x:c r="J224">
        <x:v>3</x:v>
      </x:c>
      <x:c r="K224">
        <x:v>1</x:v>
      </x:c>
      <x:c r="L224" t="str">
        <x:f t="shared" si="3">IF(F224="Line",IF(AND(D224="",E224=""),"OK","CHECK"),IF(F224="Section",IF(AND(D224&gt;=1,D224&lt;=I224,E224=""),"OK","CHECK"),IF(F224="Cavity",IF(AND(D224&gt;=1,D224&lt;=I224,E224&gt;=1,E224&lt;=J224),"OK","CHECK"),"CHECK")))</x:f>
        <x:v>OK</x:v>
      </x:c>
      <x:c r="M224" t="n">
        <x:v>220</x:v>
      </x:c>
    </x:row>
    <x:row r="225">
      <x:c r="A225" t="s">
        <x:v>623</x:v>
      </x:c>
      <x:c r="B225" t="s">
        <x:v>146</x:v>
      </x:c>
      <x:c r="C225">
        <x:v>25</x:v>
      </x:c>
      <x:c r="D225">
        <x:v>2</x:v>
      </x:c>
      <x:c r="E225">
        <x:v>3</x:v>
      </x:c>
      <x:c r="F225" t="s">
        <x:v>170</x:v>
      </x:c>
      <x:c r="G225" t="s">
        <x:v>624</x:v>
      </x:c>
      <x:c r="H225" t="s">
        <x:v>617</x:v>
      </x:c>
      <x:c r="I225">
        <x:v>13</x:v>
      </x:c>
      <x:c r="J225">
        <x:v>3</x:v>
      </x:c>
      <x:c r="K225">
        <x:v>1</x:v>
      </x:c>
      <x:c r="L225" t="str">
        <x:f t="shared" si="3">IF(F225="Line",IF(AND(D225="",E225=""),"OK","CHECK"),IF(F225="Section",IF(AND(D225&gt;=1,D225&lt;=I225,E225=""),"OK","CHECK"),IF(F225="Cavity",IF(AND(D225&gt;=1,D225&lt;=I225,E225&gt;=1,E225&lt;=J225),"OK","CHECK"),"CHECK")))</x:f>
        <x:v>OK</x:v>
      </x:c>
      <x:c r="M225" t="n">
        <x:v>221</x:v>
      </x:c>
    </x:row>
    <x:row r="226">
      <x:c r="A226" t="s">
        <x:v>625</x:v>
      </x:c>
      <x:c r="B226" t="s">
        <x:v>146</x:v>
      </x:c>
      <x:c r="C226">
        <x:v>25</x:v>
      </x:c>
      <x:c r="D226">
        <x:v>3</x:v>
      </x:c>
      <x:c r="F226" t="s">
        <x:v>167</x:v>
      </x:c>
      <x:c r="G226" t="s">
        <x:v>626</x:v>
      </x:c>
      <x:c r="H226" t="s">
        <x:v>607</x:v>
      </x:c>
      <x:c r="I226">
        <x:v>13</x:v>
      </x:c>
      <x:c r="J226">
        <x:v>3</x:v>
      </x:c>
      <x:c r="K226">
        <x:v>1</x:v>
      </x:c>
      <x:c r="L226" t="str">
        <x:f t="shared" si="3">IF(F226="Line",IF(AND(D226="",E226=""),"OK","CHECK"),IF(F226="Section",IF(AND(D226&gt;=1,D226&lt;=I226,E226=""),"OK","CHECK"),IF(F226="Cavity",IF(AND(D226&gt;=1,D226&lt;=I226,E226&gt;=1,E226&lt;=J226),"OK","CHECK"),"CHECK")))</x:f>
        <x:v>OK</x:v>
      </x:c>
      <x:c r="M226" t="n">
        <x:v>222</x:v>
      </x:c>
    </x:row>
    <x:row r="227">
      <x:c r="A227" t="s">
        <x:v>627</x:v>
      </x:c>
      <x:c r="B227" t="s">
        <x:v>146</x:v>
      </x:c>
      <x:c r="C227">
        <x:v>25</x:v>
      </x:c>
      <x:c r="D227">
        <x:v>3</x:v>
      </x:c>
      <x:c r="E227">
        <x:v>1</x:v>
      </x:c>
      <x:c r="F227" t="s">
        <x:v>170</x:v>
      </x:c>
      <x:c r="G227" t="s">
        <x:v>628</x:v>
      </x:c>
      <x:c r="H227" t="s">
        <x:v>625</x:v>
      </x:c>
      <x:c r="I227">
        <x:v>13</x:v>
      </x:c>
      <x:c r="J227">
        <x:v>3</x:v>
      </x:c>
      <x:c r="K227">
        <x:v>1</x:v>
      </x:c>
      <x:c r="L227" t="str">
        <x:f t="shared" si="3">IF(F227="Line",IF(AND(D227="",E227=""),"OK","CHECK"),IF(F227="Section",IF(AND(D227&gt;=1,D227&lt;=I227,E227=""),"OK","CHECK"),IF(F227="Cavity",IF(AND(D227&gt;=1,D227&lt;=I227,E227&gt;=1,E227&lt;=J227),"OK","CHECK"),"CHECK")))</x:f>
        <x:v>OK</x:v>
      </x:c>
      <x:c r="M227" t="n">
        <x:v>223</x:v>
      </x:c>
    </x:row>
    <x:row r="228">
      <x:c r="A228" t="s">
        <x:v>629</x:v>
      </x:c>
      <x:c r="B228" t="s">
        <x:v>146</x:v>
      </x:c>
      <x:c r="C228">
        <x:v>25</x:v>
      </x:c>
      <x:c r="D228">
        <x:v>3</x:v>
      </x:c>
      <x:c r="E228">
        <x:v>2</x:v>
      </x:c>
      <x:c r="F228" t="s">
        <x:v>170</x:v>
      </x:c>
      <x:c r="G228" t="s">
        <x:v>630</x:v>
      </x:c>
      <x:c r="H228" t="s">
        <x:v>625</x:v>
      </x:c>
      <x:c r="I228">
        <x:v>13</x:v>
      </x:c>
      <x:c r="J228">
        <x:v>3</x:v>
      </x:c>
      <x:c r="K228">
        <x:v>1</x:v>
      </x:c>
      <x:c r="L228" t="str">
        <x:f t="shared" si="3">IF(F228="Line",IF(AND(D228="",E228=""),"OK","CHECK"),IF(F228="Section",IF(AND(D228&gt;=1,D228&lt;=I228,E228=""),"OK","CHECK"),IF(F228="Cavity",IF(AND(D228&gt;=1,D228&lt;=I228,E228&gt;=1,E228&lt;=J228),"OK","CHECK"),"CHECK")))</x:f>
        <x:v>OK</x:v>
      </x:c>
      <x:c r="M228" t="n">
        <x:v>224</x:v>
      </x:c>
    </x:row>
    <x:row r="229">
      <x:c r="A229" t="s">
        <x:v>631</x:v>
      </x:c>
      <x:c r="B229" t="s">
        <x:v>146</x:v>
      </x:c>
      <x:c r="C229">
        <x:v>25</x:v>
      </x:c>
      <x:c r="D229">
        <x:v>3</x:v>
      </x:c>
      <x:c r="E229">
        <x:v>3</x:v>
      </x:c>
      <x:c r="F229" t="s">
        <x:v>170</x:v>
      </x:c>
      <x:c r="G229" t="s">
        <x:v>632</x:v>
      </x:c>
      <x:c r="H229" t="s">
        <x:v>625</x:v>
      </x:c>
      <x:c r="I229">
        <x:v>13</x:v>
      </x:c>
      <x:c r="J229">
        <x:v>3</x:v>
      </x:c>
      <x:c r="K229">
        <x:v>1</x:v>
      </x:c>
      <x:c r="L229" t="str">
        <x:f t="shared" si="3">IF(F229="Line",IF(AND(D229="",E229=""),"OK","CHECK"),IF(F229="Section",IF(AND(D229&gt;=1,D229&lt;=I229,E229=""),"OK","CHECK"),IF(F229="Cavity",IF(AND(D229&gt;=1,D229&lt;=I229,E229&gt;=1,E229&lt;=J229),"OK","CHECK"),"CHECK")))</x:f>
        <x:v>OK</x:v>
      </x:c>
      <x:c r="M229" t="n">
        <x:v>225</x:v>
      </x:c>
    </x:row>
    <x:row r="230">
      <x:c r="A230" t="s">
        <x:v>633</x:v>
      </x:c>
      <x:c r="B230" t="s">
        <x:v>146</x:v>
      </x:c>
      <x:c r="C230">
        <x:v>25</x:v>
      </x:c>
      <x:c r="D230">
        <x:v>4</x:v>
      </x:c>
      <x:c r="F230" t="s">
        <x:v>167</x:v>
      </x:c>
      <x:c r="G230" t="s">
        <x:v>634</x:v>
      </x:c>
      <x:c r="H230" t="s">
        <x:v>607</x:v>
      </x:c>
      <x:c r="I230">
        <x:v>13</x:v>
      </x:c>
      <x:c r="J230">
        <x:v>3</x:v>
      </x:c>
      <x:c r="K230">
        <x:v>1</x:v>
      </x:c>
      <x:c r="L230" t="str">
        <x:f t="shared" si="3">IF(F230="Line",IF(AND(D230="",E230=""),"OK","CHECK"),IF(F230="Section",IF(AND(D230&gt;=1,D230&lt;=I230,E230=""),"OK","CHECK"),IF(F230="Cavity",IF(AND(D230&gt;=1,D230&lt;=I230,E230&gt;=1,E230&lt;=J230),"OK","CHECK"),"CHECK")))</x:f>
        <x:v>OK</x:v>
      </x:c>
      <x:c r="M230" t="n">
        <x:v>226</x:v>
      </x:c>
    </x:row>
    <x:row r="231">
      <x:c r="A231" t="s">
        <x:v>635</x:v>
      </x:c>
      <x:c r="B231" t="s">
        <x:v>146</x:v>
      </x:c>
      <x:c r="C231">
        <x:v>25</x:v>
      </x:c>
      <x:c r="D231">
        <x:v>4</x:v>
      </x:c>
      <x:c r="E231">
        <x:v>1</x:v>
      </x:c>
      <x:c r="F231" t="s">
        <x:v>170</x:v>
      </x:c>
      <x:c r="G231" t="s">
        <x:v>636</x:v>
      </x:c>
      <x:c r="H231" t="s">
        <x:v>633</x:v>
      </x:c>
      <x:c r="I231">
        <x:v>13</x:v>
      </x:c>
      <x:c r="J231">
        <x:v>3</x:v>
      </x:c>
      <x:c r="K231">
        <x:v>1</x:v>
      </x:c>
      <x:c r="L231" t="str">
        <x:f t="shared" si="3">IF(F231="Line",IF(AND(D231="",E231=""),"OK","CHECK"),IF(F231="Section",IF(AND(D231&gt;=1,D231&lt;=I231,E231=""),"OK","CHECK"),IF(F231="Cavity",IF(AND(D231&gt;=1,D231&lt;=I231,E231&gt;=1,E231&lt;=J231),"OK","CHECK"),"CHECK")))</x:f>
        <x:v>OK</x:v>
      </x:c>
      <x:c r="M231" t="n">
        <x:v>227</x:v>
      </x:c>
    </x:row>
    <x:row r="232">
      <x:c r="A232" t="s">
        <x:v>637</x:v>
      </x:c>
      <x:c r="B232" t="s">
        <x:v>146</x:v>
      </x:c>
      <x:c r="C232">
        <x:v>25</x:v>
      </x:c>
      <x:c r="D232">
        <x:v>4</x:v>
      </x:c>
      <x:c r="E232">
        <x:v>2</x:v>
      </x:c>
      <x:c r="F232" t="s">
        <x:v>170</x:v>
      </x:c>
      <x:c r="G232" t="s">
        <x:v>638</x:v>
      </x:c>
      <x:c r="H232" t="s">
        <x:v>633</x:v>
      </x:c>
      <x:c r="I232">
        <x:v>13</x:v>
      </x:c>
      <x:c r="J232">
        <x:v>3</x:v>
      </x:c>
      <x:c r="K232">
        <x:v>1</x:v>
      </x:c>
      <x:c r="L232" t="str">
        <x:f t="shared" si="3">IF(F232="Line",IF(AND(D232="",E232=""),"OK","CHECK"),IF(F232="Section",IF(AND(D232&gt;=1,D232&lt;=I232,E232=""),"OK","CHECK"),IF(F232="Cavity",IF(AND(D232&gt;=1,D232&lt;=I232,E232&gt;=1,E232&lt;=J232),"OK","CHECK"),"CHECK")))</x:f>
        <x:v>OK</x:v>
      </x:c>
      <x:c r="M232" t="n">
        <x:v>228</x:v>
      </x:c>
    </x:row>
    <x:row r="233">
      <x:c r="A233" t="s">
        <x:v>639</x:v>
      </x:c>
      <x:c r="B233" t="s">
        <x:v>146</x:v>
      </x:c>
      <x:c r="C233">
        <x:v>25</x:v>
      </x:c>
      <x:c r="D233">
        <x:v>4</x:v>
      </x:c>
      <x:c r="E233">
        <x:v>3</x:v>
      </x:c>
      <x:c r="F233" t="s">
        <x:v>170</x:v>
      </x:c>
      <x:c r="G233" t="s">
        <x:v>640</x:v>
      </x:c>
      <x:c r="H233" t="s">
        <x:v>633</x:v>
      </x:c>
      <x:c r="I233">
        <x:v>13</x:v>
      </x:c>
      <x:c r="J233">
        <x:v>3</x:v>
      </x:c>
      <x:c r="K233">
        <x:v>1</x:v>
      </x:c>
      <x:c r="L233" t="str">
        <x:f t="shared" si="3">IF(F233="Line",IF(AND(D233="",E233=""),"OK","CHECK"),IF(F233="Section",IF(AND(D233&gt;=1,D233&lt;=I233,E233=""),"OK","CHECK"),IF(F233="Cavity",IF(AND(D233&gt;=1,D233&lt;=I233,E233&gt;=1,E233&lt;=J233),"OK","CHECK"),"CHECK")))</x:f>
        <x:v>OK</x:v>
      </x:c>
      <x:c r="M233" t="n">
        <x:v>229</x:v>
      </x:c>
    </x:row>
    <x:row r="234">
      <x:c r="A234" t="s">
        <x:v>641</x:v>
      </x:c>
      <x:c r="B234" t="s">
        <x:v>146</x:v>
      </x:c>
      <x:c r="C234">
        <x:v>25</x:v>
      </x:c>
      <x:c r="D234">
        <x:v>5</x:v>
      </x:c>
      <x:c r="F234" t="s">
        <x:v>167</x:v>
      </x:c>
      <x:c r="G234" t="s">
        <x:v>642</x:v>
      </x:c>
      <x:c r="H234" t="s">
        <x:v>607</x:v>
      </x:c>
      <x:c r="I234">
        <x:v>13</x:v>
      </x:c>
      <x:c r="J234">
        <x:v>3</x:v>
      </x:c>
      <x:c r="K234">
        <x:v>1</x:v>
      </x:c>
      <x:c r="L234" t="str">
        <x:f t="shared" si="3">IF(F234="Line",IF(AND(D234="",E234=""),"OK","CHECK"),IF(F234="Section",IF(AND(D234&gt;=1,D234&lt;=I234,E234=""),"OK","CHECK"),IF(F234="Cavity",IF(AND(D234&gt;=1,D234&lt;=I234,E234&gt;=1,E234&lt;=J234),"OK","CHECK"),"CHECK")))</x:f>
        <x:v>OK</x:v>
      </x:c>
      <x:c r="M234" t="n">
        <x:v>230</x:v>
      </x:c>
    </x:row>
    <x:row r="235">
      <x:c r="A235" t="s">
        <x:v>643</x:v>
      </x:c>
      <x:c r="B235" t="s">
        <x:v>146</x:v>
      </x:c>
      <x:c r="C235">
        <x:v>25</x:v>
      </x:c>
      <x:c r="D235">
        <x:v>5</x:v>
      </x:c>
      <x:c r="E235">
        <x:v>1</x:v>
      </x:c>
      <x:c r="F235" t="s">
        <x:v>170</x:v>
      </x:c>
      <x:c r="G235" t="s">
        <x:v>644</x:v>
      </x:c>
      <x:c r="H235" t="s">
        <x:v>641</x:v>
      </x:c>
      <x:c r="I235">
        <x:v>13</x:v>
      </x:c>
      <x:c r="J235">
        <x:v>3</x:v>
      </x:c>
      <x:c r="K235">
        <x:v>1</x:v>
      </x:c>
      <x:c r="L235" t="str">
        <x:f t="shared" si="3">IF(F235="Line",IF(AND(D235="",E235=""),"OK","CHECK"),IF(F235="Section",IF(AND(D235&gt;=1,D235&lt;=I235,E235=""),"OK","CHECK"),IF(F235="Cavity",IF(AND(D235&gt;=1,D235&lt;=I235,E235&gt;=1,E235&lt;=J235),"OK","CHECK"),"CHECK")))</x:f>
        <x:v>OK</x:v>
      </x:c>
      <x:c r="M235" t="n">
        <x:v>231</x:v>
      </x:c>
    </x:row>
    <x:row r="236">
      <x:c r="A236" t="s">
        <x:v>645</x:v>
      </x:c>
      <x:c r="B236" t="s">
        <x:v>146</x:v>
      </x:c>
      <x:c r="C236">
        <x:v>25</x:v>
      </x:c>
      <x:c r="D236">
        <x:v>5</x:v>
      </x:c>
      <x:c r="E236">
        <x:v>2</x:v>
      </x:c>
      <x:c r="F236" t="s">
        <x:v>170</x:v>
      </x:c>
      <x:c r="G236" t="s">
        <x:v>646</x:v>
      </x:c>
      <x:c r="H236" t="s">
        <x:v>641</x:v>
      </x:c>
      <x:c r="I236">
        <x:v>13</x:v>
      </x:c>
      <x:c r="J236">
        <x:v>3</x:v>
      </x:c>
      <x:c r="K236">
        <x:v>1</x:v>
      </x:c>
      <x:c r="L236" t="str">
        <x:f t="shared" si="3">IF(F236="Line",IF(AND(D236="",E236=""),"OK","CHECK"),IF(F236="Section",IF(AND(D236&gt;=1,D236&lt;=I236,E236=""),"OK","CHECK"),IF(F236="Cavity",IF(AND(D236&gt;=1,D236&lt;=I236,E236&gt;=1,E236&lt;=J236),"OK","CHECK"),"CHECK")))</x:f>
        <x:v>OK</x:v>
      </x:c>
      <x:c r="M236" t="n">
        <x:v>232</x:v>
      </x:c>
    </x:row>
    <x:row r="237">
      <x:c r="A237" t="s">
        <x:v>647</x:v>
      </x:c>
      <x:c r="B237" t="s">
        <x:v>146</x:v>
      </x:c>
      <x:c r="C237">
        <x:v>25</x:v>
      </x:c>
      <x:c r="D237">
        <x:v>5</x:v>
      </x:c>
      <x:c r="E237">
        <x:v>3</x:v>
      </x:c>
      <x:c r="F237" t="s">
        <x:v>170</x:v>
      </x:c>
      <x:c r="G237" t="s">
        <x:v>648</x:v>
      </x:c>
      <x:c r="H237" t="s">
        <x:v>641</x:v>
      </x:c>
      <x:c r="I237">
        <x:v>13</x:v>
      </x:c>
      <x:c r="J237">
        <x:v>3</x:v>
      </x:c>
      <x:c r="K237">
        <x:v>1</x:v>
      </x:c>
      <x:c r="L237" t="str">
        <x:f t="shared" si="3">IF(F237="Line",IF(AND(D237="",E237=""),"OK","CHECK"),IF(F237="Section",IF(AND(D237&gt;=1,D237&lt;=I237,E237=""),"OK","CHECK"),IF(F237="Cavity",IF(AND(D237&gt;=1,D237&lt;=I237,E237&gt;=1,E237&lt;=J237),"OK","CHECK"),"CHECK")))</x:f>
        <x:v>OK</x:v>
      </x:c>
      <x:c r="M237" t="n">
        <x:v>233</x:v>
      </x:c>
    </x:row>
    <x:row r="238">
      <x:c r="A238" t="s">
        <x:v>649</x:v>
      </x:c>
      <x:c r="B238" t="s">
        <x:v>146</x:v>
      </x:c>
      <x:c r="C238">
        <x:v>25</x:v>
      </x:c>
      <x:c r="D238">
        <x:v>6</x:v>
      </x:c>
      <x:c r="F238" t="s">
        <x:v>167</x:v>
      </x:c>
      <x:c r="G238" t="s">
        <x:v>650</x:v>
      </x:c>
      <x:c r="H238" t="s">
        <x:v>607</x:v>
      </x:c>
      <x:c r="I238">
        <x:v>13</x:v>
      </x:c>
      <x:c r="J238">
        <x:v>3</x:v>
      </x:c>
      <x:c r="K238">
        <x:v>1</x:v>
      </x:c>
      <x:c r="L238" t="str">
        <x:f t="shared" si="3">IF(F238="Line",IF(AND(D238="",E238=""),"OK","CHECK"),IF(F238="Section",IF(AND(D238&gt;=1,D238&lt;=I238,E238=""),"OK","CHECK"),IF(F238="Cavity",IF(AND(D238&gt;=1,D238&lt;=I238,E238&gt;=1,E238&lt;=J238),"OK","CHECK"),"CHECK")))</x:f>
        <x:v>OK</x:v>
      </x:c>
      <x:c r="M238" t="n">
        <x:v>234</x:v>
      </x:c>
    </x:row>
    <x:row r="239">
      <x:c r="A239" t="s">
        <x:v>651</x:v>
      </x:c>
      <x:c r="B239" t="s">
        <x:v>146</x:v>
      </x:c>
      <x:c r="C239">
        <x:v>25</x:v>
      </x:c>
      <x:c r="D239">
        <x:v>6</x:v>
      </x:c>
      <x:c r="E239">
        <x:v>1</x:v>
      </x:c>
      <x:c r="F239" t="s">
        <x:v>170</x:v>
      </x:c>
      <x:c r="G239" t="s">
        <x:v>652</x:v>
      </x:c>
      <x:c r="H239" t="s">
        <x:v>649</x:v>
      </x:c>
      <x:c r="I239">
        <x:v>13</x:v>
      </x:c>
      <x:c r="J239">
        <x:v>3</x:v>
      </x:c>
      <x:c r="K239">
        <x:v>1</x:v>
      </x:c>
      <x:c r="L239" t="str">
        <x:f t="shared" si="3">IF(F239="Line",IF(AND(D239="",E239=""),"OK","CHECK"),IF(F239="Section",IF(AND(D239&gt;=1,D239&lt;=I239,E239=""),"OK","CHECK"),IF(F239="Cavity",IF(AND(D239&gt;=1,D239&lt;=I239,E239&gt;=1,E239&lt;=J239),"OK","CHECK"),"CHECK")))</x:f>
        <x:v>OK</x:v>
      </x:c>
      <x:c r="M239" t="n">
        <x:v>235</x:v>
      </x:c>
    </x:row>
    <x:row r="240">
      <x:c r="A240" t="s">
        <x:v>653</x:v>
      </x:c>
      <x:c r="B240" t="s">
        <x:v>146</x:v>
      </x:c>
      <x:c r="C240">
        <x:v>25</x:v>
      </x:c>
      <x:c r="D240">
        <x:v>6</x:v>
      </x:c>
      <x:c r="E240">
        <x:v>2</x:v>
      </x:c>
      <x:c r="F240" t="s">
        <x:v>170</x:v>
      </x:c>
      <x:c r="G240" t="s">
        <x:v>654</x:v>
      </x:c>
      <x:c r="H240" t="s">
        <x:v>649</x:v>
      </x:c>
      <x:c r="I240">
        <x:v>13</x:v>
      </x:c>
      <x:c r="J240">
        <x:v>3</x:v>
      </x:c>
      <x:c r="K240">
        <x:v>1</x:v>
      </x:c>
      <x:c r="L240" t="str">
        <x:f t="shared" si="3">IF(F240="Line",IF(AND(D240="",E240=""),"OK","CHECK"),IF(F240="Section",IF(AND(D240&gt;=1,D240&lt;=I240,E240=""),"OK","CHECK"),IF(F240="Cavity",IF(AND(D240&gt;=1,D240&lt;=I240,E240&gt;=1,E240&lt;=J240),"OK","CHECK"),"CHECK")))</x:f>
        <x:v>OK</x:v>
      </x:c>
      <x:c r="M240" t="n">
        <x:v>236</x:v>
      </x:c>
    </x:row>
    <x:row r="241">
      <x:c r="A241" t="s">
        <x:v>655</x:v>
      </x:c>
      <x:c r="B241" t="s">
        <x:v>146</x:v>
      </x:c>
      <x:c r="C241">
        <x:v>25</x:v>
      </x:c>
      <x:c r="D241">
        <x:v>6</x:v>
      </x:c>
      <x:c r="E241">
        <x:v>3</x:v>
      </x:c>
      <x:c r="F241" t="s">
        <x:v>170</x:v>
      </x:c>
      <x:c r="G241" t="s">
        <x:v>656</x:v>
      </x:c>
      <x:c r="H241" t="s">
        <x:v>649</x:v>
      </x:c>
      <x:c r="I241">
        <x:v>13</x:v>
      </x:c>
      <x:c r="J241">
        <x:v>3</x:v>
      </x:c>
      <x:c r="K241">
        <x:v>1</x:v>
      </x:c>
      <x:c r="L241" t="str">
        <x:f t="shared" si="3">IF(F241="Line",IF(AND(D241="",E241=""),"OK","CHECK"),IF(F241="Section",IF(AND(D241&gt;=1,D241&lt;=I241,E241=""),"OK","CHECK"),IF(F241="Cavity",IF(AND(D241&gt;=1,D241&lt;=I241,E241&gt;=1,E241&lt;=J241),"OK","CHECK"),"CHECK")))</x:f>
        <x:v>OK</x:v>
      </x:c>
      <x:c r="M241" t="n">
        <x:v>237</x:v>
      </x:c>
    </x:row>
    <x:row r="242">
      <x:c r="A242" t="s">
        <x:v>657</x:v>
      </x:c>
      <x:c r="B242" t="s">
        <x:v>146</x:v>
      </x:c>
      <x:c r="C242">
        <x:v>25</x:v>
      </x:c>
      <x:c r="D242">
        <x:v>7</x:v>
      </x:c>
      <x:c r="F242" t="s">
        <x:v>167</x:v>
      </x:c>
      <x:c r="G242" t="s">
        <x:v>658</x:v>
      </x:c>
      <x:c r="H242" t="s">
        <x:v>607</x:v>
      </x:c>
      <x:c r="I242">
        <x:v>13</x:v>
      </x:c>
      <x:c r="J242">
        <x:v>3</x:v>
      </x:c>
      <x:c r="K242">
        <x:v>1</x:v>
      </x:c>
      <x:c r="L242" t="str">
        <x:f t="shared" si="3">IF(F242="Line",IF(AND(D242="",E242=""),"OK","CHECK"),IF(F242="Section",IF(AND(D242&gt;=1,D242&lt;=I242,E242=""),"OK","CHECK"),IF(F242="Cavity",IF(AND(D242&gt;=1,D242&lt;=I242,E242&gt;=1,E242&lt;=J242),"OK","CHECK"),"CHECK")))</x:f>
        <x:v>OK</x:v>
      </x:c>
      <x:c r="M242" t="n">
        <x:v>238</x:v>
      </x:c>
    </x:row>
    <x:row r="243">
      <x:c r="A243" t="s">
        <x:v>659</x:v>
      </x:c>
      <x:c r="B243" t="s">
        <x:v>146</x:v>
      </x:c>
      <x:c r="C243">
        <x:v>25</x:v>
      </x:c>
      <x:c r="D243">
        <x:v>7</x:v>
      </x:c>
      <x:c r="E243">
        <x:v>1</x:v>
      </x:c>
      <x:c r="F243" t="s">
        <x:v>170</x:v>
      </x:c>
      <x:c r="G243" t="s">
        <x:v>660</x:v>
      </x:c>
      <x:c r="H243" t="s">
        <x:v>657</x:v>
      </x:c>
      <x:c r="I243">
        <x:v>13</x:v>
      </x:c>
      <x:c r="J243">
        <x:v>3</x:v>
      </x:c>
      <x:c r="K243">
        <x:v>1</x:v>
      </x:c>
      <x:c r="L243" t="str">
        <x:f t="shared" si="3">IF(F243="Line",IF(AND(D243="",E243=""),"OK","CHECK"),IF(F243="Section",IF(AND(D243&gt;=1,D243&lt;=I243,E243=""),"OK","CHECK"),IF(F243="Cavity",IF(AND(D243&gt;=1,D243&lt;=I243,E243&gt;=1,E243&lt;=J243),"OK","CHECK"),"CHECK")))</x:f>
        <x:v>OK</x:v>
      </x:c>
      <x:c r="M243" t="n">
        <x:v>239</x:v>
      </x:c>
    </x:row>
    <x:row r="244">
      <x:c r="A244" t="s">
        <x:v>661</x:v>
      </x:c>
      <x:c r="B244" t="s">
        <x:v>146</x:v>
      </x:c>
      <x:c r="C244">
        <x:v>25</x:v>
      </x:c>
      <x:c r="D244">
        <x:v>7</x:v>
      </x:c>
      <x:c r="E244">
        <x:v>2</x:v>
      </x:c>
      <x:c r="F244" t="s">
        <x:v>170</x:v>
      </x:c>
      <x:c r="G244" t="s">
        <x:v>662</x:v>
      </x:c>
      <x:c r="H244" t="s">
        <x:v>657</x:v>
      </x:c>
      <x:c r="I244">
        <x:v>13</x:v>
      </x:c>
      <x:c r="J244">
        <x:v>3</x:v>
      </x:c>
      <x:c r="K244">
        <x:v>1</x:v>
      </x:c>
      <x:c r="L244" t="str">
        <x:f t="shared" si="3">IF(F244="Line",IF(AND(D244="",E244=""),"OK","CHECK"),IF(F244="Section",IF(AND(D244&gt;=1,D244&lt;=I244,E244=""),"OK","CHECK"),IF(F244="Cavity",IF(AND(D244&gt;=1,D244&lt;=I244,E244&gt;=1,E244&lt;=J244),"OK","CHECK"),"CHECK")))</x:f>
        <x:v>OK</x:v>
      </x:c>
      <x:c r="M244" t="n">
        <x:v>240</x:v>
      </x:c>
    </x:row>
    <x:row r="245">
      <x:c r="A245" t="s">
        <x:v>663</x:v>
      </x:c>
      <x:c r="B245" t="s">
        <x:v>146</x:v>
      </x:c>
      <x:c r="C245">
        <x:v>25</x:v>
      </x:c>
      <x:c r="D245">
        <x:v>7</x:v>
      </x:c>
      <x:c r="E245">
        <x:v>3</x:v>
      </x:c>
      <x:c r="F245" t="s">
        <x:v>170</x:v>
      </x:c>
      <x:c r="G245" t="s">
        <x:v>664</x:v>
      </x:c>
      <x:c r="H245" t="s">
        <x:v>657</x:v>
      </x:c>
      <x:c r="I245">
        <x:v>13</x:v>
      </x:c>
      <x:c r="J245">
        <x:v>3</x:v>
      </x:c>
      <x:c r="K245">
        <x:v>1</x:v>
      </x:c>
      <x:c r="L245" t="str">
        <x:f t="shared" si="3">IF(F245="Line",IF(AND(D245="",E245=""),"OK","CHECK"),IF(F245="Section",IF(AND(D245&gt;=1,D245&lt;=I245,E245=""),"OK","CHECK"),IF(F245="Cavity",IF(AND(D245&gt;=1,D245&lt;=I245,E245&gt;=1,E245&lt;=J245),"OK","CHECK"),"CHECK")))</x:f>
        <x:v>OK</x:v>
      </x:c>
      <x:c r="M245" t="n">
        <x:v>241</x:v>
      </x:c>
    </x:row>
    <x:row r="246">
      <x:c r="A246" t="s">
        <x:v>665</x:v>
      </x:c>
      <x:c r="B246" t="s">
        <x:v>146</x:v>
      </x:c>
      <x:c r="C246">
        <x:v>25</x:v>
      </x:c>
      <x:c r="D246">
        <x:v>8</x:v>
      </x:c>
      <x:c r="F246" t="s">
        <x:v>167</x:v>
      </x:c>
      <x:c r="G246" t="s">
        <x:v>666</x:v>
      </x:c>
      <x:c r="H246" t="s">
        <x:v>607</x:v>
      </x:c>
      <x:c r="I246">
        <x:v>13</x:v>
      </x:c>
      <x:c r="J246">
        <x:v>3</x:v>
      </x:c>
      <x:c r="K246">
        <x:v>1</x:v>
      </x:c>
      <x:c r="L246" t="str">
        <x:f t="shared" si="3">IF(F246="Line",IF(AND(D246="",E246=""),"OK","CHECK"),IF(F246="Section",IF(AND(D246&gt;=1,D246&lt;=I246,E246=""),"OK","CHECK"),IF(F246="Cavity",IF(AND(D246&gt;=1,D246&lt;=I246,E246&gt;=1,E246&lt;=J246),"OK","CHECK"),"CHECK")))</x:f>
        <x:v>OK</x:v>
      </x:c>
      <x:c r="M246" t="n">
        <x:v>242</x:v>
      </x:c>
    </x:row>
    <x:row r="247">
      <x:c r="A247" t="s">
        <x:v>667</x:v>
      </x:c>
      <x:c r="B247" t="s">
        <x:v>146</x:v>
      </x:c>
      <x:c r="C247">
        <x:v>25</x:v>
      </x:c>
      <x:c r="D247">
        <x:v>8</x:v>
      </x:c>
      <x:c r="E247">
        <x:v>1</x:v>
      </x:c>
      <x:c r="F247" t="s">
        <x:v>170</x:v>
      </x:c>
      <x:c r="G247" t="s">
        <x:v>668</x:v>
      </x:c>
      <x:c r="H247" t="s">
        <x:v>665</x:v>
      </x:c>
      <x:c r="I247">
        <x:v>13</x:v>
      </x:c>
      <x:c r="J247">
        <x:v>3</x:v>
      </x:c>
      <x:c r="K247">
        <x:v>1</x:v>
      </x:c>
      <x:c r="L247" t="str">
        <x:f t="shared" si="3">IF(F247="Line",IF(AND(D247="",E247=""),"OK","CHECK"),IF(F247="Section",IF(AND(D247&gt;=1,D247&lt;=I247,E247=""),"OK","CHECK"),IF(F247="Cavity",IF(AND(D247&gt;=1,D247&lt;=I247,E247&gt;=1,E247&lt;=J247),"OK","CHECK"),"CHECK")))</x:f>
        <x:v>OK</x:v>
      </x:c>
      <x:c r="M247" t="n">
        <x:v>243</x:v>
      </x:c>
    </x:row>
    <x:row r="248">
      <x:c r="A248" t="s">
        <x:v>669</x:v>
      </x:c>
      <x:c r="B248" t="s">
        <x:v>146</x:v>
      </x:c>
      <x:c r="C248">
        <x:v>25</x:v>
      </x:c>
      <x:c r="D248">
        <x:v>8</x:v>
      </x:c>
      <x:c r="E248">
        <x:v>2</x:v>
      </x:c>
      <x:c r="F248" t="s">
        <x:v>170</x:v>
      </x:c>
      <x:c r="G248" t="s">
        <x:v>670</x:v>
      </x:c>
      <x:c r="H248" t="s">
        <x:v>665</x:v>
      </x:c>
      <x:c r="I248">
        <x:v>13</x:v>
      </x:c>
      <x:c r="J248">
        <x:v>3</x:v>
      </x:c>
      <x:c r="K248">
        <x:v>1</x:v>
      </x:c>
      <x:c r="L248" t="str">
        <x:f t="shared" si="3">IF(F248="Line",IF(AND(D248="",E248=""),"OK","CHECK"),IF(F248="Section",IF(AND(D248&gt;=1,D248&lt;=I248,E248=""),"OK","CHECK"),IF(F248="Cavity",IF(AND(D248&gt;=1,D248&lt;=I248,E248&gt;=1,E248&lt;=J248),"OK","CHECK"),"CHECK")))</x:f>
        <x:v>OK</x:v>
      </x:c>
      <x:c r="M248" t="n">
        <x:v>244</x:v>
      </x:c>
    </x:row>
    <x:row r="249">
      <x:c r="A249" t="s">
        <x:v>671</x:v>
      </x:c>
      <x:c r="B249" t="s">
        <x:v>146</x:v>
      </x:c>
      <x:c r="C249">
        <x:v>25</x:v>
      </x:c>
      <x:c r="D249">
        <x:v>8</x:v>
      </x:c>
      <x:c r="E249">
        <x:v>3</x:v>
      </x:c>
      <x:c r="F249" t="s">
        <x:v>170</x:v>
      </x:c>
      <x:c r="G249" t="s">
        <x:v>672</x:v>
      </x:c>
      <x:c r="H249" t="s">
        <x:v>665</x:v>
      </x:c>
      <x:c r="I249">
        <x:v>13</x:v>
      </x:c>
      <x:c r="J249">
        <x:v>3</x:v>
      </x:c>
      <x:c r="K249">
        <x:v>1</x:v>
      </x:c>
      <x:c r="L249" t="str">
        <x:f t="shared" si="3">IF(F249="Line",IF(AND(D249="",E249=""),"OK","CHECK"),IF(F249="Section",IF(AND(D249&gt;=1,D249&lt;=I249,E249=""),"OK","CHECK"),IF(F249="Cavity",IF(AND(D249&gt;=1,D249&lt;=I249,E249&gt;=1,E249&lt;=J249),"OK","CHECK"),"CHECK")))</x:f>
        <x:v>OK</x:v>
      </x:c>
      <x:c r="M249" t="n">
        <x:v>245</x:v>
      </x:c>
    </x:row>
    <x:row r="250">
      <x:c r="A250" t="s">
        <x:v>673</x:v>
      </x:c>
      <x:c r="B250" t="s">
        <x:v>146</x:v>
      </x:c>
      <x:c r="C250">
        <x:v>25</x:v>
      </x:c>
      <x:c r="D250">
        <x:v>9</x:v>
      </x:c>
      <x:c r="F250" t="s">
        <x:v>167</x:v>
      </x:c>
      <x:c r="G250" t="s">
        <x:v>674</x:v>
      </x:c>
      <x:c r="H250" t="s">
        <x:v>607</x:v>
      </x:c>
      <x:c r="I250">
        <x:v>13</x:v>
      </x:c>
      <x:c r="J250">
        <x:v>3</x:v>
      </x:c>
      <x:c r="K250">
        <x:v>1</x:v>
      </x:c>
      <x:c r="L250" t="str">
        <x:f t="shared" si="3">IF(F250="Line",IF(AND(D250="",E250=""),"OK","CHECK"),IF(F250="Section",IF(AND(D250&gt;=1,D250&lt;=I250,E250=""),"OK","CHECK"),IF(F250="Cavity",IF(AND(D250&gt;=1,D250&lt;=I250,E250&gt;=1,E250&lt;=J250),"OK","CHECK"),"CHECK")))</x:f>
        <x:v>OK</x:v>
      </x:c>
      <x:c r="M250" t="n">
        <x:v>246</x:v>
      </x:c>
    </x:row>
    <x:row r="251">
      <x:c r="A251" t="s">
        <x:v>675</x:v>
      </x:c>
      <x:c r="B251" t="s">
        <x:v>146</x:v>
      </x:c>
      <x:c r="C251">
        <x:v>25</x:v>
      </x:c>
      <x:c r="D251">
        <x:v>9</x:v>
      </x:c>
      <x:c r="E251">
        <x:v>1</x:v>
      </x:c>
      <x:c r="F251" t="s">
        <x:v>170</x:v>
      </x:c>
      <x:c r="G251" t="s">
        <x:v>676</x:v>
      </x:c>
      <x:c r="H251" t="s">
        <x:v>673</x:v>
      </x:c>
      <x:c r="I251">
        <x:v>13</x:v>
      </x:c>
      <x:c r="J251">
        <x:v>3</x:v>
      </x:c>
      <x:c r="K251">
        <x:v>1</x:v>
      </x:c>
      <x:c r="L251" t="str">
        <x:f t="shared" si="3">IF(F251="Line",IF(AND(D251="",E251=""),"OK","CHECK"),IF(F251="Section",IF(AND(D251&gt;=1,D251&lt;=I251,E251=""),"OK","CHECK"),IF(F251="Cavity",IF(AND(D251&gt;=1,D251&lt;=I251,E251&gt;=1,E251&lt;=J251),"OK","CHECK"),"CHECK")))</x:f>
        <x:v>OK</x:v>
      </x:c>
      <x:c r="M251" t="n">
        <x:v>247</x:v>
      </x:c>
    </x:row>
    <x:row r="252">
      <x:c r="A252" t="s">
        <x:v>677</x:v>
      </x:c>
      <x:c r="B252" t="s">
        <x:v>146</x:v>
      </x:c>
      <x:c r="C252">
        <x:v>25</x:v>
      </x:c>
      <x:c r="D252">
        <x:v>9</x:v>
      </x:c>
      <x:c r="E252">
        <x:v>2</x:v>
      </x:c>
      <x:c r="F252" t="s">
        <x:v>170</x:v>
      </x:c>
      <x:c r="G252" t="s">
        <x:v>678</x:v>
      </x:c>
      <x:c r="H252" t="s">
        <x:v>673</x:v>
      </x:c>
      <x:c r="I252">
        <x:v>13</x:v>
      </x:c>
      <x:c r="J252">
        <x:v>3</x:v>
      </x:c>
      <x:c r="K252">
        <x:v>1</x:v>
      </x:c>
      <x:c r="L252" t="str">
        <x:f t="shared" si="3">IF(F252="Line",IF(AND(D252="",E252=""),"OK","CHECK"),IF(F252="Section",IF(AND(D252&gt;=1,D252&lt;=I252,E252=""),"OK","CHECK"),IF(F252="Cavity",IF(AND(D252&gt;=1,D252&lt;=I252,E252&gt;=1,E252&lt;=J252),"OK","CHECK"),"CHECK")))</x:f>
        <x:v>OK</x:v>
      </x:c>
      <x:c r="M252" t="n">
        <x:v>248</x:v>
      </x:c>
    </x:row>
    <x:row r="253">
      <x:c r="A253" t="s">
        <x:v>679</x:v>
      </x:c>
      <x:c r="B253" t="s">
        <x:v>146</x:v>
      </x:c>
      <x:c r="C253">
        <x:v>25</x:v>
      </x:c>
      <x:c r="D253">
        <x:v>9</x:v>
      </x:c>
      <x:c r="E253">
        <x:v>3</x:v>
      </x:c>
      <x:c r="F253" t="s">
        <x:v>170</x:v>
      </x:c>
      <x:c r="G253" t="s">
        <x:v>680</x:v>
      </x:c>
      <x:c r="H253" t="s">
        <x:v>673</x:v>
      </x:c>
      <x:c r="I253">
        <x:v>13</x:v>
      </x:c>
      <x:c r="J253">
        <x:v>3</x:v>
      </x:c>
      <x:c r="K253">
        <x:v>1</x:v>
      </x:c>
      <x:c r="L253" t="str">
        <x:f t="shared" si="3">IF(F253="Line",IF(AND(D253="",E253=""),"OK","CHECK"),IF(F253="Section",IF(AND(D253&gt;=1,D253&lt;=I253,E253=""),"OK","CHECK"),IF(F253="Cavity",IF(AND(D253&gt;=1,D253&lt;=I253,E253&gt;=1,E253&lt;=J253),"OK","CHECK"),"CHECK")))</x:f>
        <x:v>OK</x:v>
      </x:c>
      <x:c r="M253" t="n">
        <x:v>249</x:v>
      </x:c>
    </x:row>
    <x:row r="254">
      <x:c r="A254" t="s">
        <x:v>681</x:v>
      </x:c>
      <x:c r="B254" t="s">
        <x:v>146</x:v>
      </x:c>
      <x:c r="C254">
        <x:v>25</x:v>
      </x:c>
      <x:c r="D254">
        <x:v>10</x:v>
      </x:c>
      <x:c r="F254" t="s">
        <x:v>167</x:v>
      </x:c>
      <x:c r="G254" t="s">
        <x:v>682</x:v>
      </x:c>
      <x:c r="H254" t="s">
        <x:v>607</x:v>
      </x:c>
      <x:c r="I254">
        <x:v>13</x:v>
      </x:c>
      <x:c r="J254">
        <x:v>3</x:v>
      </x:c>
      <x:c r="K254">
        <x:v>1</x:v>
      </x:c>
      <x:c r="L254" t="str">
        <x:f t="shared" si="3">IF(F254="Line",IF(AND(D254="",E254=""),"OK","CHECK"),IF(F254="Section",IF(AND(D254&gt;=1,D254&lt;=I254,E254=""),"OK","CHECK"),IF(F254="Cavity",IF(AND(D254&gt;=1,D254&lt;=I254,E254&gt;=1,E254&lt;=J254),"OK","CHECK"),"CHECK")))</x:f>
        <x:v>OK</x:v>
      </x:c>
      <x:c r="M254" t="n">
        <x:v>250</x:v>
      </x:c>
    </x:row>
    <x:row r="255">
      <x:c r="A255" t="s">
        <x:v>683</x:v>
      </x:c>
      <x:c r="B255" t="s">
        <x:v>146</x:v>
      </x:c>
      <x:c r="C255">
        <x:v>25</x:v>
      </x:c>
      <x:c r="D255">
        <x:v>10</x:v>
      </x:c>
      <x:c r="E255">
        <x:v>1</x:v>
      </x:c>
      <x:c r="F255" t="s">
        <x:v>170</x:v>
      </x:c>
      <x:c r="G255" t="s">
        <x:v>684</x:v>
      </x:c>
      <x:c r="H255" t="s">
        <x:v>681</x:v>
      </x:c>
      <x:c r="I255">
        <x:v>13</x:v>
      </x:c>
      <x:c r="J255">
        <x:v>3</x:v>
      </x:c>
      <x:c r="K255">
        <x:v>1</x:v>
      </x:c>
      <x:c r="L255" t="str">
        <x:f t="shared" si="3">IF(F255="Line",IF(AND(D255="",E255=""),"OK","CHECK"),IF(F255="Section",IF(AND(D255&gt;=1,D255&lt;=I255,E255=""),"OK","CHECK"),IF(F255="Cavity",IF(AND(D255&gt;=1,D255&lt;=I255,E255&gt;=1,E255&lt;=J255),"OK","CHECK"),"CHECK")))</x:f>
        <x:v>OK</x:v>
      </x:c>
      <x:c r="M255" t="n">
        <x:v>251</x:v>
      </x:c>
    </x:row>
    <x:row r="256">
      <x:c r="A256" t="s">
        <x:v>685</x:v>
      </x:c>
      <x:c r="B256" t="s">
        <x:v>146</x:v>
      </x:c>
      <x:c r="C256">
        <x:v>25</x:v>
      </x:c>
      <x:c r="D256">
        <x:v>10</x:v>
      </x:c>
      <x:c r="E256">
        <x:v>2</x:v>
      </x:c>
      <x:c r="F256" t="s">
        <x:v>170</x:v>
      </x:c>
      <x:c r="G256" t="s">
        <x:v>686</x:v>
      </x:c>
      <x:c r="H256" t="s">
        <x:v>681</x:v>
      </x:c>
      <x:c r="I256">
        <x:v>13</x:v>
      </x:c>
      <x:c r="J256">
        <x:v>3</x:v>
      </x:c>
      <x:c r="K256">
        <x:v>1</x:v>
      </x:c>
      <x:c r="L256" t="str">
        <x:f t="shared" si="3">IF(F256="Line",IF(AND(D256="",E256=""),"OK","CHECK"),IF(F256="Section",IF(AND(D256&gt;=1,D256&lt;=I256,E256=""),"OK","CHECK"),IF(F256="Cavity",IF(AND(D256&gt;=1,D256&lt;=I256,E256&gt;=1,E256&lt;=J256),"OK","CHECK"),"CHECK")))</x:f>
        <x:v>OK</x:v>
      </x:c>
      <x:c r="M256" t="n">
        <x:v>252</x:v>
      </x:c>
    </x:row>
    <x:row r="257">
      <x:c r="A257" t="s">
        <x:v>687</x:v>
      </x:c>
      <x:c r="B257" t="s">
        <x:v>146</x:v>
      </x:c>
      <x:c r="C257">
        <x:v>25</x:v>
      </x:c>
      <x:c r="D257">
        <x:v>10</x:v>
      </x:c>
      <x:c r="E257">
        <x:v>3</x:v>
      </x:c>
      <x:c r="F257" t="s">
        <x:v>170</x:v>
      </x:c>
      <x:c r="G257" t="s">
        <x:v>688</x:v>
      </x:c>
      <x:c r="H257" t="s">
        <x:v>681</x:v>
      </x:c>
      <x:c r="I257">
        <x:v>13</x:v>
      </x:c>
      <x:c r="J257">
        <x:v>3</x:v>
      </x:c>
      <x:c r="K257">
        <x:v>1</x:v>
      </x:c>
      <x:c r="L257" t="str">
        <x:f t="shared" si="3">IF(F257="Line",IF(AND(D257="",E257=""),"OK","CHECK"),IF(F257="Section",IF(AND(D257&gt;=1,D257&lt;=I257,E257=""),"OK","CHECK"),IF(F257="Cavity",IF(AND(D257&gt;=1,D257&lt;=I257,E257&gt;=1,E257&lt;=J257),"OK","CHECK"),"CHECK")))</x:f>
        <x:v>OK</x:v>
      </x:c>
      <x:c r="M257" t="n">
        <x:v>253</x:v>
      </x:c>
    </x:row>
    <x:row r="258">
      <x:c r="A258" t="s">
        <x:v>689</x:v>
      </x:c>
      <x:c r="B258" t="s">
        <x:v>146</x:v>
      </x:c>
      <x:c r="C258">
        <x:v>25</x:v>
      </x:c>
      <x:c r="D258">
        <x:v>11</x:v>
      </x:c>
      <x:c r="F258" t="s">
        <x:v>167</x:v>
      </x:c>
      <x:c r="G258" t="s">
        <x:v>690</x:v>
      </x:c>
      <x:c r="H258" t="s">
        <x:v>607</x:v>
      </x:c>
      <x:c r="I258">
        <x:v>13</x:v>
      </x:c>
      <x:c r="J258">
        <x:v>3</x:v>
      </x:c>
      <x:c r="K258">
        <x:v>1</x:v>
      </x:c>
      <x:c r="L258" t="str">
        <x:f t="shared" si="3">IF(F258="Line",IF(AND(D258="",E258=""),"OK","CHECK"),IF(F258="Section",IF(AND(D258&gt;=1,D258&lt;=I258,E258=""),"OK","CHECK"),IF(F258="Cavity",IF(AND(D258&gt;=1,D258&lt;=I258,E258&gt;=1,E258&lt;=J258),"OK","CHECK"),"CHECK")))</x:f>
        <x:v>OK</x:v>
      </x:c>
      <x:c r="M258" t="n">
        <x:v>254</x:v>
      </x:c>
    </x:row>
    <x:row r="259">
      <x:c r="A259" t="s">
        <x:v>691</x:v>
      </x:c>
      <x:c r="B259" t="s">
        <x:v>146</x:v>
      </x:c>
      <x:c r="C259">
        <x:v>25</x:v>
      </x:c>
      <x:c r="D259">
        <x:v>11</x:v>
      </x:c>
      <x:c r="E259">
        <x:v>1</x:v>
      </x:c>
      <x:c r="F259" t="s">
        <x:v>170</x:v>
      </x:c>
      <x:c r="G259" t="s">
        <x:v>692</x:v>
      </x:c>
      <x:c r="H259" t="s">
        <x:v>689</x:v>
      </x:c>
      <x:c r="I259">
        <x:v>13</x:v>
      </x:c>
      <x:c r="J259">
        <x:v>3</x:v>
      </x:c>
      <x:c r="K259">
        <x:v>1</x:v>
      </x:c>
      <x:c r="L259" t="str">
        <x:f t="shared" si="3">IF(F259="Line",IF(AND(D259="",E259=""),"OK","CHECK"),IF(F259="Section",IF(AND(D259&gt;=1,D259&lt;=I259,E259=""),"OK","CHECK"),IF(F259="Cavity",IF(AND(D259&gt;=1,D259&lt;=I259,E259&gt;=1,E259&lt;=J259),"OK","CHECK"),"CHECK")))</x:f>
        <x:v>OK</x:v>
      </x:c>
      <x:c r="M259" t="n">
        <x:v>255</x:v>
      </x:c>
    </x:row>
    <x:row r="260">
      <x:c r="A260" t="s">
        <x:v>693</x:v>
      </x:c>
      <x:c r="B260" t="s">
        <x:v>146</x:v>
      </x:c>
      <x:c r="C260">
        <x:v>25</x:v>
      </x:c>
      <x:c r="D260">
        <x:v>11</x:v>
      </x:c>
      <x:c r="E260">
        <x:v>2</x:v>
      </x:c>
      <x:c r="F260" t="s">
        <x:v>170</x:v>
      </x:c>
      <x:c r="G260" t="s">
        <x:v>694</x:v>
      </x:c>
      <x:c r="H260" t="s">
        <x:v>689</x:v>
      </x:c>
      <x:c r="I260">
        <x:v>13</x:v>
      </x:c>
      <x:c r="J260">
        <x:v>3</x:v>
      </x:c>
      <x:c r="K260">
        <x:v>1</x:v>
      </x:c>
      <x:c r="L260" t="str">
        <x:f t="shared" si="3">IF(F260="Line",IF(AND(D260="",E260=""),"OK","CHECK"),IF(F260="Section",IF(AND(D260&gt;=1,D260&lt;=I260,E260=""),"OK","CHECK"),IF(F260="Cavity",IF(AND(D260&gt;=1,D260&lt;=I260,E260&gt;=1,E260&lt;=J260),"OK","CHECK"),"CHECK")))</x:f>
        <x:v>OK</x:v>
      </x:c>
      <x:c r="M260" t="n">
        <x:v>256</x:v>
      </x:c>
    </x:row>
    <x:row r="261">
      <x:c r="A261" t="s">
        <x:v>695</x:v>
      </x:c>
      <x:c r="B261" t="s">
        <x:v>146</x:v>
      </x:c>
      <x:c r="C261">
        <x:v>25</x:v>
      </x:c>
      <x:c r="D261">
        <x:v>11</x:v>
      </x:c>
      <x:c r="E261">
        <x:v>3</x:v>
      </x:c>
      <x:c r="F261" t="s">
        <x:v>170</x:v>
      </x:c>
      <x:c r="G261" t="s">
        <x:v>696</x:v>
      </x:c>
      <x:c r="H261" t="s">
        <x:v>689</x:v>
      </x:c>
      <x:c r="I261">
        <x:v>13</x:v>
      </x:c>
      <x:c r="J261">
        <x:v>3</x:v>
      </x:c>
      <x:c r="K261">
        <x:v>1</x:v>
      </x:c>
      <x:c r="L261" t="str">
        <x:f t="shared" ref="L261:L269" si="4">IF(F261="Line",IF(AND(D261="",E261=""),"OK","CHECK"),IF(F261="Section",IF(AND(D261&gt;=1,D261&lt;=I261,E261=""),"OK","CHECK"),IF(F261="Cavity",IF(AND(D261&gt;=1,D261&lt;=I261,E261&gt;=1,E261&lt;=J261),"OK","CHECK"),"CHECK")))</x:f>
        <x:v>OK</x:v>
      </x:c>
      <x:c r="M261" t="n">
        <x:v>257</x:v>
      </x:c>
    </x:row>
    <x:row r="262">
      <x:c r="A262" t="s">
        <x:v>697</x:v>
      </x:c>
      <x:c r="B262" t="s">
        <x:v>146</x:v>
      </x:c>
      <x:c r="C262">
        <x:v>25</x:v>
      </x:c>
      <x:c r="D262">
        <x:v>12</x:v>
      </x:c>
      <x:c r="F262" t="s">
        <x:v>167</x:v>
      </x:c>
      <x:c r="G262" t="s">
        <x:v>698</x:v>
      </x:c>
      <x:c r="H262" t="s">
        <x:v>607</x:v>
      </x:c>
      <x:c r="I262">
        <x:v>13</x:v>
      </x:c>
      <x:c r="J262">
        <x:v>3</x:v>
      </x:c>
      <x:c r="K262">
        <x:v>1</x:v>
      </x:c>
      <x:c r="L262" t="str">
        <x:f t="shared" si="4">IF(F262="Line",IF(AND(D262="",E262=""),"OK","CHECK"),IF(F262="Section",IF(AND(D262&gt;=1,D262&lt;=I262,E262=""),"OK","CHECK"),IF(F262="Cavity",IF(AND(D262&gt;=1,D262&lt;=I262,E262&gt;=1,E262&lt;=J262),"OK","CHECK"),"CHECK")))</x:f>
        <x:v>OK</x:v>
      </x:c>
      <x:c r="M262" t="n">
        <x:v>258</x:v>
      </x:c>
    </x:row>
    <x:row r="263">
      <x:c r="A263" t="s">
        <x:v>699</x:v>
      </x:c>
      <x:c r="B263" t="s">
        <x:v>146</x:v>
      </x:c>
      <x:c r="C263">
        <x:v>25</x:v>
      </x:c>
      <x:c r="D263">
        <x:v>12</x:v>
      </x:c>
      <x:c r="E263">
        <x:v>1</x:v>
      </x:c>
      <x:c r="F263" t="s">
        <x:v>170</x:v>
      </x:c>
      <x:c r="G263" t="s">
        <x:v>700</x:v>
      </x:c>
      <x:c r="H263" t="s">
        <x:v>697</x:v>
      </x:c>
      <x:c r="I263">
        <x:v>13</x:v>
      </x:c>
      <x:c r="J263">
        <x:v>3</x:v>
      </x:c>
      <x:c r="K263">
        <x:v>1</x:v>
      </x:c>
      <x:c r="L263" t="str">
        <x:f t="shared" si="4">IF(F263="Line",IF(AND(D263="",E263=""),"OK","CHECK"),IF(F263="Section",IF(AND(D263&gt;=1,D263&lt;=I263,E263=""),"OK","CHECK"),IF(F263="Cavity",IF(AND(D263&gt;=1,D263&lt;=I263,E263&gt;=1,E263&lt;=J263),"OK","CHECK"),"CHECK")))</x:f>
        <x:v>OK</x:v>
      </x:c>
      <x:c r="M263" t="n">
        <x:v>259</x:v>
      </x:c>
    </x:row>
    <x:row r="264">
      <x:c r="A264" t="s">
        <x:v>701</x:v>
      </x:c>
      <x:c r="B264" t="s">
        <x:v>146</x:v>
      </x:c>
      <x:c r="C264">
        <x:v>25</x:v>
      </x:c>
      <x:c r="D264">
        <x:v>12</x:v>
      </x:c>
      <x:c r="E264">
        <x:v>2</x:v>
      </x:c>
      <x:c r="F264" t="s">
        <x:v>170</x:v>
      </x:c>
      <x:c r="G264" t="s">
        <x:v>702</x:v>
      </x:c>
      <x:c r="H264" t="s">
        <x:v>697</x:v>
      </x:c>
      <x:c r="I264">
        <x:v>13</x:v>
      </x:c>
      <x:c r="J264">
        <x:v>3</x:v>
      </x:c>
      <x:c r="K264">
        <x:v>1</x:v>
      </x:c>
      <x:c r="L264" t="str">
        <x:f t="shared" si="4">IF(F264="Line",IF(AND(D264="",E264=""),"OK","CHECK"),IF(F264="Section",IF(AND(D264&gt;=1,D264&lt;=I264,E264=""),"OK","CHECK"),IF(F264="Cavity",IF(AND(D264&gt;=1,D264&lt;=I264,E264&gt;=1,E264&lt;=J264),"OK","CHECK"),"CHECK")))</x:f>
        <x:v>OK</x:v>
      </x:c>
      <x:c r="M264" t="n">
        <x:v>260</x:v>
      </x:c>
    </x:row>
    <x:row r="265">
      <x:c r="A265" t="s">
        <x:v>703</x:v>
      </x:c>
      <x:c r="B265" t="s">
        <x:v>146</x:v>
      </x:c>
      <x:c r="C265">
        <x:v>25</x:v>
      </x:c>
      <x:c r="D265">
        <x:v>12</x:v>
      </x:c>
      <x:c r="E265">
        <x:v>3</x:v>
      </x:c>
      <x:c r="F265" t="s">
        <x:v>170</x:v>
      </x:c>
      <x:c r="G265" t="s">
        <x:v>704</x:v>
      </x:c>
      <x:c r="H265" t="s">
        <x:v>697</x:v>
      </x:c>
      <x:c r="I265">
        <x:v>13</x:v>
      </x:c>
      <x:c r="J265">
        <x:v>3</x:v>
      </x:c>
      <x:c r="K265">
        <x:v>1</x:v>
      </x:c>
      <x:c r="L265" t="str">
        <x:f t="shared" si="4">IF(F265="Line",IF(AND(D265="",E265=""),"OK","CHECK"),IF(F265="Section",IF(AND(D265&gt;=1,D265&lt;=I265,E265=""),"OK","CHECK"),IF(F265="Cavity",IF(AND(D265&gt;=1,D265&lt;=I265,E265&gt;=1,E265&lt;=J265),"OK","CHECK"),"CHECK")))</x:f>
        <x:v>OK</x:v>
      </x:c>
      <x:c r="M265" t="n">
        <x:v>261</x:v>
      </x:c>
    </x:row>
    <x:row r="266">
      <x:c r="A266" t="s">
        <x:v>705</x:v>
      </x:c>
      <x:c r="B266" t="s">
        <x:v>146</x:v>
      </x:c>
      <x:c r="C266">
        <x:v>25</x:v>
      </x:c>
      <x:c r="D266">
        <x:v>13</x:v>
      </x:c>
      <x:c r="F266" t="s">
        <x:v>167</x:v>
      </x:c>
      <x:c r="G266" t="s">
        <x:v>706</x:v>
      </x:c>
      <x:c r="H266" t="s">
        <x:v>607</x:v>
      </x:c>
      <x:c r="I266">
        <x:v>13</x:v>
      </x:c>
      <x:c r="J266">
        <x:v>3</x:v>
      </x:c>
      <x:c r="K266">
        <x:v>1</x:v>
      </x:c>
      <x:c r="L266" t="str">
        <x:f t="shared" si="4">IF(F266="Line",IF(AND(D266="",E266=""),"OK","CHECK"),IF(F266="Section",IF(AND(D266&gt;=1,D266&lt;=I266,E266=""),"OK","CHECK"),IF(F266="Cavity",IF(AND(D266&gt;=1,D266&lt;=I266,E266&gt;=1,E266&lt;=J266),"OK","CHECK"),"CHECK")))</x:f>
        <x:v>OK</x:v>
      </x:c>
      <x:c r="M266" t="n">
        <x:v>262</x:v>
      </x:c>
    </x:row>
    <x:row r="267">
      <x:c r="A267" t="s">
        <x:v>707</x:v>
      </x:c>
      <x:c r="B267" t="s">
        <x:v>146</x:v>
      </x:c>
      <x:c r="C267">
        <x:v>25</x:v>
      </x:c>
      <x:c r="D267">
        <x:v>13</x:v>
      </x:c>
      <x:c r="E267">
        <x:v>1</x:v>
      </x:c>
      <x:c r="F267" t="s">
        <x:v>170</x:v>
      </x:c>
      <x:c r="G267" t="s">
        <x:v>708</x:v>
      </x:c>
      <x:c r="H267" t="s">
        <x:v>705</x:v>
      </x:c>
      <x:c r="I267">
        <x:v>13</x:v>
      </x:c>
      <x:c r="J267">
        <x:v>3</x:v>
      </x:c>
      <x:c r="K267">
        <x:v>1</x:v>
      </x:c>
      <x:c r="L267" t="str">
        <x:f t="shared" si="4">IF(F267="Line",IF(AND(D267="",E267=""),"OK","CHECK"),IF(F267="Section",IF(AND(D267&gt;=1,D267&lt;=I267,E267=""),"OK","CHECK"),IF(F267="Cavity",IF(AND(D267&gt;=1,D267&lt;=I267,E267&gt;=1,E267&lt;=J267),"OK","CHECK"),"CHECK")))</x:f>
        <x:v>OK</x:v>
      </x:c>
      <x:c r="M267" t="n">
        <x:v>263</x:v>
      </x:c>
    </x:row>
    <x:row r="268">
      <x:c r="A268" t="s">
        <x:v>709</x:v>
      </x:c>
      <x:c r="B268" t="s">
        <x:v>146</x:v>
      </x:c>
      <x:c r="C268">
        <x:v>25</x:v>
      </x:c>
      <x:c r="D268">
        <x:v>13</x:v>
      </x:c>
      <x:c r="E268">
        <x:v>2</x:v>
      </x:c>
      <x:c r="F268" t="s">
        <x:v>170</x:v>
      </x:c>
      <x:c r="G268" t="s">
        <x:v>710</x:v>
      </x:c>
      <x:c r="H268" t="s">
        <x:v>705</x:v>
      </x:c>
      <x:c r="I268">
        <x:v>13</x:v>
      </x:c>
      <x:c r="J268">
        <x:v>3</x:v>
      </x:c>
      <x:c r="K268">
        <x:v>1</x:v>
      </x:c>
      <x:c r="L268" t="str">
        <x:f t="shared" si="4">IF(F268="Line",IF(AND(D268="",E268=""),"OK","CHECK"),IF(F268="Section",IF(AND(D268&gt;=1,D268&lt;=I268,E268=""),"OK","CHECK"),IF(F268="Cavity",IF(AND(D268&gt;=1,D268&lt;=I268,E268&gt;=1,E268&lt;=J268),"OK","CHECK"),"CHECK")))</x:f>
        <x:v>OK</x:v>
      </x:c>
      <x:c r="M268" t="n">
        <x:v>264</x:v>
      </x:c>
    </x:row>
    <x:row r="269">
      <x:c r="A269" t="s">
        <x:v>711</x:v>
      </x:c>
      <x:c r="B269" t="s">
        <x:v>146</x:v>
      </x:c>
      <x:c r="C269">
        <x:v>25</x:v>
      </x:c>
      <x:c r="D269">
        <x:v>13</x:v>
      </x:c>
      <x:c r="E269">
        <x:v>3</x:v>
      </x:c>
      <x:c r="F269" t="s">
        <x:v>170</x:v>
      </x:c>
      <x:c r="G269" t="s">
        <x:v>712</x:v>
      </x:c>
      <x:c r="H269" t="s">
        <x:v>705</x:v>
      </x:c>
      <x:c r="I269">
        <x:v>13</x:v>
      </x:c>
      <x:c r="J269">
        <x:v>3</x:v>
      </x:c>
      <x:c r="K269">
        <x:v>1</x:v>
      </x:c>
      <x:c r="L269" t="str">
        <x:f t="shared" si="4">IF(F269="Line",IF(AND(D269="",E269=""),"OK","CHECK"),IF(F269="Section",IF(AND(D269&gt;=1,D269&lt;=I269,E269=""),"OK","CHECK"),IF(F269="Cavity",IF(AND(D269&gt;=1,D269&lt;=I269,E269&gt;=1,E269&lt;=J269),"OK","CHECK"),"CHECK")))</x:f>
        <x:v>OK</x:v>
      </x:c>
      <x:c r="M269" t="n">
        <x:v>265</x:v>
      </x:c>
    </x:row>
  </x:sheetData>
  <x:dataValidations count="3">
    <x:dataValidation sqref="D5:D269">
      <x:formula1>1</x:formula1>
      <x:formula2>13</x:formula2>
    </x:dataValidation>
    <x:dataValidation sqref="E5:E269">
      <x:formula1>1</x:formula1>
      <x:formula2>3</x:formula2>
    </x:dataValidation>
    <x:dataValidation type="list" sqref="F5:F269">
      <x:formula1>"Line,Section,Cavity"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05d01345e04f4a"/>
  </x:tableParts>
</x:worksheet>
</file>

<file path=xl/worksheets/sheet17.xml><?xml version="1.0" encoding="utf-8"?>
<x:worksheet xmlns:x="http://schemas.openxmlformats.org/spreadsheetml/2006/main">
  <x:sheetFormatPr defaultRowHeight="14.25"/>
  <x:cols>
    <x:col min="1" max="1" width="28" customWidth="1"/>
    <x:col min="2" max="2" width="38" customWidth="1"/>
    <x:col min="3" max="6" width="28" customWidth="1"/>
  </x:cols>
  <x:sheetData>
    <x:row r="1" ht="18">
      <x:c r="A1" s="12" t="s">
        <x:v>713</x:v>
      </x:c>
      <x:c r="B1" s="12"/>
      <x:c r="C1" s="12"/>
      <x:c r="D1" s="12"/>
      <x:c r="E1" s="12"/>
      <x:c r="F1" s="12"/>
    </x:row>
    <x:row r="4" ht="15">
      <x:c r="A4" s="14" t="s">
        <x:v>714</x:v>
      </x:c>
      <x:c r="B4" s="14" t="s">
        <x:v>715</x:v>
      </x:c>
      <x:c r="C4" s="14" t="s">
        <x:v>716</x:v>
      </x:c>
      <x:c r="D4" s="14" t="s">
        <x:v>717</x:v>
      </x:c>
      <x:c r="E4" s="14" t="s">
        <x:v>718</x:v>
      </x:c>
      <x:c r="F4" s="14" t="s">
        <x:v>719</x:v>
      </x:c>
    </x:row>
    <x:row r="5">
      <x:c r="A5" t="s">
        <x:v>720</x:v>
      </x:c>
      <x:c r="B5" t="s">
        <x:v>721</x:v>
      </x:c>
      <x:c r="C5" t="s">
        <x:v>164</x:v>
      </x:c>
      <x:c r="D5" t="s">
        <x:v>722</x:v>
      </x:c>
      <x:c r="E5" t="s">
        <x:v>723</x:v>
      </x:c>
      <x:c r="F5" t="s">
        <x:v>724</x:v>
      </x:c>
    </x:row>
    <x:row r="6">
      <x:c r="A6" t="s">
        <x:v>725</x:v>
      </x:c>
      <x:c r="B6" t="s">
        <x:v>726</x:v>
      </x:c>
      <x:c r="C6" t="s">
        <x:v>727</x:v>
      </x:c>
      <x:c r="D6" t="s">
        <x:v>728</x:v>
      </x:c>
      <x:c r="E6" t="s">
        <x:v>729</x:v>
      </x:c>
      <x:c r="F6" t="s">
        <x:v>730</x:v>
      </x:c>
    </x:row>
    <x:row r="7">
      <x:c r="A7" t="s">
        <x:v>731</x:v>
      </x:c>
      <x:c r="B7" t="s">
        <x:v>732</x:v>
      </x:c>
      <x:c r="C7" t="s">
        <x:v>733</x:v>
      </x:c>
      <x:c r="D7" t="s">
        <x:v>734</x:v>
      </x:c>
      <x:c r="E7" t="s">
        <x:v>735</x:v>
      </x:c>
      <x:c r="F7" t="s">
        <x:v>736</x:v>
      </x:c>
    </x:row>
    <x:row r="8">
      <x:c r="A8" t="s">
        <x:v>737</x:v>
      </x:c>
      <x:c r="B8" t="s">
        <x:v>738</x:v>
      </x:c>
      <x:c r="C8" t="s">
        <x:v>739</x:v>
      </x:c>
      <x:c r="D8" t="s">
        <x:v>740</x:v>
      </x:c>
      <x:c r="E8" t="s">
        <x:v>741</x:v>
      </x:c>
      <x:c r="F8" t="s">
        <x:v>742</x:v>
      </x:c>
    </x:row>
    <x:row r="9">
      <x:c r="A9" t="s">
        <x:v>743</x:v>
      </x:c>
      <x:c r="B9" t="s">
        <x:v>744</x:v>
      </x:c>
      <x:c r="C9" t="s">
        <x:v>745</x:v>
      </x:c>
      <x:c r="D9" t="s">
        <x:v>734</x:v>
      </x:c>
      <x:c r="E9" t="s">
        <x:v>746</x:v>
      </x:c>
      <x:c r="F9" t="s">
        <x:v>747</x:v>
      </x:c>
    </x:row>
    <x:row r="10">
      <x:c r="A10" t="s">
        <x:v>748</x:v>
      </x:c>
      <x:c r="B10" t="s">
        <x:v>749</x:v>
      </x:c>
      <x:c r="C10" t="s">
        <x:v>750</x:v>
      </x:c>
      <x:c r="D10" t="s">
        <x:v>751</x:v>
      </x:c>
      <x:c r="E10" t="s">
        <x:v>752</x:v>
      </x:c>
      <x:c r="F10" t="s">
        <x:v>753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41" t="str">
        <x:v>MACHINES — LINE AND MACHINE ARE SEPARATE ENTITIES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>
      <x:c r="A2" s="46" t="str">
        <x:v>One-to-one mapping exists in the sample, but the warehouse no longer assumes Line = Machine permanently.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>
      <x:c r="A4" s="34" t="str">
        <x:v>MachineKey</x:v>
      </x:c>
      <x:c r="B4" s="34" t="str">
        <x:v>FactoryCode</x:v>
      </x:c>
      <x:c r="C4" s="34" t="str">
        <x:v>MachineCode</x:v>
      </x:c>
      <x:c r="D4" s="34" t="str">
        <x:v>MachineName</x:v>
      </x:c>
      <x:c r="E4" s="34" t="str">
        <x:v>CurrentLineNumber</x:v>
      </x:c>
      <x:c r="F4" s="34" t="str">
        <x:v>MachineStatus</x:v>
      </x:c>
      <x:c r="G4" s="34" t="str">
        <x:v>ValidFrom</x:v>
      </x:c>
      <x:c r="H4" s="34" t="str">
        <x:v>ValidTo</x:v>
      </x:c>
      <x:c r="I4" s="34" t="str">
        <x:v>MappingCheck</x:v>
      </x:c>
      <x:c r="J4" s="34" t="str">
        <x:v>RecordStatus</x:v>
      </x:c>
    </x:row>
    <x:row r="5">
      <x:c r="A5" s="50" t="n">
        <x:v>1</x:v>
      </x:c>
      <x:c r="B5" s="50" t="str">
        <x:v>KG01</x:v>
      </x:c>
      <x:c r="C5" s="50" t="str">
        <x:v>M21</x:v>
      </x:c>
      <x:c r="D5" s="50" t="str">
        <x:v>IS Machine 21</x:v>
      </x:c>
      <x:c r="E5" s="50" t="n">
        <x:v>21</x:v>
      </x:c>
      <x:c r="F5" s="50" t="str">
        <x:v>Active</x:v>
      </x:c>
      <x:c r="G5" s="51" t="n">
        <x:v>45658</x:v>
      </x:c>
      <x:c r="H5" s="51"/>
      <x:c r="I5" s="50" t="str">
        <x:v>OK</x:v>
      </x:c>
      <x:c r="J5" s="50" t="str">
        <x:v>Active</x:v>
      </x:c>
    </x:row>
    <x:row r="6">
      <x:c r="A6" s="50" t="n">
        <x:v>2</x:v>
      </x:c>
      <x:c r="B6" s="50" t="str">
        <x:v>KG01</x:v>
      </x:c>
      <x:c r="C6" s="50" t="str">
        <x:v>M22</x:v>
      </x:c>
      <x:c r="D6" s="50" t="str">
        <x:v>IS Machine 22</x:v>
      </x:c>
      <x:c r="E6" s="50" t="n">
        <x:v>22</x:v>
      </x:c>
      <x:c r="F6" s="50" t="str">
        <x:v>Active</x:v>
      </x:c>
      <x:c r="G6" s="51" t="n">
        <x:v>45658</x:v>
      </x:c>
      <x:c r="H6" s="51"/>
      <x:c r="I6" s="50" t="str">
        <x:v>OK</x:v>
      </x:c>
      <x:c r="J6" s="50" t="str">
        <x:v>Active</x:v>
      </x:c>
    </x:row>
    <x:row r="7">
      <x:c r="A7" s="50" t="n">
        <x:v>3</x:v>
      </x:c>
      <x:c r="B7" s="50" t="str">
        <x:v>KG01</x:v>
      </x:c>
      <x:c r="C7" s="50" t="str">
        <x:v>M23</x:v>
      </x:c>
      <x:c r="D7" s="50" t="str">
        <x:v>IS Machine 23</x:v>
      </x:c>
      <x:c r="E7" s="50" t="n">
        <x:v>23</x:v>
      </x:c>
      <x:c r="F7" s="50" t="str">
        <x:v>Active</x:v>
      </x:c>
      <x:c r="G7" s="51" t="n">
        <x:v>45658</x:v>
      </x:c>
      <x:c r="H7" s="51"/>
      <x:c r="I7" s="50" t="str">
        <x:v>OK</x:v>
      </x:c>
      <x:c r="J7" s="50" t="str">
        <x:v>Active</x:v>
      </x:c>
    </x:row>
    <x:row r="8">
      <x:c r="A8" s="50" t="n">
        <x:v>4</x:v>
      </x:c>
      <x:c r="B8" s="50" t="str">
        <x:v>KG01</x:v>
      </x:c>
      <x:c r="C8" s="50" t="str">
        <x:v>M24</x:v>
      </x:c>
      <x:c r="D8" s="50" t="str">
        <x:v>IS Machine 24</x:v>
      </x:c>
      <x:c r="E8" s="50" t="n">
        <x:v>24</x:v>
      </x:c>
      <x:c r="F8" s="50" t="str">
        <x:v>Active</x:v>
      </x:c>
      <x:c r="G8" s="51" t="n">
        <x:v>45658</x:v>
      </x:c>
      <x:c r="H8" s="51"/>
      <x:c r="I8" s="50" t="str">
        <x:v>OK</x:v>
      </x:c>
      <x:c r="J8" s="50" t="str">
        <x:v>Active</x:v>
      </x:c>
    </x:row>
    <x:row r="9">
      <x:c r="A9" s="50" t="n">
        <x:v>5</x:v>
      </x:c>
      <x:c r="B9" s="50" t="str">
        <x:v>KG01</x:v>
      </x:c>
      <x:c r="C9" s="50" t="str">
        <x:v>M25</x:v>
      </x:c>
      <x:c r="D9" s="50" t="str">
        <x:v>IS Machine 25</x:v>
      </x:c>
      <x:c r="E9" s="50" t="n">
        <x:v>25</x:v>
      </x:c>
      <x:c r="F9" s="50" t="str">
        <x:v>Active</x:v>
      </x:c>
      <x:c r="G9" s="51" t="n">
        <x:v>45658</x:v>
      </x:c>
      <x:c r="H9" s="51"/>
      <x:c r="I9" s="50" t="str">
        <x:v>OK</x:v>
      </x:c>
      <x:c r="J9" s="50" t="str">
        <x:v>Active</x:v>
      </x:c>
    </x:row>
  </x:sheetData>
  <x:mergeCells>
    <x:mergeCell ref="A1:J1"/>
    <x:mergeCell ref="A2:J2"/>
  </x:mergeCells>
  <x:dataValidations count="1">
    <x:dataValidation type="list" sqref="F5:F100">
      <x:formula1>"Active,Inactive,Retired"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19d45594514f01"/>
  </x:tableParts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41" t="str">
        <x:v>MACHINE CAPABILITY HISTORY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>
      <x:c r="A2" s="46" t="str">
        <x:v>Effective-dated physical capability. Add versions; do not overwrite history.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</x:row>
    <x:row r="4">
      <x:c r="A4" s="34" t="str">
        <x:v>MachineCapabilityID</x:v>
      </x:c>
      <x:c r="B4" s="34" t="str">
        <x:v>MachineCode</x:v>
      </x:c>
      <x:c r="C4" s="34" t="str">
        <x:v>FactoryCode</x:v>
      </x:c>
      <x:c r="D4" s="34" t="str">
        <x:v>LineNumber</x:v>
      </x:c>
      <x:c r="E4" s="34" t="str">
        <x:v>ValidFrom</x:v>
      </x:c>
      <x:c r="F4" s="34" t="str">
        <x:v>ValidTo</x:v>
      </x:c>
      <x:c r="G4" s="34" t="str">
        <x:v>PhysicalSectionsCapability</x:v>
      </x:c>
      <x:c r="H4" s="34" t="str">
        <x:v>MaxCavityPositionsPerSection</x:v>
      </x:c>
      <x:c r="I4" s="34" t="str">
        <x:v>CapabilitySource</x:v>
      </x:c>
      <x:c r="J4" s="34" t="str">
        <x:v>DateRangeCheck</x:v>
      </x:c>
      <x:c r="K4" s="34" t="str">
        <x:v>PhysicalRangeCheck</x:v>
      </x:c>
      <x:c r="L4" s="34" t="str">
        <x:v>DataQualityCheck</x:v>
      </x:c>
    </x:row>
    <x:row r="5">
      <x:c r="A5" s="50" t="str">
        <x:v>MCAP-M21-20250101</x:v>
      </x:c>
      <x:c r="B5" s="50" t="str">
        <x:v>M21</x:v>
      </x:c>
      <x:c r="C5" s="50" t="str">
        <x:v>KG01</x:v>
      </x:c>
      <x:c r="D5" s="50" t="n">
        <x:v>21</x:v>
      </x:c>
      <x:c r="E5" s="51" t="n">
        <x:v>45658</x:v>
      </x:c>
      <x:c r="F5" s="51"/>
      <x:c r="G5" s="50" t="n">
        <x:v>13</x:v>
      </x:c>
      <x:c r="H5" s="50" t="n">
        <x:v>3</x:v>
      </x:c>
      <x:c r="I5" s="50" t="str">
        <x:v>CurrentMasterBaseline</x:v>
      </x:c>
      <x:c r="J5" s="50" t="str">
        <x:f>IF(OR(F5="",E5&lt;=F5),"OK","CHECK")</x:f>
        <x:v>OK</x:v>
      </x:c>
      <x:c r="K5" s="50" t="str">
        <x:f>IF(AND(G5&gt;=1,G5&lt;=13,H5&gt;=1,H5&lt;=3),"OK","CHECK")</x:f>
        <x:v>OK</x:v>
      </x:c>
      <x:c r="L5" s="50" t="str">
        <x:f>IF(AND(J5="OK",K5="OK"),"OK","CHECK")</x:f>
        <x:v>OK</x:v>
      </x:c>
    </x:row>
    <x:row r="6">
      <x:c r="A6" s="50" t="str">
        <x:v>MCAP-M22-20250101</x:v>
      </x:c>
      <x:c r="B6" s="50" t="str">
        <x:v>M22</x:v>
      </x:c>
      <x:c r="C6" s="50" t="str">
        <x:v>KG01</x:v>
      </x:c>
      <x:c r="D6" s="50" t="n">
        <x:v>22</x:v>
      </x:c>
      <x:c r="E6" s="51" t="n">
        <x:v>45658</x:v>
      </x:c>
      <x:c r="F6" s="51"/>
      <x:c r="G6" s="50" t="n">
        <x:v>13</x:v>
      </x:c>
      <x:c r="H6" s="50" t="n">
        <x:v>3</x:v>
      </x:c>
      <x:c r="I6" s="50" t="str">
        <x:v>CurrentMasterBaseline</x:v>
      </x:c>
      <x:c r="J6" s="50" t="str">
        <x:f>IF(OR(F6="",E6&lt;=F6),"OK","CHECK")</x:f>
        <x:v>OK</x:v>
      </x:c>
      <x:c r="K6" s="50" t="str">
        <x:f>IF(AND(G6&gt;=1,G6&lt;=13,H6&gt;=1,H6&lt;=3),"OK","CHECK")</x:f>
        <x:v>OK</x:v>
      </x:c>
      <x:c r="L6" s="50" t="str">
        <x:f>IF(AND(J6="OK",K6="OK"),"OK","CHECK")</x:f>
        <x:v>OK</x:v>
      </x:c>
    </x:row>
    <x:row r="7">
      <x:c r="A7" s="50" t="str">
        <x:v>MCAP-M23-20250101</x:v>
      </x:c>
      <x:c r="B7" s="50" t="str">
        <x:v>M23</x:v>
      </x:c>
      <x:c r="C7" s="50" t="str">
        <x:v>KG01</x:v>
      </x:c>
      <x:c r="D7" s="50" t="n">
        <x:v>23</x:v>
      </x:c>
      <x:c r="E7" s="51" t="n">
        <x:v>45658</x:v>
      </x:c>
      <x:c r="F7" s="51"/>
      <x:c r="G7" s="50" t="n">
        <x:v>13</x:v>
      </x:c>
      <x:c r="H7" s="50" t="n">
        <x:v>3</x:v>
      </x:c>
      <x:c r="I7" s="50" t="str">
        <x:v>CurrentMasterBaseline</x:v>
      </x:c>
      <x:c r="J7" s="50" t="str">
        <x:f>IF(OR(F7="",E7&lt;=F7),"OK","CHECK")</x:f>
        <x:v>OK</x:v>
      </x:c>
      <x:c r="K7" s="50" t="str">
        <x:f>IF(AND(G7&gt;=1,G7&lt;=13,H7&gt;=1,H7&lt;=3),"OK","CHECK")</x:f>
        <x:v>OK</x:v>
      </x:c>
      <x:c r="L7" s="50" t="str">
        <x:f>IF(AND(J7="OK",K7="OK"),"OK","CHECK")</x:f>
        <x:v>OK</x:v>
      </x:c>
    </x:row>
    <x:row r="8">
      <x:c r="A8" s="50" t="str">
        <x:v>MCAP-M24-20250101</x:v>
      </x:c>
      <x:c r="B8" s="50" t="str">
        <x:v>M24</x:v>
      </x:c>
      <x:c r="C8" s="50" t="str">
        <x:v>KG01</x:v>
      </x:c>
      <x:c r="D8" s="50" t="n">
        <x:v>24</x:v>
      </x:c>
      <x:c r="E8" s="51" t="n">
        <x:v>45658</x:v>
      </x:c>
      <x:c r="F8" s="51"/>
      <x:c r="G8" s="50" t="n">
        <x:v>13</x:v>
      </x:c>
      <x:c r="H8" s="50" t="n">
        <x:v>3</x:v>
      </x:c>
      <x:c r="I8" s="50" t="str">
        <x:v>CurrentMasterBaseline</x:v>
      </x:c>
      <x:c r="J8" s="50" t="str">
        <x:f>IF(OR(F8="",E8&lt;=F8),"OK","CHECK")</x:f>
        <x:v>OK</x:v>
      </x:c>
      <x:c r="K8" s="50" t="str">
        <x:f>IF(AND(G8&gt;=1,G8&lt;=13,H8&gt;=1,H8&lt;=3),"OK","CHECK")</x:f>
        <x:v>OK</x:v>
      </x:c>
      <x:c r="L8" s="50" t="str">
        <x:f>IF(AND(J8="OK",K8="OK"),"OK","CHECK")</x:f>
        <x:v>OK</x:v>
      </x:c>
    </x:row>
    <x:row r="9">
      <x:c r="A9" s="50" t="str">
        <x:v>MCAP-M25-20250101</x:v>
      </x:c>
      <x:c r="B9" s="50" t="str">
        <x:v>M25</x:v>
      </x:c>
      <x:c r="C9" s="50" t="str">
        <x:v>KG01</x:v>
      </x:c>
      <x:c r="D9" s="50" t="n">
        <x:v>25</x:v>
      </x:c>
      <x:c r="E9" s="51" t="n">
        <x:v>45658</x:v>
      </x:c>
      <x:c r="F9" s="51"/>
      <x:c r="G9" s="50" t="n">
        <x:v>13</x:v>
      </x:c>
      <x:c r="H9" s="50" t="n">
        <x:v>3</x:v>
      </x:c>
      <x:c r="I9" s="50" t="str">
        <x:v>CurrentMasterBaseline</x:v>
      </x:c>
      <x:c r="J9" s="50" t="str">
        <x:f>IF(OR(F9="",E9&lt;=F9),"OK","CHECK")</x:f>
        <x:v>OK</x:v>
      </x:c>
      <x:c r="K9" s="50" t="str">
        <x:f>IF(AND(G9&gt;=1,G9&lt;=13,H9&gt;=1,H9&lt;=3),"OK","CHECK")</x:f>
        <x:v>OK</x:v>
      </x:c>
      <x:c r="L9" s="50" t="str">
        <x:f>IF(AND(J9="OK",K9="OK"),"OK","CHECK")</x:f>
        <x:v>OK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08ec1294beb4da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41" t="str">
        <x:v>PRODUCT–LINE CAPABILITY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</x:row>
    <x:row r="2">
      <x:c r="A2" s="46" t="str">
        <x:v>Intermediate layer: physical machine capability → approved product/line capability → actual production-event configuration. Baselines require engineering review.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</x:row>
    <x:row r="4" ht="36" customHeight="1">
      <x:c r="A4" s="34" t="str">
        <x:v>ProductLineCapabilityID</x:v>
      </x:c>
      <x:c r="B4" s="34" t="str">
        <x:v>ProductCode</x:v>
      </x:c>
      <x:c r="C4" s="34" t="str">
        <x:v>FactoryCode</x:v>
      </x:c>
      <x:c r="D4" s="34" t="str">
        <x:v>LineNumber</x:v>
      </x:c>
      <x:c r="E4" s="34" t="str">
        <x:v>MachineCode</x:v>
      </x:c>
      <x:c r="F4" s="34" t="str">
        <x:v>ValidFrom</x:v>
      </x:c>
      <x:c r="G4" s="34" t="str">
        <x:v>ValidTo</x:v>
      </x:c>
      <x:c r="H4" s="34" t="str">
        <x:v>MaxSectionsAllowed</x:v>
      </x:c>
      <x:c r="I4" s="34" t="str">
        <x:v>MaxCavitiesPerSectionAllowed</x:v>
      </x:c>
      <x:c r="J4" s="34" t="str">
        <x:v>MinDesignedCyclesPerMin</x:v>
      </x:c>
      <x:c r="K4" s="34" t="str">
        <x:v>MaxDesignedCyclesPerMin</x:v>
      </x:c>
      <x:c r="L4" s="34" t="str">
        <x:v>CapabilitySource</x:v>
      </x:c>
      <x:c r="M4" s="34" t="str">
        <x:v>ReviewStatus</x:v>
      </x:c>
      <x:c r="N4" s="34" t="str">
        <x:v>PhysicalCapabilityCheck</x:v>
      </x:c>
      <x:c r="O4" s="34" t="str">
        <x:v>ObservedConfigurationCheck</x:v>
      </x:c>
      <x:c r="P4" s="34" t="str">
        <x:v>DataQualityCheck</x:v>
      </x:c>
    </x:row>
    <x:row r="5">
      <x:c r="A5" s="50" t="str">
        <x:v>PLC-PRD-BOT-500-L22</x:v>
      </x:c>
      <x:c r="B5" s="50" t="str">
        <x:v>PRD-BOT-500</x:v>
      </x:c>
      <x:c r="C5" s="50" t="str">
        <x:v>KG01</x:v>
      </x:c>
      <x:c r="D5" s="50" t="n">
        <x:v>22</x:v>
      </x:c>
      <x:c r="E5" s="50" t="str">
        <x:v>M22</x:v>
      </x:c>
      <x:c r="F5" s="51" t="n">
        <x:v>45658</x:v>
      </x:c>
      <x:c r="G5" s="51"/>
      <x:c r="H5" s="50" t="n">
        <x:v>10</x:v>
      </x:c>
      <x:c r="I5" s="50" t="n">
        <x:v>3</x:v>
      </x:c>
      <x:c r="J5" s="50" t="n">
        <x:v>12</x:v>
      </x:c>
      <x:c r="K5" s="50" t="n">
        <x:v>14</x:v>
      </x:c>
      <x:c r="L5" s="50" t="str">
        <x:v>ObservedBaseline-ReviewBeforeProductionUse</x:v>
      </x:c>
      <x:c r="M5" s="50" t="str">
        <x:v>ReviewRequired</x:v>
      </x:c>
      <x:c r="N5" s="50" t="str">
        <x:f>IF(AND(H5&gt;=1,H5&lt;=13,I5&gt;=1,I5&lt;=3),"OK","CHECK")</x:f>
        <x:v>OK</x:v>
      </x:c>
      <x:c r="O5" s="50" t="str">
        <x:v>CHECK</x:v>
      </x:c>
      <x:c r="P5" s="50" t="str">
        <x:f>IF(AND(N5="OK",O5="OK"),"OK","CHECK")</x:f>
        <x:v>CHECK</x:v>
      </x:c>
    </x:row>
    <x:row r="6">
      <x:c r="A6" s="50" t="str">
        <x:v>PLC-PRD-BOT-500-L24</x:v>
      </x:c>
      <x:c r="B6" s="50" t="str">
        <x:v>PRD-BOT-500</x:v>
      </x:c>
      <x:c r="C6" s="50" t="str">
        <x:v>KG01</x:v>
      </x:c>
      <x:c r="D6" s="50" t="n">
        <x:v>24</x:v>
      </x:c>
      <x:c r="E6" s="50" t="str">
        <x:v>M24</x:v>
      </x:c>
      <x:c r="F6" s="51" t="n">
        <x:v>45658</x:v>
      </x:c>
      <x:c r="G6" s="51"/>
      <x:c r="H6" s="50" t="n">
        <x:v>12</x:v>
      </x:c>
      <x:c r="I6" s="50" t="n">
        <x:v>3</x:v>
      </x:c>
      <x:c r="J6" s="50" t="n">
        <x:v>13</x:v>
      </x:c>
      <x:c r="K6" s="50" t="n">
        <x:v>13</x:v>
      </x:c>
      <x:c r="L6" s="50" t="str">
        <x:v>ObservedBaseline-ReviewBeforeProductionUse</x:v>
      </x:c>
      <x:c r="M6" s="50" t="str">
        <x:v>ReviewRequired</x:v>
      </x:c>
      <x:c r="N6" s="50" t="str">
        <x:f>IF(AND(H6&gt;=1,H6&lt;=13,I6&gt;=1,I6&lt;=3),"OK","CHECK")</x:f>
        <x:v>OK</x:v>
      </x:c>
      <x:c r="O6" s="50" t="str">
        <x:v>CHECK</x:v>
      </x:c>
      <x:c r="P6" s="50" t="str">
        <x:f>IF(AND(N6="OK",O6="OK"),"OK","CHECK")</x:f>
        <x:v>CHECK</x:v>
      </x:c>
    </x:row>
    <x:row r="7">
      <x:c r="A7" s="50" t="str">
        <x:v>PLC-PRD-JAR-330-L21</x:v>
      </x:c>
      <x:c r="B7" s="50" t="str">
        <x:v>PRD-JAR-330</x:v>
      </x:c>
      <x:c r="C7" s="50" t="str">
        <x:v>KG01</x:v>
      </x:c>
      <x:c r="D7" s="50" t="n">
        <x:v>21</x:v>
      </x:c>
      <x:c r="E7" s="50" t="str">
        <x:v>M21</x:v>
      </x:c>
      <x:c r="F7" s="51" t="n">
        <x:v>45658</x:v>
      </x:c>
      <x:c r="G7" s="51"/>
      <x:c r="H7" s="50" t="n">
        <x:v>10</x:v>
      </x:c>
      <x:c r="I7" s="50" t="n">
        <x:v>3</x:v>
      </x:c>
      <x:c r="J7" s="50" t="n">
        <x:v>11</x:v>
      </x:c>
      <x:c r="K7" s="50" t="n">
        <x:v>13</x:v>
      </x:c>
      <x:c r="L7" s="50" t="str">
        <x:v>ObservedBaseline-ReviewBeforeProductionUse</x:v>
      </x:c>
      <x:c r="M7" s="50" t="str">
        <x:v>BaselineObserved</x:v>
      </x:c>
      <x:c r="N7" s="50" t="str">
        <x:f>IF(AND(H7&gt;=1,H7&lt;=13,I7&gt;=1,I7&lt;=3),"OK","CHECK")</x:f>
        <x:v>OK</x:v>
      </x:c>
      <x:c r="O7" s="50" t="str">
        <x:v>OK</x:v>
      </x:c>
      <x:c r="P7" s="50" t="str">
        <x:f>IF(AND(N7="OK",O7="OK"),"OK","CHECK")</x:f>
        <x:v>OK</x:v>
      </x:c>
    </x:row>
    <x:row r="8">
      <x:c r="A8" s="50" t="str">
        <x:v>PLC-PRD-JAR-330-L23</x:v>
      </x:c>
      <x:c r="B8" s="50" t="str">
        <x:v>PRD-JAR-330</x:v>
      </x:c>
      <x:c r="C8" s="50" t="str">
        <x:v>KG01</x:v>
      </x:c>
      <x:c r="D8" s="50" t="n">
        <x:v>23</x:v>
      </x:c>
      <x:c r="E8" s="50" t="str">
        <x:v>M23</x:v>
      </x:c>
      <x:c r="F8" s="51" t="n">
        <x:v>45658</x:v>
      </x:c>
      <x:c r="G8" s="51"/>
      <x:c r="H8" s="50" t="n">
        <x:v>12</x:v>
      </x:c>
      <x:c r="I8" s="50" t="n">
        <x:v>3</x:v>
      </x:c>
      <x:c r="J8" s="50" t="n">
        <x:v>11</x:v>
      </x:c>
      <x:c r="K8" s="50" t="n">
        <x:v>13</x:v>
      </x:c>
      <x:c r="L8" s="50" t="str">
        <x:v>ObservedBaseline-ReviewBeforeProductionUse</x:v>
      </x:c>
      <x:c r="M8" s="50" t="str">
        <x:v>BaselineObserved</x:v>
      </x:c>
      <x:c r="N8" s="50" t="str">
        <x:f>IF(AND(H8&gt;=1,H8&lt;=13,I8&gt;=1,I8&lt;=3),"OK","CHECK")</x:f>
        <x:v>OK</x:v>
      </x:c>
      <x:c r="O8" s="50" t="str">
        <x:v>OK</x:v>
      </x:c>
      <x:c r="P8" s="50" t="str">
        <x:f>IF(AND(N8="OK",O8="OK"),"OK","CHECK")</x:f>
        <x:v>OK</x:v>
      </x:c>
    </x:row>
    <x:row r="9">
      <x:c r="A9" s="50" t="str">
        <x:v>PLC-PRD-JAR-330-L24</x:v>
      </x:c>
      <x:c r="B9" s="50" t="str">
        <x:v>PRD-JAR-330</x:v>
      </x:c>
      <x:c r="C9" s="50" t="str">
        <x:v>KG01</x:v>
      </x:c>
      <x:c r="D9" s="50" t="n">
        <x:v>24</x:v>
      </x:c>
      <x:c r="E9" s="50" t="str">
        <x:v>M24</x:v>
      </x:c>
      <x:c r="F9" s="51" t="n">
        <x:v>45658</x:v>
      </x:c>
      <x:c r="G9" s="51"/>
      <x:c r="H9" s="50" t="n">
        <x:v>12</x:v>
      </x:c>
      <x:c r="I9" s="50" t="n">
        <x:v>3</x:v>
      </x:c>
      <x:c r="J9" s="50" t="n">
        <x:v>11</x:v>
      </x:c>
      <x:c r="K9" s="50" t="n">
        <x:v>13</x:v>
      </x:c>
      <x:c r="L9" s="50" t="str">
        <x:v>ObservedBaseline-ReviewBeforeProductionUse</x:v>
      </x:c>
      <x:c r="M9" s="50" t="str">
        <x:v>BaselineObserved</x:v>
      </x:c>
      <x:c r="N9" s="50" t="str">
        <x:f>IF(AND(H9&gt;=1,H9&lt;=13,I9&gt;=1,I9&lt;=3),"OK","CHECK")</x:f>
        <x:v>OK</x:v>
      </x:c>
      <x:c r="O9" s="50" t="str">
        <x:v>OK</x:v>
      </x:c>
      <x:c r="P9" s="50" t="str">
        <x:f>IF(AND(N9="OK",O9="OK"),"OK","CHECK")</x:f>
        <x:v>OK</x:v>
      </x:c>
    </x:row>
    <x:row r="10">
      <x:c r="A10" s="50" t="str">
        <x:v>PLC-PRD-JAR-330-L25</x:v>
      </x:c>
      <x:c r="B10" s="50" t="str">
        <x:v>PRD-JAR-330</x:v>
      </x:c>
      <x:c r="C10" s="50" t="str">
        <x:v>KG01</x:v>
      </x:c>
      <x:c r="D10" s="50" t="n">
        <x:v>25</x:v>
      </x:c>
      <x:c r="E10" s="50" t="str">
        <x:v>M25</x:v>
      </x:c>
      <x:c r="F10" s="51" t="n">
        <x:v>45658</x:v>
      </x:c>
      <x:c r="G10" s="51"/>
      <x:c r="H10" s="50" t="n">
        <x:v>8</x:v>
      </x:c>
      <x:c r="I10" s="50" t="n">
        <x:v>3</x:v>
      </x:c>
      <x:c r="J10" s="50" t="n">
        <x:v>11</x:v>
      </x:c>
      <x:c r="K10" s="50" t="n">
        <x:v>12</x:v>
      </x:c>
      <x:c r="L10" s="50" t="str">
        <x:v>ObservedBaseline-ReviewBeforeProductionUse</x:v>
      </x:c>
      <x:c r="M10" s="50" t="str">
        <x:v>BaselineObserved</x:v>
      </x:c>
      <x:c r="N10" s="50" t="str">
        <x:f>IF(AND(H10&gt;=1,H10&lt;=13,I10&gt;=1,I10&lt;=3),"OK","CHECK")</x:f>
        <x:v>OK</x:v>
      </x:c>
      <x:c r="O10" s="50" t="str">
        <x:v>OK</x:v>
      </x:c>
      <x:c r="P10" s="50" t="str">
        <x:f>IF(AND(N10="OK",O10="OK"),"OK","CHECK")</x:f>
        <x:v>OK</x:v>
      </x:c>
    </x:row>
    <x:row r="11">
      <x:c r="A11" s="50" t="str">
        <x:v>PLC-PRD-JAR-720-L21</x:v>
      </x:c>
      <x:c r="B11" s="50" t="str">
        <x:v>PRD-JAR-720</x:v>
      </x:c>
      <x:c r="C11" s="50" t="str">
        <x:v>KG01</x:v>
      </x:c>
      <x:c r="D11" s="50" t="n">
        <x:v>21</x:v>
      </x:c>
      <x:c r="E11" s="50" t="str">
        <x:v>M21</x:v>
      </x:c>
      <x:c r="F11" s="51" t="n">
        <x:v>45658</x:v>
      </x:c>
      <x:c r="G11" s="51"/>
      <x:c r="H11" s="50" t="n">
        <x:v>10</x:v>
      </x:c>
      <x:c r="I11" s="50" t="n">
        <x:v>2</x:v>
      </x:c>
      <x:c r="J11" s="50" t="n">
        <x:v>9</x:v>
      </x:c>
      <x:c r="K11" s="50" t="n">
        <x:v>11</x:v>
      </x:c>
      <x:c r="L11" s="50" t="str">
        <x:v>ObservedBaseline-ReviewBeforeProductionUse</x:v>
      </x:c>
      <x:c r="M11" s="50" t="str">
        <x:v>BaselineObserved</x:v>
      </x:c>
      <x:c r="N11" s="50" t="str">
        <x:f>IF(AND(H11&gt;=1,H11&lt;=13,I11&gt;=1,I11&lt;=3),"OK","CHECK")</x:f>
        <x:v>OK</x:v>
      </x:c>
      <x:c r="O11" s="50" t="str">
        <x:v>OK</x:v>
      </x:c>
      <x:c r="P11" s="50" t="str">
        <x:f>IF(AND(N11="OK",O11="OK"),"OK","CHECK")</x:f>
        <x:v>OK</x:v>
      </x:c>
    </x:row>
    <x:row r="12">
      <x:c r="A12" s="50" t="str">
        <x:v>PLC-PRD-JAR-720-L22</x:v>
      </x:c>
      <x:c r="B12" s="50" t="str">
        <x:v>PRD-JAR-720</x:v>
      </x:c>
      <x:c r="C12" s="50" t="str">
        <x:v>KG01</x:v>
      </x:c>
      <x:c r="D12" s="50" t="n">
        <x:v>22</x:v>
      </x:c>
      <x:c r="E12" s="50" t="str">
        <x:v>M22</x:v>
      </x:c>
      <x:c r="F12" s="51" t="n">
        <x:v>45658</x:v>
      </x:c>
      <x:c r="G12" s="51"/>
      <x:c r="H12" s="50" t="n">
        <x:v>10</x:v>
      </x:c>
      <x:c r="I12" s="50" t="n">
        <x:v>2</x:v>
      </x:c>
      <x:c r="J12" s="50" t="n">
        <x:v>9</x:v>
      </x:c>
      <x:c r="K12" s="50" t="n">
        <x:v>11</x:v>
      </x:c>
      <x:c r="L12" s="50" t="str">
        <x:v>ObservedBaseline-ReviewBeforeProductionUse</x:v>
      </x:c>
      <x:c r="M12" s="50" t="str">
        <x:v>BaselineObserved</x:v>
      </x:c>
      <x:c r="N12" s="50" t="str">
        <x:f>IF(AND(H12&gt;=1,H12&lt;=13,I12&gt;=1,I12&lt;=3),"OK","CHECK")</x:f>
        <x:v>OK</x:v>
      </x:c>
      <x:c r="O12" s="50" t="str">
        <x:v>OK</x:v>
      </x:c>
      <x:c r="P12" s="50" t="str">
        <x:f>IF(AND(N12="OK",O12="OK"),"OK","CHECK")</x:f>
        <x:v>OK</x:v>
      </x:c>
    </x:row>
    <x:row r="13">
      <x:c r="A13" s="50" t="str">
        <x:v>PLC-PRD-JAR-720-L23</x:v>
      </x:c>
      <x:c r="B13" s="50" t="str">
        <x:v>PRD-JAR-720</x:v>
      </x:c>
      <x:c r="C13" s="50" t="str">
        <x:v>KG01</x:v>
      </x:c>
      <x:c r="D13" s="50" t="n">
        <x:v>23</x:v>
      </x:c>
      <x:c r="E13" s="50" t="str">
        <x:v>M23</x:v>
      </x:c>
      <x:c r="F13" s="51" t="n">
        <x:v>45658</x:v>
      </x:c>
      <x:c r="G13" s="51"/>
      <x:c r="H13" s="50" t="n">
        <x:v>12</x:v>
      </x:c>
      <x:c r="I13" s="50" t="n">
        <x:v>2</x:v>
      </x:c>
      <x:c r="J13" s="50" t="n">
        <x:v>9</x:v>
      </x:c>
      <x:c r="K13" s="50" t="n">
        <x:v>11</x:v>
      </x:c>
      <x:c r="L13" s="50" t="str">
        <x:v>ObservedBaseline-ReviewBeforeProductionUse</x:v>
      </x:c>
      <x:c r="M13" s="50" t="str">
        <x:v>BaselineObserved</x:v>
      </x:c>
      <x:c r="N13" s="50" t="str">
        <x:f>IF(AND(H13&gt;=1,H13&lt;=13,I13&gt;=1,I13&lt;=3),"OK","CHECK")</x:f>
        <x:v>OK</x:v>
      </x:c>
      <x:c r="O13" s="50" t="str">
        <x:v>OK</x:v>
      </x:c>
      <x:c r="P13" s="50" t="str">
        <x:f>IF(AND(N13="OK",O13="OK"),"OK","CHECK")</x:f>
        <x:v>OK</x:v>
      </x:c>
    </x:row>
    <x:row r="14">
      <x:c r="A14" s="50" t="str">
        <x:v>PLC-PRD-JAR-720-L24</x:v>
      </x:c>
      <x:c r="B14" s="50" t="str">
        <x:v>PRD-JAR-720</x:v>
      </x:c>
      <x:c r="C14" s="50" t="str">
        <x:v>KG01</x:v>
      </x:c>
      <x:c r="D14" s="50" t="n">
        <x:v>24</x:v>
      </x:c>
      <x:c r="E14" s="50" t="str">
        <x:v>M24</x:v>
      </x:c>
      <x:c r="F14" s="51" t="n">
        <x:v>45658</x:v>
      </x:c>
      <x:c r="G14" s="51"/>
      <x:c r="H14" s="50" t="n">
        <x:v>12</x:v>
      </x:c>
      <x:c r="I14" s="50" t="n">
        <x:v>2</x:v>
      </x:c>
      <x:c r="J14" s="50" t="n">
        <x:v>9</x:v>
      </x:c>
      <x:c r="K14" s="50" t="n">
        <x:v>11</x:v>
      </x:c>
      <x:c r="L14" s="50" t="str">
        <x:v>ObservedBaseline-ReviewBeforeProductionUse</x:v>
      </x:c>
      <x:c r="M14" s="50" t="str">
        <x:v>BaselineObserved</x:v>
      </x:c>
      <x:c r="N14" s="50" t="str">
        <x:f>IF(AND(H14&gt;=1,H14&lt;=13,I14&gt;=1,I14&lt;=3),"OK","CHECK")</x:f>
        <x:v>OK</x:v>
      </x:c>
      <x:c r="O14" s="50" t="str">
        <x:v>OK</x:v>
      </x:c>
      <x:c r="P14" s="50" t="str">
        <x:f>IF(AND(N14="OK",O14="OK"),"OK","CHECK")</x:f>
        <x:v>OK</x:v>
      </x:c>
    </x:row>
    <x:row r="15">
      <x:c r="A15" s="50" t="str">
        <x:v>PLC-PRD-JAR-720-L25</x:v>
      </x:c>
      <x:c r="B15" s="50" t="str">
        <x:v>PRD-JAR-720</x:v>
      </x:c>
      <x:c r="C15" s="50" t="str">
        <x:v>KG01</x:v>
      </x:c>
      <x:c r="D15" s="50" t="n">
        <x:v>25</x:v>
      </x:c>
      <x:c r="E15" s="50" t="str">
        <x:v>M25</x:v>
      </x:c>
      <x:c r="F15" s="51" t="n">
        <x:v>45658</x:v>
      </x:c>
      <x:c r="G15" s="51"/>
      <x:c r="H15" s="50" t="n">
        <x:v>8</x:v>
      </x:c>
      <x:c r="I15" s="50" t="n">
        <x:v>2</x:v>
      </x:c>
      <x:c r="J15" s="50" t="n">
        <x:v>9</x:v>
      </x:c>
      <x:c r="K15" s="50" t="n">
        <x:v>10</x:v>
      </x:c>
      <x:c r="L15" s="50" t="str">
        <x:v>ObservedBaseline-ReviewBeforeProductionUse</x:v>
      </x:c>
      <x:c r="M15" s="50" t="str">
        <x:v>BaselineObserved</x:v>
      </x:c>
      <x:c r="N15" s="50" t="str">
        <x:f>IF(AND(H15&gt;=1,H15&lt;=13,I15&gt;=1,I15&lt;=3),"OK","CHECK")</x:f>
        <x:v>OK</x:v>
      </x:c>
      <x:c r="O15" s="50" t="str">
        <x:v>OK</x:v>
      </x:c>
      <x:c r="P15" s="50" t="str">
        <x:f>IF(AND(N15="OK",O15="OK"),"OK","CHECK")</x:f>
        <x:v>OK</x:v>
      </x:c>
    </x:row>
  </x:sheetData>
  <x:mergeCells>
    <x:mergeCell ref="A1:P1"/>
    <x:mergeCell ref="A2:P2"/>
  </x:mergeCells>
  <x:dataValidations count="1">
    <x:dataValidation type="list" sqref="M5:M1000">
      <x:formula1>"BaselineObserved,ReviewRequired,Approved,Retired"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7db5a7c7f40ba"/>
  </x:tableParts>
</x:worksheet>
</file>

<file path=xl/worksheets/sheet21.xml><?xml version="1.0" encoding="utf-8"?>
<x:worksheet xmlns:x="http://schemas.openxmlformats.org/spreadsheetml/2006/main">
  <x:sheetFormatPr defaultRowHeight="15"/>
  <x:sheetData>
    <x:row r="1">
      <x:c r="A1" s="41" t="str">
        <x:v>JOB CHANGE TARGET HISTORY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>
      <x:c r="A2" s="46" t="str">
        <x:v>Targets are separated from classifications and effective-dated.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>
      <x:c r="A4" s="34" t="str">
        <x:v>JobChangeTargetID</x:v>
      </x:c>
      <x:c r="B4" s="34" t="str">
        <x:v>JobChangeTypeName</x:v>
      </x:c>
      <x:c r="C4" s="34" t="str">
        <x:v>ValidFrom</x:v>
      </x:c>
      <x:c r="D4" s="34" t="str">
        <x:v>ValidTo</x:v>
      </x:c>
      <x:c r="E4" s="34" t="str">
        <x:v>TargetT1_Hrs</x:v>
      </x:c>
      <x:c r="F4" s="34" t="str">
        <x:v>TargetT2_Hrs</x:v>
      </x:c>
      <x:c r="G4" s="34" t="str">
        <x:v>TargetSource</x:v>
      </x:c>
      <x:c r="H4" s="34" t="str">
        <x:v>DateRangeCheck</x:v>
      </x:c>
      <x:c r="I4" s="34" t="str">
        <x:v>TargetRangeCheck</x:v>
      </x:c>
      <x:c r="J4" s="34" t="str">
        <x:v>DataQualityCheck</x:v>
      </x:c>
    </x:row>
    <x:row r="5">
      <x:c r="A5" s="50" t="str">
        <x:v>JCT-Small-20250101</x:v>
      </x:c>
      <x:c r="B5" s="50" t="str">
        <x:v>Small</x:v>
      </x:c>
      <x:c r="C5" s="51" t="n">
        <x:v>45658</x:v>
      </x:c>
      <x:c r="D5" s="51"/>
      <x:c r="E5" s="50" t="n">
        <x:v>1.5</x:v>
      </x:c>
      <x:c r="F5" s="50" t="n">
        <x:v>0.5</x:v>
      </x:c>
      <x:c r="G5" s="50" t="str">
        <x:v>LegacyJobChangeTypes</x:v>
      </x:c>
      <x:c r="H5" s="50" t="str">
        <x:f>IF(OR(D5="",C5&lt;=D5),"OK","CHECK")</x:f>
        <x:v>OK</x:v>
      </x:c>
      <x:c r="I5" s="50" t="str">
        <x:f>IF(AND(E5&gt;=0,F5&gt;=0),"OK","CHECK")</x:f>
        <x:v>OK</x:v>
      </x:c>
      <x:c r="J5" s="50" t="str">
        <x:f>IF(AND(H5="OK",I5="OK"),"OK","CHECK")</x:f>
        <x:v>OK</x:v>
      </x:c>
    </x:row>
    <x:row r="6">
      <x:c r="A6" s="50" t="str">
        <x:v>JCT-Medium-20250101</x:v>
      </x:c>
      <x:c r="B6" s="50" t="str">
        <x:v>Medium</x:v>
      </x:c>
      <x:c r="C6" s="51" t="n">
        <x:v>45658</x:v>
      </x:c>
      <x:c r="D6" s="51"/>
      <x:c r="E6" s="50" t="n">
        <x:v>3</x:v>
      </x:c>
      <x:c r="F6" s="50" t="n">
        <x:v>1</x:v>
      </x:c>
      <x:c r="G6" s="50" t="str">
        <x:v>LegacyJobChangeTypes</x:v>
      </x:c>
      <x:c r="H6" s="50" t="str">
        <x:f>IF(OR(D6="",C6&lt;=D6),"OK","CHECK")</x:f>
        <x:v>OK</x:v>
      </x:c>
      <x:c r="I6" s="50" t="str">
        <x:f>IF(AND(E6&gt;=0,F6&gt;=0),"OK","CHECK")</x:f>
        <x:v>OK</x:v>
      </x:c>
      <x:c r="J6" s="50" t="str">
        <x:f>IF(AND(H6="OK",I6="OK"),"OK","CHECK")</x:f>
        <x:v>OK</x:v>
      </x:c>
    </x:row>
    <x:row r="7">
      <x:c r="A7" s="50" t="str">
        <x:v>JCT-Big-20250101</x:v>
      </x:c>
      <x:c r="B7" s="50" t="str">
        <x:v>Big</x:v>
      </x:c>
      <x:c r="C7" s="51" t="n">
        <x:v>45658</x:v>
      </x:c>
      <x:c r="D7" s="51"/>
      <x:c r="E7" s="50" t="n">
        <x:v>6</x:v>
      </x:c>
      <x:c r="F7" s="50" t="n">
        <x:v>2</x:v>
      </x:c>
      <x:c r="G7" s="50" t="str">
        <x:v>LegacyJobChangeTypes</x:v>
      </x:c>
      <x:c r="H7" s="50" t="str">
        <x:f>IF(OR(D7="",C7&lt;=D7),"OK","CHECK")</x:f>
        <x:v>OK</x:v>
      </x:c>
      <x:c r="I7" s="50" t="str">
        <x:f>IF(AND(E7&gt;=0,F7&gt;=0),"OK","CHECK")</x:f>
        <x:v>OK</x:v>
      </x:c>
      <x:c r="J7" s="50" t="str">
        <x:f>IF(AND(H7="OK",I7="OK"),"OK","CHECK")</x:f>
        <x:v>OK</x:v>
      </x:c>
    </x:row>
    <x:row r="8">
      <x:c r="A8" s="50" t="str">
        <x:v>JCT-Process-20250101</x:v>
      </x:c>
      <x:c r="B8" s="50" t="str">
        <x:v>Process</x:v>
      </x:c>
      <x:c r="C8" s="51" t="n">
        <x:v>45658</x:v>
      </x:c>
      <x:c r="D8" s="51"/>
      <x:c r="E8" s="50" t="n">
        <x:v>8</x:v>
      </x:c>
      <x:c r="F8" s="50" t="n">
        <x:v>3</x:v>
      </x:c>
      <x:c r="G8" s="50" t="str">
        <x:v>LegacyJobChangeTypes</x:v>
      </x:c>
      <x:c r="H8" s="50" t="str">
        <x:f>IF(OR(D8="",C8&lt;=D8),"OK","CHECK")</x:f>
        <x:v>OK</x:v>
      </x:c>
      <x:c r="I8" s="50" t="str">
        <x:f>IF(AND(E8&gt;=0,F8&gt;=0),"OK","CHECK")</x:f>
        <x:v>OK</x:v>
      </x:c>
      <x:c r="J8" s="50" t="str">
        <x:f>IF(AND(H8="OK",I8="OK"),"OK","CHECK")</x:f>
        <x:v>OK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6549046a5cc4790"/>
  </x:tableParts>
</x:worksheet>
</file>

<file path=xl/worksheets/sheet22.xml><?xml version="1.0" encoding="utf-8"?>
<x:worksheet xmlns:x="http://schemas.openxmlformats.org/spreadsheetml/2006/main">
  <x:sheetFormatPr defaultRowHeight="15"/>
  <x:sheetData>
    <x:row r="1">
      <x:c r="A1" s="41" t="str">
        <x:v>UNIFIED LOSS TYPE DIMENSION</x:v>
      </x:c>
      <x:c r="B1" s="41"/>
      <x:c r="C1" s="41"/>
      <x:c r="D1" s="41"/>
      <x:c r="E1" s="41"/>
      <x:c r="F1" s="41"/>
      <x:c r="G1" s="41"/>
      <x:c r="H1" s="41"/>
      <x:c r="I1" s="41"/>
    </x:row>
    <x:row r="2">
      <x:c r="A2" s="46" t="str">
        <x:v>Stable normalized codes used by job-change and process-loss facts.</x:v>
      </x:c>
      <x:c r="B2" s="46"/>
      <x:c r="C2" s="46"/>
      <x:c r="D2" s="46"/>
      <x:c r="E2" s="46"/>
      <x:c r="F2" s="46"/>
      <x:c r="G2" s="46"/>
      <x:c r="H2" s="46"/>
      <x:c r="I2" s="46"/>
    </x:row>
    <x:row r="4">
      <x:c r="A4" s="34" t="str">
        <x:v>LossTypeKey</x:v>
      </x:c>
      <x:c r="B4" s="34" t="str">
        <x:v>LossTypeCode</x:v>
      </x:c>
      <x:c r="C4" s="34" t="str">
        <x:v>Domain</x:v>
      </x:c>
      <x:c r="D4" s="34" t="str">
        <x:v>LossArea</x:v>
      </x:c>
      <x:c r="E4" s="34" t="str">
        <x:v>LossCategory</x:v>
      </x:c>
      <x:c r="F4" s="34" t="str">
        <x:v>IsElapsedTimeLoss</x:v>
      </x:c>
      <x:c r="G4" s="34" t="str">
        <x:v>IsPercentageLoss</x:v>
      </x:c>
      <x:c r="H4" s="34" t="str">
        <x:v>AdditivityClass</x:v>
      </x:c>
      <x:c r="I4" s="34" t="str">
        <x:v>ActiveFlag</x:v>
      </x:c>
    </x:row>
    <x:row r="5">
      <x:c r="A5" s="50" t="n">
        <x:v>1</x:v>
      </x:c>
      <x:c r="B5" s="50" t="str">
        <x:v>JC_T1</x:v>
      </x:c>
      <x:c r="C5" s="50" t="str">
        <x:v>JobChange</x:v>
      </x:c>
      <x:c r="D5" s="50" t="str">
        <x:v>T1</x:v>
      </x:c>
      <x:c r="E5" s="50" t="str">
        <x:v>Mechanical</x:v>
      </x:c>
      <x:c r="F5" s="50" t="str">
        <x:v>Yes</x:v>
      </x:c>
      <x:c r="G5" s="50" t="str">
        <x:v>No</x:v>
      </x:c>
      <x:c r="H5" s="50" t="str">
        <x:v>ElapsedTime-StoreOnce</x:v>
      </x:c>
      <x:c r="I5" s="50" t="str">
        <x:v>Yes</x:v>
      </x:c>
    </x:row>
    <x:row r="6">
      <x:c r="A6" s="50" t="n">
        <x:v>2</x:v>
      </x:c>
      <x:c r="B6" s="50" t="str">
        <x:v>JC_T2</x:v>
      </x:c>
      <x:c r="C6" s="50" t="str">
        <x:v>JobChange</x:v>
      </x:c>
      <x:c r="D6" s="50" t="str">
        <x:v>T2</x:v>
      </x:c>
      <x:c r="E6" s="50" t="str">
        <x:v>Forming</x:v>
      </x:c>
      <x:c r="F6" s="50" t="str">
        <x:v>Yes</x:v>
      </x:c>
      <x:c r="G6" s="50" t="str">
        <x:v>No</x:v>
      </x:c>
      <x:c r="H6" s="50" t="str">
        <x:v>ElapsedTime-StoreOnce</x:v>
      </x:c>
      <x:c r="I6" s="50" t="str">
        <x:v>Yes</x:v>
      </x:c>
    </x:row>
    <x:row r="7">
      <x:c r="A7" s="50" t="n">
        <x:v>3</x:v>
      </x:c>
      <x:c r="B7" s="50" t="str">
        <x:v>JC_TRIAL</x:v>
      </x:c>
      <x:c r="C7" s="50" t="str">
        <x:v>JobChange</x:v>
      </x:c>
      <x:c r="D7" s="50" t="str">
        <x:v>Trial</x:v>
      </x:c>
      <x:c r="E7" s="50" t="str">
        <x:v>Trial</x:v>
      </x:c>
      <x:c r="F7" s="50" t="str">
        <x:v>Yes</x:v>
      </x:c>
      <x:c r="G7" s="50" t="str">
        <x:v>No</x:v>
      </x:c>
      <x:c r="H7" s="50" t="str">
        <x:v>ElapsedTime-StoreOnce</x:v>
      </x:c>
      <x:c r="I7" s="50" t="str">
        <x:v>Yes</x:v>
      </x:c>
    </x:row>
    <x:row r="8">
      <x:c r="A8" s="50" t="n">
        <x:v>4</x:v>
      </x:c>
      <x:c r="B8" s="50" t="str">
        <x:v>JC_HE</x:v>
      </x:c>
      <x:c r="C8" s="50" t="str">
        <x:v>JobChange</x:v>
      </x:c>
      <x:c r="D8" s="50" t="str">
        <x:v>HE</x:v>
      </x:c>
      <x:c r="E8" s="50" t="str">
        <x:v>Hot End</x:v>
      </x:c>
      <x:c r="F8" s="50" t="str">
        <x:v>Yes</x:v>
      </x:c>
      <x:c r="G8" s="50" t="str">
        <x:v>No</x:v>
      </x:c>
      <x:c r="H8" s="50" t="str">
        <x:v>ElapsedTime-StoreOnce</x:v>
      </x:c>
      <x:c r="I8" s="50" t="str">
        <x:v>Yes</x:v>
      </x:c>
    </x:row>
    <x:row r="9">
      <x:c r="A9" s="50" t="n">
        <x:v>5</x:v>
      </x:c>
      <x:c r="B9" s="50" t="str">
        <x:v>JC_CE</x:v>
      </x:c>
      <x:c r="C9" s="50" t="str">
        <x:v>JobChange</x:v>
      </x:c>
      <x:c r="D9" s="50" t="str">
        <x:v>CE</x:v>
      </x:c>
      <x:c r="E9" s="50" t="str">
        <x:v>Cold End</x:v>
      </x:c>
      <x:c r="F9" s="50" t="str">
        <x:v>Yes</x:v>
      </x:c>
      <x:c r="G9" s="50" t="str">
        <x:v>No</x:v>
      </x:c>
      <x:c r="H9" s="50" t="str">
        <x:v>ElapsedTime-StoreOnce</x:v>
      </x:c>
      <x:c r="I9" s="50" t="str">
        <x:v>Yes</x:v>
      </x:c>
    </x:row>
    <x:row r="10">
      <x:c r="A10" s="50" t="n">
        <x:v>6</x:v>
      </x:c>
      <x:c r="B10" s="50" t="str">
        <x:v>JC_PALLETIZER</x:v>
      </x:c>
      <x:c r="C10" s="50" t="str">
        <x:v>JobChange</x:v>
      </x:c>
      <x:c r="D10" s="50" t="str">
        <x:v>Palletizer</x:v>
      </x:c>
      <x:c r="E10" s="50" t="str">
        <x:v>Palletizer</x:v>
      </x:c>
      <x:c r="F10" s="50" t="str">
        <x:v>Yes</x:v>
      </x:c>
      <x:c r="G10" s="50" t="str">
        <x:v>No</x:v>
      </x:c>
      <x:c r="H10" s="50" t="str">
        <x:v>ElapsedTime-StoreOnce</x:v>
      </x:c>
      <x:c r="I10" s="50" t="str">
        <x:v>Yes</x:v>
      </x:c>
    </x:row>
    <x:row r="11">
      <x:c r="A11" s="50" t="n">
        <x:v>101</x:v>
      </x:c>
      <x:c r="B11" s="50" t="str">
        <x:v>PROC_FIXED</x:v>
      </x:c>
      <x:c r="C11" s="50" t="str">
        <x:v>Process</x:v>
      </x:c>
      <x:c r="D11" s="50" t="str">
        <x:v>Fixed</x:v>
      </x:c>
      <x:c r="E11" s="50" t="str">
        <x:v>Fixed Losses</x:v>
      </x:c>
      <x:c r="F11" s="50" t="str">
        <x:v>No</x:v>
      </x:c>
      <x:c r="G11" s="50" t="str">
        <x:v>Yes</x:v>
      </x:c>
      <x:c r="H11" s="50" t="str">
        <x:v>NonAdditivePercent</x:v>
      </x:c>
      <x:c r="I11" s="50" t="str">
        <x:v>Yes</x:v>
      </x:c>
    </x:row>
    <x:row r="12">
      <x:c r="A12" s="50" t="n">
        <x:v>102</x:v>
      </x:c>
      <x:c r="B12" s="50" t="str">
        <x:v>PROC_IS</x:v>
      </x:c>
      <x:c r="C12" s="50" t="str">
        <x:v>Process</x:v>
      </x:c>
      <x:c r="D12" s="50" t="str">
        <x:v>IS</x:v>
      </x:c>
      <x:c r="E12" s="50" t="str">
        <x:v>IS Machine</x:v>
      </x:c>
      <x:c r="F12" s="50" t="str">
        <x:v>No</x:v>
      </x:c>
      <x:c r="G12" s="50" t="str">
        <x:v>Yes</x:v>
      </x:c>
      <x:c r="H12" s="50" t="str">
        <x:v>NonAdditivePercent</x:v>
      </x:c>
      <x:c r="I12" s="50" t="str">
        <x:v>Yes</x:v>
      </x:c>
    </x:row>
    <x:row r="13">
      <x:c r="A13" s="50" t="n">
        <x:v>103</x:v>
      </x:c>
      <x:c r="B13" s="50" t="str">
        <x:v>PROC_HE_CONVEYER</x:v>
      </x:c>
      <x:c r="C13" s="50" t="str">
        <x:v>Process</x:v>
      </x:c>
      <x:c r="D13" s="50" t="str">
        <x:v>HotEndConveyer</x:v>
      </x:c>
      <x:c r="E13" s="50" t="str">
        <x:v>Hot End</x:v>
      </x:c>
      <x:c r="F13" s="50" t="str">
        <x:v>No</x:v>
      </x:c>
      <x:c r="G13" s="50" t="str">
        <x:v>Yes</x:v>
      </x:c>
      <x:c r="H13" s="50" t="str">
        <x:v>NonAdditivePercent</x:v>
      </x:c>
      <x:c r="I13" s="50" t="str">
        <x:v>Yes</x:v>
      </x:c>
    </x:row>
    <x:row r="14">
      <x:c r="A14" s="50" t="n">
        <x:v>104</x:v>
      </x:c>
      <x:c r="B14" s="50" t="str">
        <x:v>PROC_STUCKDOWN</x:v>
      </x:c>
      <x:c r="C14" s="50" t="str">
        <x:v>Process</x:v>
      </x:c>
      <x:c r="D14" s="50" t="str">
        <x:v>StuckDown</x:v>
      </x:c>
      <x:c r="E14" s="50" t="str">
        <x:v>Forming</x:v>
      </x:c>
      <x:c r="F14" s="50" t="str">
        <x:v>No</x:v>
      </x:c>
      <x:c r="G14" s="50" t="str">
        <x:v>Yes</x:v>
      </x:c>
      <x:c r="H14" s="50" t="str">
        <x:v>NonAdditivePercent</x:v>
      </x:c>
      <x:c r="I14" s="50" t="str">
        <x:v>Yes</x:v>
      </x:c>
    </x:row>
    <x:row r="15">
      <x:c r="A15" s="50" t="n">
        <x:v>105</x:v>
      </x:c>
      <x:c r="B15" s="50" t="str">
        <x:v>PROC_LEHR</x:v>
      </x:c>
      <x:c r="C15" s="50" t="str">
        <x:v>Process</x:v>
      </x:c>
      <x:c r="D15" s="50" t="str">
        <x:v>Lehr</x:v>
      </x:c>
      <x:c r="E15" s="50" t="str">
        <x:v>Lehr</x:v>
      </x:c>
      <x:c r="F15" s="50" t="str">
        <x:v>No</x:v>
      </x:c>
      <x:c r="G15" s="50" t="str">
        <x:v>Yes</x:v>
      </x:c>
      <x:c r="H15" s="50" t="str">
        <x:v>NonAdditivePercent</x:v>
      </x:c>
      <x:c r="I15" s="50" t="str">
        <x:v>Yes</x:v>
      </x:c>
    </x:row>
    <x:row r="16">
      <x:c r="A16" s="50" t="n">
        <x:v>106</x:v>
      </x:c>
      <x:c r="B16" s="50" t="str">
        <x:v>PROC_EVO16</x:v>
      </x:c>
      <x:c r="C16" s="50" t="str">
        <x:v>Process</x:v>
      </x:c>
      <x:c r="D16" s="50" t="str">
        <x:v>Evo16</x:v>
      </x:c>
      <x:c r="E16" s="50" t="str">
        <x:v>Inspection</x:v>
      </x:c>
      <x:c r="F16" s="50" t="str">
        <x:v>No</x:v>
      </x:c>
      <x:c r="G16" s="50" t="str">
        <x:v>Yes</x:v>
      </x:c>
      <x:c r="H16" s="50" t="str">
        <x:v>NonAdditivePercent</x:v>
      </x:c>
      <x:c r="I16" s="50" t="str">
        <x:v>Yes</x:v>
      </x:c>
    </x:row>
    <x:row r="17">
      <x:c r="A17" s="50" t="n">
        <x:v>107</x:v>
      </x:c>
      <x:c r="B17" s="50" t="str">
        <x:v>PROC_EVO12</x:v>
      </x:c>
      <x:c r="C17" s="50" t="str">
        <x:v>Process</x:v>
      </x:c>
      <x:c r="D17" s="50" t="str">
        <x:v>Evo12</x:v>
      </x:c>
      <x:c r="E17" s="50" t="str">
        <x:v>Inspection</x:v>
      </x:c>
      <x:c r="F17" s="50" t="str">
        <x:v>No</x:v>
      </x:c>
      <x:c r="G17" s="50" t="str">
        <x:v>Yes</x:v>
      </x:c>
      <x:c r="H17" s="50" t="str">
        <x:v>NonAdditivePercent</x:v>
      </x:c>
      <x:c r="I17" s="50" t="str">
        <x:v>Yes</x:v>
      </x:c>
    </x:row>
    <x:row r="18">
      <x:c r="A18" s="50" t="n">
        <x:v>108</x:v>
      </x:c>
      <x:c r="B18" s="50" t="str">
        <x:v>PROC_EVO5</x:v>
      </x:c>
      <x:c r="C18" s="50" t="str">
        <x:v>Process</x:v>
      </x:c>
      <x:c r="D18" s="50" t="str">
        <x:v>Evo5</x:v>
      </x:c>
      <x:c r="E18" s="50" t="str">
        <x:v>Inspection</x:v>
      </x:c>
      <x:c r="F18" s="50" t="str">
        <x:v>No</x:v>
      </x:c>
      <x:c r="G18" s="50" t="str">
        <x:v>Yes</x:v>
      </x:c>
      <x:c r="H18" s="50" t="str">
        <x:v>NonAdditivePercent</x:v>
      </x:c>
      <x:c r="I18" s="50" t="str">
        <x:v>Yes</x:v>
      </x:c>
    </x:row>
    <x:row r="19">
      <x:c r="A19" s="50" t="n">
        <x:v>109</x:v>
      </x:c>
      <x:c r="B19" s="50" t="str">
        <x:v>PROC_SANLI</x:v>
      </x:c>
      <x:c r="C19" s="50" t="str">
        <x:v>Process</x:v>
      </x:c>
      <x:c r="D19" s="50" t="str">
        <x:v>Sanli</x:v>
      </x:c>
      <x:c r="E19" s="50" t="str">
        <x:v>Inspection</x:v>
      </x:c>
      <x:c r="F19" s="50" t="str">
        <x:v>No</x:v>
      </x:c>
      <x:c r="G19" s="50" t="str">
        <x:v>Yes</x:v>
      </x:c>
      <x:c r="H19" s="50" t="str">
        <x:v>NonAdditivePercent</x:v>
      </x:c>
      <x:c r="I19" s="50" t="str">
        <x:v>Yes</x:v>
      </x:c>
    </x:row>
    <x:row r="20">
      <x:c r="A20" s="50" t="n">
        <x:v>110</x:v>
      </x:c>
      <x:c r="B20" s="50" t="str">
        <x:v>PROC_VISUAL</x:v>
      </x:c>
      <x:c r="C20" s="50" t="str">
        <x:v>Process</x:v>
      </x:c>
      <x:c r="D20" s="50" t="str">
        <x:v>Visual</x:v>
      </x:c>
      <x:c r="E20" s="50" t="str">
        <x:v>Inspection</x:v>
      </x:c>
      <x:c r="F20" s="50" t="str">
        <x:v>No</x:v>
      </x:c>
      <x:c r="G20" s="50" t="str">
        <x:v>Yes</x:v>
      </x:c>
      <x:c r="H20" s="50" t="str">
        <x:v>NonAdditivePercent</x:v>
      </x:c>
      <x:c r="I20" s="50" t="str">
        <x:v>Yes</x:v>
      </x:c>
    </x:row>
    <x:row r="21">
      <x:c r="A21" s="50" t="n">
        <x:v>111</x:v>
      </x:c>
      <x:c r="B21" s="50" t="str">
        <x:v>PROC_PALLETIZER</x:v>
      </x:c>
      <x:c r="C21" s="50" t="str">
        <x:v>Process</x:v>
      </x:c>
      <x:c r="D21" s="50" t="str">
        <x:v>Palletizer</x:v>
      </x:c>
      <x:c r="E21" s="50" t="str">
        <x:v>Palletizer</x:v>
      </x:c>
      <x:c r="F21" s="50" t="str">
        <x:v>No</x:v>
      </x:c>
      <x:c r="G21" s="50" t="str">
        <x:v>Yes</x:v>
      </x:c>
      <x:c r="H21" s="50" t="str">
        <x:v>NonAdditivePercent</x:v>
      </x:c>
      <x:c r="I21" s="50" t="str">
        <x:v>Yes</x:v>
      </x:c>
    </x:row>
  </x:sheetData>
  <x:mergeCells>
    <x:mergeCell ref="A1:I1"/>
    <x:mergeCell ref="A2:I2"/>
  </x:mergeCells>
  <x:dataValidations count="1">
    <x:dataValidation type="list" sqref="I5:I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2db0075a44f8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41" t="str">
        <x:v>LOSS REASON HIERARCHY</x:v>
      </x:c>
      <x:c r="B1" s="41"/>
      <x:c r="C1" s="41"/>
      <x:c r="D1" s="41"/>
      <x:c r="E1" s="41"/>
      <x:c r="F1" s="41"/>
      <x:c r="G1" s="41"/>
      <x:c r="H1" s="41"/>
      <x:c r="I1" s="41"/>
    </x:row>
    <x:row r="2">
      <x:c r="A2" s="46" t="str">
        <x:v>Area → Category → Reason hierarchy.</x:v>
      </x:c>
      <x:c r="B2" s="46"/>
      <x:c r="C2" s="46"/>
      <x:c r="D2" s="46"/>
      <x:c r="E2" s="46"/>
      <x:c r="F2" s="46"/>
      <x:c r="G2" s="46"/>
      <x:c r="H2" s="46"/>
      <x:c r="I2" s="46"/>
    </x:row>
    <x:row r="4" ht="36" customHeight="1">
      <x:c r="A4" s="34" t="str">
        <x:v>LossReasonKey</x:v>
      </x:c>
      <x:c r="B4" s="34" t="str">
        <x:v>Domain</x:v>
      </x:c>
      <x:c r="C4" s="34" t="str">
        <x:v>LossArea</x:v>
      </x:c>
      <x:c r="D4" s="34" t="str">
        <x:v>ReasonCategory</x:v>
      </x:c>
      <x:c r="E4" s="34" t="str">
        <x:v>ReasonName</x:v>
      </x:c>
      <x:c r="F4" s="34" t="str">
        <x:v>ParentReasonGroup</x:v>
      </x:c>
      <x:c r="G4" s="34" t="str">
        <x:v>ValidFrom</x:v>
      </x:c>
      <x:c r="H4" s="34" t="str">
        <x:v>ValidTo</x:v>
      </x:c>
      <x:c r="I4" s="34" t="str">
        <x:v>ActiveFlag</x:v>
      </x:c>
    </x:row>
    <x:row r="5">
      <x:c r="A5" s="50" t="str">
        <x:v>LR-001</x:v>
      </x:c>
      <x:c r="B5" s="50" t="str">
        <x:v>JobChange</x:v>
      </x:c>
      <x:c r="C5" s="50" t="str">
        <x:v>HE</x:v>
      </x:c>
      <x:c r="D5" s="50" t="str">
        <x:v>Hot End</x:v>
      </x:c>
      <x:c r="E5" s="50" t="str">
        <x:v>Feeder Temperature Instability</x:v>
      </x:c>
      <x:c r="F5" s="50" t="str">
        <x:v>Hot End</x:v>
      </x:c>
      <x:c r="G5" s="51" t="n">
        <x:v>45658</x:v>
      </x:c>
      <x:c r="H5" s="51"/>
      <x:c r="I5" s="50" t="str">
        <x:v>Yes</x:v>
      </x:c>
    </x:row>
    <x:row r="6">
      <x:c r="A6" s="50" t="str">
        <x:v>LR-002</x:v>
      </x:c>
      <x:c r="B6" s="50" t="str">
        <x:v>JobChange</x:v>
      </x:c>
      <x:c r="C6" s="50" t="str">
        <x:v>HE</x:v>
      </x:c>
      <x:c r="D6" s="50" t="str">
        <x:v>Hot End</x:v>
      </x:c>
      <x:c r="E6" s="50" t="str">
        <x:v>Gob Weight Adjustment</x:v>
      </x:c>
      <x:c r="F6" s="50" t="str">
        <x:v>Hot End</x:v>
      </x:c>
      <x:c r="G6" s="51" t="n">
        <x:v>45658</x:v>
      </x:c>
      <x:c r="H6" s="51"/>
      <x:c r="I6" s="50" t="str">
        <x:v>Yes</x:v>
      </x:c>
    </x:row>
    <x:row r="7">
      <x:c r="A7" s="50" t="str">
        <x:v>LR-003</x:v>
      </x:c>
      <x:c r="B7" s="50" t="str">
        <x:v>JobChange</x:v>
      </x:c>
      <x:c r="C7" s="50" t="str">
        <x:v>HE</x:v>
      </x:c>
      <x:c r="D7" s="50" t="str">
        <x:v>Hot End</x:v>
      </x:c>
      <x:c r="E7" s="50" t="str">
        <x:v>Shear Mechanism Fault</x:v>
      </x:c>
      <x:c r="F7" s="50" t="str">
        <x:v>Hot End</x:v>
      </x:c>
      <x:c r="G7" s="51" t="n">
        <x:v>45658</x:v>
      </x:c>
      <x:c r="H7" s="51"/>
      <x:c r="I7" s="50" t="str">
        <x:v>Yes</x:v>
      </x:c>
    </x:row>
    <x:row r="8">
      <x:c r="A8" s="50" t="str">
        <x:v>LR-004</x:v>
      </x:c>
      <x:c r="B8" s="50" t="str">
        <x:v>JobChange</x:v>
      </x:c>
      <x:c r="C8" s="50" t="str">
        <x:v>HE</x:v>
      </x:c>
      <x:c r="D8" s="50" t="str">
        <x:v>Hot End</x:v>
      </x:c>
      <x:c r="E8" s="50" t="str">
        <x:v>Gob Distributor Jam</x:v>
      </x:c>
      <x:c r="F8" s="50" t="str">
        <x:v>Hot End</x:v>
      </x:c>
      <x:c r="G8" s="51" t="n">
        <x:v>45658</x:v>
      </x:c>
      <x:c r="H8" s="51"/>
      <x:c r="I8" s="50" t="str">
        <x:v>Yes</x:v>
      </x:c>
    </x:row>
    <x:row r="9">
      <x:c r="A9" s="50" t="str">
        <x:v>LR-005</x:v>
      </x:c>
      <x:c r="B9" s="50" t="str">
        <x:v>JobChange</x:v>
      </x:c>
      <x:c r="C9" s="50" t="str">
        <x:v>HE</x:v>
      </x:c>
      <x:c r="D9" s="50" t="str">
        <x:v>Hot End</x:v>
      </x:c>
      <x:c r="E9" s="50" t="str">
        <x:v>Mould Cooling Issue</x:v>
      </x:c>
      <x:c r="F9" s="50" t="str">
        <x:v>Hot End</x:v>
      </x:c>
      <x:c r="G9" s="51" t="n">
        <x:v>45658</x:v>
      </x:c>
      <x:c r="H9" s="51"/>
      <x:c r="I9" s="50" t="str">
        <x:v>Yes</x:v>
      </x:c>
    </x:row>
    <x:row r="10">
      <x:c r="A10" s="50" t="str">
        <x:v>LR-006</x:v>
      </x:c>
      <x:c r="B10" s="50" t="str">
        <x:v>JobChange</x:v>
      </x:c>
      <x:c r="C10" s="50" t="str">
        <x:v>HE</x:v>
      </x:c>
      <x:c r="D10" s="50" t="str">
        <x:v>Hot End</x:v>
      </x:c>
      <x:c r="E10" s="50" t="str">
        <x:v>Swabbing / Lubrication</x:v>
      </x:c>
      <x:c r="F10" s="50" t="str">
        <x:v>Hot End</x:v>
      </x:c>
      <x:c r="G10" s="51" t="n">
        <x:v>45658</x:v>
      </x:c>
      <x:c r="H10" s="51"/>
      <x:c r="I10" s="50" t="str">
        <x:v>Yes</x:v>
      </x:c>
    </x:row>
    <x:row r="11">
      <x:c r="A11" s="50" t="str">
        <x:v>LR-007</x:v>
      </x:c>
      <x:c r="B11" s="50" t="str">
        <x:v>JobChange</x:v>
      </x:c>
      <x:c r="C11" s="50" t="str">
        <x:v>HE</x:v>
      </x:c>
      <x:c r="D11" s="50" t="str">
        <x:v>Hot End</x:v>
      </x:c>
      <x:c r="E11" s="50" t="str">
        <x:v>Blank Mould Change</x:v>
      </x:c>
      <x:c r="F11" s="50" t="str">
        <x:v>Hot End</x:v>
      </x:c>
      <x:c r="G11" s="51" t="n">
        <x:v>45658</x:v>
      </x:c>
      <x:c r="H11" s="51"/>
      <x:c r="I11" s="50" t="str">
        <x:v>Yes</x:v>
      </x:c>
    </x:row>
    <x:row r="12">
      <x:c r="A12" s="50" t="str">
        <x:v>LR-008</x:v>
      </x:c>
      <x:c r="B12" s="50" t="str">
        <x:v>JobChange</x:v>
      </x:c>
      <x:c r="C12" s="50" t="str">
        <x:v>HE</x:v>
      </x:c>
      <x:c r="D12" s="50" t="str">
        <x:v>Hot End</x:v>
      </x:c>
      <x:c r="E12" s="50" t="str">
        <x:v>Neck Ring Issue</x:v>
      </x:c>
      <x:c r="F12" s="50" t="str">
        <x:v>Hot End</x:v>
      </x:c>
      <x:c r="G12" s="51" t="n">
        <x:v>45658</x:v>
      </x:c>
      <x:c r="H12" s="51"/>
      <x:c r="I12" s="50" t="str">
        <x:v>Yes</x:v>
      </x:c>
    </x:row>
    <x:row r="13">
      <x:c r="A13" s="50" t="str">
        <x:v>LR-009</x:v>
      </x:c>
      <x:c r="B13" s="50" t="str">
        <x:v>JobChange</x:v>
      </x:c>
      <x:c r="C13" s="50" t="str">
        <x:v>HE</x:v>
      </x:c>
      <x:c r="D13" s="50" t="str">
        <x:v>Hot End</x:v>
      </x:c>
      <x:c r="E13" s="50" t="str">
        <x:v>Air Pressure Instability</x:v>
      </x:c>
      <x:c r="F13" s="50" t="str">
        <x:v>Hot End</x:v>
      </x:c>
      <x:c r="G13" s="51" t="n">
        <x:v>45658</x:v>
      </x:c>
      <x:c r="H13" s="51"/>
      <x:c r="I13" s="50" t="str">
        <x:v>Yes</x:v>
      </x:c>
    </x:row>
    <x:row r="14">
      <x:c r="A14" s="50" t="str">
        <x:v>LR-010</x:v>
      </x:c>
      <x:c r="B14" s="50" t="str">
        <x:v>JobChange</x:v>
      </x:c>
      <x:c r="C14" s="50" t="str">
        <x:v>CE</x:v>
      </x:c>
      <x:c r="D14" s="50" t="str">
        <x:v>Cold End</x:v>
      </x:c>
      <x:c r="E14" s="50" t="str">
        <x:v>Cross Conveyor Jam</x:v>
      </x:c>
      <x:c r="F14" s="50" t="str">
        <x:v>Cold End</x:v>
      </x:c>
      <x:c r="G14" s="51" t="n">
        <x:v>45658</x:v>
      </x:c>
      <x:c r="H14" s="51"/>
      <x:c r="I14" s="50" t="str">
        <x:v>Yes</x:v>
      </x:c>
    </x:row>
    <x:row r="15">
      <x:c r="A15" s="50" t="str">
        <x:v>LR-011</x:v>
      </x:c>
      <x:c r="B15" s="50" t="str">
        <x:v>JobChange</x:v>
      </x:c>
      <x:c r="C15" s="50" t="str">
        <x:v>CE</x:v>
      </x:c>
      <x:c r="D15" s="50" t="str">
        <x:v>Cold End</x:v>
      </x:c>
      <x:c r="E15" s="50" t="str">
        <x:v>Ware Transfer Misalignment</x:v>
      </x:c>
      <x:c r="F15" s="50" t="str">
        <x:v>Cold End</x:v>
      </x:c>
      <x:c r="G15" s="51" t="n">
        <x:v>45658</x:v>
      </x:c>
      <x:c r="H15" s="51"/>
      <x:c r="I15" s="50" t="str">
        <x:v>Yes</x:v>
      </x:c>
    </x:row>
    <x:row r="16">
      <x:c r="A16" s="50" t="str">
        <x:v>LR-012</x:v>
      </x:c>
      <x:c r="B16" s="50" t="str">
        <x:v>JobChange</x:v>
      </x:c>
      <x:c r="C16" s="50" t="str">
        <x:v>CE</x:v>
      </x:c>
      <x:c r="D16" s="50" t="str">
        <x:v>Cold End</x:v>
      </x:c>
      <x:c r="E16" s="50" t="str">
        <x:v>Dead Plate Congestion</x:v>
      </x:c>
      <x:c r="F16" s="50" t="str">
        <x:v>Cold End</x:v>
      </x:c>
      <x:c r="G16" s="51" t="n">
        <x:v>45658</x:v>
      </x:c>
      <x:c r="H16" s="51"/>
      <x:c r="I16" s="50" t="str">
        <x:v>Yes</x:v>
      </x:c>
    </x:row>
    <x:row r="17">
      <x:c r="A17" s="50" t="str">
        <x:v>LR-013</x:v>
      </x:c>
      <x:c r="B17" s="50" t="str">
        <x:v>JobChange</x:v>
      </x:c>
      <x:c r="C17" s="50" t="str">
        <x:v>CE</x:v>
      </x:c>
      <x:c r="D17" s="50" t="str">
        <x:v>Cold End</x:v>
      </x:c>
      <x:c r="E17" s="50" t="str">
        <x:v>Lehr Loader Delay</x:v>
      </x:c>
      <x:c r="F17" s="50" t="str">
        <x:v>Cold End</x:v>
      </x:c>
      <x:c r="G17" s="51" t="n">
        <x:v>45658</x:v>
      </x:c>
      <x:c r="H17" s="51"/>
      <x:c r="I17" s="50" t="str">
        <x:v>Yes</x:v>
      </x:c>
    </x:row>
    <x:row r="18">
      <x:c r="A18" s="50" t="str">
        <x:v>LR-014</x:v>
      </x:c>
      <x:c r="B18" s="50" t="str">
        <x:v>JobChange</x:v>
      </x:c>
      <x:c r="C18" s="50" t="str">
        <x:v>CE</x:v>
      </x:c>
      <x:c r="D18" s="50" t="str">
        <x:v>Cold End</x:v>
      </x:c>
      <x:c r="E18" s="50" t="str">
        <x:v>Conveyor Speed Mismatch</x:v>
      </x:c>
      <x:c r="F18" s="50" t="str">
        <x:v>Cold End</x:v>
      </x:c>
      <x:c r="G18" s="51" t="n">
        <x:v>45658</x:v>
      </x:c>
      <x:c r="H18" s="51"/>
      <x:c r="I18" s="50" t="str">
        <x:v>Yes</x:v>
      </x:c>
    </x:row>
    <x:row r="19">
      <x:c r="A19" s="50" t="str">
        <x:v>LR-015</x:v>
      </x:c>
      <x:c r="B19" s="50" t="str">
        <x:v>JobChange</x:v>
      </x:c>
      <x:c r="C19" s="50" t="str">
        <x:v>CE</x:v>
      </x:c>
      <x:c r="D19" s="50" t="str">
        <x:v>Cold End</x:v>
      </x:c>
      <x:c r="E19" s="50" t="str">
        <x:v>Bottle Fall / Tip</x:v>
      </x:c>
      <x:c r="F19" s="50" t="str">
        <x:v>Cold End</x:v>
      </x:c>
      <x:c r="G19" s="51" t="n">
        <x:v>45658</x:v>
      </x:c>
      <x:c r="H19" s="51"/>
      <x:c r="I19" s="50" t="str">
        <x:v>Yes</x:v>
      </x:c>
    </x:row>
    <x:row r="20">
      <x:c r="A20" s="50" t="str">
        <x:v>LR-016</x:v>
      </x:c>
      <x:c r="B20" s="50" t="str">
        <x:v>JobChange</x:v>
      </x:c>
      <x:c r="C20" s="50" t="str">
        <x:v>CE</x:v>
      </x:c>
      <x:c r="D20" s="50" t="str">
        <x:v>Cold End</x:v>
      </x:c>
      <x:c r="E20" s="50" t="str">
        <x:v>Sensor Fault</x:v>
      </x:c>
      <x:c r="F20" s="50" t="str">
        <x:v>Cold End</x:v>
      </x:c>
      <x:c r="G20" s="51" t="n">
        <x:v>45658</x:v>
      </x:c>
      <x:c r="H20" s="51"/>
      <x:c r="I20" s="50" t="str">
        <x:v>Yes</x:v>
      </x:c>
    </x:row>
    <x:row r="21">
      <x:c r="A21" s="50" t="str">
        <x:v>LR-017</x:v>
      </x:c>
      <x:c r="B21" s="50" t="str">
        <x:v>JobChange</x:v>
      </x:c>
      <x:c r="C21" s="50" t="str">
        <x:v>CE</x:v>
      </x:c>
      <x:c r="D21" s="50" t="str">
        <x:v>Cold End</x:v>
      </x:c>
      <x:c r="E21" s="50" t="str">
        <x:v>Drive / Motor Fault</x:v>
      </x:c>
      <x:c r="F21" s="50" t="str">
        <x:v>Cold End</x:v>
      </x:c>
      <x:c r="G21" s="51" t="n">
        <x:v>45658</x:v>
      </x:c>
      <x:c r="H21" s="51"/>
      <x:c r="I21" s="50" t="str">
        <x:v>Yes</x:v>
      </x:c>
    </x:row>
    <x:row r="22">
      <x:c r="A22" s="50" t="str">
        <x:v>LR-018</x:v>
      </x:c>
      <x:c r="B22" s="50" t="str">
        <x:v>JobChange</x:v>
      </x:c>
      <x:c r="C22" s="50" t="str">
        <x:v>CE</x:v>
      </x:c>
      <x:c r="D22" s="50" t="str">
        <x:v>Cold End</x:v>
      </x:c>
      <x:c r="E22" s="50" t="str">
        <x:v>Belt Tracking Issue</x:v>
      </x:c>
      <x:c r="F22" s="50" t="str">
        <x:v>Cold End</x:v>
      </x:c>
      <x:c r="G22" s="51" t="n">
        <x:v>45658</x:v>
      </x:c>
      <x:c r="H22" s="51"/>
      <x:c r="I22" s="50" t="str">
        <x:v>Yes</x:v>
      </x:c>
    </x:row>
    <x:row r="23">
      <x:c r="A23" s="50" t="str">
        <x:v>LR-019</x:v>
      </x:c>
      <x:c r="B23" s="50" t="str">
        <x:v>JobChange</x:v>
      </x:c>
      <x:c r="C23" s="50" t="str">
        <x:v>Palletizer</x:v>
      </x:c>
      <x:c r="D23" s="50" t="str">
        <x:v>Palletizer</x:v>
      </x:c>
      <x:c r="E23" s="50" t="str">
        <x:v>Palletizer Robot Fault</x:v>
      </x:c>
      <x:c r="F23" s="50" t="str">
        <x:v>Palletizer</x:v>
      </x:c>
      <x:c r="G23" s="51" t="n">
        <x:v>45658</x:v>
      </x:c>
      <x:c r="H23" s="51"/>
      <x:c r="I23" s="50" t="str">
        <x:v>Yes</x:v>
      </x:c>
    </x:row>
    <x:row r="24">
      <x:c r="A24" s="50" t="str">
        <x:v>LR-020</x:v>
      </x:c>
      <x:c r="B24" s="50" t="str">
        <x:v>JobChange</x:v>
      </x:c>
      <x:c r="C24" s="50" t="str">
        <x:v>Palletizer</x:v>
      </x:c>
      <x:c r="D24" s="50" t="str">
        <x:v>Palletizer</x:v>
      </x:c>
      <x:c r="E24" s="50" t="str">
        <x:v>Layer Pattern Adjustment</x:v>
      </x:c>
      <x:c r="F24" s="50" t="str">
        <x:v>Palletizer</x:v>
      </x:c>
      <x:c r="G24" s="51" t="n">
        <x:v>45658</x:v>
      </x:c>
      <x:c r="H24" s="51"/>
      <x:c r="I24" s="50" t="str">
        <x:v>Yes</x:v>
      </x:c>
    </x:row>
    <x:row r="25">
      <x:c r="A25" s="50" t="str">
        <x:v>LR-021</x:v>
      </x:c>
      <x:c r="B25" s="50" t="str">
        <x:v>JobChange</x:v>
      </x:c>
      <x:c r="C25" s="50" t="str">
        <x:v>Palletizer</x:v>
      </x:c>
      <x:c r="D25" s="50" t="str">
        <x:v>Palletizer</x:v>
      </x:c>
      <x:c r="E25" s="50" t="str">
        <x:v>Pallet Shortage</x:v>
      </x:c>
      <x:c r="F25" s="50" t="str">
        <x:v>Palletizer</x:v>
      </x:c>
      <x:c r="G25" s="51" t="n">
        <x:v>45658</x:v>
      </x:c>
      <x:c r="H25" s="51"/>
      <x:c r="I25" s="50" t="str">
        <x:v>Yes</x:v>
      </x:c>
    </x:row>
    <x:row r="26">
      <x:c r="A26" s="50" t="str">
        <x:v>LR-022</x:v>
      </x:c>
      <x:c r="B26" s="50" t="str">
        <x:v>JobChange</x:v>
      </x:c>
      <x:c r="C26" s="50" t="str">
        <x:v>Palletizer</x:v>
      </x:c>
      <x:c r="D26" s="50" t="str">
        <x:v>Palletizer</x:v>
      </x:c>
      <x:c r="E26" s="50" t="str">
        <x:v>Separator Pad Shortage</x:v>
      </x:c>
      <x:c r="F26" s="50" t="str">
        <x:v>Palletizer</x:v>
      </x:c>
      <x:c r="G26" s="51" t="n">
        <x:v>45658</x:v>
      </x:c>
      <x:c r="H26" s="51"/>
      <x:c r="I26" s="50" t="str">
        <x:v>Yes</x:v>
      </x:c>
    </x:row>
    <x:row r="27">
      <x:c r="A27" s="50" t="str">
        <x:v>LR-023</x:v>
      </x:c>
      <x:c r="B27" s="50" t="str">
        <x:v>JobChange</x:v>
      </x:c>
      <x:c r="C27" s="50" t="str">
        <x:v>Palletizer</x:v>
      </x:c>
      <x:c r="D27" s="50" t="str">
        <x:v>Palletizer</x:v>
      </x:c>
      <x:c r="E27" s="50" t="str">
        <x:v>Pallet Conveyor Jam</x:v>
      </x:c>
      <x:c r="F27" s="50" t="str">
        <x:v>Palletizer</x:v>
      </x:c>
      <x:c r="G27" s="51" t="n">
        <x:v>45658</x:v>
      </x:c>
      <x:c r="H27" s="51"/>
      <x:c r="I27" s="50" t="str">
        <x:v>Yes</x:v>
      </x:c>
    </x:row>
    <x:row r="28">
      <x:c r="A28" s="50" t="str">
        <x:v>LR-024</x:v>
      </x:c>
      <x:c r="B28" s="50" t="str">
        <x:v>JobChange</x:v>
      </x:c>
      <x:c r="C28" s="50" t="str">
        <x:v>Palletizer</x:v>
      </x:c>
      <x:c r="D28" s="50" t="str">
        <x:v>Palletizer</x:v>
      </x:c>
      <x:c r="E28" s="50" t="str">
        <x:v>Film / Hood Fault</x:v>
      </x:c>
      <x:c r="F28" s="50" t="str">
        <x:v>Palletizer</x:v>
      </x:c>
      <x:c r="G28" s="51" t="n">
        <x:v>45658</x:v>
      </x:c>
      <x:c r="H28" s="51"/>
      <x:c r="I28" s="50" t="str">
        <x:v>Yes</x:v>
      </x:c>
    </x:row>
    <x:row r="29">
      <x:c r="A29" s="50" t="str">
        <x:v>LR-025</x:v>
      </x:c>
      <x:c r="B29" s="50" t="str">
        <x:v>JobChange</x:v>
      </x:c>
      <x:c r="C29" s="50" t="str">
        <x:v>Palletizer</x:v>
      </x:c>
      <x:c r="D29" s="50" t="str">
        <x:v>Palletizer</x:v>
      </x:c>
      <x:c r="E29" s="50" t="str">
        <x:v>Gripper / Vacuum Fault</x:v>
      </x:c>
      <x:c r="F29" s="50" t="str">
        <x:v>Palletizer</x:v>
      </x:c>
      <x:c r="G29" s="51" t="n">
        <x:v>45658</x:v>
      </x:c>
      <x:c r="H29" s="51"/>
      <x:c r="I29" s="50" t="str">
        <x:v>Yes</x:v>
      </x:c>
    </x:row>
    <x:row r="30">
      <x:c r="A30" s="50" t="str">
        <x:v>LR-026</x:v>
      </x:c>
      <x:c r="B30" s="50" t="str">
        <x:v>JobChange</x:v>
      </x:c>
      <x:c r="C30" s="50" t="str">
        <x:v>Palletizer</x:v>
      </x:c>
      <x:c r="D30" s="50" t="str">
        <x:v>Palletizer</x:v>
      </x:c>
      <x:c r="E30" s="50" t="str">
        <x:v>Sensor / Photoeye Fault</x:v>
      </x:c>
      <x:c r="F30" s="50" t="str">
        <x:v>Palletizer</x:v>
      </x:c>
      <x:c r="G30" s="51" t="n">
        <x:v>45658</x:v>
      </x:c>
      <x:c r="H30" s="51"/>
      <x:c r="I30" s="50" t="str">
        <x:v>Yes</x:v>
      </x:c>
    </x:row>
    <x:row r="31">
      <x:c r="A31" s="50" t="str">
        <x:v>LR-027</x:v>
      </x:c>
      <x:c r="B31" s="50" t="str">
        <x:v>JobChange</x:v>
      </x:c>
      <x:c r="C31" s="50" t="str">
        <x:v>Palletizer</x:v>
      </x:c>
      <x:c r="D31" s="50" t="str">
        <x:v>Palletizer</x:v>
      </x:c>
      <x:c r="E31" s="50" t="str">
        <x:v>Manual Intervention</x:v>
      </x:c>
      <x:c r="F31" s="50" t="str">
        <x:v>Palletizer</x:v>
      </x:c>
      <x:c r="G31" s="51" t="n">
        <x:v>45658</x:v>
      </x:c>
      <x:c r="H31" s="51"/>
      <x:c r="I31" s="50" t="str">
        <x:v>Yes</x:v>
      </x:c>
    </x:row>
    <x:row r="32">
      <x:c r="A32" s="50" t="str">
        <x:v>LR-028</x:v>
      </x:c>
      <x:c r="B32" s="50" t="str">
        <x:v>Process</x:v>
      </x:c>
      <x:c r="C32" s="50" t="str">
        <x:v>Fixed</x:v>
      </x:c>
      <x:c r="D32" s="50" t="str">
        <x:v>Fixed Losses</x:v>
      </x:c>
      <x:c r="E32" s="50" t="str">
        <x:v>Fixed Losses</x:v>
      </x:c>
      <x:c r="F32" s="50" t="str">
        <x:v>Fixed Losses</x:v>
      </x:c>
      <x:c r="G32" s="51" t="n">
        <x:v>45658</x:v>
      </x:c>
      <x:c r="H32" s="51"/>
      <x:c r="I32" s="50" t="str">
        <x:v>Yes</x:v>
      </x:c>
    </x:row>
    <x:row r="33">
      <x:c r="A33" s="50" t="str">
        <x:v>LR-029</x:v>
      </x:c>
      <x:c r="B33" s="50" t="str">
        <x:v>Process</x:v>
      </x:c>
      <x:c r="C33" s="50" t="str">
        <x:v>IS</x:v>
      </x:c>
      <x:c r="D33" s="50" t="str">
        <x:v>IS Machine</x:v>
      </x:c>
      <x:c r="E33" s="50" t="str">
        <x:v>IS Machine</x:v>
      </x:c>
      <x:c r="F33" s="50" t="str">
        <x:v>IS Machine</x:v>
      </x:c>
      <x:c r="G33" s="51" t="n">
        <x:v>45658</x:v>
      </x:c>
      <x:c r="H33" s="51"/>
      <x:c r="I33" s="50" t="str">
        <x:v>Yes</x:v>
      </x:c>
    </x:row>
    <x:row r="34">
      <x:c r="A34" s="50" t="str">
        <x:v>LR-030</x:v>
      </x:c>
      <x:c r="B34" s="50" t="str">
        <x:v>Process</x:v>
      </x:c>
      <x:c r="C34" s="50" t="str">
        <x:v>HotEndConveyer</x:v>
      </x:c>
      <x:c r="D34" s="50" t="str">
        <x:v>Hot End</x:v>
      </x:c>
      <x:c r="E34" s="50" t="str">
        <x:v>Hot End</x:v>
      </x:c>
      <x:c r="F34" s="50" t="str">
        <x:v>Hot End</x:v>
      </x:c>
      <x:c r="G34" s="51" t="n">
        <x:v>45658</x:v>
      </x:c>
      <x:c r="H34" s="51"/>
      <x:c r="I34" s="50" t="str">
        <x:v>Yes</x:v>
      </x:c>
    </x:row>
    <x:row r="35">
      <x:c r="A35" s="50" t="str">
        <x:v>LR-031</x:v>
      </x:c>
      <x:c r="B35" s="50" t="str">
        <x:v>Process</x:v>
      </x:c>
      <x:c r="C35" s="50" t="str">
        <x:v>StuckDown</x:v>
      </x:c>
      <x:c r="D35" s="50" t="str">
        <x:v>Forming</x:v>
      </x:c>
      <x:c r="E35" s="50" t="str">
        <x:v>Forming</x:v>
      </x:c>
      <x:c r="F35" s="50" t="str">
        <x:v>Forming</x:v>
      </x:c>
      <x:c r="G35" s="51" t="n">
        <x:v>45658</x:v>
      </x:c>
      <x:c r="H35" s="51"/>
      <x:c r="I35" s="50" t="str">
        <x:v>Yes</x:v>
      </x:c>
    </x:row>
    <x:row r="36">
      <x:c r="A36" s="50" t="str">
        <x:v>LR-032</x:v>
      </x:c>
      <x:c r="B36" s="50" t="str">
        <x:v>Process</x:v>
      </x:c>
      <x:c r="C36" s="50" t="str">
        <x:v>Lehr</x:v>
      </x:c>
      <x:c r="D36" s="50" t="str">
        <x:v>Lehr</x:v>
      </x:c>
      <x:c r="E36" s="50" t="str">
        <x:v>Lehr</x:v>
      </x:c>
      <x:c r="F36" s="50" t="str">
        <x:v>Lehr</x:v>
      </x:c>
      <x:c r="G36" s="51" t="n">
        <x:v>45658</x:v>
      </x:c>
      <x:c r="H36" s="51"/>
      <x:c r="I36" s="50" t="str">
        <x:v>Yes</x:v>
      </x:c>
    </x:row>
    <x:row r="37">
      <x:c r="A37" s="50" t="str">
        <x:v>LR-033</x:v>
      </x:c>
      <x:c r="B37" s="50" t="str">
        <x:v>Process</x:v>
      </x:c>
      <x:c r="C37" s="50" t="str">
        <x:v>Evo16</x:v>
      </x:c>
      <x:c r="D37" s="50" t="str">
        <x:v>Inspection</x:v>
      </x:c>
      <x:c r="E37" s="50" t="str">
        <x:v>Inspection</x:v>
      </x:c>
      <x:c r="F37" s="50" t="str">
        <x:v>Inspection</x:v>
      </x:c>
      <x:c r="G37" s="51" t="n">
        <x:v>45658</x:v>
      </x:c>
      <x:c r="H37" s="51"/>
      <x:c r="I37" s="50" t="str">
        <x:v>Yes</x:v>
      </x:c>
    </x:row>
    <x:row r="38">
      <x:c r="A38" s="50" t="str">
        <x:v>LR-034</x:v>
      </x:c>
      <x:c r="B38" s="50" t="str">
        <x:v>Process</x:v>
      </x:c>
      <x:c r="C38" s="50" t="str">
        <x:v>Evo12</x:v>
      </x:c>
      <x:c r="D38" s="50" t="str">
        <x:v>Inspection</x:v>
      </x:c>
      <x:c r="E38" s="50" t="str">
        <x:v>Inspection</x:v>
      </x:c>
      <x:c r="F38" s="50" t="str">
        <x:v>Inspection</x:v>
      </x:c>
      <x:c r="G38" s="51" t="n">
        <x:v>45658</x:v>
      </x:c>
      <x:c r="H38" s="51"/>
      <x:c r="I38" s="50" t="str">
        <x:v>Yes</x:v>
      </x:c>
    </x:row>
    <x:row r="39">
      <x:c r="A39" s="50" t="str">
        <x:v>LR-035</x:v>
      </x:c>
      <x:c r="B39" s="50" t="str">
        <x:v>Process</x:v>
      </x:c>
      <x:c r="C39" s="50" t="str">
        <x:v>Evo5</x:v>
      </x:c>
      <x:c r="D39" s="50" t="str">
        <x:v>Inspection</x:v>
      </x:c>
      <x:c r="E39" s="50" t="str">
        <x:v>Inspection</x:v>
      </x:c>
      <x:c r="F39" s="50" t="str">
        <x:v>Inspection</x:v>
      </x:c>
      <x:c r="G39" s="51" t="n">
        <x:v>45658</x:v>
      </x:c>
      <x:c r="H39" s="51"/>
      <x:c r="I39" s="50" t="str">
        <x:v>Yes</x:v>
      </x:c>
    </x:row>
    <x:row r="40">
      <x:c r="A40" s="50" t="str">
        <x:v>LR-036</x:v>
      </x:c>
      <x:c r="B40" s="50" t="str">
        <x:v>Process</x:v>
      </x:c>
      <x:c r="C40" s="50" t="str">
        <x:v>Sanli</x:v>
      </x:c>
      <x:c r="D40" s="50" t="str">
        <x:v>Inspection</x:v>
      </x:c>
      <x:c r="E40" s="50" t="str">
        <x:v>Inspection</x:v>
      </x:c>
      <x:c r="F40" s="50" t="str">
        <x:v>Inspection</x:v>
      </x:c>
      <x:c r="G40" s="51" t="n">
        <x:v>45658</x:v>
      </x:c>
      <x:c r="H40" s="51"/>
      <x:c r="I40" s="50" t="str">
        <x:v>Yes</x:v>
      </x:c>
    </x:row>
    <x:row r="41">
      <x:c r="A41" s="50" t="str">
        <x:v>LR-037</x:v>
      </x:c>
      <x:c r="B41" s="50" t="str">
        <x:v>Process</x:v>
      </x:c>
      <x:c r="C41" s="50" t="str">
        <x:v>Visual</x:v>
      </x:c>
      <x:c r="D41" s="50" t="str">
        <x:v>Inspection</x:v>
      </x:c>
      <x:c r="E41" s="50" t="str">
        <x:v>Inspection</x:v>
      </x:c>
      <x:c r="F41" s="50" t="str">
        <x:v>Inspection</x:v>
      </x:c>
      <x:c r="G41" s="51" t="n">
        <x:v>45658</x:v>
      </x:c>
      <x:c r="H41" s="51"/>
      <x:c r="I41" s="50" t="str">
        <x:v>Yes</x:v>
      </x:c>
    </x:row>
    <x:row r="42">
      <x:c r="A42" s="50" t="str">
        <x:v>LR-038</x:v>
      </x:c>
      <x:c r="B42" s="50" t="str">
        <x:v>Process</x:v>
      </x:c>
      <x:c r="C42" s="50" t="str">
        <x:v>Palletizer</x:v>
      </x:c>
      <x:c r="D42" s="50" t="str">
        <x:v>Palletizer</x:v>
      </x:c>
      <x:c r="E42" s="50" t="str">
        <x:v>Palletizer</x:v>
      </x:c>
      <x:c r="F42" s="50" t="str">
        <x:v>Palletizer</x:v>
      </x:c>
      <x:c r="G42" s="51" t="n">
        <x:v>45658</x:v>
      </x:c>
      <x:c r="H42" s="51"/>
      <x:c r="I42" s="50" t="str">
        <x:v>Yes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86cfc9555aa43ca"/>
  </x:tableParts>
</x:worksheet>
</file>

<file path=xl/worksheets/sheet24.xml><?xml version="1.0" encoding="utf-8"?>
<x:worksheet xmlns:x="http://schemas.openxmlformats.org/spreadsheetml/2006/main">
  <x:sheetFormatPr defaultRowHeight="15"/>
  <x:sheetData>
    <x:row r="1">
      <x:c r="A1" s="41" t="str">
        <x:v>ROOT CAUSE CLASSIFICATION</x:v>
      </x:c>
      <x:c r="B1" s="41"/>
      <x:c r="C1" s="41"/>
      <x:c r="D1" s="41"/>
    </x:row>
    <x:row r="2">
      <x:c r="A2" s="46" t="str">
        <x:v>Structured root-cause lookup.</x:v>
      </x:c>
      <x:c r="B2" s="46"/>
      <x:c r="C2" s="46"/>
      <x:c r="D2" s="46"/>
    </x:row>
    <x:row r="4">
      <x:c r="A4" s="34" t="str">
        <x:v>RootCauseCode</x:v>
      </x:c>
      <x:c r="B4" s="34" t="str">
        <x:v>RootCauseName</x:v>
      </x:c>
      <x:c r="C4" s="34" t="str">
        <x:v>RootCauseGroup</x:v>
      </x:c>
      <x:c r="D4" s="34" t="str">
        <x:v>ActiveFlag</x:v>
      </x:c>
    </x:row>
    <x:row r="5">
      <x:c r="A5" s="50" t="str">
        <x:v>RC_SETUP</x:v>
      </x:c>
      <x:c r="B5" s="50" t="str">
        <x:v>Setup / Changeover</x:v>
      </x:c>
      <x:c r="C5" s="50" t="str">
        <x:v>Method</x:v>
      </x:c>
      <x:c r="D5" s="50" t="str">
        <x:v>Yes</x:v>
      </x:c>
    </x:row>
    <x:row r="6">
      <x:c r="A6" s="50" t="str">
        <x:v>RC_MECH</x:v>
      </x:c>
      <x:c r="B6" s="50" t="str">
        <x:v>Mechanical</x:v>
      </x:c>
      <x:c r="C6" s="50" t="str">
        <x:v>Equipment</x:v>
      </x:c>
      <x:c r="D6" s="50" t="str">
        <x:v>Yes</x:v>
      </x:c>
    </x:row>
    <x:row r="7">
      <x:c r="A7" s="50" t="str">
        <x:v>RC_PROCESS</x:v>
      </x:c>
      <x:c r="B7" s="50" t="str">
        <x:v>Process Parameter</x:v>
      </x:c>
      <x:c r="C7" s="50" t="str">
        <x:v>Method</x:v>
      </x:c>
      <x:c r="D7" s="50" t="str">
        <x:v>Yes</x:v>
      </x:c>
    </x:row>
    <x:row r="8">
      <x:c r="A8" s="50" t="str">
        <x:v>RC_MATERIAL</x:v>
      </x:c>
      <x:c r="B8" s="50" t="str">
        <x:v>Material / Glass</x:v>
      </x:c>
      <x:c r="C8" s="50" t="str">
        <x:v>Material</x:v>
      </x:c>
      <x:c r="D8" s="50" t="str">
        <x:v>Yes</x:v>
      </x:c>
    </x:row>
    <x:row r="9">
      <x:c r="A9" s="50" t="str">
        <x:v>RC_HANDLING</x:v>
      </x:c>
      <x:c r="B9" s="50" t="str">
        <x:v>Handling / Conveying</x:v>
      </x:c>
      <x:c r="C9" s="50" t="str">
        <x:v>Handling</x:v>
      </x:c>
      <x:c r="D9" s="50" t="str">
        <x:v>Yes</x:v>
      </x:c>
    </x:row>
    <x:row r="10">
      <x:c r="A10" s="50" t="str">
        <x:v>RC_QUALITY</x:v>
      </x:c>
      <x:c r="B10" s="50" t="str">
        <x:v>Quality Control</x:v>
      </x:c>
      <x:c r="C10" s="50" t="str">
        <x:v>Quality</x:v>
      </x:c>
      <x:c r="D10" s="50" t="str">
        <x:v>Yes</x:v>
      </x:c>
    </x:row>
    <x:row r="11">
      <x:c r="A11" s="50" t="str">
        <x:v>RC_UTILITY</x:v>
      </x:c>
      <x:c r="B11" s="50" t="str">
        <x:v>Utility / Energy</x:v>
      </x:c>
      <x:c r="C11" s="50" t="str">
        <x:v>Utility</x:v>
      </x:c>
      <x:c r="D11" s="50" t="str">
        <x:v>Yes</x:v>
      </x:c>
    </x:row>
    <x:row r="12">
      <x:c r="A12" s="50" t="str">
        <x:v>RC_UNKNOWN</x:v>
      </x:c>
      <x:c r="B12" s="50" t="str">
        <x:v>Not Yet Determined</x:v>
      </x:c>
      <x:c r="C12" s="50" t="str">
        <x:v>Unknown</x:v>
      </x:c>
      <x:c r="D12" s="50" t="str">
        <x:v>Yes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c5b5185cb794ad5"/>
  </x:tableParts>
</x:worksheet>
</file>

<file path=xl/worksheets/sheet25.xml><?xml version="1.0" encoding="utf-8"?>
<x:worksheet xmlns:x="http://schemas.openxmlformats.org/spreadsheetml/2006/main">
  <x:sheetFormatPr defaultRowHeight="15"/>
  <x:sheetData>
    <x:row r="1">
      <x:c r="A1" s="41" t="str">
        <x:v>RESPONSIBLE DEPARTMENTS</x:v>
      </x:c>
      <x:c r="B1" s="41"/>
      <x:c r="C1" s="41"/>
    </x:row>
    <x:row r="2">
      <x:c r="A2" s="46" t="str">
        <x:v>Structured responsibility lookup.</x:v>
      </x:c>
      <x:c r="B2" s="46"/>
      <x:c r="C2" s="46"/>
    </x:row>
    <x:row r="4">
      <x:c r="A4" s="34" t="str">
        <x:v>DepartmentCode</x:v>
      </x:c>
      <x:c r="B4" s="34" t="str">
        <x:v>DepartmentName</x:v>
      </x:c>
      <x:c r="C4" s="34" t="str">
        <x:v>ActiveFlag</x:v>
      </x:c>
    </x:row>
    <x:row r="5">
      <x:c r="A5" s="50" t="str">
        <x:v>DEP_PROD</x:v>
      </x:c>
      <x:c r="B5" s="50" t="str">
        <x:v>Production</x:v>
      </x:c>
      <x:c r="C5" s="50" t="str">
        <x:v>Yes</x:v>
      </x:c>
    </x:row>
    <x:row r="6">
      <x:c r="A6" s="50" t="str">
        <x:v>DEP_FORM</x:v>
      </x:c>
      <x:c r="B6" s="50" t="str">
        <x:v>Forming</x:v>
      </x:c>
      <x:c r="C6" s="50" t="str">
        <x:v>Yes</x:v>
      </x:c>
    </x:row>
    <x:row r="7">
      <x:c r="A7" s="50" t="str">
        <x:v>DEP_HE</x:v>
      </x:c>
      <x:c r="B7" s="50" t="str">
        <x:v>Hot End</x:v>
      </x:c>
      <x:c r="C7" s="50" t="str">
        <x:v>Yes</x:v>
      </x:c>
    </x:row>
    <x:row r="8">
      <x:c r="A8" s="50" t="str">
        <x:v>DEP_CE</x:v>
      </x:c>
      <x:c r="B8" s="50" t="str">
        <x:v>Cold End</x:v>
      </x:c>
      <x:c r="C8" s="50" t="str">
        <x:v>Yes</x:v>
      </x:c>
    </x:row>
    <x:row r="9">
      <x:c r="A9" s="50" t="str">
        <x:v>DEP_MAINT</x:v>
      </x:c>
      <x:c r="B9" s="50" t="str">
        <x:v>Maintenance</x:v>
      </x:c>
      <x:c r="C9" s="50" t="str">
        <x:v>Yes</x:v>
      </x:c>
    </x:row>
    <x:row r="10">
      <x:c r="A10" s="50" t="str">
        <x:v>DEP_QUAL</x:v>
      </x:c>
      <x:c r="B10" s="50" t="str">
        <x:v>Quality</x:v>
      </x:c>
      <x:c r="C10" s="50" t="str">
        <x:v>Yes</x:v>
      </x:c>
    </x:row>
    <x:row r="11">
      <x:c r="A11" s="50" t="str">
        <x:v>DEP_ENG</x:v>
      </x:c>
      <x:c r="B11" s="50" t="str">
        <x:v>Engineering</x:v>
      </x:c>
      <x:c r="C11" s="50" t="str">
        <x:v>Yes</x:v>
      </x:c>
    </x:row>
    <x:row r="12">
      <x:c r="A12" s="50" t="str">
        <x:v>DEP_LOG</x:v>
      </x:c>
      <x:c r="B12" s="50" t="str">
        <x:v>Logistics / Palletizing</x:v>
      </x:c>
      <x:c r="C12" s="50" t="str">
        <x:v>Yes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5bfd045ece447f2"/>
  </x:tableParts>
</x:worksheet>
</file>

<file path=xl/worksheets/sheet26.xml><?xml version="1.0" encoding="utf-8"?>
<x:worksheet xmlns:x="http://schemas.openxmlformats.org/spreadsheetml/2006/main">
  <x:sheetFormatPr defaultRowHeight="15"/>
  <x:sheetData>
    <x:row r="1">
      <x:c r="A1" s="41" t="str">
        <x:v>CORRECTIVE ACTION STATUS</x:v>
      </x:c>
      <x:c r="B1" s="41"/>
      <x:c r="C1" s="41"/>
      <x:c r="D1" s="41"/>
    </x:row>
    <x:row r="2">
      <x:c r="A2" s="46" t="str">
        <x:v>Structured action-status lookup.</x:v>
      </x:c>
      <x:c r="B2" s="46"/>
      <x:c r="C2" s="46"/>
      <x:c r="D2" s="46"/>
    </x:row>
    <x:row r="4">
      <x:c r="A4" s="34" t="str">
        <x:v>ActionStatusCode</x:v>
      </x:c>
      <x:c r="B4" s="34" t="str">
        <x:v>ActionStatusName</x:v>
      </x:c>
      <x:c r="C4" s="34" t="str">
        <x:v>IsClosed</x:v>
      </x:c>
      <x:c r="D4" s="34" t="str">
        <x:v>ActiveFlag</x:v>
      </x:c>
    </x:row>
    <x:row r="5">
      <x:c r="A5" s="50" t="str">
        <x:v>ACT_OPEN</x:v>
      </x:c>
      <x:c r="B5" s="50" t="str">
        <x:v>Open</x:v>
      </x:c>
      <x:c r="C5" s="50" t="str">
        <x:v>No</x:v>
      </x:c>
      <x:c r="D5" s="50" t="str">
        <x:v>Yes</x:v>
      </x:c>
    </x:row>
    <x:row r="6">
      <x:c r="A6" s="50" t="str">
        <x:v>ACT_PROGRESS</x:v>
      </x:c>
      <x:c r="B6" s="50" t="str">
        <x:v>In Progress</x:v>
      </x:c>
      <x:c r="C6" s="50" t="str">
        <x:v>No</x:v>
      </x:c>
      <x:c r="D6" s="50" t="str">
        <x:v>Yes</x:v>
      </x:c>
    </x:row>
    <x:row r="7">
      <x:c r="A7" s="50" t="str">
        <x:v>ACT_MONITOR</x:v>
      </x:c>
      <x:c r="B7" s="50" t="str">
        <x:v>Monitoring</x:v>
      </x:c>
      <x:c r="C7" s="50" t="str">
        <x:v>No</x:v>
      </x:c>
      <x:c r="D7" s="50" t="str">
        <x:v>Yes</x:v>
      </x:c>
    </x:row>
    <x:row r="8">
      <x:c r="A8" s="50" t="str">
        <x:v>ACT_CLOSED</x:v>
      </x:c>
      <x:c r="B8" s="50" t="str">
        <x:v>Closed</x:v>
      </x:c>
      <x:c r="C8" s="50" t="str">
        <x:v>Yes</x:v>
      </x:c>
      <x:c r="D8" s="50" t="str">
        <x:v>Yes</x:v>
      </x:c>
    </x:row>
    <x:row r="9">
      <x:c r="A9" s="50" t="str">
        <x:v>ACT_CANCELLED</x:v>
      </x:c>
      <x:c r="B9" s="50" t="str">
        <x:v>Cancelled</x:v>
      </x:c>
      <x:c r="C9" s="50" t="str">
        <x:v>Yes</x:v>
      </x:c>
      <x:c r="D9" s="50" t="str">
        <x:v>Yes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d1070e0e52a466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6" hidden="0" customWidth="1"/>
    <x:col min="4" max="4" width="28" hidden="0" customWidth="1"/>
    <x:col min="5" max="5" width="30" hidden="0" customWidth="1"/>
    <x:col min="6" max="6" width="28" hidden="0" customWidth="1"/>
    <x:col min="7" max="7" width="44" hidden="0" customWidth="1"/>
  </x:cols>
  <x:sheetData>
    <x:row r="1">
      <x:c r="A1" s="41" t="str">
        <x:v>WAREHOUSE MODEL MAP &amp; FACT GRAINS</x:v>
      </x:c>
      <x:c r="B1" s="41"/>
      <x:c r="C1" s="41"/>
      <x:c r="D1" s="41"/>
      <x:c r="E1" s="41"/>
      <x:c r="F1" s="41"/>
      <x:c r="G1" s="41"/>
    </x:row>
    <x:row r="2">
      <x:c r="A2" s="46" t="str">
        <x:v>The declared grain is the contract for ETL and Power BI.</x:v>
      </x:c>
      <x:c r="B2" s="46"/>
      <x:c r="C2" s="46"/>
      <x:c r="D2" s="46"/>
      <x:c r="E2" s="46"/>
      <x:c r="F2" s="46"/>
      <x:c r="G2" s="46"/>
    </x:row>
    <x:row r="4" ht="36" customHeight="1">
      <x:c r="A4" s="34" t="str">
        <x:v>TableName</x:v>
      </x:c>
      <x:c r="B4" s="34" t="str">
        <x:v>Workbook</x:v>
      </x:c>
      <x:c r="C4" s="34" t="str">
        <x:v>DeclaredGrain</x:v>
      </x:c>
      <x:c r="D4" s="34" t="str">
        <x:v>PrimaryBusinessKey</x:v>
      </x:c>
      <x:c r="E4" s="34" t="str">
        <x:v>ParentRelationship</x:v>
      </x:c>
      <x:c r="F4" s="34" t="str">
        <x:v>MeasureRule</x:v>
      </x:c>
      <x:c r="G4" s="34" t="str">
        <x:v>PowerBIModelGuidance</x:v>
      </x:c>
    </x:row>
    <x:row r="5">
      <x:c r="A5" s="50" t="str">
        <x:v>DIM_MACHINE</x:v>
      </x:c>
      <x:c r="B5" s="50" t="str">
        <x:v>01_MasterData</x:v>
      </x:c>
      <x:c r="C5" s="50" t="str">
        <x:v>One machine version</x:v>
      </x:c>
      <x:c r="D5" s="50" t="str">
        <x:v>MachineKey / MachineCode</x:v>
      </x:c>
      <x:c r="E5" s="50" t="str">
        <x:v>DIM_LINE via effective mapping</x:v>
      </x:c>
      <x:c r="F5" s="50" t="str">
        <x:v>N/A</x:v>
      </x:c>
      <x:c r="G5" s="50" t="str">
        <x:v>Do not assume Line=Machine permanently.</x:v>
      </x:c>
    </x:row>
    <x:row r="6">
      <x:c r="A6" s="50" t="str">
        <x:v>DIM_MACHINE_CAPABILITY</x:v>
      </x:c>
      <x:c r="B6" s="50" t="str">
        <x:v>01_MasterData</x:v>
      </x:c>
      <x:c r="C6" s="50" t="str">
        <x:v>One machine capability version</x:v>
      </x:c>
      <x:c r="D6" s="50" t="str">
        <x:v>MachineCapabilityID</x:v>
      </x:c>
      <x:c r="E6" s="50" t="str">
        <x:v>DIM_MACHINE</x:v>
      </x:c>
      <x:c r="F6" s="50" t="str">
        <x:v>N/A</x:v>
      </x:c>
      <x:c r="G6" s="50" t="str">
        <x:v>Use ValidFrom/ValidTo.</x:v>
      </x:c>
    </x:row>
    <x:row r="7">
      <x:c r="A7" s="50" t="str">
        <x:v>BRIDGE_PRODUCT_LINE_CAPABILITY</x:v>
      </x:c>
      <x:c r="B7" s="50" t="str">
        <x:v>01_MasterData</x:v>
      </x:c>
      <x:c r="C7" s="50" t="str">
        <x:v>One product-line capability version</x:v>
      </x:c>
      <x:c r="D7" s="50" t="str">
        <x:v>ProductLineCapabilityID</x:v>
      </x:c>
      <x:c r="E7" s="50" t="str">
        <x:v>Product + Line + Machine</x:v>
      </x:c>
      <x:c r="F7" s="50" t="str">
        <x:v>N/A</x:v>
      </x:c>
      <x:c r="G7" s="50" t="str">
        <x:v>Physical → Product capability → Actual configuration.</x:v>
      </x:c>
    </x:row>
    <x:row r="8">
      <x:c r="A8" s="50" t="str">
        <x:v>DIM_ASSET</x:v>
      </x:c>
      <x:c r="B8" s="50" t="str">
        <x:v>01_MasterData</x:v>
      </x:c>
      <x:c r="C8" s="50" t="str">
        <x:v>One line/section/cavity physical asset</x:v>
      </x:c>
      <x:c r="D8" s="50" t="str">
        <x:v>AssetKey / AssetScopeKey</x:v>
      </x:c>
      <x:c r="E8" s="50" t="str">
        <x:v>Self-parent hierarchy</x:v>
      </x:c>
      <x:c r="F8" s="50" t="str">
        <x:v>N/A</x:v>
      </x:c>
      <x:c r="G8" s="50" t="str">
        <x:v>Line → Section → Cavity.</x:v>
      </x:c>
    </x:row>
    <x:row r="9">
      <x:c r="A9" s="50" t="str">
        <x:v>FACT_PRODUCTION</x:v>
      </x:c>
      <x:c r="B9" s="50" t="str">
        <x:v>02_Supervisor_Log</x:v>
      </x:c>
      <x:c r="C9" s="50" t="str">
        <x:v>One Line + Date + Shift + Order production event</x:v>
      </x:c>
      <x:c r="D9" s="50" t="str">
        <x:v>ProductionEventID</x:v>
      </x:c>
      <x:c r="E9" s="50" t="str">
        <x:v>Date, Line, Order, Shift</x:v>
      </x:c>
      <x:c r="F9" s="50" t="str">
        <x:v>Quantities additive</x:v>
      </x:c>
      <x:c r="G9" s="50" t="str">
        <x:v>Central operational event reference.</x:v>
      </x:c>
    </x:row>
    <x:row r="10">
      <x:c r="A10" s="50" t="str">
        <x:v>FACT_PRODUCTION_CAVITY_CONFIG</x:v>
      </x:c>
      <x:c r="B10" s="50" t="str">
        <x:v>02_Supervisor_Log</x:v>
      </x:c>
      <x:c r="C10" s="50" t="str">
        <x:v>One ProductionEvent + Section + Cavity</x:v>
      </x:c>
      <x:c r="D10" s="50" t="str">
        <x:v>ProductionCavityConfigID</x:v>
      </x:c>
      <x:c r="E10" s="50" t="str">
        <x:v>FACT_PRODUCTION + DIM_ASSET</x:v>
      </x:c>
      <x:c r="F10" s="50" t="str">
        <x:v>Snapshot state</x:v>
      </x:c>
      <x:c r="G10" s="50" t="str">
        <x:v>Preferred analytical configuration table.</x:v>
      </x:c>
    </x:row>
    <x:row r="11">
      <x:c r="A11" s="50" t="str">
        <x:v>FACT_JOBCHANGE</x:v>
      </x:c>
      <x:c r="B11" s="50" t="str">
        <x:v>02_Supervisor_Log</x:v>
      </x:c>
      <x:c r="C11" s="50" t="str">
        <x:v>One job-change transition event</x:v>
      </x:c>
      <x:c r="D11" s="50" t="str">
        <x:v>JobChangeEventID</x:v>
      </x:c>
      <x:c r="E11" s="50" t="str">
        <x:v>FromOrder + ToOrder roles</x:v>
      </x:c>
      <x:c r="F11" s="50" t="str">
        <x:v>Event-level elapsed components</x:v>
      </x:c>
      <x:c r="G11" s="50" t="str">
        <x:v>Use role-playing order dimensions.</x:v>
      </x:c>
    </x:row>
    <x:row r="12">
      <x:c r="A12" s="50" t="str">
        <x:v>FACT_JOBCHANGE_LOSS</x:v>
      </x:c>
      <x:c r="B12" s="50" t="str">
        <x:v>02_Supervisor_Log</x:v>
      </x:c>
      <x:c r="C12" s="50" t="str">
        <x:v>One JobChangeEvent + loss component</x:v>
      </x:c>
      <x:c r="D12" s="50" t="str">
        <x:v>JobChangeLossID</x:v>
      </x:c>
      <x:c r="E12" s="50" t="str">
        <x:v>FACT_JOBCHANGE</x:v>
      </x:c>
      <x:c r="F12" s="50" t="str">
        <x:v>ElapsedLossHrs stored once</x:v>
      </x:c>
      <x:c r="G12" s="50" t="str">
        <x:v>Authoritative elapsed loss table.</x:v>
      </x:c>
    </x:row>
    <x:row r="13">
      <x:c r="A13" s="50" t="str">
        <x:v>FACT_JOBCHANGE_IMPACT</x:v>
      </x:c>
      <x:c r="B13" s="50" t="str">
        <x:v>02_Supervisor_Log</x:v>
      </x:c>
      <x:c r="C13" s="50" t="str">
        <x:v>One JobChangeLoss + affected asset scope</x:v>
      </x:c>
      <x:c r="D13" s="50" t="str">
        <x:v>JobChangeImpactID</x:v>
      </x:c>
      <x:c r="E13" s="50" t="str">
        <x:v>JobChangeLoss + DIM_ASSET</x:v>
      </x:c>
      <x:c r="F13" s="50" t="str">
        <x:v>Sum line-equivalent, not repeated duration</x:v>
      </x:c>
      <x:c r="G13" s="50" t="str">
        <x:v>Allocation table.</x:v>
      </x:c>
    </x:row>
    <x:row r="14">
      <x:c r="A14" s="50" t="str">
        <x:v>FACT_PROCESS_LOSS</x:v>
      </x:c>
      <x:c r="B14" s="50" t="str">
        <x:v>03_Process_Losses</x:v>
      </x:c>
      <x:c r="C14" s="50" t="str">
        <x:v>One ProductionEvent + process loss type</x:v>
      </x:c>
      <x:c r="D14" s="50" t="str">
        <x:v>ProcessLossDetailID</x:v>
      </x:c>
      <x:c r="E14" s="50" t="str">
        <x:v>FACT_PRODUCTION + DIM_LOSS_TYPE</x:v>
      </x:c>
      <x:c r="F14" s="50" t="str">
        <x:v>LossPct non-additive</x:v>
      </x:c>
      <x:c r="G14" s="50" t="str">
        <x:v>Use weighted numerator/denominator.</x:v>
      </x:c>
    </x:row>
    <x:row r="15">
      <x:c r="A15" s="50" t="str">
        <x:v>FACT_DEFECT_SAMPLING</x:v>
      </x:c>
      <x:c r="B15" s="50" t="str">
        <x:v>04_Quality_Log</x:v>
      </x:c>
      <x:c r="C15" s="50" t="str">
        <x:v>One ProductionEvent + Hour + Defect</x:v>
      </x:c>
      <x:c r="D15" s="50" t="str">
        <x:v>SamplingRecordID</x:v>
      </x:c>
      <x:c r="E15" s="50" t="str">
        <x:v>FACT_PRODUCTION + DIM_DEFECT</x:v>
      </x:c>
      <x:c r="F15" s="50" t="str">
        <x:v>DefectRate non-additive</x:v>
      </x:c>
      <x:c r="G15" s="50" t="str">
        <x:v>Sampling defects are not production rejects.</x:v>
      </x:c>
    </x:row>
    <x:row r="16">
      <x:c r="A16" s="50" t="str">
        <x:v>FACT_REWORK</x:v>
      </x:c>
      <x:c r="B16" s="50" t="str">
        <x:v>04_Quality_Log</x:v>
      </x:c>
      <x:c r="C16" s="50" t="str">
        <x:v>One ProductionEvent + ReworkStatus</x:v>
      </x:c>
      <x:c r="D16" s="50" t="str">
        <x:v>ReworkRecordID</x:v>
      </x:c>
      <x:c r="E16" s="50" t="str">
        <x:v>FACT_PRODUCTION</x:v>
      </x:c>
      <x:c r="F16" s="50" t="str">
        <x:v>ReworkedUnits additive</x:v>
      </x:c>
      <x:c r="G16" s="50" t="str">
        <x:v>Reconcile; do not force equality with rejects.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6e0d18df50b4c99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36" hidden="0" customWidth="1"/>
    <x:col min="5" max="5" width="48" hidden="0" customWidth="1"/>
  </x:cols>
  <x:sheetData>
    <x:row r="1">
      <x:c r="A1" s="41" t="str">
        <x:v>MEASURE SEMANTICS — ADDITIVE VS NON-ADDITIVE</x:v>
      </x:c>
      <x:c r="B1" s="41"/>
      <x:c r="C1" s="41"/>
      <x:c r="D1" s="41"/>
      <x:c r="E1" s="41"/>
    </x:row>
    <x:row r="2">
      <x:c r="A2" s="46" t="str">
        <x:v>Power BI aggregation rules.</x:v>
      </x:c>
      <x:c r="B2" s="46"/>
      <x:c r="C2" s="46"/>
      <x:c r="D2" s="46"/>
      <x:c r="E2" s="46"/>
    </x:row>
    <x:row r="4" ht="36" customHeight="1">
      <x:c r="A4" s="34" t="str">
        <x:v>MeasureName</x:v>
      </x:c>
      <x:c r="B4" s="34" t="str">
        <x:v>SourceGrain</x:v>
      </x:c>
      <x:c r="C4" s="34" t="str">
        <x:v>Additivity</x:v>
      </x:c>
      <x:c r="D4" s="34" t="str">
        <x:v>CorrectAggregation</x:v>
      </x:c>
      <x:c r="E4" s="34" t="str">
        <x:v>Warning</x:v>
      </x:c>
    </x:row>
    <x:row r="5">
      <x:c r="A5" s="50" t="str">
        <x:v>DesignOutput</x:v>
      </x:c>
      <x:c r="B5" s="50" t="str">
        <x:v>ProductionEvent</x:v>
      </x:c>
      <x:c r="C5" s="50" t="str">
        <x:v>Additive</x:v>
      </x:c>
      <x:c r="D5" s="50" t="str">
        <x:v>SUM across non-overlapping events</x:v>
      </x:c>
      <x:c r="E5" s="50" t="str">
        <x:v>Do not duplicate through cavity joins.</x:v>
      </x:c>
    </x:row>
    <x:row r="6">
      <x:c r="A6" s="50" t="str">
        <x:v>ActualPack</x:v>
      </x:c>
      <x:c r="B6" s="50" t="str">
        <x:v>ProductionEvent</x:v>
      </x:c>
      <x:c r="C6" s="50" t="str">
        <x:v>Additive</x:v>
      </x:c>
      <x:c r="D6" s="50" t="str">
        <x:v>SUM</x:v>
      </x:c>
      <x:c r="E6" s="50" t="str"/>
    </x:row>
    <x:row r="7">
      <x:c r="A7" s="50" t="str">
        <x:v>TotalReject</x:v>
      </x:c>
      <x:c r="B7" s="50" t="str">
        <x:v>ProductionEvent</x:v>
      </x:c>
      <x:c r="C7" s="50" t="str">
        <x:v>Additive</x:v>
      </x:c>
      <x:c r="D7" s="50" t="str">
        <x:v>SUM</x:v>
      </x:c>
      <x:c r="E7" s="50" t="str"/>
    </x:row>
    <x:row r="8">
      <x:c r="A8" s="50" t="str">
        <x:v>Process Loss %</x:v>
      </x:c>
      <x:c r="B8" s="50" t="str">
        <x:v>ProductionEvent + LossType</x:v>
      </x:c>
      <x:c r="C8" s="50" t="str">
        <x:v>Non-additive</x:v>
      </x:c>
      <x:c r="D8" s="50" t="str">
        <x:v>SUM(LossQty)/SUM(DesignOutput)</x:v>
      </x:c>
      <x:c r="E8" s="50" t="str">
        <x:v>Never SUM percentages.</x:v>
      </x:c>
    </x:row>
    <x:row r="9">
      <x:c r="A9" s="50" t="str">
        <x:v>Defect Rate</x:v>
      </x:c>
      <x:c r="B9" s="50" t="str">
        <x:v>Sampling event</x:v>
      </x:c>
      <x:c r="C9" s="50" t="str">
        <x:v>Non-additive</x:v>
      </x:c>
      <x:c r="D9" s="50" t="str">
        <x:v>SUM(DefectQty)/SUM(TotalSamples)</x:v>
      </x:c>
      <x:c r="E9" s="50" t="str">
        <x:v>Sampling rate is not scrap rate.</x:v>
      </x:c>
    </x:row>
    <x:row r="10">
      <x:c r="A10" s="50" t="str">
        <x:v>ElapsedLossHrs</x:v>
      </x:c>
      <x:c r="B10" s="50" t="str">
        <x:v>JobChangeLoss</x:v>
      </x:c>
      <x:c r="C10" s="50" t="str">
        <x:v>Additive at unique loss grain</x:v>
      </x:c>
      <x:c r="D10" s="50" t="str">
        <x:v>SUM(JobChangeLoss[ElapsedLossHrs])</x:v>
      </x:c>
      <x:c r="E10" s="50" t="str">
        <x:v>Never sum impact-duration copies.</x:v>
      </x:c>
    </x:row>
    <x:row r="11">
      <x:c r="A11" s="50" t="str">
        <x:v>CapacityImpactPct</x:v>
      </x:c>
      <x:c r="B11" s="50" t="str">
        <x:v>JobChangeImpact</x:v>
      </x:c>
      <x:c r="C11" s="50" t="str">
        <x:v>Non-additive</x:v>
      </x:c>
      <x:c r="D11" s="50" t="str">
        <x:v>Allocation factor within one loss</x:v>
      </x:c>
      <x:c r="E11" s="50" t="str">
        <x:v>Validate overlapping scopes.</x:v>
      </x:c>
    </x:row>
    <x:row r="12">
      <x:c r="A12" s="50" t="str">
        <x:v>LineEquivalentLossHrs</x:v>
      </x:c>
      <x:c r="B12" s="50" t="str">
        <x:v>JobChangeImpact</x:v>
      </x:c>
      <x:c r="C12" s="50" t="str">
        <x:v>Additive if non-overlapping</x:v>
      </x:c>
      <x:c r="D12" s="50" t="str">
        <x:v>SUM</x:v>
      </x:c>
      <x:c r="E12" s="50" t="str">
        <x:v>Preferred capacity-weighted loss.</x:v>
      </x:c>
    </x:row>
    <x:row r="13">
      <x:c r="A13" s="50" t="str">
        <x:v>EstimatedLostUnits</x:v>
      </x:c>
      <x:c r="B13" s="50" t="str">
        <x:v>Impact / ProcessLoss</x:v>
      </x:c>
      <x:c r="C13" s="50" t="str">
        <x:v>Additive if non-overlapping</x:v>
      </x:c>
      <x:c r="D13" s="50" t="str">
        <x:v>SUM</x:v>
      </x:c>
      <x:c r="E13" s="50" t="str">
        <x:v>Estimated; not audited reject.</x:v>
      </x:c>
    </x:row>
    <x:row r="14">
      <x:c r="A14" s="50" t="str">
        <x:v>Efficiency %</x:v>
      </x:c>
      <x:c r="B14" s="50" t="str">
        <x:v>Reporting context</x:v>
      </x:c>
      <x:c r="C14" s="50" t="str">
        <x:v>Non-additive</x:v>
      </x:c>
      <x:c r="D14" s="50" t="str">
        <x:v>1 - loss numerator/available denominator</x:v>
      </x:c>
      <x:c r="E14" s="50" t="str">
        <x:v>Do not sum efficiencies.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7010fd5d69468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55" hidden="0" customWidth="1"/>
  </x:cols>
  <x:sheetData>
    <x:row r="1">
      <x:c r="A1" s="41" t="str">
        <x:v>DATA QUALITY RULE CATALOG</x:v>
      </x:c>
      <x:c r="B1" s="41"/>
      <x:c r="C1" s="41"/>
      <x:c r="D1" s="41"/>
      <x:c r="E1" s="41"/>
      <x:c r="F1" s="41"/>
    </x:row>
    <x:row r="2">
      <x:c r="A2" s="46" t="str">
        <x:v>CHECK rows remain traceable and are quarantined rather than silently corrected.</x:v>
      </x:c>
      <x:c r="B2" s="46"/>
      <x:c r="C2" s="46"/>
      <x:c r="D2" s="46"/>
      <x:c r="E2" s="46"/>
      <x:c r="F2" s="46"/>
    </x:row>
    <x:row r="4" ht="36" customHeight="1">
      <x:c r="A4" s="34" t="str">
        <x:v>RuleID</x:v>
      </x:c>
      <x:c r="B4" s="34" t="str">
        <x:v>Domain</x:v>
      </x:c>
      <x:c r="C4" s="34" t="str">
        <x:v>RuleName</x:v>
      </x:c>
      <x:c r="D4" s="34" t="str">
        <x:v>Severity</x:v>
      </x:c>
      <x:c r="E4" s="34" t="str">
        <x:v>LoadAction</x:v>
      </x:c>
      <x:c r="F4" s="34" t="str">
        <x:v>RuleDefinition</x:v>
      </x:c>
    </x:row>
    <x:row r="5">
      <x:c r="A5" s="50" t="str">
        <x:v>DQ-PROD-001</x:v>
      </x:c>
      <x:c r="B5" s="50" t="str">
        <x:v>Production</x:v>
      </x:c>
      <x:c r="C5" s="50" t="str">
        <x:v>Physical capability</x:v>
      </x:c>
      <x:c r="D5" s="50" t="str">
        <x:v>HIGH</x:v>
      </x:c>
      <x:c r="E5" s="50" t="str">
        <x:v>QUARANTINE</x:v>
      </x:c>
      <x:c r="F5" s="50" t="str">
        <x:v>Sections/cavities must fit effective machine capability.</x:v>
      </x:c>
    </x:row>
    <x:row r="6">
      <x:c r="A6" s="50" t="str">
        <x:v>DQ-PROD-002</x:v>
      </x:c>
      <x:c r="B6" s="50" t="str">
        <x:v>Production</x:v>
      </x:c>
      <x:c r="C6" s="50" t="str">
        <x:v>Product-line capability</x:v>
      </x:c>
      <x:c r="D6" s="50" t="str">
        <x:v>HIGH</x:v>
      </x:c>
      <x:c r="E6" s="50" t="str">
        <x:v>QUARANTINE</x:v>
      </x:c>
      <x:c r="F6" s="50" t="str">
        <x:v>Actual configuration must fit effective ProductLineCapability.</x:v>
      </x:c>
    </x:row>
    <x:row r="7">
      <x:c r="A7" s="50" t="str">
        <x:v>DQ-PROD-003</x:v>
      </x:c>
      <x:c r="B7" s="50" t="str">
        <x:v>Production</x:v>
      </x:c>
      <x:c r="C7" s="50" t="str">
        <x:v>Material balance</x:v>
      </x:c>
      <x:c r="D7" s="50" t="str">
        <x:v>HIGH</x:v>
      </x:c>
      <x:c r="E7" s="50" t="str">
        <x:v>QUARANTINE</x:v>
      </x:c>
      <x:c r="F7" s="50" t="str">
        <x:v>DesignOutput = Pack + Hold + Reject within tolerance.</x:v>
      </x:c>
    </x:row>
    <x:row r="8">
      <x:c r="A8" s="50" t="str">
        <x:v>DQ-JC-001</x:v>
      </x:c>
      <x:c r="B8" s="50" t="str">
        <x:v>JobChange</x:v>
      </x:c>
      <x:c r="C8" s="50" t="str">
        <x:v>Elapsed loss reconciliation</x:v>
      </x:c>
      <x:c r="D8" s="50" t="str">
        <x:v>HIGH</x:v>
      </x:c>
      <x:c r="E8" s="50" t="str">
        <x:v>QUARANTINE</x:v>
      </x:c>
      <x:c r="F8" s="50" t="str">
        <x:v>JobChange summary reconciles to JobChangeLoss, not JobChangeImpact.</x:v>
      </x:c>
    </x:row>
    <x:row r="9">
      <x:c r="A9" s="50" t="str">
        <x:v>DQ-JC-002</x:v>
      </x:c>
      <x:c r="B9" s="50" t="str">
        <x:v>JobChangeImpact</x:v>
      </x:c>
      <x:c r="C9" s="50" t="str">
        <x:v>Active scope</x:v>
      </x:c>
      <x:c r="D9" s="50" t="str">
        <x:v>HIGH</x:v>
      </x:c>
      <x:c r="E9" s="50" t="str">
        <x:v>QUARANTINE</x:v>
      </x:c>
      <x:c r="F9" s="50" t="str">
        <x:v>Affected scope must be active in the production configuration.</x:v>
      </x:c>
    </x:row>
    <x:row r="10">
      <x:c r="A10" s="50" t="str">
        <x:v>DQ-JC-003</x:v>
      </x:c>
      <x:c r="B10" s="50" t="str">
        <x:v>JobChangeImpact</x:v>
      </x:c>
      <x:c r="C10" s="50" t="str">
        <x:v>No overlapping allocation</x:v>
      </x:c>
      <x:c r="D10" s="50" t="str">
        <x:v>HIGH</x:v>
      </x:c>
      <x:c r="E10" s="50" t="str">
        <x:v>QUARANTINE</x:v>
      </x:c>
      <x:c r="F10" s="50" t="str">
        <x:v>One loss cannot allocate overlapping Line/Section/Cavity scopes.</x:v>
      </x:c>
    </x:row>
    <x:row r="11">
      <x:c r="A11" s="50" t="str">
        <x:v>DQ-LOSS-001</x:v>
      </x:c>
      <x:c r="B11" s="50" t="str">
        <x:v>ProcessLoss</x:v>
      </x:c>
      <x:c r="C11" s="50" t="str">
        <x:v>Percent range</x:v>
      </x:c>
      <x:c r="D11" s="50" t="str">
        <x:v>HIGH</x:v>
      </x:c>
      <x:c r="E11" s="50" t="str">
        <x:v>QUARANTINE</x:v>
      </x:c>
      <x:c r="F11" s="50" t="str">
        <x:v>Loss percentages and event total must be within 0–100%.</x:v>
      </x:c>
    </x:row>
    <x:row r="12">
      <x:c r="A12" s="50" t="str">
        <x:v>DQ-QUAL-001</x:v>
      </x:c>
      <x:c r="B12" s="50" t="str">
        <x:v>Sampling</x:v>
      </x:c>
      <x:c r="C12" s="50" t="str">
        <x:v>Sample quantity</x:v>
      </x:c>
      <x:c r="D12" s="50" t="str">
        <x:v>HIGH</x:v>
      </x:c>
      <x:c r="E12" s="50" t="str">
        <x:v>QUARANTINE</x:v>
      </x:c>
      <x:c r="F12" s="50" t="str">
        <x:v>Defect quantity must be 0..TotalSamples.</x:v>
      </x:c>
    </x:row>
    <x:row r="13">
      <x:c r="A13" s="50" t="str">
        <x:v>DQ-FK-001</x:v>
      </x:c>
      <x:c r="B13" s="50" t="str">
        <x:v>All Facts</x:v>
      </x:c>
      <x:c r="C13" s="50" t="str">
        <x:v>Parent production event</x:v>
      </x:c>
      <x:c r="D13" s="50" t="str">
        <x:v>HIGH</x:v>
      </x:c>
      <x:c r="E13" s="50" t="str">
        <x:v>QUARANTINE</x:v>
      </x:c>
      <x:c r="F13" s="50" t="str">
        <x:v>Dependent fact must resolve to exactly one ProductionEventID.</x:v>
      </x:c>
    </x:row>
    <x:row r="14">
      <x:c r="A14" s="50" t="str">
        <x:v>DQ-AUD-001</x:v>
      </x:c>
      <x:c r="B14" s="50" t="str">
        <x:v>All Facts</x:v>
      </x:c>
      <x:c r="C14" s="50" t="str">
        <x:v>Audit metadata</x:v>
      </x:c>
      <x:c r="D14" s="50" t="str">
        <x:v>MEDIUM</x:v>
      </x:c>
      <x:c r="E14" s="50" t="str">
        <x:v>WARN</x:v>
      </x:c>
      <x:c r="F14" s="50" t="str">
        <x:v>SourceFile, LoadBatchID and RecordStatus should be populated.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2590837e59c4652"/>
  </x:tableParts>
</x:worksheet>
</file>

<file path=xl/worksheets/sheet30.xml><?xml version="1.0" encoding="utf-8"?>
<x:worksheet xmlns:x="http://schemas.openxmlformats.org/spreadsheetml/2006/main">
  <x:sheetFormatPr defaultRowHeight="15"/>
  <x:sheetData>
    <x:row r="1">
      <x:c r="A1" s="41" t="str">
        <x:v>WAREHOUSE ENHANCEMENT GUIDE</x:v>
      </x:c>
      <x:c r="B1" s="41"/>
      <x:c r="C1" s="41"/>
      <x:c r="D1" s="41"/>
    </x:row>
    <x:row r="2">
      <x:c r="A2" s="46" t="str">
        <x:v>Summary of the implemented model extensions.</x:v>
      </x:c>
      <x:c r="B2" s="46"/>
      <x:c r="C2" s="46"/>
      <x:c r="D2" s="46"/>
    </x:row>
    <x:row r="4">
      <x:c r="A4" s="34" t="str">
        <x:v>Priority</x:v>
      </x:c>
      <x:c r="B4" s="34" t="str">
        <x:v>Enhancement</x:v>
      </x:c>
      <x:c r="C4" s="34" t="str">
        <x:v>ImplementedAs</x:v>
      </x:c>
      <x:c r="D4" s="34" t="str">
        <x:v>OperationalRule</x:v>
      </x:c>
    </x:row>
    <x:row r="5">
      <x:c r="A5" s="50" t="str">
        <x:v>HIGH</x:v>
      </x:c>
      <x:c r="B5" s="50" t="str">
        <x:v>Separate machine from line</x:v>
      </x:c>
      <x:c r="C5" s="50" t="str">
        <x:v>Machines + MachineCapabilityHistory</x:v>
      </x:c>
      <x:c r="D5" s="50" t="str">
        <x:v>One-to-one today is not a permanent assumption.</x:v>
      </x:c>
    </x:row>
    <x:row r="6">
      <x:c r="A6" s="50" t="str">
        <x:v>HIGH</x:v>
      </x:c>
      <x:c r="B6" s="50" t="str">
        <x:v>Product capability layer</x:v>
      </x:c>
      <x:c r="C6" s="50" t="str">
        <x:v>ProductLineCapability</x:v>
      </x:c>
      <x:c r="D6" s="50" t="str">
        <x:v>Physical → Product capability → Actual configuration.</x:v>
      </x:c>
    </x:row>
    <x:row r="7">
      <x:c r="A7" s="50" t="str">
        <x:v>HIGH</x:v>
      </x:c>
      <x:c r="B7" s="50" t="str">
        <x:v>Normalized loss types</x:v>
      </x:c>
      <x:c r="C7" s="50" t="str">
        <x:v>LossTypes</x:v>
      </x:c>
      <x:c r="D7" s="50" t="str">
        <x:v>Stable codes across facts.</x:v>
      </x:c>
    </x:row>
    <x:row r="8">
      <x:c r="A8" s="50" t="str">
        <x:v>HIGH</x:v>
      </x:c>
      <x:c r="B8" s="50" t="str">
        <x:v>Effective-dated targets</x:v>
      </x:c>
      <x:c r="C8" s="50" t="str">
        <x:v>JobChangeTargets</x:v>
      </x:c>
      <x:c r="D8" s="50" t="str">
        <x:v>Never overwrite historical targets.</x:v>
      </x:c>
    </x:row>
    <x:row r="9">
      <x:c r="A9" s="50" t="str">
        <x:v>MEDIUM</x:v>
      </x:c>
      <x:c r="B9" s="50" t="str">
        <x:v>Surrogate-key preparation</x:v>
      </x:c>
      <x:c r="C9" s="50" t="str">
        <x:v>Key seed columns</x:v>
      </x:c>
      <x:c r="D9" s="50" t="str">
        <x:v>SQL may replace/extend seed keys.</x:v>
      </x:c>
    </x:row>
    <x:row r="10">
      <x:c r="A10" s="50" t="str">
        <x:v>MEDIUM</x:v>
      </x:c>
      <x:c r="B10" s="50" t="str">
        <x:v>Reason hierarchy</x:v>
      </x:c>
      <x:c r="C10" s="50" t="str">
        <x:v>LossReasonHierarchy</x:v>
      </x:c>
      <x:c r="D10" s="50" t="str">
        <x:v>Area → Category → Reason.</x:v>
      </x:c>
    </x:row>
    <x:row r="11">
      <x:c r="A11" s="50" t="str">
        <x:v>MEDIUM</x:v>
      </x:c>
      <x:c r="B11" s="50" t="str">
        <x:v>Structured cause/action</x:v>
      </x:c>
      <x:c r="C11" s="50" t="str">
        <x:v>RootCauses / Departments / ActionStatus</x:v>
      </x:c>
      <x:c r="D11" s="50" t="str">
        <x:v>Do not hide actions only in Notes.</x:v>
      </x:c>
    </x:row>
    <x:row r="12">
      <x:c r="A12" s="50" t="str">
        <x:v>MEDIUM</x:v>
      </x:c>
      <x:c r="B12" s="50" t="str">
        <x:v>Fact grain contract</x:v>
      </x:c>
      <x:c r="C12" s="50" t="str">
        <x:v>WarehouseModelMap</x:v>
      </x:c>
      <x:c r="D12" s="50" t="str">
        <x:v>Do not join facts at incompatible grains.</x:v>
      </x:c>
    </x:row>
    <x:row r="13">
      <x:c r="A13" s="50" t="str">
        <x:v>MEDIUM</x:v>
      </x:c>
      <x:c r="B13" s="50" t="str">
        <x:v>Measure aggregation rules</x:v>
      </x:c>
      <x:c r="C13" s="50" t="str">
        <x:v>MeasureSemantics</x:v>
      </x:c>
      <x:c r="D13" s="50" t="str">
        <x:v>Rates/percentages are recomputed, not summed.</x:v>
      </x:c>
    </x:row>
    <x:row r="14">
      <x:c r="A14" s="50" t="str">
        <x:v>MEDIUM</x:v>
      </x:c>
      <x:c r="B14" s="50" t="str">
        <x:v>Quarantine policy</x:v>
      </x:c>
      <x:c r="C14" s="50" t="str">
        <x:v>DataQualityRules</x:v>
      </x:c>
      <x:c r="D14" s="50" t="str">
        <x:v>CHECK data must not load as clean.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e2d48ee4bfb4c00"/>
  </x:tableParts>
</x:worksheet>
</file>