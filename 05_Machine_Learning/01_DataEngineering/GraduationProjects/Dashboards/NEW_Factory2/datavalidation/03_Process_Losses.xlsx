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LossesOutp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<sst xmlns="http://schemas.openxmlformats.org/spreadsheetml/2006/main" count="3719" uniqueCount="200">
  <si>
    <t xml:space="preserve">PROCESS LOSSES — Instructions</t>
  </si>
  <si>
    <t xml:space="preserve">Owner: Process Engineers</t>
  </si>
  <si>
    <t xml:space="preserve">This sheet is WIDE on purpose. SSIS will unpivot the 11 % columns.</t>
  </si>
  <si>
    <t xml:space="preserve">Business rules (locked):</t>
  </si>
  <si>
    <t xml:space="preserve">• Each % is a percentage of Design Output</t>
  </si>
  <si>
    <t xml:space="preserve">• ComputedValue = LossPercent × DesignOutput</t>
  </si>
  <si>
    <t xml:space="preserve">• Total Losses % = SUM of the 11 percentage columns</t>
  </si>
  <si>
    <t xml:space="preserve">Keep Excel column names WITHOUT _Pct suffix. SSIS maps them.</t>
  </si>
  <si>
    <t xml:space="preserve">Save as 03_Process_Losses_YYYYMMDD.xlsx into the OneDrive Daily folder</t>
  </si>
  <si>
    <t xml:space="preserve">Dataset note: one-week subset (2025-10-20 to 2025-10-26); rows remain keyed to production and loss percentages reconcile to TotalReject_Value.</t>
  </si>
  <si>
    <t xml:space="preserve">QA EXTENSION</t>
  </si>
  <si>
    <t xml:space="preserve">TotalLossPct and validation checks are appended; original A:R remain unchanged for Power BI compatibility.</t>
  </si>
  <si>
    <t xml:space="preserve">Percent fields are constrained to 0–100% and stable record IDs are calculated.</t>
  </si>
  <si>
    <t xml:space="preserve">LOSSES &amp; OUTPUT (WIDE FORMAT)</t>
  </si>
  <si>
    <t xml:space="preserve">Maps to STG_LOSSESOUTPUT → FACT_LOSSESOUTPUT (unpivoted)</t>
  </si>
  <si>
    <t xml:space="preserve">One row = Line + Date + Shift + Order. Percentages are of Design Output.</t>
  </si>
  <si>
    <t xml:space="preserve">FactoryCode</t>
  </si>
  <si>
    <t xml:space="preserve">LineNumber</t>
  </si>
  <si>
    <t xml:space="preserve">EventDate</t>
  </si>
  <si>
    <t xml:space="preserve">ShiftCode</t>
  </si>
  <si>
    <t xml:space="preserve">OrderNumber</t>
  </si>
  <si>
    <t xml:space="preserve">CaseName</t>
  </si>
  <si>
    <t xml:space="preserve">TotalReject_Value</t>
  </si>
  <si>
    <t xml:space="preserve">FixedLosses</t>
  </si>
  <si>
    <t xml:space="preserve">ISLosses</t>
  </si>
  <si>
    <t xml:space="preserve">HotEndConveyerLosses</t>
  </si>
  <si>
    <t xml:space="preserve">StuckDownLosses</t>
  </si>
  <si>
    <t xml:space="preserve">LehrLosses</t>
  </si>
  <si>
    <t xml:space="preserve">Evo16Losses</t>
  </si>
  <si>
    <t xml:space="preserve">Evo12Losses</t>
  </si>
  <si>
    <t xml:space="preserve">Evo5Losses</t>
  </si>
  <si>
    <t xml:space="preserve">SanliLosses</t>
  </si>
  <si>
    <t xml:space="preserve">VisualLosses</t>
  </si>
  <si>
    <t xml:space="preserve">PalletizerLosses</t>
  </si>
  <si>
    <t xml:space="preserve">TotalLossPct</t>
  </si>
  <si>
    <t xml:space="preserve">PercentRangeCheck</t>
  </si>
  <si>
    <t xml:space="preserve">LossRecordID</t>
  </si>
  <si>
    <t xml:space="preserve">RecordUniquenessCheck</t>
  </si>
  <si>
    <t xml:space="preserve">DataQualityCheck</t>
  </si>
  <si>
    <t xml:space="preserve">KG01</t>
  </si>
  <si>
    <t xml:space="preserve">AM</t>
  </si>
  <si>
    <t xml:space="preserve">ORD-2025-00019</t>
  </si>
  <si>
    <t xml:space="preserve">Normal</t>
  </si>
  <si>
    <t xml:space="preserve">PM</t>
  </si>
  <si>
    <t xml:space="preserve">ORD-2025-00020</t>
  </si>
  <si>
    <t xml:space="preserve">Trial</t>
  </si>
  <si>
    <t xml:space="preserve">ORD-2025-00021</t>
  </si>
  <si>
    <t xml:space="preserve">ORD-2025-00056</t>
  </si>
  <si>
    <t xml:space="preserve">ORD-2025-00057</t>
  </si>
  <si>
    <t xml:space="preserve">ORD-2025-00058</t>
  </si>
  <si>
    <t xml:space="preserve">ORD-2025-00092</t>
  </si>
  <si>
    <t xml:space="preserve">ORD-2025-00093</t>
  </si>
  <si>
    <t xml:space="preserve">ORD-2025-00094</t>
  </si>
  <si>
    <t xml:space="preserve">ORD-2025-00124</t>
  </si>
  <si>
    <t xml:space="preserve">ORD-2025-00125</t>
  </si>
  <si>
    <t xml:space="preserve">ORD-2025-00126</t>
  </si>
  <si>
    <t xml:space="preserve">ORD-2025-00161</t>
  </si>
  <si>
    <t xml:space="preserve">ORD-2025-00162</t>
  </si>
  <si>
    <t xml:space="preserve">ORD-2025-00163</t>
  </si>
  <si>
    <t xml:space="preserve">ORD-2025-00164</t>
  </si>
  <si>
    <t xml:space="preserve">ORD-2025-00165</t>
  </si>
  <si>
    <t xml:space="preserve">Reworking</t>
  </si>
  <si>
    <t xml:space="preserve">ORD-2025-00166</t>
  </si>
  <si>
    <t xml:space="preserve">ORD-2025-00167</t>
  </si>
  <si>
    <t xml:space="preserve">ORD-2025-00168</t>
  </si>
  <si>
    <t xml:space="preserve">ORD-2025-00169</t>
  </si>
  <si>
    <t xml:space="preserve">ORD-2025-00170</t>
  </si>
  <si>
    <t xml:space="preserve">ORD-2025-00171</t>
  </si>
  <si>
    <t xml:space="preserve">ORD-2025-00172</t>
  </si>
  <si>
    <t xml:space="preserve">ORD-2025-00173</t>
  </si>
  <si>
    <t xml:space="preserve">ORD-2025-00174</t>
  </si>
  <si>
    <t xml:space="preserve">ORD-2025-00175</t>
  </si>
  <si>
    <t xml:space="preserve">ORD-2025-00176</t>
  </si>
  <si>
    <t xml:space="preserve">ORD-2025-00177</t>
  </si>
  <si>
    <t xml:space="preserve">ORD-2025-00178</t>
  </si>
  <si>
    <t xml:space="preserve">ORD-2025-00179</t>
  </si>
  <si>
    <t xml:space="preserve">ORD-2025-00180</t>
  </si>
  <si>
    <t xml:space="preserve">ORD-2025-00181</t>
  </si>
  <si>
    <t xml:space="preserve">ORD-2025-00182</t>
  </si>
  <si>
    <t xml:space="preserve">ORD-2025-00183</t>
  </si>
  <si>
    <t xml:space="preserve">ORD-2025-00184</t>
  </si>
  <si>
    <t xml:space="preserve">ORD-2025-00185</t>
  </si>
  <si>
    <t xml:space="preserve">ORD-2025-00186</t>
  </si>
  <si>
    <t xml:space="preserve">ORD-2025-00187</t>
  </si>
  <si>
    <t xml:space="preserve">ORD-2025-00188</t>
  </si>
  <si>
    <t xml:space="preserve">ORD-2025-00189</t>
  </si>
  <si>
    <t xml:space="preserve">ORD-2025-00190</t>
  </si>
  <si>
    <t xml:space="preserve">ORD-2025-00191</t>
  </si>
  <si>
    <t xml:space="preserve">ORD-2025-00192</t>
  </si>
  <si>
    <t xml:space="preserve">ORD-2025-00193</t>
  </si>
  <si>
    <t xml:space="preserve">ORD-2025-00194</t>
  </si>
  <si>
    <t xml:space="preserve">ORD-2025-00195</t>
  </si>
  <si>
    <t xml:space="preserve">ORD-2025-00196</t>
  </si>
  <si>
    <t xml:space="preserve">ORD-2025-00197</t>
  </si>
  <si>
    <t xml:space="preserve">ORD-2025-00198</t>
  </si>
  <si>
    <t xml:space="preserve">ORD-2025-00199</t>
  </si>
  <si>
    <t xml:space="preserve">ORD-2025-00200</t>
  </si>
  <si>
    <t xml:space="preserve">ORD-2025-00201</t>
  </si>
  <si>
    <t xml:space="preserve">ORD-2025-00202</t>
  </si>
  <si>
    <t xml:space="preserve">ORD-2025-00203</t>
  </si>
  <si>
    <t xml:space="preserve">ORD-2025-00204</t>
  </si>
  <si>
    <t xml:space="preserve">ORD-2025-00205</t>
  </si>
  <si>
    <t xml:space="preserve">ORD-2025-00206</t>
  </si>
  <si>
    <t xml:space="preserve">ORD-2025-00207</t>
  </si>
  <si>
    <t xml:space="preserve">ORD-2025-00208</t>
  </si>
  <si>
    <t xml:space="preserve">ORD-2025-00209</t>
  </si>
  <si>
    <t xml:space="preserve">ORD-2025-00210</t>
  </si>
  <si>
    <t xml:space="preserve">ORD-2025-00211</t>
  </si>
  <si>
    <t xml:space="preserve">ORD-2025-00212</t>
  </si>
  <si>
    <t xml:space="preserve">ORD-2025-00213</t>
  </si>
  <si>
    <t xml:space="preserve">ORD-2025-00214</t>
  </si>
  <si>
    <t xml:space="preserve">ORD-2025-00215</t>
  </si>
  <si>
    <t xml:space="preserve">ORD-2025-00216</t>
  </si>
  <si>
    <t xml:space="preserve">ORD-2025-00217</t>
  </si>
  <si>
    <t xml:space="preserve">ORD-2025-00218</t>
  </si>
  <si>
    <t xml:space="preserve">ORD-2025-00219</t>
  </si>
  <si>
    <t xml:space="preserve">ORD-2025-00220</t>
  </si>
  <si>
    <t xml:space="preserve">ORD-2025-00221</t>
  </si>
  <si>
    <t xml:space="preserve">ORD-2025-00222</t>
  </si>
  <si>
    <t xml:space="preserve">ORD-2025-00223</t>
  </si>
  <si>
    <t xml:space="preserve">ORD-2025-00224</t>
  </si>
  <si>
    <t xml:space="preserve">ORD-2025-00225</t>
  </si>
  <si>
    <t xml:space="preserve">ORD-2025-00226</t>
  </si>
  <si>
    <t xml:space="preserve">ORD-2025-00227</t>
  </si>
  <si>
    <t xml:space="preserve">ORD-2025-00228</t>
  </si>
  <si>
    <t xml:space="preserve">ORD-2025-00229</t>
  </si>
  <si>
    <t xml:space="preserve">ORD-2025-00230</t>
  </si>
  <si>
    <t xml:space="preserve">ORD-2025-00231</t>
  </si>
  <si>
    <t xml:space="preserve">ORD-2025-00232</t>
  </si>
  <si>
    <t xml:space="preserve">ORD-2025-00233</t>
  </si>
  <si>
    <t xml:space="preserve">ORD-2025-00234</t>
  </si>
  <si>
    <t xml:space="preserve">ORD-2025-00235</t>
  </si>
  <si>
    <t xml:space="preserve">ORD-2025-00236</t>
  </si>
  <si>
    <t xml:space="preserve">ORD-2025-00237</t>
  </si>
  <si>
    <t xml:space="preserve">ORD-2025-00238</t>
  </si>
  <si>
    <t xml:space="preserve">ORD-2025-00239</t>
  </si>
  <si>
    <t xml:space="preserve">ORD-2025-00240</t>
  </si>
  <si>
    <t xml:space="preserve">ORD-2025-00241</t>
  </si>
  <si>
    <t xml:space="preserve">ORD-2025-00242</t>
  </si>
  <si>
    <t xml:space="preserve">ORD-2025-00243</t>
  </si>
  <si>
    <t xml:space="preserve">ORD-2025-00244</t>
  </si>
  <si>
    <t xml:space="preserve">ORD-2025-00245</t>
  </si>
  <si>
    <t xml:space="preserve">ORD-2025-00246</t>
  </si>
  <si>
    <t xml:space="preserve">ORD-2025-00247</t>
  </si>
  <si>
    <t xml:space="preserve">ORD-2025-00248</t>
  </si>
  <si>
    <t xml:space="preserve">ORD-2025-00249</t>
  </si>
  <si>
    <t xml:space="preserve">ORD-2025-00250</t>
  </si>
  <si>
    <t xml:space="preserve">ORD-2025-00251</t>
  </si>
  <si>
    <t xml:space="preserve">ORD-2025-00252</t>
  </si>
  <si>
    <t xml:space="preserve">ORD-2025-00253</t>
  </si>
  <si>
    <t xml:space="preserve">ORD-2025-00254</t>
  </si>
  <si>
    <t xml:space="preserve">ORD-2025-00255</t>
  </si>
  <si>
    <t xml:space="preserve">ORD-2025-00256</t>
  </si>
  <si>
    <t xml:space="preserve">ORD-2025-00257</t>
  </si>
  <si>
    <t xml:space="preserve">ORD-2025-00258</t>
  </si>
  <si>
    <t xml:space="preserve">ORD-2025-00259</t>
  </si>
  <si>
    <t xml:space="preserve">ORD-2025-00260</t>
  </si>
  <si>
    <t xml:space="preserve">ORD-2025-00261</t>
  </si>
  <si>
    <t xml:space="preserve">ORD-2025-00262</t>
  </si>
  <si>
    <t xml:space="preserve">ORD-2025-00263</t>
  </si>
  <si>
    <t xml:space="preserve">ORD-2025-00264</t>
  </si>
  <si>
    <t xml:space="preserve">ORD-2025-00265</t>
  </si>
  <si>
    <t xml:space="preserve">ORD-2025-00266</t>
  </si>
  <si>
    <t xml:space="preserve">ORD-2025-00267</t>
  </si>
  <si>
    <t xml:space="preserve">ORD-2025-00268</t>
  </si>
  <si>
    <t xml:space="preserve">ORD-2025-00269</t>
  </si>
  <si>
    <t xml:space="preserve">ORD-2025-00270</t>
  </si>
  <si>
    <t xml:space="preserve">ORD-2025-00271</t>
  </si>
  <si>
    <t xml:space="preserve">ORD-2025-00272</t>
  </si>
  <si>
    <t xml:space="preserve">ORD-2025-00273</t>
  </si>
  <si>
    <t xml:space="preserve">ORD-2025-00274</t>
  </si>
  <si>
    <t xml:space="preserve">ORD-2025-00275</t>
  </si>
  <si>
    <t xml:space="preserve">ORD-2025-00276</t>
  </si>
  <si>
    <t xml:space="preserve">ORD-2025-00277</t>
  </si>
  <si>
    <t xml:space="preserve">ORD-2025-00278</t>
  </si>
  <si>
    <t xml:space="preserve">ORD-2025-00279</t>
  </si>
  <si>
    <t xml:space="preserve">ORD-2025-00280</t>
  </si>
  <si>
    <t xml:space="preserve">ORD-2025-00281</t>
  </si>
  <si>
    <t xml:space="preserve">ORD-2025-00282</t>
  </si>
  <si>
    <t xml:space="preserve">ORD-2025-00283</t>
  </si>
  <si>
    <t xml:space="preserve">ORD-2025-00284</t>
  </si>
  <si>
    <t xml:space="preserve">ORD-2025-00285</t>
  </si>
  <si>
    <t xml:space="preserve">ORD-2025-00286</t>
  </si>
  <si>
    <t xml:space="preserve">ORD-2025-00287</t>
  </si>
  <si>
    <t xml:space="preserve">ORD-2025-00288</t>
  </si>
  <si>
    <t xml:space="preserve">ORD-2025-00289</t>
  </si>
  <si>
    <t xml:space="preserve">ORD-2025-00290</t>
  </si>
  <si>
    <t xml:space="preserve">ORD-2025-00291</t>
  </si>
  <si>
    <t xml:space="preserve">ORD-2025-00292</t>
  </si>
  <si>
    <t xml:space="preserve">ORD-2025-00293</t>
  </si>
  <si>
    <t xml:space="preserve">ORD-2025-00294</t>
  </si>
  <si>
    <t xml:space="preserve">ORD-2025-00295</t>
  </si>
  <si>
    <t xml:space="preserve">ORD-2025-00296</t>
  </si>
  <si>
    <t xml:space="preserve">ORD-2025-00297</t>
  </si>
  <si>
    <t xml:space="preserve">ORD-2025-00298</t>
  </si>
  <si>
    <t xml:space="preserve">ORD-2025-00299</t>
  </si>
  <si>
    <t xml:space="preserve">ORD-2025-00300</t>
  </si>
  <si>
    <t xml:space="preserve">ORD-2025-00301</t>
  </si>
  <si>
    <t xml:space="preserve">ORD-2025-00302</t>
  </si>
  <si>
    <t xml:space="preserve">ORD-2025-00303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</si>
</sst>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yyyy\-mm\-dd"/>
    <numFmt numFmtId="167" formatCode="#,##0"/>
    <numFmt numFmtId="168" formatCode="0%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02326"/>
        <bgColor rgb="FF303438"/>
      </patternFill>
    </fill>
    <fill>
      <patternFill patternType="solid">
        <fgColor rgb="FF303438"/>
        <bgColor rgb="FF202326"/>
      </patternFill>
    </fill>
    <fill>
      <patternFill patternType="solid">
        <fgColor rgb="FFFFF2CC"/>
        <bgColor rgb="FFE2F0D9"/>
      </patternFill>
    </fill>
    <fill>
      <patternFill patternType="solid">
        <fgColor rgb="FFDDEBF7"/>
        <bgColor rgb="FFE2F0D9"/>
      </patternFill>
    </fill>
    <fill>
      <patternFill patternType="solid">
        <fgColor rgb="FFE2F0D9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02326"/>
          <bgColor rgb="FF000000"/>
        </patternFill>
      </fill>
    </dxf>
    <dxf>
      <fill>
        <patternFill patternType="solid">
          <fgColor rgb="FF30343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202326"/>
      <rgbColor rgb="FF993300"/>
      <rgbColor rgb="FF993366"/>
      <rgbColor rgb="FF1F4E78"/>
      <rgbColor rgb="FF3034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ssesOutput_Fact" displayName="LossesOutput_Fact" ref="A4:W74" headerRowCount="1" totalsRowCount="0" totalsRowShown="0">
  <tableColumns count="23">
    <tableColumn id="1" name="FactoryCode"/>
    <tableColumn id="2" name="LineNumber"/>
    <tableColumn id="3" name="EventDate"/>
    <tableColumn id="4" name="ShiftCode"/>
    <tableColumn id="5" name="OrderNumber"/>
    <tableColumn id="6" name="CaseName"/>
    <tableColumn id="7" name="TotalReject_Value"/>
    <tableColumn id="8" name="FixedLosses"/>
    <tableColumn id="9" name="ISLosses"/>
    <tableColumn id="10" name="HotEndConveyerLosses"/>
    <tableColumn id="11" name="StuckDownLosses"/>
    <tableColumn id="12" name="LehrLosses"/>
    <tableColumn id="13" name="Evo16Losses"/>
    <tableColumn id="14" name="Evo12Losses"/>
    <tableColumn id="15" name="Evo5Losses"/>
    <tableColumn id="16" name="SanliLosses"/>
    <tableColumn id="17" name="VisualLosses"/>
    <tableColumn id="18" name="PalletizerLosses"/>
    <tableColumn id="19" name="TotalLossPct"/>
    <tableColumn id="20" name="PercentRangeCheck"/>
    <tableColumn id="21" name="LossRecordID"/>
    <tableColumn id="22" name="RecordUniquenessCheck"/>
    <tableColumn id="23" name="DataQualityCheck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10"/>
  </cols>
  <sheetData>
    <row r="1" customFormat="false" ht="20.25" hidden="false" customHeight="true" outlineLevel="0" collapsed="false">
      <c r="A1" s="2" t="s">
        <v>0</v>
      </c>
    </row>
    <row r="2" customFormat="false" ht="14.25" hidden="false" customHeight="false" outlineLevel="0" collapsed="false">
      <c r="A2" s="3"/>
    </row>
    <row r="3" customFormat="false" ht="14.25" hidden="false" customHeight="false" outlineLevel="0" collapsed="false">
      <c r="A3" s="3" t="s">
        <v>1</v>
      </c>
    </row>
    <row r="4" customFormat="false" ht="14.25" hidden="false" customHeight="false" outlineLevel="0" collapsed="false">
      <c r="A4" s="3"/>
    </row>
    <row r="5" customFormat="false" ht="14.25" hidden="false" customHeight="false" outlineLevel="0" collapsed="false">
      <c r="A5" s="3" t="s">
        <v>2</v>
      </c>
    </row>
    <row r="6" customFormat="false" ht="14.25" hidden="false" customHeight="false" outlineLevel="0" collapsed="false">
      <c r="A6" s="3"/>
    </row>
    <row r="7" customFormat="false" ht="15" hidden="false" customHeight="true" outlineLevel="0" collapsed="false">
      <c r="A7" s="4" t="s">
        <v>3</v>
      </c>
    </row>
    <row r="8" customFormat="false" ht="14.25" hidden="false" customHeight="false" outlineLevel="0" collapsed="false">
      <c r="A8" s="3" t="s">
        <v>4</v>
      </c>
    </row>
    <row r="9" customFormat="false" ht="14.25" hidden="false" customHeight="false" outlineLevel="0" collapsed="false">
      <c r="A9" s="3" t="s">
        <v>5</v>
      </c>
    </row>
    <row r="10" customFormat="false" ht="14.25" hidden="false" customHeight="false" outlineLevel="0" collapsed="false">
      <c r="A10" s="3" t="s">
        <v>6</v>
      </c>
    </row>
    <row r="11" customFormat="false" ht="14.25" hidden="false" customHeight="false" outlineLevel="0" collapsed="false">
      <c r="A11" s="3"/>
    </row>
    <row r="12" customFormat="false" ht="14.25" hidden="false" customHeight="false" outlineLevel="0" collapsed="false">
      <c r="A12" s="3" t="s">
        <v>7</v>
      </c>
    </row>
    <row r="13" customFormat="false" ht="14.25" hidden="false" customHeight="false" outlineLevel="0" collapsed="false">
      <c r="A13" s="3"/>
    </row>
    <row r="14" customFormat="false" ht="14.25" hidden="false" customHeight="false" outlineLevel="0" collapsed="false">
      <c r="A14" s="3" t="s">
        <v>8</v>
      </c>
    </row>
    <row r="15" customFormat="false" ht="14.25" hidden="false" customHeight="false" outlineLevel="0" collapsed="false">
      <c r="A15" s="3"/>
    </row>
    <row r="16" customFormat="false" ht="28.5" hidden="false" customHeight="true" outlineLevel="0" collapsed="false">
      <c r="A16" s="3" t="s">
        <v>9</v>
      </c>
    </row>
    <row r="18" customFormat="false" ht="14.25" hidden="false" customHeight="false" outlineLevel="0" collapsed="false">
      <c r="A18" s="1" t="s">
        <v>10</v>
      </c>
    </row>
    <row r="19" customFormat="false" ht="14.25" hidden="false" customHeight="false" outlineLevel="0" collapsed="false">
      <c r="A19" s="1" t="s">
        <v>11</v>
      </c>
    </row>
    <row r="20" customFormat="false" ht="14.25" hidden="false" customHeight="false" outlineLevel="0" collapsed="false">
      <c r="A20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24"/>
    <col collapsed="false" customWidth="true" hidden="false" outlineLevel="0" max="11" min="11" style="1" width="18"/>
    <col collapsed="false" customWidth="true" hidden="false" outlineLevel="0" max="14" min="12" style="1" width="14"/>
    <col collapsed="false" customWidth="true" hidden="false" outlineLevel="0" max="15" min="15" style="1" width="12"/>
    <col collapsed="false" customWidth="true" hidden="false" outlineLevel="0" max="17" min="16" style="1" width="14"/>
    <col collapsed="false" customWidth="true" hidden="false" outlineLevel="0" max="18" min="18" style="1" width="18"/>
    <col collapsed="false" customWidth="true" hidden="false" outlineLevel="0" max="19" min="19" style="1" width="12.5"/>
    <col collapsed="false" customWidth="true" hidden="false" outlineLevel="0" max="20" min="20" style="1" width="19.52"/>
    <col collapsed="false" customWidth="true" hidden="false" outlineLevel="0" max="21" min="21" style="1" width="42.75"/>
    <col collapsed="false" customWidth="true" hidden="false" outlineLevel="0" max="22" min="22" style="1" width="24"/>
    <col collapsed="false" customWidth="true" hidden="false" outlineLevel="0" max="23" min="23" style="1" width="16.75"/>
  </cols>
  <sheetData>
    <row r="1" customFormat="false" ht="24" hidden="false" customHeight="true" outlineLevel="0" collapsed="false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5"/>
      <c r="U1" s="5"/>
      <c r="V1" s="5"/>
      <c r="W1" s="5"/>
    </row>
    <row r="2" customFormat="false" ht="15" hidden="false" customHeight="true" outlineLevel="0" collapsed="false">
      <c r="A2" s="7" t="s">
        <v>14</v>
      </c>
    </row>
    <row r="3" customFormat="false" ht="14.25" hidden="false" customHeight="false" outlineLevel="0" collapsed="false">
      <c r="A3" s="8" t="s">
        <v>15</v>
      </c>
    </row>
    <row r="4" customFormat="false" ht="30" hidden="false" customHeight="true" outlineLevel="0" collapsed="false">
      <c r="A4" s="9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</row>
    <row r="5" customFormat="false" ht="18" hidden="false" customHeight="true" outlineLevel="0" collapsed="false">
      <c r="A5" s="11" t="s">
        <v>39</v>
      </c>
      <c r="B5" s="12" t="n">
        <v>21</v>
      </c>
      <c r="C5" s="13" t="n">
        <v>45950</v>
      </c>
      <c r="D5" s="11" t="s">
        <v>40</v>
      </c>
      <c r="E5" s="11" t="s">
        <v>41</v>
      </c>
      <c r="F5" s="11" t="s">
        <v>42</v>
      </c>
      <c r="G5" s="14" t="n">
        <v>13161</v>
      </c>
      <c r="H5" s="15" t="n">
        <v>0.00612547756622778</v>
      </c>
      <c r="I5" s="15" t="n">
        <v>0.0126259038236873</v>
      </c>
      <c r="J5" s="15" t="n">
        <v>0.00450727795143822</v>
      </c>
      <c r="K5" s="15" t="n">
        <v>0.00339821919105807</v>
      </c>
      <c r="L5" s="15" t="n">
        <v>0.00276277983012851</v>
      </c>
      <c r="M5" s="15" t="n">
        <v>0.00609784976792649</v>
      </c>
      <c r="N5" s="15" t="n">
        <v>0.00140901771336554</v>
      </c>
      <c r="O5" s="15" t="n">
        <v>0.00167740203972088</v>
      </c>
      <c r="P5" s="15" t="n">
        <v>0.00201288244766506</v>
      </c>
      <c r="Q5" s="15" t="n">
        <v>0.00650437308578826</v>
      </c>
      <c r="R5" s="15" t="n">
        <v>0.00482302421773863</v>
      </c>
      <c r="S5" s="16" t="n">
        <f aca="false">IF(A5="","",SUM(H5:R5))</f>
        <v>0.0519442076347447</v>
      </c>
      <c r="T5" s="17" t="str">
        <f aca="false">IF(A5="","",IF(AND(MIN(H5:R5)&gt;=0,MAX(H5:R5)&lt;=1,S5&lt;=1),"OK","CHECK"))</f>
        <v>OK</v>
      </c>
      <c r="U5" s="17" t="str">
        <f aca="false">IF(A5="","", "LOSS-"&amp;A5&amp;"-L"&amp;TEXT(B5,"00")&amp;"-"&amp;TEXT(C5,"yyyymmdd")&amp;"-"&amp;D5&amp;"-"&amp;E5)</f>
        <v>LOSS-KG01-L21-20251020-AM-ORD-2025-00019</v>
      </c>
      <c r="V5" s="17" t="str">
        <f aca="false">IF(U5="","",IF(COUNTIF($U$5:$U$935,U5)=1,"OK","CHECK"))</f>
        <v>OK</v>
      </c>
      <c r="W5" s="17" t="str">
        <f aca="false">IF(A5="","",IF(AND(T5="OK",V5="OK",G5&gt;=0),"OK","CHECK"))</f>
        <v>OK</v>
      </c>
    </row>
    <row r="6" customFormat="false" ht="18" hidden="false" customHeight="true" outlineLevel="0" collapsed="false">
      <c r="A6" s="11" t="s">
        <v>39</v>
      </c>
      <c r="B6" s="12" t="n">
        <v>21</v>
      </c>
      <c r="C6" s="13" t="n">
        <v>45950</v>
      </c>
      <c r="D6" s="11" t="s">
        <v>43</v>
      </c>
      <c r="E6" s="11" t="s">
        <v>41</v>
      </c>
      <c r="F6" s="11" t="s">
        <v>42</v>
      </c>
      <c r="G6" s="14" t="n">
        <v>10575</v>
      </c>
      <c r="H6" s="15" t="n">
        <v>0.00746862565044383</v>
      </c>
      <c r="I6" s="15" t="n">
        <v>0.0132843587389042</v>
      </c>
      <c r="J6" s="15" t="n">
        <v>0.00185403821767458</v>
      </c>
      <c r="K6" s="15" t="n">
        <v>0.00257991167082076</v>
      </c>
      <c r="L6" s="15" t="n">
        <v>0.00435524071887708</v>
      </c>
      <c r="M6" s="15" t="n">
        <v>0.00423717696444969</v>
      </c>
      <c r="N6" s="15" t="n">
        <v>0.00175783812147449</v>
      </c>
      <c r="O6" s="15" t="n">
        <v>0.000424154969609515</v>
      </c>
      <c r="P6" s="15" t="n">
        <v>0.00420219511128602</v>
      </c>
      <c r="Q6" s="15" t="n">
        <v>0.00517731426822336</v>
      </c>
      <c r="R6" s="15" t="n">
        <v>0.000900782718964537</v>
      </c>
      <c r="S6" s="16" t="n">
        <f aca="false">IF(A6="","",SUM(H6:R6))</f>
        <v>0.0462416371507281</v>
      </c>
      <c r="T6" s="17" t="str">
        <f aca="false">IF(A6="","",IF(AND(MIN(H6:R6)&gt;=0,MAX(H6:R6)&lt;=1,S6&lt;=1),"OK","CHECK"))</f>
        <v>OK</v>
      </c>
      <c r="U6" s="17" t="str">
        <f aca="false">IF(A6="","", "LOSS-"&amp;A6&amp;"-L"&amp;TEXT(B6,"00")&amp;"-"&amp;TEXT(C6,"yyyymmdd")&amp;"-"&amp;D6&amp;"-"&amp;E6)</f>
        <v>LOSS-KG01-L21-20251020-PM-ORD-2025-00019</v>
      </c>
      <c r="V6" s="17" t="str">
        <f aca="false">IF(U6="","",IF(COUNTIF($U$5:$U$935,U6)=1,"OK","CHECK"))</f>
        <v>OK</v>
      </c>
      <c r="W6" s="17" t="str">
        <f aca="false">IF(A6="","",IF(AND(T6="OK",V6="OK",G6&gt;=0),"OK","CHECK"))</f>
        <v>OK</v>
      </c>
    </row>
    <row r="7" customFormat="false" ht="18" hidden="false" customHeight="true" outlineLevel="0" collapsed="false">
      <c r="A7" s="11" t="s">
        <v>39</v>
      </c>
      <c r="B7" s="12" t="n">
        <v>21</v>
      </c>
      <c r="C7" s="13" t="n">
        <v>45951</v>
      </c>
      <c r="D7" s="11" t="s">
        <v>40</v>
      </c>
      <c r="E7" s="11" t="s">
        <v>44</v>
      </c>
      <c r="F7" s="11" t="s">
        <v>45</v>
      </c>
      <c r="G7" s="14" t="n">
        <v>9054</v>
      </c>
      <c r="H7" s="15" t="n">
        <v>0.0056964842011571</v>
      </c>
      <c r="I7" s="15" t="n">
        <v>0.0185580774365821</v>
      </c>
      <c r="J7" s="15" t="n">
        <v>0.00679795282599021</v>
      </c>
      <c r="K7" s="15" t="n">
        <v>0.00966844681797953</v>
      </c>
      <c r="L7" s="15" t="n">
        <v>0.00341566533155318</v>
      </c>
      <c r="M7" s="15" t="n">
        <v>0.0187917222963952</v>
      </c>
      <c r="N7" s="15" t="n">
        <v>0.00257009345794393</v>
      </c>
      <c r="O7" s="15" t="n">
        <v>0.00594125500667557</v>
      </c>
      <c r="P7" s="15" t="n">
        <v>0.00696484201157098</v>
      </c>
      <c r="Q7" s="15" t="n">
        <v>0.0110035603026257</v>
      </c>
      <c r="R7" s="15" t="n">
        <v>0.0113262127280819</v>
      </c>
      <c r="S7" s="16" t="n">
        <f aca="false">IF(A7="","",SUM(H7:R7))</f>
        <v>0.100734312416555</v>
      </c>
      <c r="T7" s="17" t="str">
        <f aca="false">IF(A7="","",IF(AND(MIN(H7:R7)&gt;=0,MAX(H7:R7)&lt;=1,S7&lt;=1),"OK","CHECK"))</f>
        <v>OK</v>
      </c>
      <c r="U7" s="17" t="str">
        <f aca="false">IF(A7="","", "LOSS-"&amp;A7&amp;"-L"&amp;TEXT(B7,"00")&amp;"-"&amp;TEXT(C7,"yyyymmdd")&amp;"-"&amp;D7&amp;"-"&amp;E7)</f>
        <v>LOSS-KG01-L21-20251021-AM-ORD-2025-00020</v>
      </c>
      <c r="V7" s="17" t="str">
        <f aca="false">IF(U7="","",IF(COUNTIF($U$5:$U$935,U7)=1,"OK","CHECK"))</f>
        <v>OK</v>
      </c>
      <c r="W7" s="17" t="str">
        <f aca="false">IF(A7="","",IF(AND(T7="OK",V7="OK",G7&gt;=0),"OK","CHECK"))</f>
        <v>OK</v>
      </c>
    </row>
    <row r="8" customFormat="false" ht="18" hidden="false" customHeight="true" outlineLevel="0" collapsed="false">
      <c r="A8" s="11" t="s">
        <v>39</v>
      </c>
      <c r="B8" s="12" t="n">
        <v>21</v>
      </c>
      <c r="C8" s="13" t="n">
        <v>45951</v>
      </c>
      <c r="D8" s="11" t="s">
        <v>43</v>
      </c>
      <c r="E8" s="11" t="s">
        <v>44</v>
      </c>
      <c r="F8" s="11" t="s">
        <v>42</v>
      </c>
      <c r="G8" s="14" t="n">
        <v>6646</v>
      </c>
      <c r="H8" s="15" t="n">
        <v>0.00401606425702811</v>
      </c>
      <c r="I8" s="15" t="n">
        <v>0.00786001147446931</v>
      </c>
      <c r="J8" s="15" t="n">
        <v>0.00400889271371199</v>
      </c>
      <c r="K8" s="15" t="n">
        <v>0.00502725186460126</v>
      </c>
      <c r="L8" s="15" t="n">
        <v>0.00256024096385542</v>
      </c>
      <c r="M8" s="15" t="n">
        <v>0.00323436603557086</v>
      </c>
      <c r="N8" s="15" t="n">
        <v>0.00525674125071715</v>
      </c>
      <c r="O8" s="15" t="n">
        <v>0.00113310384394722</v>
      </c>
      <c r="P8" s="15" t="n">
        <v>0.00471887550200803</v>
      </c>
      <c r="Q8" s="15" t="n">
        <v>0.00561531841652324</v>
      </c>
      <c r="R8" s="15" t="n">
        <v>0.00423121055651176</v>
      </c>
      <c r="S8" s="16" t="n">
        <f aca="false">IF(A8="","",SUM(H8:R8))</f>
        <v>0.0476620768789443</v>
      </c>
      <c r="T8" s="17" t="str">
        <f aca="false">IF(A8="","",IF(AND(MIN(H8:R8)&gt;=0,MAX(H8:R8)&lt;=1,S8&lt;=1),"OK","CHECK"))</f>
        <v>OK</v>
      </c>
      <c r="U8" s="17" t="str">
        <f aca="false">IF(A8="","", "LOSS-"&amp;A8&amp;"-L"&amp;TEXT(B8,"00")&amp;"-"&amp;TEXT(C8,"yyyymmdd")&amp;"-"&amp;D8&amp;"-"&amp;E8)</f>
        <v>LOSS-KG01-L21-20251021-PM-ORD-2025-00020</v>
      </c>
      <c r="V8" s="17" t="str">
        <f aca="false">IF(U8="","",IF(COUNTIF($U$5:$U$935,U8)=1,"OK","CHECK"))</f>
        <v>OK</v>
      </c>
      <c r="W8" s="17" t="str">
        <f aca="false">IF(A8="","",IF(AND(T8="OK",V8="OK",G8&gt;=0),"OK","CHECK"))</f>
        <v>OK</v>
      </c>
    </row>
    <row r="9" customFormat="false" ht="18" hidden="false" customHeight="true" outlineLevel="0" collapsed="false">
      <c r="A9" s="11" t="s">
        <v>39</v>
      </c>
      <c r="B9" s="12" t="n">
        <v>21</v>
      </c>
      <c r="C9" s="13" t="n">
        <v>45952</v>
      </c>
      <c r="D9" s="11" t="s">
        <v>40</v>
      </c>
      <c r="E9" s="11" t="s">
        <v>44</v>
      </c>
      <c r="F9" s="11" t="s">
        <v>42</v>
      </c>
      <c r="G9" s="14" t="n">
        <v>6951</v>
      </c>
      <c r="H9" s="15" t="n">
        <v>0.00540792091918608</v>
      </c>
      <c r="I9" s="15" t="n">
        <v>0.0114737788048013</v>
      </c>
      <c r="J9" s="15" t="n">
        <v>0.00156460620065473</v>
      </c>
      <c r="K9" s="15" t="n">
        <v>0.00393959817703319</v>
      </c>
      <c r="L9" s="15" t="n">
        <v>0.00527151935297516</v>
      </c>
      <c r="M9" s="15" t="n">
        <v>0.00632261377495346</v>
      </c>
      <c r="N9" s="15" t="n">
        <v>0.0057930547531934</v>
      </c>
      <c r="O9" s="15" t="n">
        <v>0.00296873997047307</v>
      </c>
      <c r="P9" s="15" t="n">
        <v>0.00249534629950575</v>
      </c>
      <c r="Q9" s="15" t="n">
        <v>0.00618621220874254</v>
      </c>
      <c r="R9" s="15" t="n">
        <v>0.00434880287566596</v>
      </c>
      <c r="S9" s="16" t="n">
        <f aca="false">IF(A9="","",SUM(H9:R9))</f>
        <v>0.0557721933371846</v>
      </c>
      <c r="T9" s="17" t="str">
        <f aca="false">IF(A9="","",IF(AND(MIN(H9:R9)&gt;=0,MAX(H9:R9)&lt;=1,S9&lt;=1),"OK","CHECK"))</f>
        <v>OK</v>
      </c>
      <c r="U9" s="17" t="str">
        <f aca="false">IF(A9="","", "LOSS-"&amp;A9&amp;"-L"&amp;TEXT(B9,"00")&amp;"-"&amp;TEXT(C9,"yyyymmdd")&amp;"-"&amp;D9&amp;"-"&amp;E9)</f>
        <v>LOSS-KG01-L21-20251022-AM-ORD-2025-00020</v>
      </c>
      <c r="V9" s="17" t="str">
        <f aca="false">IF(U9="","",IF(COUNTIF($U$5:$U$935,U9)=1,"OK","CHECK"))</f>
        <v>OK</v>
      </c>
      <c r="W9" s="17" t="str">
        <f aca="false">IF(A9="","",IF(AND(T9="OK",V9="OK",G9&gt;=0),"OK","CHECK"))</f>
        <v>OK</v>
      </c>
    </row>
    <row r="10" customFormat="false" ht="18" hidden="false" customHeight="true" outlineLevel="0" collapsed="false">
      <c r="A10" s="11" t="s">
        <v>39</v>
      </c>
      <c r="B10" s="12" t="n">
        <v>21</v>
      </c>
      <c r="C10" s="13" t="n">
        <v>45952</v>
      </c>
      <c r="D10" s="11" t="s">
        <v>43</v>
      </c>
      <c r="E10" s="11" t="s">
        <v>44</v>
      </c>
      <c r="F10" s="11" t="s">
        <v>42</v>
      </c>
      <c r="G10" s="14" t="n">
        <v>6388</v>
      </c>
      <c r="H10" s="15" t="n">
        <v>0.00424839144873391</v>
      </c>
      <c r="I10" s="15" t="n">
        <v>0.00628502490660025</v>
      </c>
      <c r="J10" s="15" t="n">
        <v>0.00341817144043171</v>
      </c>
      <c r="K10" s="15" t="n">
        <v>0.00191339767538398</v>
      </c>
      <c r="L10" s="15" t="n">
        <v>0.00291874221668742</v>
      </c>
      <c r="M10" s="15" t="n">
        <v>0.00339871315898713</v>
      </c>
      <c r="N10" s="15" t="n">
        <v>0.000434568285595683</v>
      </c>
      <c r="O10" s="15" t="n">
        <v>0.00230904939809049</v>
      </c>
      <c r="P10" s="15" t="n">
        <v>0.00490348692403487</v>
      </c>
      <c r="Q10" s="15" t="n">
        <v>0.00908053134080531</v>
      </c>
      <c r="R10" s="15" t="n">
        <v>0.00252309049398091</v>
      </c>
      <c r="S10" s="16" t="n">
        <f aca="false">IF(A10="","",SUM(H10:R10))</f>
        <v>0.0414331672893317</v>
      </c>
      <c r="T10" s="17" t="str">
        <f aca="false">IF(A10="","",IF(AND(MIN(H10:R10)&gt;=0,MAX(H10:R10)&lt;=1,S10&lt;=1),"OK","CHECK"))</f>
        <v>OK</v>
      </c>
      <c r="U10" s="17" t="str">
        <f aca="false">IF(A10="","", "LOSS-"&amp;A10&amp;"-L"&amp;TEXT(B10,"00")&amp;"-"&amp;TEXT(C10,"yyyymmdd")&amp;"-"&amp;D10&amp;"-"&amp;E10)</f>
        <v>LOSS-KG01-L21-20251022-PM-ORD-2025-00020</v>
      </c>
      <c r="V10" s="17" t="str">
        <f aca="false">IF(U10="","",IF(COUNTIF($U$5:$U$935,U10)=1,"OK","CHECK"))</f>
        <v>OK</v>
      </c>
      <c r="W10" s="17" t="str">
        <f aca="false">IF(A10="","",IF(AND(T10="OK",V10="OK",G10&gt;=0),"OK","CHECK"))</f>
        <v>OK</v>
      </c>
    </row>
    <row r="11" customFormat="false" ht="18" hidden="false" customHeight="true" outlineLevel="0" collapsed="false">
      <c r="A11" s="11" t="s">
        <v>39</v>
      </c>
      <c r="B11" s="12" t="n">
        <v>21</v>
      </c>
      <c r="C11" s="13" t="n">
        <v>45953</v>
      </c>
      <c r="D11" s="11" t="s">
        <v>40</v>
      </c>
      <c r="E11" s="11" t="s">
        <v>44</v>
      </c>
      <c r="F11" s="11" t="s">
        <v>42</v>
      </c>
      <c r="G11" s="14" t="n">
        <v>5426</v>
      </c>
      <c r="H11" s="15" t="n">
        <v>0.00213973799126638</v>
      </c>
      <c r="I11" s="15" t="n">
        <v>0.00700873362445415</v>
      </c>
      <c r="J11" s="15" t="n">
        <v>0.00858078602620087</v>
      </c>
      <c r="K11" s="15" t="n">
        <v>0.00143377001455604</v>
      </c>
      <c r="L11" s="15" t="n">
        <v>0.00136098981077147</v>
      </c>
      <c r="M11" s="15" t="n">
        <v>0.00363173216885007</v>
      </c>
      <c r="N11" s="15" t="n">
        <v>0.00167394468704512</v>
      </c>
      <c r="O11" s="15" t="n">
        <v>0.00315138282387191</v>
      </c>
      <c r="P11" s="15" t="n">
        <v>0.00383551673944687</v>
      </c>
      <c r="Q11" s="15" t="n">
        <v>0.0039155749636099</v>
      </c>
      <c r="R11" s="15" t="n">
        <v>0.00275836972343523</v>
      </c>
      <c r="S11" s="16" t="n">
        <f aca="false">IF(A11="","",SUM(H11:R11))</f>
        <v>0.039490538573508</v>
      </c>
      <c r="T11" s="17" t="str">
        <f aca="false">IF(A11="","",IF(AND(MIN(H11:R11)&gt;=0,MAX(H11:R11)&lt;=1,S11&lt;=1),"OK","CHECK"))</f>
        <v>OK</v>
      </c>
      <c r="U11" s="17" t="str">
        <f aca="false">IF(A11="","", "LOSS-"&amp;A11&amp;"-L"&amp;TEXT(B11,"00")&amp;"-"&amp;TEXT(C11,"yyyymmdd")&amp;"-"&amp;D11&amp;"-"&amp;E11)</f>
        <v>LOSS-KG01-L21-20251023-AM-ORD-2025-00020</v>
      </c>
      <c r="V11" s="17" t="str">
        <f aca="false">IF(U11="","",IF(COUNTIF($U$5:$U$935,U11)=1,"OK","CHECK"))</f>
        <v>OK</v>
      </c>
      <c r="W11" s="17" t="str">
        <f aca="false">IF(A11="","",IF(AND(T11="OK",V11="OK",G11&gt;=0),"OK","CHECK"))</f>
        <v>OK</v>
      </c>
    </row>
    <row r="12" customFormat="false" ht="18" hidden="false" customHeight="true" outlineLevel="0" collapsed="false">
      <c r="A12" s="11" t="s">
        <v>39</v>
      </c>
      <c r="B12" s="12" t="n">
        <v>21</v>
      </c>
      <c r="C12" s="13" t="n">
        <v>45953</v>
      </c>
      <c r="D12" s="11" t="s">
        <v>43</v>
      </c>
      <c r="E12" s="11" t="s">
        <v>44</v>
      </c>
      <c r="F12" s="11" t="s">
        <v>42</v>
      </c>
      <c r="G12" s="14" t="n">
        <v>3550</v>
      </c>
      <c r="H12" s="15" t="n">
        <v>0.00278807464436207</v>
      </c>
      <c r="I12" s="15" t="n">
        <v>0.00447517663086525</v>
      </c>
      <c r="J12" s="15" t="n">
        <v>0.00259005797927954</v>
      </c>
      <c r="K12" s="15" t="n">
        <v>0.000728701327503723</v>
      </c>
      <c r="L12" s="15" t="n">
        <v>0.00349301397205589</v>
      </c>
      <c r="M12" s="15" t="n">
        <v>0.00359598263789881</v>
      </c>
      <c r="N12" s="15" t="n">
        <v>0.00124354465671831</v>
      </c>
      <c r="O12" s="15" t="n">
        <v>0.000633653328264107</v>
      </c>
      <c r="P12" s="15" t="n">
        <v>0.00214650064949466</v>
      </c>
      <c r="Q12" s="15" t="n">
        <v>0.00199600798403194</v>
      </c>
      <c r="R12" s="15" t="n">
        <v>0.00442765263124545</v>
      </c>
      <c r="S12" s="16" t="n">
        <f aca="false">IF(A12="","",SUM(H12:R12))</f>
        <v>0.0281183664417198</v>
      </c>
      <c r="T12" s="17" t="str">
        <f aca="false">IF(A12="","",IF(AND(MIN(H12:R12)&gt;=0,MAX(H12:R12)&lt;=1,S12&lt;=1),"OK","CHECK"))</f>
        <v>OK</v>
      </c>
      <c r="U12" s="17" t="str">
        <f aca="false">IF(A12="","", "LOSS-"&amp;A12&amp;"-L"&amp;TEXT(B12,"00")&amp;"-"&amp;TEXT(C12,"yyyymmdd")&amp;"-"&amp;D12&amp;"-"&amp;E12)</f>
        <v>LOSS-KG01-L21-20251023-PM-ORD-2025-00020</v>
      </c>
      <c r="V12" s="17" t="str">
        <f aca="false">IF(U12="","",IF(COUNTIF($U$5:$U$935,U12)=1,"OK","CHECK"))</f>
        <v>OK</v>
      </c>
      <c r="W12" s="17" t="str">
        <f aca="false">IF(A12="","",IF(AND(T12="OK",V12="OK",G12&gt;=0),"OK","CHECK"))</f>
        <v>OK</v>
      </c>
    </row>
    <row r="13" customFormat="false" ht="18" hidden="false" customHeight="true" outlineLevel="0" collapsed="false">
      <c r="A13" s="11" t="s">
        <v>39</v>
      </c>
      <c r="B13" s="12" t="n">
        <v>21</v>
      </c>
      <c r="C13" s="13" t="n">
        <v>45954</v>
      </c>
      <c r="D13" s="11" t="s">
        <v>40</v>
      </c>
      <c r="E13" s="11" t="s">
        <v>44</v>
      </c>
      <c r="F13" s="11" t="s">
        <v>42</v>
      </c>
      <c r="G13" s="14" t="n">
        <v>4499</v>
      </c>
      <c r="H13" s="15" t="n">
        <v>0.00372334933663724</v>
      </c>
      <c r="I13" s="15" t="n">
        <v>0.00634969800216819</v>
      </c>
      <c r="J13" s="15" t="n">
        <v>0.00291027825099375</v>
      </c>
      <c r="K13" s="15" t="n">
        <v>0.00192943059212225</v>
      </c>
      <c r="L13" s="15" t="n">
        <v>0.00343296680605028</v>
      </c>
      <c r="M13" s="15" t="n">
        <v>0.00221336017758505</v>
      </c>
      <c r="N13" s="15" t="n">
        <v>0.00150353621392804</v>
      </c>
      <c r="O13" s="15" t="n">
        <v>0.00129058902483093</v>
      </c>
      <c r="P13" s="15" t="n">
        <v>0.00150353621392804</v>
      </c>
      <c r="Q13" s="15" t="n">
        <v>0.00194233648237055</v>
      </c>
      <c r="R13" s="15" t="n">
        <v>0.00223271901295751</v>
      </c>
      <c r="S13" s="16" t="n">
        <f aca="false">IF(A13="","",SUM(H13:R13))</f>
        <v>0.0290318001135718</v>
      </c>
      <c r="T13" s="17" t="str">
        <f aca="false">IF(A13="","",IF(AND(MIN(H13:R13)&gt;=0,MAX(H13:R13)&lt;=1,S13&lt;=1),"OK","CHECK"))</f>
        <v>OK</v>
      </c>
      <c r="U13" s="17" t="str">
        <f aca="false">IF(A13="","", "LOSS-"&amp;A13&amp;"-L"&amp;TEXT(B13,"00")&amp;"-"&amp;TEXT(C13,"yyyymmdd")&amp;"-"&amp;D13&amp;"-"&amp;E13)</f>
        <v>LOSS-KG01-L21-20251024-AM-ORD-2025-00020</v>
      </c>
      <c r="V13" s="17" t="str">
        <f aca="false">IF(U13="","",IF(COUNTIF($U$5:$U$935,U13)=1,"OK","CHECK"))</f>
        <v>OK</v>
      </c>
      <c r="W13" s="17" t="str">
        <f aca="false">IF(A13="","",IF(AND(T13="OK",V13="OK",G13&gt;=0),"OK","CHECK"))</f>
        <v>OK</v>
      </c>
    </row>
    <row r="14" customFormat="false" ht="18" hidden="false" customHeight="true" outlineLevel="0" collapsed="false">
      <c r="A14" s="11" t="s">
        <v>39</v>
      </c>
      <c r="B14" s="12" t="n">
        <v>21</v>
      </c>
      <c r="C14" s="13" t="n">
        <v>45954</v>
      </c>
      <c r="D14" s="11" t="s">
        <v>43</v>
      </c>
      <c r="E14" s="11" t="s">
        <v>44</v>
      </c>
      <c r="F14" s="11" t="s">
        <v>42</v>
      </c>
      <c r="G14" s="14" t="n">
        <v>3759</v>
      </c>
      <c r="H14" s="15" t="n">
        <v>0.0014960375222384</v>
      </c>
      <c r="I14" s="15" t="n">
        <v>0.00624292414685428</v>
      </c>
      <c r="J14" s="15" t="n">
        <v>0.00376031052886948</v>
      </c>
      <c r="K14" s="15" t="n">
        <v>0.00109978974607796</v>
      </c>
      <c r="L14" s="15" t="n">
        <v>0.0014798641436196</v>
      </c>
      <c r="M14" s="15" t="n">
        <v>0.000776322173702086</v>
      </c>
      <c r="N14" s="15" t="n">
        <v>0.00160925117256995</v>
      </c>
      <c r="O14" s="15" t="n">
        <v>0.00285460132621705</v>
      </c>
      <c r="P14" s="15" t="n">
        <v>0.00185185185185185</v>
      </c>
      <c r="Q14" s="15" t="n">
        <v>0.00607310367135695</v>
      </c>
      <c r="R14" s="15" t="n">
        <v>0.00315380883066473</v>
      </c>
      <c r="S14" s="16" t="n">
        <f aca="false">IF(A14="","",SUM(H14:R14))</f>
        <v>0.0303978651140223</v>
      </c>
      <c r="T14" s="17" t="str">
        <f aca="false">IF(A14="","",IF(AND(MIN(H14:R14)&gt;=0,MAX(H14:R14)&lt;=1,S14&lt;=1),"OK","CHECK"))</f>
        <v>OK</v>
      </c>
      <c r="U14" s="17" t="str">
        <f aca="false">IF(A14="","", "LOSS-"&amp;A14&amp;"-L"&amp;TEXT(B14,"00")&amp;"-"&amp;TEXT(C14,"yyyymmdd")&amp;"-"&amp;D14&amp;"-"&amp;E14)</f>
        <v>LOSS-KG01-L21-20251024-PM-ORD-2025-00020</v>
      </c>
      <c r="V14" s="17" t="str">
        <f aca="false">IF(U14="","",IF(COUNTIF($U$5:$U$935,U14)=1,"OK","CHECK"))</f>
        <v>OK</v>
      </c>
      <c r="W14" s="17" t="str">
        <f aca="false">IF(A14="","",IF(AND(T14="OK",V14="OK",G14&gt;=0),"OK","CHECK"))</f>
        <v>OK</v>
      </c>
    </row>
    <row r="15" customFormat="false" ht="18" hidden="false" customHeight="true" outlineLevel="0" collapsed="false">
      <c r="A15" s="11" t="s">
        <v>39</v>
      </c>
      <c r="B15" s="12" t="n">
        <v>21</v>
      </c>
      <c r="C15" s="13" t="n">
        <v>45955</v>
      </c>
      <c r="D15" s="11" t="s">
        <v>40</v>
      </c>
      <c r="E15" s="11" t="s">
        <v>46</v>
      </c>
      <c r="F15" s="11" t="s">
        <v>45</v>
      </c>
      <c r="G15" s="14" t="n">
        <v>14048</v>
      </c>
      <c r="H15" s="15" t="n">
        <v>0.00946016051756233</v>
      </c>
      <c r="I15" s="15" t="n">
        <v>0.020842869785468</v>
      </c>
      <c r="J15" s="15" t="n">
        <v>0.00798010314626629</v>
      </c>
      <c r="K15" s="15" t="n">
        <v>0.00843022368702127</v>
      </c>
      <c r="L15" s="15" t="n">
        <v>0.00867435686166804</v>
      </c>
      <c r="M15" s="15" t="n">
        <v>0.00916262321096158</v>
      </c>
      <c r="N15" s="15" t="n">
        <v>0.00501998840367421</v>
      </c>
      <c r="O15" s="15" t="n">
        <v>0.00180048216301993</v>
      </c>
      <c r="P15" s="15" t="n">
        <v>0.00800299063138942</v>
      </c>
      <c r="Q15" s="15" t="n">
        <v>0.0237266929109829</v>
      </c>
      <c r="R15" s="15" t="n">
        <v>0.00407397235191797</v>
      </c>
      <c r="S15" s="16" t="n">
        <f aca="false">IF(A15="","",SUM(H15:R15))</f>
        <v>0.107174463669932</v>
      </c>
      <c r="T15" s="17" t="str">
        <f aca="false">IF(A15="","",IF(AND(MIN(H15:R15)&gt;=0,MAX(H15:R15)&lt;=1,S15&lt;=1),"OK","CHECK"))</f>
        <v>OK</v>
      </c>
      <c r="U15" s="17" t="str">
        <f aca="false">IF(A15="","", "LOSS-"&amp;A15&amp;"-L"&amp;TEXT(B15,"00")&amp;"-"&amp;TEXT(C15,"yyyymmdd")&amp;"-"&amp;D15&amp;"-"&amp;E15)</f>
        <v>LOSS-KG01-L21-20251025-AM-ORD-2025-00021</v>
      </c>
      <c r="V15" s="17" t="str">
        <f aca="false">IF(U15="","",IF(COUNTIF($U$5:$U$935,U15)=1,"OK","CHECK"))</f>
        <v>OK</v>
      </c>
      <c r="W15" s="17" t="str">
        <f aca="false">IF(A15="","",IF(AND(T15="OK",V15="OK",G15&gt;=0),"OK","CHECK"))</f>
        <v>OK</v>
      </c>
    </row>
    <row r="16" customFormat="false" ht="18" hidden="false" customHeight="true" outlineLevel="0" collapsed="false">
      <c r="A16" s="11" t="s">
        <v>39</v>
      </c>
      <c r="B16" s="12" t="n">
        <v>21</v>
      </c>
      <c r="C16" s="13" t="n">
        <v>45955</v>
      </c>
      <c r="D16" s="11" t="s">
        <v>43</v>
      </c>
      <c r="E16" s="11" t="s">
        <v>46</v>
      </c>
      <c r="F16" s="11" t="s">
        <v>42</v>
      </c>
      <c r="G16" s="14" t="n">
        <v>13535</v>
      </c>
      <c r="H16" s="15" t="n">
        <v>0.0032198137868241</v>
      </c>
      <c r="I16" s="15" t="n">
        <v>0.0155373454342527</v>
      </c>
      <c r="J16" s="15" t="n">
        <v>0.00442403148588716</v>
      </c>
      <c r="K16" s="15" t="n">
        <v>0.00239007842100626</v>
      </c>
      <c r="L16" s="15" t="n">
        <v>0.00222486562692748</v>
      </c>
      <c r="M16" s="15" t="n">
        <v>0.00382926542720357</v>
      </c>
      <c r="N16" s="15" t="n">
        <v>0.00349149704819808</v>
      </c>
      <c r="O16" s="15" t="n">
        <v>0.000877463506329486</v>
      </c>
      <c r="P16" s="15" t="n">
        <v>0.00261770493729257</v>
      </c>
      <c r="Q16" s="15" t="n">
        <v>0.00856169412870444</v>
      </c>
      <c r="R16" s="15" t="n">
        <v>0.0025185772608453</v>
      </c>
      <c r="S16" s="16" t="n">
        <f aca="false">IF(A16="","",SUM(H16:R16))</f>
        <v>0.0496923370634711</v>
      </c>
      <c r="T16" s="17" t="str">
        <f aca="false">IF(A16="","",IF(AND(MIN(H16:R16)&gt;=0,MAX(H16:R16)&lt;=1,S16&lt;=1),"OK","CHECK"))</f>
        <v>OK</v>
      </c>
      <c r="U16" s="17" t="str">
        <f aca="false">IF(A16="","", "LOSS-"&amp;A16&amp;"-L"&amp;TEXT(B16,"00")&amp;"-"&amp;TEXT(C16,"yyyymmdd")&amp;"-"&amp;D16&amp;"-"&amp;E16)</f>
        <v>LOSS-KG01-L21-20251025-PM-ORD-2025-00021</v>
      </c>
      <c r="V16" s="17" t="str">
        <f aca="false">IF(U16="","",IF(COUNTIF($U$5:$U$935,U16)=1,"OK","CHECK"))</f>
        <v>OK</v>
      </c>
      <c r="W16" s="17" t="str">
        <f aca="false">IF(A16="","",IF(AND(T16="OK",V16="OK",G16&gt;=0),"OK","CHECK"))</f>
        <v>OK</v>
      </c>
    </row>
    <row r="17" customFormat="false" ht="18" hidden="false" customHeight="true" outlineLevel="0" collapsed="false">
      <c r="A17" s="11" t="s">
        <v>39</v>
      </c>
      <c r="B17" s="12" t="n">
        <v>21</v>
      </c>
      <c r="C17" s="13" t="n">
        <v>45956</v>
      </c>
      <c r="D17" s="11" t="s">
        <v>40</v>
      </c>
      <c r="E17" s="11" t="s">
        <v>46</v>
      </c>
      <c r="F17" s="11" t="s">
        <v>42</v>
      </c>
      <c r="G17" s="14" t="n">
        <v>12922</v>
      </c>
      <c r="H17" s="15" t="n">
        <v>0.00462147408712294</v>
      </c>
      <c r="I17" s="15" t="n">
        <v>0.0149119563877834</v>
      </c>
      <c r="J17" s="15" t="n">
        <v>0.00284900284900285</v>
      </c>
      <c r="K17" s="15" t="n">
        <v>0.00582486969255417</v>
      </c>
      <c r="L17" s="15" t="n">
        <v>0.00075755928173231</v>
      </c>
      <c r="M17" s="15" t="n">
        <v>0.0029468693590831</v>
      </c>
      <c r="N17" s="15" t="n">
        <v>0.000978665100802505</v>
      </c>
      <c r="O17" s="15" t="n">
        <v>0.00109827972423392</v>
      </c>
      <c r="P17" s="15" t="n">
        <v>0.00179784403702979</v>
      </c>
      <c r="Q17" s="15" t="n">
        <v>0.00536815931217967</v>
      </c>
      <c r="R17" s="15" t="n">
        <v>0.00568350695577159</v>
      </c>
      <c r="S17" s="16" t="n">
        <f aca="false">IF(A17="","",SUM(H17:R17))</f>
        <v>0.0468381867872962</v>
      </c>
      <c r="T17" s="17" t="str">
        <f aca="false">IF(A17="","",IF(AND(MIN(H17:R17)&gt;=0,MAX(H17:R17)&lt;=1,S17&lt;=1),"OK","CHECK"))</f>
        <v>OK</v>
      </c>
      <c r="U17" s="17" t="str">
        <f aca="false">IF(A17="","", "LOSS-"&amp;A17&amp;"-L"&amp;TEXT(B17,"00")&amp;"-"&amp;TEXT(C17,"yyyymmdd")&amp;"-"&amp;D17&amp;"-"&amp;E17)</f>
        <v>LOSS-KG01-L21-20251026-AM-ORD-2025-00021</v>
      </c>
      <c r="V17" s="17" t="str">
        <f aca="false">IF(U17="","",IF(COUNTIF($U$5:$U$935,U17)=1,"OK","CHECK"))</f>
        <v>OK</v>
      </c>
      <c r="W17" s="17" t="str">
        <f aca="false">IF(A17="","",IF(AND(T17="OK",V17="OK",G17&gt;=0),"OK","CHECK"))</f>
        <v>OK</v>
      </c>
    </row>
    <row r="18" customFormat="false" ht="18" hidden="false" customHeight="true" outlineLevel="0" collapsed="false">
      <c r="A18" s="11" t="s">
        <v>39</v>
      </c>
      <c r="B18" s="12" t="n">
        <v>21</v>
      </c>
      <c r="C18" s="13" t="n">
        <v>45956</v>
      </c>
      <c r="D18" s="11" t="s">
        <v>43</v>
      </c>
      <c r="E18" s="11" t="s">
        <v>46</v>
      </c>
      <c r="F18" s="11" t="s">
        <v>42</v>
      </c>
      <c r="G18" s="14" t="n">
        <v>10955</v>
      </c>
      <c r="H18" s="15" t="n">
        <v>0.00889047970266244</v>
      </c>
      <c r="I18" s="15" t="n">
        <v>0.00593301227818994</v>
      </c>
      <c r="J18" s="15" t="n">
        <v>0.00232114191505055</v>
      </c>
      <c r="K18" s="15" t="n">
        <v>0.00229221802825864</v>
      </c>
      <c r="L18" s="15" t="n">
        <v>0.00118587935846819</v>
      </c>
      <c r="M18" s="15" t="n">
        <v>0.00207890436316832</v>
      </c>
      <c r="N18" s="15" t="n">
        <v>0.0020861353348663</v>
      </c>
      <c r="O18" s="15" t="n">
        <v>0.00231752642920156</v>
      </c>
      <c r="P18" s="15" t="n">
        <v>0.00407103706596092</v>
      </c>
      <c r="Q18" s="15" t="n">
        <v>0.00456635862727233</v>
      </c>
      <c r="R18" s="15" t="n">
        <v>0.00386495437256859</v>
      </c>
      <c r="S18" s="16" t="n">
        <f aca="false">IF(A18="","",SUM(H18:R18))</f>
        <v>0.0396076474756678</v>
      </c>
      <c r="T18" s="17" t="str">
        <f aca="false">IF(A18="","",IF(AND(MIN(H18:R18)&gt;=0,MAX(H18:R18)&lt;=1,S18&lt;=1),"OK","CHECK"))</f>
        <v>OK</v>
      </c>
      <c r="U18" s="17" t="str">
        <f aca="false">IF(A18="","", "LOSS-"&amp;A18&amp;"-L"&amp;TEXT(B18,"00")&amp;"-"&amp;TEXT(C18,"yyyymmdd")&amp;"-"&amp;D18&amp;"-"&amp;E18)</f>
        <v>LOSS-KG01-L21-20251026-PM-ORD-2025-00021</v>
      </c>
      <c r="V18" s="17" t="str">
        <f aca="false">IF(U18="","",IF(COUNTIF($U$5:$U$935,U18)=1,"OK","CHECK"))</f>
        <v>OK</v>
      </c>
      <c r="W18" s="17" t="str">
        <f aca="false">IF(A18="","",IF(AND(T18="OK",V18="OK",G18&gt;=0),"OK","CHECK"))</f>
        <v>OK</v>
      </c>
    </row>
    <row r="19" customFormat="false" ht="18" hidden="false" customHeight="true" outlineLevel="0" collapsed="false">
      <c r="A19" s="11" t="s">
        <v>39</v>
      </c>
      <c r="B19" s="12" t="n">
        <v>22</v>
      </c>
      <c r="C19" s="13" t="n">
        <v>45950</v>
      </c>
      <c r="D19" s="11" t="s">
        <v>40</v>
      </c>
      <c r="E19" s="11" t="s">
        <v>47</v>
      </c>
      <c r="F19" s="11" t="s">
        <v>45</v>
      </c>
      <c r="G19" s="14" t="n">
        <v>3024</v>
      </c>
      <c r="H19" s="15" t="n">
        <v>0.00669642857142857</v>
      </c>
      <c r="I19" s="15" t="n">
        <v>0.0289806547619048</v>
      </c>
      <c r="J19" s="15" t="n">
        <v>0.00844494047619048</v>
      </c>
      <c r="K19" s="15" t="n">
        <v>0.00584077380952381</v>
      </c>
      <c r="L19" s="15" t="n">
        <v>0.0101934523809524</v>
      </c>
      <c r="M19" s="15" t="n">
        <v>0.0101934523809524</v>
      </c>
      <c r="N19" s="15" t="n">
        <v>0.0125744047619048</v>
      </c>
      <c r="O19" s="15" t="n">
        <v>0.0015625</v>
      </c>
      <c r="P19" s="15" t="n">
        <v>0.0127232142857143</v>
      </c>
      <c r="Q19" s="15" t="n">
        <v>0.00565476190476191</v>
      </c>
      <c r="R19" s="15" t="n">
        <v>0.00963541666666667</v>
      </c>
      <c r="S19" s="16" t="n">
        <f aca="false">IF(A19="","",SUM(H19:R19))</f>
        <v>0.1125</v>
      </c>
      <c r="T19" s="17" t="str">
        <f aca="false">IF(A19="","",IF(AND(MIN(H19:R19)&gt;=0,MAX(H19:R19)&lt;=1,S19&lt;=1),"OK","CHECK"))</f>
        <v>OK</v>
      </c>
      <c r="U19" s="17" t="str">
        <f aca="false">IF(A19="","", "LOSS-"&amp;A19&amp;"-L"&amp;TEXT(B19,"00")&amp;"-"&amp;TEXT(C19,"yyyymmdd")&amp;"-"&amp;D19&amp;"-"&amp;E19)</f>
        <v>LOSS-KG01-L22-20251020-AM-ORD-2025-00056</v>
      </c>
      <c r="V19" s="17" t="str">
        <f aca="false">IF(U19="","",IF(COUNTIF($U$5:$U$935,U19)=1,"OK","CHECK"))</f>
        <v>OK</v>
      </c>
      <c r="W19" s="17" t="str">
        <f aca="false">IF(A19="","",IF(AND(T19="OK",V19="OK",G19&gt;=0),"OK","CHECK"))</f>
        <v>OK</v>
      </c>
    </row>
    <row r="20" customFormat="false" ht="18" hidden="false" customHeight="true" outlineLevel="0" collapsed="false">
      <c r="A20" s="11" t="s">
        <v>39</v>
      </c>
      <c r="B20" s="12" t="n">
        <v>22</v>
      </c>
      <c r="C20" s="13" t="n">
        <v>45950</v>
      </c>
      <c r="D20" s="11" t="s">
        <v>43</v>
      </c>
      <c r="E20" s="11" t="s">
        <v>47</v>
      </c>
      <c r="F20" s="11" t="s">
        <v>42</v>
      </c>
      <c r="G20" s="14" t="n">
        <v>8503</v>
      </c>
      <c r="H20" s="15" t="n">
        <v>0.00638564701064701</v>
      </c>
      <c r="I20" s="15" t="n">
        <v>0.0103846744471745</v>
      </c>
      <c r="J20" s="15" t="n">
        <v>0.0033527846027846</v>
      </c>
      <c r="K20" s="15" t="n">
        <v>0.00360232391482392</v>
      </c>
      <c r="L20" s="15" t="n">
        <v>0.00518273955773956</v>
      </c>
      <c r="M20" s="15" t="n">
        <v>0.00705748361998362</v>
      </c>
      <c r="N20" s="15" t="n">
        <v>0.00336558149058149</v>
      </c>
      <c r="O20" s="15" t="n">
        <v>0.0024634009009009</v>
      </c>
      <c r="P20" s="15" t="n">
        <v>0.00255297911547912</v>
      </c>
      <c r="Q20" s="15" t="n">
        <v>0.00685273341523342</v>
      </c>
      <c r="R20" s="15" t="n">
        <v>0.00320562039312039</v>
      </c>
      <c r="S20" s="16" t="n">
        <f aca="false">IF(A20="","",SUM(H20:R20))</f>
        <v>0.0544059684684685</v>
      </c>
      <c r="T20" s="17" t="str">
        <f aca="false">IF(A20="","",IF(AND(MIN(H20:R20)&gt;=0,MAX(H20:R20)&lt;=1,S20&lt;=1),"OK","CHECK"))</f>
        <v>OK</v>
      </c>
      <c r="U20" s="17" t="str">
        <f aca="false">IF(A20="","", "LOSS-"&amp;A20&amp;"-L"&amp;TEXT(B20,"00")&amp;"-"&amp;TEXT(C20,"yyyymmdd")&amp;"-"&amp;D20&amp;"-"&amp;E20)</f>
        <v>LOSS-KG01-L22-20251020-PM-ORD-2025-00056</v>
      </c>
      <c r="V20" s="17" t="str">
        <f aca="false">IF(U20="","",IF(COUNTIF($U$5:$U$935,U20)=1,"OK","CHECK"))</f>
        <v>OK</v>
      </c>
      <c r="W20" s="17" t="str">
        <f aca="false">IF(A20="","",IF(AND(T20="OK",V20="OK",G20&gt;=0),"OK","CHECK"))</f>
        <v>OK</v>
      </c>
    </row>
    <row r="21" customFormat="false" ht="18" hidden="false" customHeight="true" outlineLevel="0" collapsed="false">
      <c r="A21" s="11" t="s">
        <v>39</v>
      </c>
      <c r="B21" s="12" t="n">
        <v>22</v>
      </c>
      <c r="C21" s="13" t="n">
        <v>45951</v>
      </c>
      <c r="D21" s="11" t="s">
        <v>40</v>
      </c>
      <c r="E21" s="11" t="s">
        <v>47</v>
      </c>
      <c r="F21" s="11" t="s">
        <v>42</v>
      </c>
      <c r="G21" s="14" t="n">
        <v>5551</v>
      </c>
      <c r="H21" s="15" t="n">
        <v>0.00565068493150685</v>
      </c>
      <c r="I21" s="15" t="n">
        <v>0.00843321917808219</v>
      </c>
      <c r="J21" s="15" t="n">
        <v>0.0040953196347032</v>
      </c>
      <c r="K21" s="15" t="n">
        <v>0.00239012557077626</v>
      </c>
      <c r="L21" s="15" t="n">
        <v>0.00276826484018265</v>
      </c>
      <c r="M21" s="15" t="n">
        <v>0.00310359589041096</v>
      </c>
      <c r="N21" s="15" t="n">
        <v>0.00430222602739726</v>
      </c>
      <c r="O21" s="15" t="n">
        <v>0.000185502283105023</v>
      </c>
      <c r="P21" s="15" t="n">
        <v>0.00261843607305936</v>
      </c>
      <c r="Q21" s="15" t="n">
        <v>0.00313213470319635</v>
      </c>
      <c r="R21" s="15" t="n">
        <v>0.00292522831050228</v>
      </c>
      <c r="S21" s="16" t="n">
        <f aca="false">IF(A21="","",SUM(H21:R21))</f>
        <v>0.0396047374429224</v>
      </c>
      <c r="T21" s="17" t="str">
        <f aca="false">IF(A21="","",IF(AND(MIN(H21:R21)&gt;=0,MAX(H21:R21)&lt;=1,S21&lt;=1),"OK","CHECK"))</f>
        <v>OK</v>
      </c>
      <c r="U21" s="17" t="str">
        <f aca="false">IF(A21="","", "LOSS-"&amp;A21&amp;"-L"&amp;TEXT(B21,"00")&amp;"-"&amp;TEXT(C21,"yyyymmdd")&amp;"-"&amp;D21&amp;"-"&amp;E21)</f>
        <v>LOSS-KG01-L22-20251021-AM-ORD-2025-00056</v>
      </c>
      <c r="V21" s="17" t="str">
        <f aca="false">IF(U21="","",IF(COUNTIF($U$5:$U$935,U21)=1,"OK","CHECK"))</f>
        <v>OK</v>
      </c>
      <c r="W21" s="17" t="str">
        <f aca="false">IF(A21="","",IF(AND(T21="OK",V21="OK",G21&gt;=0),"OK","CHECK"))</f>
        <v>OK</v>
      </c>
    </row>
    <row r="22" customFormat="false" ht="18" hidden="false" customHeight="true" outlineLevel="0" collapsed="false">
      <c r="A22" s="11" t="s">
        <v>39</v>
      </c>
      <c r="B22" s="12" t="n">
        <v>22</v>
      </c>
      <c r="C22" s="13" t="n">
        <v>45951</v>
      </c>
      <c r="D22" s="11" t="s">
        <v>43</v>
      </c>
      <c r="E22" s="11" t="s">
        <v>47</v>
      </c>
      <c r="F22" s="11" t="s">
        <v>42</v>
      </c>
      <c r="G22" s="14" t="n">
        <v>6335</v>
      </c>
      <c r="H22" s="15" t="n">
        <v>0.00303946989340248</v>
      </c>
      <c r="I22" s="15" t="n">
        <v>0.0126764621146644</v>
      </c>
      <c r="J22" s="15" t="n">
        <v>0.00813166234514549</v>
      </c>
      <c r="K22" s="15" t="n">
        <v>0.00130365888792855</v>
      </c>
      <c r="L22" s="15" t="n">
        <v>0.00236243157591472</v>
      </c>
      <c r="M22" s="15" t="n">
        <v>0.00134687409968309</v>
      </c>
      <c r="N22" s="15" t="n">
        <v>0.00200230481129358</v>
      </c>
      <c r="O22" s="15" t="n">
        <v>0.00232641889945261</v>
      </c>
      <c r="P22" s="15" t="n">
        <v>0.00473926822241429</v>
      </c>
      <c r="Q22" s="15" t="n">
        <v>0.00490492653414002</v>
      </c>
      <c r="R22" s="15" t="n">
        <v>0.0027945836934601</v>
      </c>
      <c r="S22" s="16" t="n">
        <f aca="false">IF(A22="","",SUM(H22:R22))</f>
        <v>0.0456280610774993</v>
      </c>
      <c r="T22" s="17" t="str">
        <f aca="false">IF(A22="","",IF(AND(MIN(H22:R22)&gt;=0,MAX(H22:R22)&lt;=1,S22&lt;=1),"OK","CHECK"))</f>
        <v>OK</v>
      </c>
      <c r="U22" s="17" t="str">
        <f aca="false">IF(A22="","", "LOSS-"&amp;A22&amp;"-L"&amp;TEXT(B22,"00")&amp;"-"&amp;TEXT(C22,"yyyymmdd")&amp;"-"&amp;D22&amp;"-"&amp;E22)</f>
        <v>LOSS-KG01-L22-20251021-PM-ORD-2025-00056</v>
      </c>
      <c r="V22" s="17" t="str">
        <f aca="false">IF(U22="","",IF(COUNTIF($U$5:$U$935,U22)=1,"OK","CHECK"))</f>
        <v>OK</v>
      </c>
      <c r="W22" s="17" t="str">
        <f aca="false">IF(A22="","",IF(AND(T22="OK",V22="OK",G22&gt;=0),"OK","CHECK"))</f>
        <v>OK</v>
      </c>
    </row>
    <row r="23" customFormat="false" ht="18" hidden="false" customHeight="true" outlineLevel="0" collapsed="false">
      <c r="A23" s="11" t="s">
        <v>39</v>
      </c>
      <c r="B23" s="12" t="n">
        <v>22</v>
      </c>
      <c r="C23" s="13" t="n">
        <v>45952</v>
      </c>
      <c r="D23" s="11" t="s">
        <v>40</v>
      </c>
      <c r="E23" s="11" t="s">
        <v>48</v>
      </c>
      <c r="F23" s="11" t="s">
        <v>42</v>
      </c>
      <c r="G23" s="14" t="n">
        <v>7192</v>
      </c>
      <c r="H23" s="15" t="n">
        <v>0.0082850172670532</v>
      </c>
      <c r="I23" s="15" t="n">
        <v>0.0101938979184488</v>
      </c>
      <c r="J23" s="15" t="n">
        <v>0.00479992396160061</v>
      </c>
      <c r="K23" s="15" t="n">
        <v>0.00471279662896429</v>
      </c>
      <c r="L23" s="15" t="n">
        <v>0.00697810727750848</v>
      </c>
      <c r="M23" s="15" t="n">
        <v>0.00333460063998986</v>
      </c>
      <c r="N23" s="15" t="n">
        <v>0.000792066660330133</v>
      </c>
      <c r="O23" s="15" t="n">
        <v>0.00270094731172576</v>
      </c>
      <c r="P23" s="15" t="n">
        <v>0.0023682793143871</v>
      </c>
      <c r="Q23" s="15" t="n">
        <v>0.0102889459176884</v>
      </c>
      <c r="R23" s="15" t="n">
        <v>0.00251085131324652</v>
      </c>
      <c r="S23" s="16" t="n">
        <f aca="false">IF(A23="","",SUM(H23:R23))</f>
        <v>0.0569654342109432</v>
      </c>
      <c r="T23" s="17" t="str">
        <f aca="false">IF(A23="","",IF(AND(MIN(H23:R23)&gt;=0,MAX(H23:R23)&lt;=1,S23&lt;=1),"OK","CHECK"))</f>
        <v>OK</v>
      </c>
      <c r="U23" s="17" t="str">
        <f aca="false">IF(A23="","", "LOSS-"&amp;A23&amp;"-L"&amp;TEXT(B23,"00")&amp;"-"&amp;TEXT(C23,"yyyymmdd")&amp;"-"&amp;D23&amp;"-"&amp;E23)</f>
        <v>LOSS-KG01-L22-20251022-AM-ORD-2025-00057</v>
      </c>
      <c r="V23" s="17" t="str">
        <f aca="false">IF(U23="","",IF(COUNTIF($U$5:$U$935,U23)=1,"OK","CHECK"))</f>
        <v>OK</v>
      </c>
      <c r="W23" s="17" t="str">
        <f aca="false">IF(A23="","",IF(AND(T23="OK",V23="OK",G23&gt;=0),"OK","CHECK"))</f>
        <v>OK</v>
      </c>
    </row>
    <row r="24" customFormat="false" ht="18" hidden="false" customHeight="true" outlineLevel="0" collapsed="false">
      <c r="A24" s="11" t="s">
        <v>39</v>
      </c>
      <c r="B24" s="12" t="n">
        <v>22</v>
      </c>
      <c r="C24" s="13" t="n">
        <v>45952</v>
      </c>
      <c r="D24" s="11" t="s">
        <v>43</v>
      </c>
      <c r="E24" s="11" t="s">
        <v>48</v>
      </c>
      <c r="F24" s="11" t="s">
        <v>42</v>
      </c>
      <c r="G24" s="14" t="n">
        <v>5375</v>
      </c>
      <c r="H24" s="15" t="n">
        <v>0.00505334486735871</v>
      </c>
      <c r="I24" s="15" t="n">
        <v>0.00860005767012687</v>
      </c>
      <c r="J24" s="15" t="n">
        <v>0.00402249134948097</v>
      </c>
      <c r="K24" s="15" t="n">
        <v>0.001239907727797</v>
      </c>
      <c r="L24" s="15" t="n">
        <v>0.00581026528258362</v>
      </c>
      <c r="M24" s="15" t="n">
        <v>0.00241493656286044</v>
      </c>
      <c r="N24" s="15" t="n">
        <v>0.00103085351787774</v>
      </c>
      <c r="O24" s="15" t="n">
        <v>0.00111014994232987</v>
      </c>
      <c r="P24" s="15" t="n">
        <v>0.00120386389850058</v>
      </c>
      <c r="Q24" s="15" t="n">
        <v>0.00532006920415225</v>
      </c>
      <c r="R24" s="15" t="n">
        <v>0.00294117647058824</v>
      </c>
      <c r="S24" s="16" t="n">
        <f aca="false">IF(A24="","",SUM(H24:R24))</f>
        <v>0.0387471164936563</v>
      </c>
      <c r="T24" s="17" t="str">
        <f aca="false">IF(A24="","",IF(AND(MIN(H24:R24)&gt;=0,MAX(H24:R24)&lt;=1,S24&lt;=1),"OK","CHECK"))</f>
        <v>OK</v>
      </c>
      <c r="U24" s="17" t="str">
        <f aca="false">IF(A24="","", "LOSS-"&amp;A24&amp;"-L"&amp;TEXT(B24,"00")&amp;"-"&amp;TEXT(C24,"yyyymmdd")&amp;"-"&amp;D24&amp;"-"&amp;E24)</f>
        <v>LOSS-KG01-L22-20251022-PM-ORD-2025-00057</v>
      </c>
      <c r="V24" s="17" t="str">
        <f aca="false">IF(U24="","",IF(COUNTIF($U$5:$U$935,U24)=1,"OK","CHECK"))</f>
        <v>OK</v>
      </c>
      <c r="W24" s="17" t="str">
        <f aca="false">IF(A24="","",IF(AND(T24="OK",V24="OK",G24&gt;=0),"OK","CHECK"))</f>
        <v>OK</v>
      </c>
    </row>
    <row r="25" customFormat="false" ht="18" hidden="false" customHeight="true" outlineLevel="0" collapsed="false">
      <c r="A25" s="11" t="s">
        <v>39</v>
      </c>
      <c r="B25" s="12" t="n">
        <v>22</v>
      </c>
      <c r="C25" s="13" t="n">
        <v>45953</v>
      </c>
      <c r="D25" s="11" t="s">
        <v>40</v>
      </c>
      <c r="E25" s="11" t="s">
        <v>48</v>
      </c>
      <c r="F25" s="11" t="s">
        <v>42</v>
      </c>
      <c r="G25" s="14" t="n">
        <v>6927</v>
      </c>
      <c r="H25" s="15" t="n">
        <v>0.00486467236467237</v>
      </c>
      <c r="I25" s="15" t="n">
        <v>0.013482905982906</v>
      </c>
      <c r="J25" s="15" t="n">
        <v>0.004002849002849</v>
      </c>
      <c r="K25" s="15" t="n">
        <v>0.00527065527065527</v>
      </c>
      <c r="L25" s="15" t="n">
        <v>0.00539173789173789</v>
      </c>
      <c r="M25" s="15" t="n">
        <v>0.00290598290598291</v>
      </c>
      <c r="N25" s="15" t="n">
        <v>0.00249287749287749</v>
      </c>
      <c r="O25" s="15" t="n">
        <v>0.00174501424501425</v>
      </c>
      <c r="P25" s="15" t="n">
        <v>0.0012037037037037</v>
      </c>
      <c r="Q25" s="15" t="n">
        <v>0.00471509971509972</v>
      </c>
      <c r="R25" s="15" t="n">
        <v>0.00326210826210826</v>
      </c>
      <c r="S25" s="16" t="n">
        <f aca="false">IF(A25="","",SUM(H25:R25))</f>
        <v>0.0493376068376069</v>
      </c>
      <c r="T25" s="17" t="str">
        <f aca="false">IF(A25="","",IF(AND(MIN(H25:R25)&gt;=0,MAX(H25:R25)&lt;=1,S25&lt;=1),"OK","CHECK"))</f>
        <v>OK</v>
      </c>
      <c r="U25" s="17" t="str">
        <f aca="false">IF(A25="","", "LOSS-"&amp;A25&amp;"-L"&amp;TEXT(B25,"00")&amp;"-"&amp;TEXT(C25,"yyyymmdd")&amp;"-"&amp;D25&amp;"-"&amp;E25)</f>
        <v>LOSS-KG01-L22-20251023-AM-ORD-2025-00057</v>
      </c>
      <c r="V25" s="17" t="str">
        <f aca="false">IF(U25="","",IF(COUNTIF($U$5:$U$935,U25)=1,"OK","CHECK"))</f>
        <v>OK</v>
      </c>
      <c r="W25" s="17" t="str">
        <f aca="false">IF(A25="","",IF(AND(T25="OK",V25="OK",G25&gt;=0),"OK","CHECK"))</f>
        <v>OK</v>
      </c>
    </row>
    <row r="26" customFormat="false" ht="18" hidden="false" customHeight="true" outlineLevel="0" collapsed="false">
      <c r="A26" s="11" t="s">
        <v>39</v>
      </c>
      <c r="B26" s="12" t="n">
        <v>22</v>
      </c>
      <c r="C26" s="13" t="n">
        <v>45953</v>
      </c>
      <c r="D26" s="11" t="s">
        <v>43</v>
      </c>
      <c r="E26" s="11" t="s">
        <v>48</v>
      </c>
      <c r="F26" s="11" t="s">
        <v>42</v>
      </c>
      <c r="G26" s="14" t="n">
        <v>8020</v>
      </c>
      <c r="H26" s="15" t="n">
        <v>0.00819173038799207</v>
      </c>
      <c r="I26" s="15" t="n">
        <v>0.0120220900594732</v>
      </c>
      <c r="J26" s="15" t="n">
        <v>0.00360379495893515</v>
      </c>
      <c r="K26" s="15" t="n">
        <v>0.00247097139620504</v>
      </c>
      <c r="L26" s="15" t="n">
        <v>0.00426932880203908</v>
      </c>
      <c r="M26" s="15" t="n">
        <v>0.00294534126309827</v>
      </c>
      <c r="N26" s="15" t="n">
        <v>0.00541631265930331</v>
      </c>
      <c r="O26" s="15" t="n">
        <v>0.00431180968564146</v>
      </c>
      <c r="P26" s="15" t="n">
        <v>0.00285329934862645</v>
      </c>
      <c r="Q26" s="15" t="n">
        <v>0.00830501274426508</v>
      </c>
      <c r="R26" s="15" t="n">
        <v>0.00239308977626735</v>
      </c>
      <c r="S26" s="16" t="n">
        <f aca="false">IF(A26="","",SUM(H26:R26))</f>
        <v>0.0567827810818465</v>
      </c>
      <c r="T26" s="17" t="str">
        <f aca="false">IF(A26="","",IF(AND(MIN(H26:R26)&gt;=0,MAX(H26:R26)&lt;=1,S26&lt;=1),"OK","CHECK"))</f>
        <v>OK</v>
      </c>
      <c r="U26" s="17" t="str">
        <f aca="false">IF(A26="","", "LOSS-"&amp;A26&amp;"-L"&amp;TEXT(B26,"00")&amp;"-"&amp;TEXT(C26,"yyyymmdd")&amp;"-"&amp;D26&amp;"-"&amp;E26)</f>
        <v>LOSS-KG01-L22-20251023-PM-ORD-2025-00057</v>
      </c>
      <c r="V26" s="17" t="str">
        <f aca="false">IF(U26="","",IF(COUNTIF($U$5:$U$935,U26)=1,"OK","CHECK"))</f>
        <v>OK</v>
      </c>
      <c r="W26" s="17" t="str">
        <f aca="false">IF(A26="","",IF(AND(T26="OK",V26="OK",G26&gt;=0),"OK","CHECK"))</f>
        <v>OK</v>
      </c>
    </row>
    <row r="27" customFormat="false" ht="18" hidden="false" customHeight="true" outlineLevel="0" collapsed="false">
      <c r="A27" s="11" t="s">
        <v>39</v>
      </c>
      <c r="B27" s="12" t="n">
        <v>22</v>
      </c>
      <c r="C27" s="13" t="n">
        <v>45954</v>
      </c>
      <c r="D27" s="11" t="s">
        <v>40</v>
      </c>
      <c r="E27" s="11" t="s">
        <v>48</v>
      </c>
      <c r="F27" s="11" t="s">
        <v>42</v>
      </c>
      <c r="G27" s="14" t="n">
        <v>5092</v>
      </c>
      <c r="H27" s="15" t="n">
        <v>0.00430496453900709</v>
      </c>
      <c r="I27" s="15" t="n">
        <v>0.0100851063829787</v>
      </c>
      <c r="J27" s="15" t="n">
        <v>0.000567375886524823</v>
      </c>
      <c r="K27" s="15" t="n">
        <v>0.00195035460992908</v>
      </c>
      <c r="L27" s="15" t="n">
        <v>0.00318439716312057</v>
      </c>
      <c r="M27" s="15" t="n">
        <v>0.00402127659574468</v>
      </c>
      <c r="N27" s="15" t="n">
        <v>0.000234042553191489</v>
      </c>
      <c r="O27" s="15" t="n">
        <v>0.00107801418439716</v>
      </c>
      <c r="P27" s="15" t="n">
        <v>0.00202127659574468</v>
      </c>
      <c r="Q27" s="15" t="n">
        <v>0.00669503546099291</v>
      </c>
      <c r="R27" s="15" t="n">
        <v>0.00197163120567376</v>
      </c>
      <c r="S27" s="16" t="n">
        <f aca="false">IF(A27="","",SUM(H27:R27))</f>
        <v>0.0361134751773049</v>
      </c>
      <c r="T27" s="17" t="str">
        <f aca="false">IF(A27="","",IF(AND(MIN(H27:R27)&gt;=0,MAX(H27:R27)&lt;=1,S27&lt;=1),"OK","CHECK"))</f>
        <v>OK</v>
      </c>
      <c r="U27" s="17" t="str">
        <f aca="false">IF(A27="","", "LOSS-"&amp;A27&amp;"-L"&amp;TEXT(B27,"00")&amp;"-"&amp;TEXT(C27,"yyyymmdd")&amp;"-"&amp;D27&amp;"-"&amp;E27)</f>
        <v>LOSS-KG01-L22-20251024-AM-ORD-2025-00057</v>
      </c>
      <c r="V27" s="17" t="str">
        <f aca="false">IF(U27="","",IF(COUNTIF($U$5:$U$935,U27)=1,"OK","CHECK"))</f>
        <v>OK</v>
      </c>
      <c r="W27" s="17" t="str">
        <f aca="false">IF(A27="","",IF(AND(T27="OK",V27="OK",G27&gt;=0),"OK","CHECK"))</f>
        <v>OK</v>
      </c>
    </row>
    <row r="28" customFormat="false" ht="18" hidden="false" customHeight="true" outlineLevel="0" collapsed="false">
      <c r="A28" s="11" t="s">
        <v>39</v>
      </c>
      <c r="B28" s="12" t="n">
        <v>22</v>
      </c>
      <c r="C28" s="13" t="n">
        <v>45954</v>
      </c>
      <c r="D28" s="11" t="s">
        <v>43</v>
      </c>
      <c r="E28" s="11" t="s">
        <v>48</v>
      </c>
      <c r="F28" s="11" t="s">
        <v>42</v>
      </c>
      <c r="G28" s="14" t="n">
        <v>5309</v>
      </c>
      <c r="H28" s="15" t="n">
        <v>0.0064346694595195</v>
      </c>
      <c r="I28" s="15" t="n">
        <v>0.0103065790726459</v>
      </c>
      <c r="J28" s="15" t="n">
        <v>0.00372909327493732</v>
      </c>
      <c r="K28" s="15" t="n">
        <v>0.00154717699704846</v>
      </c>
      <c r="L28" s="15" t="n">
        <v>0.00340378939350662</v>
      </c>
      <c r="M28" s="15" t="n">
        <v>0.00139642641784887</v>
      </c>
      <c r="N28" s="15" t="n">
        <v>0.000761687137008474</v>
      </c>
      <c r="O28" s="15" t="n">
        <v>0.00122187311561776</v>
      </c>
      <c r="P28" s="15" t="n">
        <v>0.00301501158399188</v>
      </c>
      <c r="Q28" s="15" t="n">
        <v>0.00636326129042496</v>
      </c>
      <c r="R28" s="15" t="n">
        <v>0.00394331778222095</v>
      </c>
      <c r="S28" s="16" t="n">
        <f aca="false">IF(A28="","",SUM(H28:R28))</f>
        <v>0.0421228855247707</v>
      </c>
      <c r="T28" s="17" t="str">
        <f aca="false">IF(A28="","",IF(AND(MIN(H28:R28)&gt;=0,MAX(H28:R28)&lt;=1,S28&lt;=1),"OK","CHECK"))</f>
        <v>OK</v>
      </c>
      <c r="U28" s="17" t="str">
        <f aca="false">IF(A28="","", "LOSS-"&amp;A28&amp;"-L"&amp;TEXT(B28,"00")&amp;"-"&amp;TEXT(C28,"yyyymmdd")&amp;"-"&amp;D28&amp;"-"&amp;E28)</f>
        <v>LOSS-KG01-L22-20251024-PM-ORD-2025-00057</v>
      </c>
      <c r="V28" s="17" t="str">
        <f aca="false">IF(U28="","",IF(COUNTIF($U$5:$U$935,U28)=1,"OK","CHECK"))</f>
        <v>OK</v>
      </c>
      <c r="W28" s="17" t="str">
        <f aca="false">IF(A28="","",IF(AND(T28="OK",V28="OK",G28&gt;=0),"OK","CHECK"))</f>
        <v>OK</v>
      </c>
    </row>
    <row r="29" customFormat="false" ht="18" hidden="false" customHeight="true" outlineLevel="0" collapsed="false">
      <c r="A29" s="11" t="s">
        <v>39</v>
      </c>
      <c r="B29" s="12" t="n">
        <v>22</v>
      </c>
      <c r="C29" s="13" t="n">
        <v>45955</v>
      </c>
      <c r="D29" s="11" t="s">
        <v>40</v>
      </c>
      <c r="E29" s="11" t="s">
        <v>48</v>
      </c>
      <c r="F29" s="11" t="s">
        <v>42</v>
      </c>
      <c r="G29" s="14" t="n">
        <v>6188</v>
      </c>
      <c r="H29" s="15" t="n">
        <v>0.00526019690576653</v>
      </c>
      <c r="I29" s="15" t="n">
        <v>0.0089873417721519</v>
      </c>
      <c r="J29" s="15" t="n">
        <v>0.00512658227848101</v>
      </c>
      <c r="K29" s="15" t="n">
        <v>0.00310829817158931</v>
      </c>
      <c r="L29" s="15" t="n">
        <v>0.00483825597749648</v>
      </c>
      <c r="M29" s="15" t="n">
        <v>0.00220112517580872</v>
      </c>
      <c r="N29" s="15" t="n">
        <v>0.00266526019690577</v>
      </c>
      <c r="O29" s="15" t="n">
        <v>0.00146272855133615</v>
      </c>
      <c r="P29" s="15" t="n">
        <v>0.00362869198312236</v>
      </c>
      <c r="Q29" s="15" t="n">
        <v>0.00523909985935302</v>
      </c>
      <c r="R29" s="15" t="n">
        <v>0.0009985935302391</v>
      </c>
      <c r="S29" s="16" t="n">
        <f aca="false">IF(A29="","",SUM(H29:R29))</f>
        <v>0.0435161744022504</v>
      </c>
      <c r="T29" s="17" t="str">
        <f aca="false">IF(A29="","",IF(AND(MIN(H29:R29)&gt;=0,MAX(H29:R29)&lt;=1,S29&lt;=1),"OK","CHECK"))</f>
        <v>OK</v>
      </c>
      <c r="U29" s="17" t="str">
        <f aca="false">IF(A29="","", "LOSS-"&amp;A29&amp;"-L"&amp;TEXT(B29,"00")&amp;"-"&amp;TEXT(C29,"yyyymmdd")&amp;"-"&amp;D29&amp;"-"&amp;E29)</f>
        <v>LOSS-KG01-L22-20251025-AM-ORD-2025-00057</v>
      </c>
      <c r="V29" s="17" t="str">
        <f aca="false">IF(U29="","",IF(COUNTIF($U$5:$U$935,U29)=1,"OK","CHECK"))</f>
        <v>OK</v>
      </c>
      <c r="W29" s="17" t="str">
        <f aca="false">IF(A29="","",IF(AND(T29="OK",V29="OK",G29&gt;=0),"OK","CHECK"))</f>
        <v>OK</v>
      </c>
    </row>
    <row r="30" customFormat="false" ht="18" hidden="false" customHeight="true" outlineLevel="0" collapsed="false">
      <c r="A30" s="11" t="s">
        <v>39</v>
      </c>
      <c r="B30" s="12" t="n">
        <v>22</v>
      </c>
      <c r="C30" s="13" t="n">
        <v>45955</v>
      </c>
      <c r="D30" s="11" t="s">
        <v>43</v>
      </c>
      <c r="E30" s="11" t="s">
        <v>48</v>
      </c>
      <c r="F30" s="11" t="s">
        <v>42</v>
      </c>
      <c r="G30" s="14" t="n">
        <v>5745</v>
      </c>
      <c r="H30" s="15" t="n">
        <v>0.00488986557688848</v>
      </c>
      <c r="I30" s="15" t="n">
        <v>0.00562880715552471</v>
      </c>
      <c r="J30" s="15" t="n">
        <v>0.00264091294625646</v>
      </c>
      <c r="K30" s="15" t="n">
        <v>0.00407381705091629</v>
      </c>
      <c r="L30" s="15" t="n">
        <v>0.00611072557637443</v>
      </c>
      <c r="M30" s="15" t="n">
        <v>0.00198550389390084</v>
      </c>
      <c r="N30" s="15" t="n">
        <v>0.000681111368134269</v>
      </c>
      <c r="O30" s="15" t="n">
        <v>0.000873878736474156</v>
      </c>
      <c r="P30" s="15" t="n">
        <v>0.00230035726218932</v>
      </c>
      <c r="Q30" s="15" t="n">
        <v>0.00186984347289691</v>
      </c>
      <c r="R30" s="15" t="n">
        <v>0.00586012799753258</v>
      </c>
      <c r="S30" s="16" t="n">
        <f aca="false">IF(A30="","",SUM(H30:R30))</f>
        <v>0.0369149510370884</v>
      </c>
      <c r="T30" s="17" t="str">
        <f aca="false">IF(A30="","",IF(AND(MIN(H30:R30)&gt;=0,MAX(H30:R30)&lt;=1,S30&lt;=1),"OK","CHECK"))</f>
        <v>OK</v>
      </c>
      <c r="U30" s="17" t="str">
        <f aca="false">IF(A30="","", "LOSS-"&amp;A30&amp;"-L"&amp;TEXT(B30,"00")&amp;"-"&amp;TEXT(C30,"yyyymmdd")&amp;"-"&amp;D30&amp;"-"&amp;E30)</f>
        <v>LOSS-KG01-L22-20251025-PM-ORD-2025-00057</v>
      </c>
      <c r="V30" s="17" t="str">
        <f aca="false">IF(U30="","",IF(COUNTIF($U$5:$U$935,U30)=1,"OK","CHECK"))</f>
        <v>OK</v>
      </c>
      <c r="W30" s="17" t="str">
        <f aca="false">IF(A30="","",IF(AND(T30="OK",V30="OK",G30&gt;=0),"OK","CHECK"))</f>
        <v>OK</v>
      </c>
    </row>
    <row r="31" customFormat="false" ht="18" hidden="false" customHeight="true" outlineLevel="0" collapsed="false">
      <c r="A31" s="11" t="s">
        <v>39</v>
      </c>
      <c r="B31" s="12" t="n">
        <v>22</v>
      </c>
      <c r="C31" s="13" t="n">
        <v>45956</v>
      </c>
      <c r="D31" s="11" t="s">
        <v>40</v>
      </c>
      <c r="E31" s="11" t="s">
        <v>49</v>
      </c>
      <c r="F31" s="11" t="s">
        <v>45</v>
      </c>
      <c r="G31" s="14" t="n">
        <v>15579</v>
      </c>
      <c r="H31" s="15" t="n">
        <v>0.00659355382024192</v>
      </c>
      <c r="I31" s="15" t="n">
        <v>0.0260009952534068</v>
      </c>
      <c r="J31" s="15" t="n">
        <v>0.013876129229827</v>
      </c>
      <c r="K31" s="15" t="n">
        <v>0.0145268718419844</v>
      </c>
      <c r="L31" s="15" t="n">
        <v>0.0193404532230899</v>
      </c>
      <c r="M31" s="15" t="n">
        <v>0.0115889603429796</v>
      </c>
      <c r="N31" s="15" t="n">
        <v>0.00190437911499005</v>
      </c>
      <c r="O31" s="15" t="n">
        <v>0.00994296432399326</v>
      </c>
      <c r="P31" s="15" t="n">
        <v>0.011751645996019</v>
      </c>
      <c r="Q31" s="15" t="n">
        <v>0.0173403766651355</v>
      </c>
      <c r="R31" s="15" t="n">
        <v>0.0162207165824529</v>
      </c>
      <c r="S31" s="16" t="n">
        <f aca="false">IF(A31="","",SUM(H31:R31))</f>
        <v>0.14908704639412</v>
      </c>
      <c r="T31" s="17" t="str">
        <f aca="false">IF(A31="","",IF(AND(MIN(H31:R31)&gt;=0,MAX(H31:R31)&lt;=1,S31&lt;=1),"OK","CHECK"))</f>
        <v>OK</v>
      </c>
      <c r="U31" s="17" t="str">
        <f aca="false">IF(A31="","", "LOSS-"&amp;A31&amp;"-L"&amp;TEXT(B31,"00")&amp;"-"&amp;TEXT(C31,"yyyymmdd")&amp;"-"&amp;D31&amp;"-"&amp;E31)</f>
        <v>LOSS-KG01-L22-20251026-AM-ORD-2025-00058</v>
      </c>
      <c r="V31" s="17" t="str">
        <f aca="false">IF(U31="","",IF(COUNTIF($U$5:$U$935,U31)=1,"OK","CHECK"))</f>
        <v>OK</v>
      </c>
      <c r="W31" s="17" t="str">
        <f aca="false">IF(A31="","",IF(AND(T31="OK",V31="OK",G31&gt;=0),"OK","CHECK"))</f>
        <v>OK</v>
      </c>
    </row>
    <row r="32" customFormat="false" ht="18" hidden="false" customHeight="true" outlineLevel="0" collapsed="false">
      <c r="A32" s="11" t="s">
        <v>39</v>
      </c>
      <c r="B32" s="12" t="n">
        <v>22</v>
      </c>
      <c r="C32" s="13" t="n">
        <v>45956</v>
      </c>
      <c r="D32" s="11" t="s">
        <v>43</v>
      </c>
      <c r="E32" s="11" t="s">
        <v>49</v>
      </c>
      <c r="F32" s="11" t="s">
        <v>42</v>
      </c>
      <c r="G32" s="14" t="n">
        <v>8405</v>
      </c>
      <c r="H32" s="15" t="n">
        <v>0.00320966676106863</v>
      </c>
      <c r="I32" s="15" t="n">
        <v>0.00489415179835741</v>
      </c>
      <c r="J32" s="15" t="n">
        <v>0.00263735485698103</v>
      </c>
      <c r="K32" s="15" t="n">
        <v>0.000749315585764184</v>
      </c>
      <c r="L32" s="15" t="n">
        <v>0.00158123288964411</v>
      </c>
      <c r="M32" s="15" t="n">
        <v>0.00153108184650241</v>
      </c>
      <c r="N32" s="15" t="n">
        <v>0.00135997828754838</v>
      </c>
      <c r="O32" s="15" t="n">
        <v>0.000725715094873973</v>
      </c>
      <c r="P32" s="15" t="n">
        <v>0.00309461436797885</v>
      </c>
      <c r="Q32" s="15" t="n">
        <v>0.00219484565278958</v>
      </c>
      <c r="R32" s="15" t="n">
        <v>0.00281730860001888</v>
      </c>
      <c r="S32" s="16" t="n">
        <f aca="false">IF(A32="","",SUM(H32:R32))</f>
        <v>0.0247952657415274</v>
      </c>
      <c r="T32" s="17" t="str">
        <f aca="false">IF(A32="","",IF(AND(MIN(H32:R32)&gt;=0,MAX(H32:R32)&lt;=1,S32&lt;=1),"OK","CHECK"))</f>
        <v>OK</v>
      </c>
      <c r="U32" s="17" t="str">
        <f aca="false">IF(A32="","", "LOSS-"&amp;A32&amp;"-L"&amp;TEXT(B32,"00")&amp;"-"&amp;TEXT(C32,"yyyymmdd")&amp;"-"&amp;D32&amp;"-"&amp;E32)</f>
        <v>LOSS-KG01-L22-20251026-PM-ORD-2025-00058</v>
      </c>
      <c r="V32" s="17" t="str">
        <f aca="false">IF(U32="","",IF(COUNTIF($U$5:$U$935,U32)=1,"OK","CHECK"))</f>
        <v>OK</v>
      </c>
      <c r="W32" s="17" t="str">
        <f aca="false">IF(A32="","",IF(AND(T32="OK",V32="OK",G32&gt;=0),"OK","CHECK"))</f>
        <v>OK</v>
      </c>
    </row>
    <row r="33" customFormat="false" ht="18" hidden="false" customHeight="true" outlineLevel="0" collapsed="false">
      <c r="A33" s="11" t="s">
        <v>39</v>
      </c>
      <c r="B33" s="12" t="n">
        <v>23</v>
      </c>
      <c r="C33" s="13" t="n">
        <v>45950</v>
      </c>
      <c r="D33" s="11" t="s">
        <v>40</v>
      </c>
      <c r="E33" s="11" t="s">
        <v>50</v>
      </c>
      <c r="F33" s="11" t="s">
        <v>42</v>
      </c>
      <c r="G33" s="14" t="n">
        <v>18278</v>
      </c>
      <c r="H33" s="15" t="n">
        <v>0.00519271583347398</v>
      </c>
      <c r="I33" s="15" t="n">
        <v>0.00936915325693888</v>
      </c>
      <c r="J33" s="15" t="n">
        <v>0.0027579569571978</v>
      </c>
      <c r="K33" s="15" t="n">
        <v>0.00556259808163984</v>
      </c>
      <c r="L33" s="15" t="n">
        <v>0.00319247882154798</v>
      </c>
      <c r="M33" s="15" t="n">
        <v>0.00853602042611872</v>
      </c>
      <c r="N33" s="15" t="n">
        <v>0.000452477313290264</v>
      </c>
      <c r="O33" s="15" t="n">
        <v>0.00294110253638672</v>
      </c>
      <c r="P33" s="15" t="n">
        <v>0.00466482563463534</v>
      </c>
      <c r="Q33" s="15" t="n">
        <v>0.01478451665727</v>
      </c>
      <c r="R33" s="15" t="n">
        <v>0.00818409362689295</v>
      </c>
      <c r="S33" s="16" t="n">
        <f aca="false">IF(A33="","",SUM(H33:R33))</f>
        <v>0.0656379391453925</v>
      </c>
      <c r="T33" s="17" t="str">
        <f aca="false">IF(A33="","",IF(AND(MIN(H33:R33)&gt;=0,MAX(H33:R33)&lt;=1,S33&lt;=1),"OK","CHECK"))</f>
        <v>OK</v>
      </c>
      <c r="U33" s="17" t="str">
        <f aca="false">IF(A33="","", "LOSS-"&amp;A33&amp;"-L"&amp;TEXT(B33,"00")&amp;"-"&amp;TEXT(C33,"yyyymmdd")&amp;"-"&amp;D33&amp;"-"&amp;E33)</f>
        <v>LOSS-KG01-L23-20251020-AM-ORD-2025-00092</v>
      </c>
      <c r="V33" s="17" t="str">
        <f aca="false">IF(U33="","",IF(COUNTIF($U$5:$U$935,U33)=1,"OK","CHECK"))</f>
        <v>OK</v>
      </c>
      <c r="W33" s="17" t="str">
        <f aca="false">IF(A33="","",IF(AND(T33="OK",V33="OK",G33&gt;=0),"OK","CHECK"))</f>
        <v>OK</v>
      </c>
    </row>
    <row r="34" customFormat="false" ht="18" hidden="false" customHeight="true" outlineLevel="0" collapsed="false">
      <c r="A34" s="11" t="s">
        <v>39</v>
      </c>
      <c r="B34" s="12" t="n">
        <v>23</v>
      </c>
      <c r="C34" s="13" t="n">
        <v>45950</v>
      </c>
      <c r="D34" s="11" t="s">
        <v>43</v>
      </c>
      <c r="E34" s="11" t="s">
        <v>50</v>
      </c>
      <c r="F34" s="11" t="s">
        <v>42</v>
      </c>
      <c r="G34" s="14" t="n">
        <v>15396</v>
      </c>
      <c r="H34" s="15" t="n">
        <v>0.00604470721284957</v>
      </c>
      <c r="I34" s="15" t="n">
        <v>0.0128266611313516</v>
      </c>
      <c r="J34" s="15" t="n">
        <v>0.00617354644296359</v>
      </c>
      <c r="K34" s="15" t="n">
        <v>0.00361465617819897</v>
      </c>
      <c r="L34" s="15" t="n">
        <v>0.00711120972879342</v>
      </c>
      <c r="M34" s="15" t="n">
        <v>0.00558303330494098</v>
      </c>
      <c r="N34" s="15" t="n">
        <v>0.00383654596339534</v>
      </c>
      <c r="O34" s="15" t="n">
        <v>0.000608407475538441</v>
      </c>
      <c r="P34" s="15" t="n">
        <v>0.00128839230114023</v>
      </c>
      <c r="Q34" s="15" t="n">
        <v>0.0054613518098333</v>
      </c>
      <c r="R34" s="15" t="n">
        <v>0.00255173252975828</v>
      </c>
      <c r="S34" s="16" t="n">
        <f aca="false">IF(A34="","",SUM(H34:R34))</f>
        <v>0.0551002440787637</v>
      </c>
      <c r="T34" s="17" t="str">
        <f aca="false">IF(A34="","",IF(AND(MIN(H34:R34)&gt;=0,MAX(H34:R34)&lt;=1,S34&lt;=1),"OK","CHECK"))</f>
        <v>OK</v>
      </c>
      <c r="U34" s="17" t="str">
        <f aca="false">IF(A34="","", "LOSS-"&amp;A34&amp;"-L"&amp;TEXT(B34,"00")&amp;"-"&amp;TEXT(C34,"yyyymmdd")&amp;"-"&amp;D34&amp;"-"&amp;E34)</f>
        <v>LOSS-KG01-L23-20251020-PM-ORD-2025-00092</v>
      </c>
      <c r="V34" s="17" t="str">
        <f aca="false">IF(U34="","",IF(COUNTIF($U$5:$U$935,U34)=1,"OK","CHECK"))</f>
        <v>OK</v>
      </c>
      <c r="W34" s="17" t="str">
        <f aca="false">IF(A34="","",IF(AND(T34="OK",V34="OK",G34&gt;=0),"OK","CHECK"))</f>
        <v>OK</v>
      </c>
    </row>
    <row r="35" customFormat="false" ht="18" hidden="false" customHeight="true" outlineLevel="0" collapsed="false">
      <c r="A35" s="11" t="s">
        <v>39</v>
      </c>
      <c r="B35" s="12" t="n">
        <v>23</v>
      </c>
      <c r="C35" s="13" t="n">
        <v>45951</v>
      </c>
      <c r="D35" s="11" t="s">
        <v>40</v>
      </c>
      <c r="E35" s="11" t="s">
        <v>50</v>
      </c>
      <c r="F35" s="11" t="s">
        <v>42</v>
      </c>
      <c r="G35" s="14" t="n">
        <v>17700</v>
      </c>
      <c r="H35" s="15" t="n">
        <v>0.00479257382507877</v>
      </c>
      <c r="I35" s="15" t="n">
        <v>0.00787241199470441</v>
      </c>
      <c r="J35" s="15" t="n">
        <v>0.00375258839104687</v>
      </c>
      <c r="K35" s="15" t="n">
        <v>0.00356434176945652</v>
      </c>
      <c r="L35" s="15" t="n">
        <v>0.00829828140092519</v>
      </c>
      <c r="M35" s="15" t="n">
        <v>0.00296874180278543</v>
      </c>
      <c r="N35" s="15" t="n">
        <v>0.00275889310986505</v>
      </c>
      <c r="O35" s="15" t="n">
        <v>0.00126835018809232</v>
      </c>
      <c r="P35" s="15" t="n">
        <v>0.00347484747394636</v>
      </c>
      <c r="Q35" s="15" t="n">
        <v>0.0103381341365189</v>
      </c>
      <c r="R35" s="15" t="n">
        <v>0.00553321627068013</v>
      </c>
      <c r="S35" s="16" t="n">
        <f aca="false">IF(A35="","",SUM(H35:R35))</f>
        <v>0.0546223803631</v>
      </c>
      <c r="T35" s="17" t="str">
        <f aca="false">IF(A35="","",IF(AND(MIN(H35:R35)&gt;=0,MAX(H35:R35)&lt;=1,S35&lt;=1),"OK","CHECK"))</f>
        <v>OK</v>
      </c>
      <c r="U35" s="17" t="str">
        <f aca="false">IF(A35="","", "LOSS-"&amp;A35&amp;"-L"&amp;TEXT(B35,"00")&amp;"-"&amp;TEXT(C35,"yyyymmdd")&amp;"-"&amp;D35&amp;"-"&amp;E35)</f>
        <v>LOSS-KG01-L23-20251021-AM-ORD-2025-00092</v>
      </c>
      <c r="V35" s="17" t="str">
        <f aca="false">IF(U35="","",IF(COUNTIF($U$5:$U$935,U35)=1,"OK","CHECK"))</f>
        <v>OK</v>
      </c>
      <c r="W35" s="17" t="str">
        <f aca="false">IF(A35="","",IF(AND(T35="OK",V35="OK",G35&gt;=0),"OK","CHECK"))</f>
        <v>OK</v>
      </c>
    </row>
    <row r="36" customFormat="false" ht="18" hidden="false" customHeight="true" outlineLevel="0" collapsed="false">
      <c r="A36" s="11" t="s">
        <v>39</v>
      </c>
      <c r="B36" s="12" t="n">
        <v>23</v>
      </c>
      <c r="C36" s="13" t="n">
        <v>45951</v>
      </c>
      <c r="D36" s="11" t="s">
        <v>43</v>
      </c>
      <c r="E36" s="11" t="s">
        <v>50</v>
      </c>
      <c r="F36" s="11" t="s">
        <v>42</v>
      </c>
      <c r="G36" s="14" t="n">
        <v>20517</v>
      </c>
      <c r="H36" s="15" t="n">
        <v>0.00382950382950383</v>
      </c>
      <c r="I36" s="15" t="n">
        <v>0.0145317645317645</v>
      </c>
      <c r="J36" s="15" t="n">
        <v>0.00340708674042007</v>
      </c>
      <c r="K36" s="15" t="n">
        <v>0.00620983954317288</v>
      </c>
      <c r="L36" s="15" t="n">
        <v>0.00404533737867071</v>
      </c>
      <c r="M36" s="15" t="n">
        <v>0.00501658834992168</v>
      </c>
      <c r="N36" s="15" t="n">
        <v>0.0048007548007548</v>
      </c>
      <c r="O36" s="15" t="n">
        <v>0.00311725311725312</v>
      </c>
      <c r="P36" s="15" t="n">
        <v>0.00201341868008535</v>
      </c>
      <c r="Q36" s="15" t="n">
        <v>0.00533417200083867</v>
      </c>
      <c r="R36" s="15" t="n">
        <v>0.0109550942884276</v>
      </c>
      <c r="S36" s="16" t="n">
        <f aca="false">IF(A36="","",SUM(H36:R36))</f>
        <v>0.0632608132608132</v>
      </c>
      <c r="T36" s="17" t="str">
        <f aca="false">IF(A36="","",IF(AND(MIN(H36:R36)&gt;=0,MAX(H36:R36)&lt;=1,S36&lt;=1),"OK","CHECK"))</f>
        <v>OK</v>
      </c>
      <c r="U36" s="17" t="str">
        <f aca="false">IF(A36="","", "LOSS-"&amp;A36&amp;"-L"&amp;TEXT(B36,"00")&amp;"-"&amp;TEXT(C36,"yyyymmdd")&amp;"-"&amp;D36&amp;"-"&amp;E36)</f>
        <v>LOSS-KG01-L23-20251021-PM-ORD-2025-00092</v>
      </c>
      <c r="V36" s="17" t="str">
        <f aca="false">IF(U36="","",IF(COUNTIF($U$5:$U$935,U36)=1,"OK","CHECK"))</f>
        <v>OK</v>
      </c>
      <c r="W36" s="17" t="str">
        <f aca="false">IF(A36="","",IF(AND(T36="OK",V36="OK",G36&gt;=0),"OK","CHECK"))</f>
        <v>OK</v>
      </c>
    </row>
    <row r="37" customFormat="false" ht="18" hidden="false" customHeight="true" outlineLevel="0" collapsed="false">
      <c r="A37" s="11" t="s">
        <v>39</v>
      </c>
      <c r="B37" s="12" t="n">
        <v>23</v>
      </c>
      <c r="C37" s="13" t="n">
        <v>45952</v>
      </c>
      <c r="D37" s="11" t="s">
        <v>40</v>
      </c>
      <c r="E37" s="11" t="s">
        <v>51</v>
      </c>
      <c r="F37" s="11" t="s">
        <v>42</v>
      </c>
      <c r="G37" s="14" t="n">
        <v>4895</v>
      </c>
      <c r="H37" s="15" t="n">
        <v>0.00975719172320978</v>
      </c>
      <c r="I37" s="15" t="n">
        <v>0.0125946279369708</v>
      </c>
      <c r="J37" s="15" t="n">
        <v>0.00377950989738126</v>
      </c>
      <c r="K37" s="15" t="n">
        <v>0.00392530701508439</v>
      </c>
      <c r="L37" s="15" t="n">
        <v>0.00467672292940055</v>
      </c>
      <c r="M37" s="15" t="n">
        <v>0.00153647731733303</v>
      </c>
      <c r="N37" s="15" t="n">
        <v>0.00582066954522514</v>
      </c>
      <c r="O37" s="15" t="n">
        <v>0.000908428194919531</v>
      </c>
      <c r="P37" s="15" t="n">
        <v>0.00171591992373689</v>
      </c>
      <c r="Q37" s="15" t="n">
        <v>0.00409353445858801</v>
      </c>
      <c r="R37" s="15" t="n">
        <v>0.00608983345483093</v>
      </c>
      <c r="S37" s="16" t="n">
        <f aca="false">IF(A37="","",SUM(H37:R37))</f>
        <v>0.0548982223966803</v>
      </c>
      <c r="T37" s="17" t="str">
        <f aca="false">IF(A37="","",IF(AND(MIN(H37:R37)&gt;=0,MAX(H37:R37)&lt;=1,S37&lt;=1),"OK","CHECK"))</f>
        <v>OK</v>
      </c>
      <c r="U37" s="17" t="str">
        <f aca="false">IF(A37="","", "LOSS-"&amp;A37&amp;"-L"&amp;TEXT(B37,"00")&amp;"-"&amp;TEXT(C37,"yyyymmdd")&amp;"-"&amp;D37&amp;"-"&amp;E37)</f>
        <v>LOSS-KG01-L23-20251022-AM-ORD-2025-00093</v>
      </c>
      <c r="V37" s="17" t="str">
        <f aca="false">IF(U37="","",IF(COUNTIF($U$5:$U$935,U37)=1,"OK","CHECK"))</f>
        <v>OK</v>
      </c>
      <c r="W37" s="17" t="str">
        <f aca="false">IF(A37="","",IF(AND(T37="OK",V37="OK",G37&gt;=0),"OK","CHECK"))</f>
        <v>OK</v>
      </c>
    </row>
    <row r="38" customFormat="false" ht="18" hidden="false" customHeight="true" outlineLevel="0" collapsed="false">
      <c r="A38" s="11" t="s">
        <v>39</v>
      </c>
      <c r="B38" s="12" t="n">
        <v>23</v>
      </c>
      <c r="C38" s="13" t="n">
        <v>45952</v>
      </c>
      <c r="D38" s="11" t="s">
        <v>43</v>
      </c>
      <c r="E38" s="11" t="s">
        <v>51</v>
      </c>
      <c r="F38" s="11" t="s">
        <v>42</v>
      </c>
      <c r="G38" s="14" t="n">
        <v>10098</v>
      </c>
      <c r="H38" s="15" t="n">
        <v>0.00730676328502415</v>
      </c>
      <c r="I38" s="15" t="n">
        <v>0.00959541062801932</v>
      </c>
      <c r="J38" s="15" t="n">
        <v>0.00429951690821256</v>
      </c>
      <c r="K38" s="15" t="n">
        <v>0.00302536231884058</v>
      </c>
      <c r="L38" s="15" t="n">
        <v>0.00721014492753623</v>
      </c>
      <c r="M38" s="15" t="n">
        <v>0.00492149758454106</v>
      </c>
      <c r="N38" s="15" t="n">
        <v>0.00161835748792271</v>
      </c>
      <c r="O38" s="15" t="n">
        <v>0.00122584541062802</v>
      </c>
      <c r="P38" s="15" t="n">
        <v>0.00125</v>
      </c>
      <c r="Q38" s="15" t="n">
        <v>0.0154408212560387</v>
      </c>
      <c r="R38" s="15" t="n">
        <v>0.00508454106280193</v>
      </c>
      <c r="S38" s="16" t="n">
        <f aca="false">IF(A38="","",SUM(H38:R38))</f>
        <v>0.0609782608695653</v>
      </c>
      <c r="T38" s="17" t="str">
        <f aca="false">IF(A38="","",IF(AND(MIN(H38:R38)&gt;=0,MAX(H38:R38)&lt;=1,S38&lt;=1),"OK","CHECK"))</f>
        <v>OK</v>
      </c>
      <c r="U38" s="17" t="str">
        <f aca="false">IF(A38="","", "LOSS-"&amp;A38&amp;"-L"&amp;TEXT(B38,"00")&amp;"-"&amp;TEXT(C38,"yyyymmdd")&amp;"-"&amp;D38&amp;"-"&amp;E38)</f>
        <v>LOSS-KG01-L23-20251022-PM-ORD-2025-00093</v>
      </c>
      <c r="V38" s="17" t="str">
        <f aca="false">IF(U38="","",IF(COUNTIF($U$5:$U$935,U38)=1,"OK","CHECK"))</f>
        <v>OK</v>
      </c>
      <c r="W38" s="17" t="str">
        <f aca="false">IF(A38="","",IF(AND(T38="OK",V38="OK",G38&gt;=0),"OK","CHECK"))</f>
        <v>OK</v>
      </c>
    </row>
    <row r="39" customFormat="false" ht="18" hidden="false" customHeight="true" outlineLevel="0" collapsed="false">
      <c r="A39" s="11" t="s">
        <v>39</v>
      </c>
      <c r="B39" s="12" t="n">
        <v>23</v>
      </c>
      <c r="C39" s="13" t="n">
        <v>45953</v>
      </c>
      <c r="D39" s="11" t="s">
        <v>40</v>
      </c>
      <c r="E39" s="11" t="s">
        <v>51</v>
      </c>
      <c r="F39" s="11" t="s">
        <v>42</v>
      </c>
      <c r="G39" s="14" t="n">
        <v>7869</v>
      </c>
      <c r="H39" s="15" t="n">
        <v>0.00299213956848495</v>
      </c>
      <c r="I39" s="15" t="n">
        <v>0.0119254283342139</v>
      </c>
      <c r="J39" s="15" t="n">
        <v>0.00613523392601059</v>
      </c>
      <c r="K39" s="15" t="n">
        <v>0.00407038806163268</v>
      </c>
      <c r="L39" s="15" t="n">
        <v>0.00203788965204921</v>
      </c>
      <c r="M39" s="15" t="n">
        <v>0.00376847848355132</v>
      </c>
      <c r="N39" s="15" t="n">
        <v>0.00052295051917665</v>
      </c>
      <c r="O39" s="15" t="n">
        <v>0.00162276398218734</v>
      </c>
      <c r="P39" s="15" t="n">
        <v>0.0031107469027312</v>
      </c>
      <c r="Q39" s="15" t="n">
        <v>0.00281961980958132</v>
      </c>
      <c r="R39" s="15" t="n">
        <v>0.00341804772327831</v>
      </c>
      <c r="S39" s="16" t="n">
        <f aca="false">IF(A39="","",SUM(H39:R39))</f>
        <v>0.0424236869628975</v>
      </c>
      <c r="T39" s="17" t="str">
        <f aca="false">IF(A39="","",IF(AND(MIN(H39:R39)&gt;=0,MAX(H39:R39)&lt;=1,S39&lt;=1),"OK","CHECK"))</f>
        <v>OK</v>
      </c>
      <c r="U39" s="17" t="str">
        <f aca="false">IF(A39="","", "LOSS-"&amp;A39&amp;"-L"&amp;TEXT(B39,"00")&amp;"-"&amp;TEXT(C39,"yyyymmdd")&amp;"-"&amp;D39&amp;"-"&amp;E39)</f>
        <v>LOSS-KG01-L23-20251023-AM-ORD-2025-00093</v>
      </c>
      <c r="V39" s="17" t="str">
        <f aca="false">IF(U39="","",IF(COUNTIF($U$5:$U$935,U39)=1,"OK","CHECK"))</f>
        <v>OK</v>
      </c>
      <c r="W39" s="17" t="str">
        <f aca="false">IF(A39="","",IF(AND(T39="OK",V39="OK",G39&gt;=0),"OK","CHECK"))</f>
        <v>OK</v>
      </c>
    </row>
    <row r="40" customFormat="false" ht="18" hidden="false" customHeight="true" outlineLevel="0" collapsed="false">
      <c r="A40" s="11" t="s">
        <v>39</v>
      </c>
      <c r="B40" s="12" t="n">
        <v>23</v>
      </c>
      <c r="C40" s="13" t="n">
        <v>45953</v>
      </c>
      <c r="D40" s="11" t="s">
        <v>43</v>
      </c>
      <c r="E40" s="11" t="s">
        <v>51</v>
      </c>
      <c r="F40" s="11" t="s">
        <v>42</v>
      </c>
      <c r="G40" s="14" t="n">
        <v>5160</v>
      </c>
      <c r="H40" s="15" t="n">
        <v>0.00217138683223215</v>
      </c>
      <c r="I40" s="15" t="n">
        <v>0.00715163186028753</v>
      </c>
      <c r="J40" s="15" t="n">
        <v>0.00199209801122215</v>
      </c>
      <c r="K40" s="15" t="n">
        <v>0.00314087453102693</v>
      </c>
      <c r="L40" s="15" t="n">
        <v>0.00251668382084399</v>
      </c>
      <c r="M40" s="15" t="n">
        <v>0.00408380092300541</v>
      </c>
      <c r="N40" s="15" t="n">
        <v>0.00131478468740662</v>
      </c>
      <c r="O40" s="15" t="n">
        <v>0.000849961818121452</v>
      </c>
      <c r="P40" s="15" t="n">
        <v>0.000630831036887015</v>
      </c>
      <c r="Q40" s="15" t="n">
        <v>0.00426308974401541</v>
      </c>
      <c r="R40" s="15" t="n">
        <v>0.00614894252797238</v>
      </c>
      <c r="S40" s="16" t="n">
        <f aca="false">IF(A40="","",SUM(H40:R40))</f>
        <v>0.034264085793021</v>
      </c>
      <c r="T40" s="17" t="str">
        <f aca="false">IF(A40="","",IF(AND(MIN(H40:R40)&gt;=0,MAX(H40:R40)&lt;=1,S40&lt;=1),"OK","CHECK"))</f>
        <v>OK</v>
      </c>
      <c r="U40" s="17" t="str">
        <f aca="false">IF(A40="","", "LOSS-"&amp;A40&amp;"-L"&amp;TEXT(B40,"00")&amp;"-"&amp;TEXT(C40,"yyyymmdd")&amp;"-"&amp;D40&amp;"-"&amp;E40)</f>
        <v>LOSS-KG01-L23-20251023-PM-ORD-2025-00093</v>
      </c>
      <c r="V40" s="17" t="str">
        <f aca="false">IF(U40="","",IF(COUNTIF($U$5:$U$935,U40)=1,"OK","CHECK"))</f>
        <v>OK</v>
      </c>
      <c r="W40" s="17" t="str">
        <f aca="false">IF(A40="","",IF(AND(T40="OK",V40="OK",G40&gt;=0),"OK","CHECK"))</f>
        <v>OK</v>
      </c>
    </row>
    <row r="41" customFormat="false" ht="18" hidden="false" customHeight="true" outlineLevel="0" collapsed="false">
      <c r="A41" s="11" t="s">
        <v>39</v>
      </c>
      <c r="B41" s="12" t="n">
        <v>23</v>
      </c>
      <c r="C41" s="13" t="n">
        <v>45954</v>
      </c>
      <c r="D41" s="11" t="s">
        <v>40</v>
      </c>
      <c r="E41" s="11" t="s">
        <v>51</v>
      </c>
      <c r="F41" s="11" t="s">
        <v>42</v>
      </c>
      <c r="G41" s="14" t="n">
        <v>5654</v>
      </c>
      <c r="H41" s="15" t="n">
        <v>0.00417392005699653</v>
      </c>
      <c r="I41" s="15" t="n">
        <v>0.0115875010922094</v>
      </c>
      <c r="J41" s="15" t="n">
        <v>0.00392523238854424</v>
      </c>
      <c r="K41" s="15" t="n">
        <v>0.00200966521262796</v>
      </c>
      <c r="L41" s="15" t="n">
        <v>0.00213736969102238</v>
      </c>
      <c r="M41" s="15" t="n">
        <v>0.00163327306578125</v>
      </c>
      <c r="N41" s="15" t="n">
        <v>0.00120311061224216</v>
      </c>
      <c r="O41" s="15" t="n">
        <v>0.00174081367916602</v>
      </c>
      <c r="P41" s="15" t="n">
        <v>0.00297753073309092</v>
      </c>
      <c r="Q41" s="15" t="n">
        <v>0.00261458116291731</v>
      </c>
      <c r="R41" s="15" t="n">
        <v>0.00399916656024627</v>
      </c>
      <c r="S41" s="16" t="n">
        <f aca="false">IF(A41="","",SUM(H41:R41))</f>
        <v>0.0380021642548444</v>
      </c>
      <c r="T41" s="17" t="str">
        <f aca="false">IF(A41="","",IF(AND(MIN(H41:R41)&gt;=0,MAX(H41:R41)&lt;=1,S41&lt;=1),"OK","CHECK"))</f>
        <v>OK</v>
      </c>
      <c r="U41" s="17" t="str">
        <f aca="false">IF(A41="","", "LOSS-"&amp;A41&amp;"-L"&amp;TEXT(B41,"00")&amp;"-"&amp;TEXT(C41,"yyyymmdd")&amp;"-"&amp;D41&amp;"-"&amp;E41)</f>
        <v>LOSS-KG01-L23-20251024-AM-ORD-2025-00093</v>
      </c>
      <c r="V41" s="17" t="str">
        <f aca="false">IF(U41="","",IF(COUNTIF($U$5:$U$935,U41)=1,"OK","CHECK"))</f>
        <v>OK</v>
      </c>
      <c r="W41" s="17" t="str">
        <f aca="false">IF(A41="","",IF(AND(T41="OK",V41="OK",G41&gt;=0),"OK","CHECK"))</f>
        <v>OK</v>
      </c>
    </row>
    <row r="42" customFormat="false" ht="18" hidden="false" customHeight="true" outlineLevel="0" collapsed="false">
      <c r="A42" s="11" t="s">
        <v>39</v>
      </c>
      <c r="B42" s="12" t="n">
        <v>23</v>
      </c>
      <c r="C42" s="13" t="n">
        <v>45954</v>
      </c>
      <c r="D42" s="11" t="s">
        <v>43</v>
      </c>
      <c r="E42" s="11" t="s">
        <v>51</v>
      </c>
      <c r="F42" s="11" t="s">
        <v>42</v>
      </c>
      <c r="G42" s="14" t="n">
        <v>5196</v>
      </c>
      <c r="H42" s="15" t="n">
        <v>0.00208452900473215</v>
      </c>
      <c r="I42" s="15" t="n">
        <v>0.0076234203601633</v>
      </c>
      <c r="J42" s="15" t="n">
        <v>0.00262596510985739</v>
      </c>
      <c r="K42" s="15" t="n">
        <v>0.00159723651011944</v>
      </c>
      <c r="L42" s="15" t="n">
        <v>0.00250143480567858</v>
      </c>
      <c r="M42" s="15" t="n">
        <v>0.00199789922791211</v>
      </c>
      <c r="N42" s="15" t="n">
        <v>0.00129944665230056</v>
      </c>
      <c r="O42" s="15" t="n">
        <v>0.000617237159842767</v>
      </c>
      <c r="P42" s="15" t="n">
        <v>0.00341104746228898</v>
      </c>
      <c r="Q42" s="15" t="n">
        <v>0.00331900332441769</v>
      </c>
      <c r="R42" s="15" t="n">
        <v>0.00105580040499421</v>
      </c>
      <c r="S42" s="16" t="n">
        <f aca="false">IF(A42="","",SUM(H42:R42))</f>
        <v>0.0281330200223072</v>
      </c>
      <c r="T42" s="17" t="str">
        <f aca="false">IF(A42="","",IF(AND(MIN(H42:R42)&gt;=0,MAX(H42:R42)&lt;=1,S42&lt;=1),"OK","CHECK"))</f>
        <v>OK</v>
      </c>
      <c r="U42" s="17" t="str">
        <f aca="false">IF(A42="","", "LOSS-"&amp;A42&amp;"-L"&amp;TEXT(B42,"00")&amp;"-"&amp;TEXT(C42,"yyyymmdd")&amp;"-"&amp;D42&amp;"-"&amp;E42)</f>
        <v>LOSS-KG01-L23-20251024-PM-ORD-2025-00093</v>
      </c>
      <c r="V42" s="17" t="str">
        <f aca="false">IF(U42="","",IF(COUNTIF($U$5:$U$935,U42)=1,"OK","CHECK"))</f>
        <v>OK</v>
      </c>
      <c r="W42" s="17" t="str">
        <f aca="false">IF(A42="","",IF(AND(T42="OK",V42="OK",G42&gt;=0),"OK","CHECK"))</f>
        <v>OK</v>
      </c>
    </row>
    <row r="43" customFormat="false" ht="18" hidden="false" customHeight="true" outlineLevel="0" collapsed="false">
      <c r="A43" s="11" t="s">
        <v>39</v>
      </c>
      <c r="B43" s="12" t="n">
        <v>23</v>
      </c>
      <c r="C43" s="13" t="n">
        <v>45955</v>
      </c>
      <c r="D43" s="11" t="s">
        <v>40</v>
      </c>
      <c r="E43" s="11" t="s">
        <v>51</v>
      </c>
      <c r="F43" s="11" t="s">
        <v>42</v>
      </c>
      <c r="G43" s="14" t="n">
        <v>8874</v>
      </c>
      <c r="H43" s="15" t="n">
        <v>0.0070323488045007</v>
      </c>
      <c r="I43" s="15" t="n">
        <v>0.0113162212845757</v>
      </c>
      <c r="J43" s="15" t="n">
        <v>0.00430731364275668</v>
      </c>
      <c r="K43" s="15" t="n">
        <v>0.00638185654008439</v>
      </c>
      <c r="L43" s="15" t="n">
        <v>0.00310595405532114</v>
      </c>
      <c r="M43" s="15" t="n">
        <v>0.00232653539615565</v>
      </c>
      <c r="N43" s="15" t="n">
        <v>0.00329934364744491</v>
      </c>
      <c r="O43" s="15" t="n">
        <v>0.00100210970464135</v>
      </c>
      <c r="P43" s="15" t="n">
        <v>0.00726676043131739</v>
      </c>
      <c r="Q43" s="15" t="n">
        <v>0.00423112986404126</v>
      </c>
      <c r="R43" s="15" t="n">
        <v>0.00173464603844351</v>
      </c>
      <c r="S43" s="16" t="n">
        <f aca="false">IF(A43="","",SUM(H43:R43))</f>
        <v>0.0520042194092827</v>
      </c>
      <c r="T43" s="17" t="str">
        <f aca="false">IF(A43="","",IF(AND(MIN(H43:R43)&gt;=0,MAX(H43:R43)&lt;=1,S43&lt;=1),"OK","CHECK"))</f>
        <v>OK</v>
      </c>
      <c r="U43" s="17" t="str">
        <f aca="false">IF(A43="","", "LOSS-"&amp;A43&amp;"-L"&amp;TEXT(B43,"00")&amp;"-"&amp;TEXT(C43,"yyyymmdd")&amp;"-"&amp;D43&amp;"-"&amp;E43)</f>
        <v>LOSS-KG01-L23-20251025-AM-ORD-2025-00093</v>
      </c>
      <c r="V43" s="17" t="str">
        <f aca="false">IF(U43="","",IF(COUNTIF($U$5:$U$935,U43)=1,"OK","CHECK"))</f>
        <v>OK</v>
      </c>
      <c r="W43" s="17" t="str">
        <f aca="false">IF(A43="","",IF(AND(T43="OK",V43="OK",G43&gt;=0),"OK","CHECK"))</f>
        <v>OK</v>
      </c>
    </row>
    <row r="44" customFormat="false" ht="18" hidden="false" customHeight="true" outlineLevel="0" collapsed="false">
      <c r="A44" s="11" t="s">
        <v>39</v>
      </c>
      <c r="B44" s="12" t="n">
        <v>23</v>
      </c>
      <c r="C44" s="13" t="n">
        <v>45955</v>
      </c>
      <c r="D44" s="11" t="s">
        <v>43</v>
      </c>
      <c r="E44" s="11" t="s">
        <v>51</v>
      </c>
      <c r="F44" s="11" t="s">
        <v>42</v>
      </c>
      <c r="G44" s="14" t="n">
        <v>7497</v>
      </c>
      <c r="H44" s="15" t="n">
        <v>0.00523134779396951</v>
      </c>
      <c r="I44" s="15" t="n">
        <v>0.0157679135048016</v>
      </c>
      <c r="J44" s="15" t="n">
        <v>0.00128265395205158</v>
      </c>
      <c r="K44" s="15" t="n">
        <v>0.00198106238667652</v>
      </c>
      <c r="L44" s="15" t="n">
        <v>0.00413672688200927</v>
      </c>
      <c r="M44" s="15" t="n">
        <v>0.00318313075011752</v>
      </c>
      <c r="N44" s="15" t="n">
        <v>0.00231683567255389</v>
      </c>
      <c r="O44" s="15" t="n">
        <v>0.000684977503189846</v>
      </c>
      <c r="P44" s="15" t="n">
        <v>0.00549325095695387</v>
      </c>
      <c r="Q44" s="15" t="n">
        <v>0.00518433953394668</v>
      </c>
      <c r="R44" s="15" t="n">
        <v>0.00508360754818347</v>
      </c>
      <c r="S44" s="16" t="n">
        <f aca="false">IF(A44="","",SUM(H44:R44))</f>
        <v>0.0503458464844538</v>
      </c>
      <c r="T44" s="17" t="str">
        <f aca="false">IF(A44="","",IF(AND(MIN(H44:R44)&gt;=0,MAX(H44:R44)&lt;=1,S44&lt;=1),"OK","CHECK"))</f>
        <v>OK</v>
      </c>
      <c r="U44" s="17" t="str">
        <f aca="false">IF(A44="","", "LOSS-"&amp;A44&amp;"-L"&amp;TEXT(B44,"00")&amp;"-"&amp;TEXT(C44,"yyyymmdd")&amp;"-"&amp;D44&amp;"-"&amp;E44)</f>
        <v>LOSS-KG01-L23-20251025-PM-ORD-2025-00093</v>
      </c>
      <c r="V44" s="17" t="str">
        <f aca="false">IF(U44="","",IF(COUNTIF($U$5:$U$935,U44)=1,"OK","CHECK"))</f>
        <v>OK</v>
      </c>
      <c r="W44" s="17" t="str">
        <f aca="false">IF(A44="","",IF(AND(T44="OK",V44="OK",G44&gt;=0),"OK","CHECK"))</f>
        <v>OK</v>
      </c>
    </row>
    <row r="45" customFormat="false" ht="18" hidden="false" customHeight="true" outlineLevel="0" collapsed="false">
      <c r="A45" s="11" t="s">
        <v>39</v>
      </c>
      <c r="B45" s="12" t="n">
        <v>23</v>
      </c>
      <c r="C45" s="13" t="n">
        <v>45956</v>
      </c>
      <c r="D45" s="11" t="s">
        <v>40</v>
      </c>
      <c r="E45" s="11" t="s">
        <v>52</v>
      </c>
      <c r="F45" s="11" t="s">
        <v>45</v>
      </c>
      <c r="G45" s="14" t="n">
        <v>1161</v>
      </c>
      <c r="H45" s="15" t="n">
        <v>0.00892857142857143</v>
      </c>
      <c r="I45" s="15" t="n">
        <v>0.0221306471306471</v>
      </c>
      <c r="J45" s="15" t="n">
        <v>0.00595238095238095</v>
      </c>
      <c r="K45" s="15" t="n">
        <v>0.00267094017094017</v>
      </c>
      <c r="L45" s="15" t="n">
        <v>0.00831807081807082</v>
      </c>
      <c r="M45" s="15" t="n">
        <v>0.00908119658119658</v>
      </c>
      <c r="N45" s="15" t="n">
        <v>0.00434981684981685</v>
      </c>
      <c r="O45" s="15" t="n">
        <v>0.0070970695970696</v>
      </c>
      <c r="P45" s="15" t="n">
        <v>0.00473137973137973</v>
      </c>
      <c r="Q45" s="15" t="n">
        <v>0.00610500610500611</v>
      </c>
      <c r="R45" s="15" t="n">
        <v>0.00923382173382173</v>
      </c>
      <c r="S45" s="16" t="n">
        <f aca="false">IF(A45="","",SUM(H45:R45))</f>
        <v>0.0885989010989011</v>
      </c>
      <c r="T45" s="17" t="str">
        <f aca="false">IF(A45="","",IF(AND(MIN(H45:R45)&gt;=0,MAX(H45:R45)&lt;=1,S45&lt;=1),"OK","CHECK"))</f>
        <v>OK</v>
      </c>
      <c r="U45" s="17" t="str">
        <f aca="false">IF(A45="","", "LOSS-"&amp;A45&amp;"-L"&amp;TEXT(B45,"00")&amp;"-"&amp;TEXT(C45,"yyyymmdd")&amp;"-"&amp;D45&amp;"-"&amp;E45)</f>
        <v>LOSS-KG01-L23-20251026-AM-ORD-2025-00094</v>
      </c>
      <c r="V45" s="17" t="str">
        <f aca="false">IF(U45="","",IF(COUNTIF($U$5:$U$935,U45)=1,"OK","CHECK"))</f>
        <v>OK</v>
      </c>
      <c r="W45" s="17" t="str">
        <f aca="false">IF(A45="","",IF(AND(T45="OK",V45="OK",G45&gt;=0),"OK","CHECK"))</f>
        <v>OK</v>
      </c>
    </row>
    <row r="46" customFormat="false" ht="18" hidden="false" customHeight="true" outlineLevel="0" collapsed="false">
      <c r="A46" s="11" t="s">
        <v>39</v>
      </c>
      <c r="B46" s="12" t="n">
        <v>23</v>
      </c>
      <c r="C46" s="13" t="n">
        <v>45956</v>
      </c>
      <c r="D46" s="11" t="s">
        <v>43</v>
      </c>
      <c r="E46" s="11" t="s">
        <v>52</v>
      </c>
      <c r="F46" s="11" t="s">
        <v>42</v>
      </c>
      <c r="G46" s="14" t="n">
        <v>11865</v>
      </c>
      <c r="H46" s="15" t="n">
        <v>0.00954348681621409</v>
      </c>
      <c r="I46" s="15" t="n">
        <v>0.0163868118413573</v>
      </c>
      <c r="J46" s="15" t="n">
        <v>0.00605076741440378</v>
      </c>
      <c r="K46" s="15" t="n">
        <v>0.00149766058856968</v>
      </c>
      <c r="L46" s="15" t="n">
        <v>0.00628033582579037</v>
      </c>
      <c r="M46" s="15" t="n">
        <v>0.00682146136691591</v>
      </c>
      <c r="N46" s="15" t="n">
        <v>0.000366216275307184</v>
      </c>
      <c r="O46" s="15" t="n">
        <v>0.00291879837334383</v>
      </c>
      <c r="P46" s="15" t="n">
        <v>0.0047389479207661</v>
      </c>
      <c r="Q46" s="15" t="n">
        <v>0.00699637063273427</v>
      </c>
      <c r="R46" s="15" t="n">
        <v>0.00325221916131007</v>
      </c>
      <c r="S46" s="16" t="n">
        <f aca="false">IF(A46="","",SUM(H46:R46))</f>
        <v>0.0648530762167126</v>
      </c>
      <c r="T46" s="17" t="str">
        <f aca="false">IF(A46="","",IF(AND(MIN(H46:R46)&gt;=0,MAX(H46:R46)&lt;=1,S46&lt;=1),"OK","CHECK"))</f>
        <v>OK</v>
      </c>
      <c r="U46" s="17" t="str">
        <f aca="false">IF(A46="","", "LOSS-"&amp;A46&amp;"-L"&amp;TEXT(B46,"00")&amp;"-"&amp;TEXT(C46,"yyyymmdd")&amp;"-"&amp;D46&amp;"-"&amp;E46)</f>
        <v>LOSS-KG01-L23-20251026-PM-ORD-2025-00094</v>
      </c>
      <c r="V46" s="17" t="str">
        <f aca="false">IF(U46="","",IF(COUNTIF($U$5:$U$935,U46)=1,"OK","CHECK"))</f>
        <v>OK</v>
      </c>
      <c r="W46" s="17" t="str">
        <f aca="false">IF(A46="","",IF(AND(T46="OK",V46="OK",G46&gt;=0),"OK","CHECK"))</f>
        <v>OK</v>
      </c>
    </row>
    <row r="47" customFormat="false" ht="18" hidden="false" customHeight="true" outlineLevel="0" collapsed="false">
      <c r="A47" s="11" t="s">
        <v>39</v>
      </c>
      <c r="B47" s="12" t="n">
        <v>24</v>
      </c>
      <c r="C47" s="13" t="n">
        <v>45950</v>
      </c>
      <c r="D47" s="11" t="s">
        <v>40</v>
      </c>
      <c r="E47" s="11" t="s">
        <v>53</v>
      </c>
      <c r="F47" s="11" t="s">
        <v>42</v>
      </c>
      <c r="G47" s="14" t="n">
        <v>14398</v>
      </c>
      <c r="H47" s="15" t="n">
        <v>0.00358539765319426</v>
      </c>
      <c r="I47" s="15" t="n">
        <v>0.00638309430682312</v>
      </c>
      <c r="J47" s="15" t="n">
        <v>0.00308968926553672</v>
      </c>
      <c r="K47" s="15" t="n">
        <v>0.00188323917137477</v>
      </c>
      <c r="L47" s="15" t="n">
        <v>0.00243553527451833</v>
      </c>
      <c r="M47" s="15" t="n">
        <v>0.00243100825727944</v>
      </c>
      <c r="N47" s="15" t="n">
        <v>0.000316891206721715</v>
      </c>
      <c r="O47" s="15" t="n">
        <v>0.00234952194697957</v>
      </c>
      <c r="P47" s="15" t="n">
        <v>0.000986889758076199</v>
      </c>
      <c r="Q47" s="15" t="n">
        <v>0.00371894466174127</v>
      </c>
      <c r="R47" s="15" t="n">
        <v>0.00540978560046357</v>
      </c>
      <c r="S47" s="16" t="n">
        <f aca="false">IF(A47="","",SUM(H47:R47))</f>
        <v>0.032589997102709</v>
      </c>
      <c r="T47" s="17" t="str">
        <f aca="false">IF(A47="","",IF(AND(MIN(H47:R47)&gt;=0,MAX(H47:R47)&lt;=1,S47&lt;=1),"OK","CHECK"))</f>
        <v>OK</v>
      </c>
      <c r="U47" s="17" t="str">
        <f aca="false">IF(A47="","", "LOSS-"&amp;A47&amp;"-L"&amp;TEXT(B47,"00")&amp;"-"&amp;TEXT(C47,"yyyymmdd")&amp;"-"&amp;D47&amp;"-"&amp;E47)</f>
        <v>LOSS-KG01-L24-20251020-AM-ORD-2025-00124</v>
      </c>
      <c r="V47" s="17" t="str">
        <f aca="false">IF(U47="","",IF(COUNTIF($U$5:$U$935,U47)=1,"OK","CHECK"))</f>
        <v>OK</v>
      </c>
      <c r="W47" s="17" t="str">
        <f aca="false">IF(A47="","",IF(AND(T47="OK",V47="OK",G47&gt;=0),"OK","CHECK"))</f>
        <v>OK</v>
      </c>
    </row>
    <row r="48" customFormat="false" ht="18" hidden="false" customHeight="true" outlineLevel="0" collapsed="false">
      <c r="A48" s="11" t="s">
        <v>39</v>
      </c>
      <c r="B48" s="12" t="n">
        <v>24</v>
      </c>
      <c r="C48" s="13" t="n">
        <v>45950</v>
      </c>
      <c r="D48" s="11" t="s">
        <v>43</v>
      </c>
      <c r="E48" s="11" t="s">
        <v>53</v>
      </c>
      <c r="F48" s="11" t="s">
        <v>42</v>
      </c>
      <c r="G48" s="14" t="n">
        <v>17796</v>
      </c>
      <c r="H48" s="15" t="n">
        <v>0.00542591995348563</v>
      </c>
      <c r="I48" s="15" t="n">
        <v>0.0137022080700623</v>
      </c>
      <c r="J48" s="15" t="n">
        <v>0.00163981339741173</v>
      </c>
      <c r="K48" s="15" t="n">
        <v>0.00405865171907862</v>
      </c>
      <c r="L48" s="15" t="n">
        <v>0.00229392178862306</v>
      </c>
      <c r="M48" s="15" t="n">
        <v>0.00115377452338665</v>
      </c>
      <c r="N48" s="15" t="n">
        <v>0.00288897872785003</v>
      </c>
      <c r="O48" s="15" t="n">
        <v>0.0012105547656793</v>
      </c>
      <c r="P48" s="15" t="n">
        <v>0.00185330710843209</v>
      </c>
      <c r="Q48" s="15" t="n">
        <v>0.00427214543009898</v>
      </c>
      <c r="R48" s="15" t="n">
        <v>0.00191917218949157</v>
      </c>
      <c r="S48" s="16" t="n">
        <f aca="false">IF(A48="","",SUM(H48:R48))</f>
        <v>0.0404184476736</v>
      </c>
      <c r="T48" s="17" t="str">
        <f aca="false">IF(A48="","",IF(AND(MIN(H48:R48)&gt;=0,MAX(H48:R48)&lt;=1,S48&lt;=1),"OK","CHECK"))</f>
        <v>OK</v>
      </c>
      <c r="U48" s="17" t="str">
        <f aca="false">IF(A48="","", "LOSS-"&amp;A48&amp;"-L"&amp;TEXT(B48,"00")&amp;"-"&amp;TEXT(C48,"yyyymmdd")&amp;"-"&amp;D48&amp;"-"&amp;E48)</f>
        <v>LOSS-KG01-L24-20251020-PM-ORD-2025-00124</v>
      </c>
      <c r="V48" s="17" t="str">
        <f aca="false">IF(U48="","",IF(COUNTIF($U$5:$U$935,U48)=1,"OK","CHECK"))</f>
        <v>OK</v>
      </c>
      <c r="W48" s="17" t="str">
        <f aca="false">IF(A48="","",IF(AND(T48="OK",V48="OK",G48&gt;=0),"OK","CHECK"))</f>
        <v>OK</v>
      </c>
    </row>
    <row r="49" customFormat="false" ht="18" hidden="false" customHeight="true" outlineLevel="0" collapsed="false">
      <c r="A49" s="11" t="s">
        <v>39</v>
      </c>
      <c r="B49" s="12" t="n">
        <v>24</v>
      </c>
      <c r="C49" s="13" t="n">
        <v>45951</v>
      </c>
      <c r="D49" s="11" t="s">
        <v>40</v>
      </c>
      <c r="E49" s="11" t="s">
        <v>54</v>
      </c>
      <c r="F49" s="11" t="s">
        <v>42</v>
      </c>
      <c r="G49" s="14" t="n">
        <v>6939</v>
      </c>
      <c r="H49" s="15" t="n">
        <v>0.00407299716021587</v>
      </c>
      <c r="I49" s="15" t="n">
        <v>0.0112516546550963</v>
      </c>
      <c r="J49" s="15" t="n">
        <v>0.00261350651113852</v>
      </c>
      <c r="K49" s="15" t="n">
        <v>0.00280584248814871</v>
      </c>
      <c r="L49" s="15" t="n">
        <v>0.00266441897564121</v>
      </c>
      <c r="M49" s="15" t="n">
        <v>0.0029925215246586</v>
      </c>
      <c r="N49" s="15" t="n">
        <v>0.0031226311561655</v>
      </c>
      <c r="O49" s="15" t="n">
        <v>0.00106350481405637</v>
      </c>
      <c r="P49" s="15" t="n">
        <v>0.00093905212304977</v>
      </c>
      <c r="Q49" s="15" t="n">
        <v>0.006132123502325</v>
      </c>
      <c r="R49" s="15" t="n">
        <v>0.00159525722108455</v>
      </c>
      <c r="S49" s="16" t="n">
        <f aca="false">IF(A49="","",SUM(H49:R49))</f>
        <v>0.0392535101315804</v>
      </c>
      <c r="T49" s="17" t="str">
        <f aca="false">IF(A49="","",IF(AND(MIN(H49:R49)&gt;=0,MAX(H49:R49)&lt;=1,S49&lt;=1),"OK","CHECK"))</f>
        <v>OK</v>
      </c>
      <c r="U49" s="17" t="str">
        <f aca="false">IF(A49="","", "LOSS-"&amp;A49&amp;"-L"&amp;TEXT(B49,"00")&amp;"-"&amp;TEXT(C49,"yyyymmdd")&amp;"-"&amp;D49&amp;"-"&amp;E49)</f>
        <v>LOSS-KG01-L24-20251021-AM-ORD-2025-00125</v>
      </c>
      <c r="V49" s="17" t="str">
        <f aca="false">IF(U49="","",IF(COUNTIF($U$5:$U$935,U49)=1,"OK","CHECK"))</f>
        <v>OK</v>
      </c>
      <c r="W49" s="17" t="str">
        <f aca="false">IF(A49="","",IF(AND(T49="OK",V49="OK",G49&gt;=0),"OK","CHECK"))</f>
        <v>OK</v>
      </c>
    </row>
    <row r="50" customFormat="false" ht="18" hidden="false" customHeight="true" outlineLevel="0" collapsed="false">
      <c r="A50" s="11" t="s">
        <v>39</v>
      </c>
      <c r="B50" s="12" t="n">
        <v>24</v>
      </c>
      <c r="C50" s="13" t="n">
        <v>45951</v>
      </c>
      <c r="D50" s="11" t="s">
        <v>43</v>
      </c>
      <c r="E50" s="11" t="s">
        <v>54</v>
      </c>
      <c r="F50" s="11" t="s">
        <v>42</v>
      </c>
      <c r="G50" s="14" t="n">
        <v>11230</v>
      </c>
      <c r="H50" s="15" t="n">
        <v>0.0045993219624213</v>
      </c>
      <c r="I50" s="15" t="n">
        <v>0.00618734000388768</v>
      </c>
      <c r="J50" s="15" t="n">
        <v>0.00288940212109132</v>
      </c>
      <c r="K50" s="15" t="n">
        <v>0.00295529498588245</v>
      </c>
      <c r="L50" s="15" t="n">
        <v>0.00279385746714417</v>
      </c>
      <c r="M50" s="15" t="n">
        <v>0.00294541105616378</v>
      </c>
      <c r="N50" s="15" t="n">
        <v>0.000843428669326542</v>
      </c>
      <c r="O50" s="15" t="n">
        <v>0.00129150014990627</v>
      </c>
      <c r="P50" s="15" t="n">
        <v>0.00200314308965054</v>
      </c>
      <c r="Q50" s="15" t="n">
        <v>0.00794997413705057</v>
      </c>
      <c r="R50" s="15" t="n">
        <v>0.0025401699376983</v>
      </c>
      <c r="S50" s="16" t="n">
        <f aca="false">IF(A50="","",SUM(H50:R50))</f>
        <v>0.0369988435802229</v>
      </c>
      <c r="T50" s="17" t="str">
        <f aca="false">IF(A50="","",IF(AND(MIN(H50:R50)&gt;=0,MAX(H50:R50)&lt;=1,S50&lt;=1),"OK","CHECK"))</f>
        <v>OK</v>
      </c>
      <c r="U50" s="17" t="str">
        <f aca="false">IF(A50="","", "LOSS-"&amp;A50&amp;"-L"&amp;TEXT(B50,"00")&amp;"-"&amp;TEXT(C50,"yyyymmdd")&amp;"-"&amp;D50&amp;"-"&amp;E50)</f>
        <v>LOSS-KG01-L24-20251021-PM-ORD-2025-00125</v>
      </c>
      <c r="V50" s="17" t="str">
        <f aca="false">IF(U50="","",IF(COUNTIF($U$5:$U$935,U50)=1,"OK","CHECK"))</f>
        <v>OK</v>
      </c>
      <c r="W50" s="17" t="str">
        <f aca="false">IF(A50="","",IF(AND(T50="OK",V50="OK",G50&gt;=0),"OK","CHECK"))</f>
        <v>OK</v>
      </c>
    </row>
    <row r="51" customFormat="false" ht="18" hidden="false" customHeight="true" outlineLevel="0" collapsed="false">
      <c r="A51" s="11" t="s">
        <v>39</v>
      </c>
      <c r="B51" s="12" t="n">
        <v>24</v>
      </c>
      <c r="C51" s="13" t="n">
        <v>45952</v>
      </c>
      <c r="D51" s="11" t="s">
        <v>40</v>
      </c>
      <c r="E51" s="11" t="s">
        <v>54</v>
      </c>
      <c r="F51" s="11" t="s">
        <v>42</v>
      </c>
      <c r="G51" s="14" t="n">
        <v>6331</v>
      </c>
      <c r="H51" s="15" t="n">
        <v>0.00163224121557455</v>
      </c>
      <c r="I51" s="15" t="n">
        <v>0.00519019731982695</v>
      </c>
      <c r="J51" s="15" t="n">
        <v>0.00302376807006437</v>
      </c>
      <c r="K51" s="15" t="n">
        <v>0.00156629207555134</v>
      </c>
      <c r="L51" s="15" t="n">
        <v>0.00108486335338187</v>
      </c>
      <c r="M51" s="15" t="n">
        <v>0.000204442334071964</v>
      </c>
      <c r="N51" s="15" t="n">
        <v>0.00140801413949562</v>
      </c>
      <c r="O51" s="15" t="n">
        <v>0.00134206499947241</v>
      </c>
      <c r="P51" s="15" t="n">
        <v>0.00183338609264535</v>
      </c>
      <c r="Q51" s="15" t="n">
        <v>0.00193890471668249</v>
      </c>
      <c r="R51" s="15" t="n">
        <v>0.00165202595758151</v>
      </c>
      <c r="S51" s="16" t="n">
        <f aca="false">IF(A51="","",SUM(H51:R51))</f>
        <v>0.0208762002743484</v>
      </c>
      <c r="T51" s="17" t="str">
        <f aca="false">IF(A51="","",IF(AND(MIN(H51:R51)&gt;=0,MAX(H51:R51)&lt;=1,S51&lt;=1),"OK","CHECK"))</f>
        <v>OK</v>
      </c>
      <c r="U51" s="17" t="str">
        <f aca="false">IF(A51="","", "LOSS-"&amp;A51&amp;"-L"&amp;TEXT(B51,"00")&amp;"-"&amp;TEXT(C51,"yyyymmdd")&amp;"-"&amp;D51&amp;"-"&amp;E51)</f>
        <v>LOSS-KG01-L24-20251022-AM-ORD-2025-00125</v>
      </c>
      <c r="V51" s="17" t="str">
        <f aca="false">IF(U51="","",IF(COUNTIF($U$5:$U$935,U51)=1,"OK","CHECK"))</f>
        <v>OK</v>
      </c>
      <c r="W51" s="17" t="str">
        <f aca="false">IF(A51="","",IF(AND(T51="OK",V51="OK",G51&gt;=0),"OK","CHECK"))</f>
        <v>OK</v>
      </c>
    </row>
    <row r="52" customFormat="false" ht="18" hidden="false" customHeight="true" outlineLevel="0" collapsed="false">
      <c r="A52" s="11" t="s">
        <v>39</v>
      </c>
      <c r="B52" s="12" t="n">
        <v>24</v>
      </c>
      <c r="C52" s="13" t="n">
        <v>45952</v>
      </c>
      <c r="D52" s="11" t="s">
        <v>43</v>
      </c>
      <c r="E52" s="11" t="s">
        <v>54</v>
      </c>
      <c r="F52" s="11" t="s">
        <v>42</v>
      </c>
      <c r="G52" s="14" t="n">
        <v>12526</v>
      </c>
      <c r="H52" s="15" t="n">
        <v>0.00450214150536206</v>
      </c>
      <c r="I52" s="15" t="n">
        <v>0.0103522693316511</v>
      </c>
      <c r="J52" s="15" t="n">
        <v>0.00387131046847505</v>
      </c>
      <c r="K52" s="15" t="n">
        <v>0.00442909791161725</v>
      </c>
      <c r="L52" s="15" t="n">
        <v>0.00177628739333975</v>
      </c>
      <c r="M52" s="15" t="n">
        <v>0.00170656396294698</v>
      </c>
      <c r="N52" s="15" t="n">
        <v>0.00100268933231515</v>
      </c>
      <c r="O52" s="15" t="n">
        <v>0.00190909392742123</v>
      </c>
      <c r="P52" s="15" t="n">
        <v>0.00369866197416913</v>
      </c>
      <c r="Q52" s="15" t="n">
        <v>0.00498356519140742</v>
      </c>
      <c r="R52" s="15" t="n">
        <v>0.00335668514890933</v>
      </c>
      <c r="S52" s="16" t="n">
        <f aca="false">IF(A52="","",SUM(H52:R52))</f>
        <v>0.0415883661476145</v>
      </c>
      <c r="T52" s="17" t="str">
        <f aca="false">IF(A52="","",IF(AND(MIN(H52:R52)&gt;=0,MAX(H52:R52)&lt;=1,S52&lt;=1),"OK","CHECK"))</f>
        <v>OK</v>
      </c>
      <c r="U52" s="17" t="str">
        <f aca="false">IF(A52="","", "LOSS-"&amp;A52&amp;"-L"&amp;TEXT(B52,"00")&amp;"-"&amp;TEXT(C52,"yyyymmdd")&amp;"-"&amp;D52&amp;"-"&amp;E52)</f>
        <v>LOSS-KG01-L24-20251022-PM-ORD-2025-00125</v>
      </c>
      <c r="V52" s="17" t="str">
        <f aca="false">IF(U52="","",IF(COUNTIF($U$5:$U$935,U52)=1,"OK","CHECK"))</f>
        <v>OK</v>
      </c>
      <c r="W52" s="17" t="str">
        <f aca="false">IF(A52="","",IF(AND(T52="OK",V52="OK",G52&gt;=0),"OK","CHECK"))</f>
        <v>OK</v>
      </c>
    </row>
    <row r="53" customFormat="false" ht="18" hidden="false" customHeight="true" outlineLevel="0" collapsed="false">
      <c r="A53" s="11" t="s">
        <v>39</v>
      </c>
      <c r="B53" s="12" t="n">
        <v>24</v>
      </c>
      <c r="C53" s="13" t="n">
        <v>45953</v>
      </c>
      <c r="D53" s="11" t="s">
        <v>40</v>
      </c>
      <c r="E53" s="11" t="s">
        <v>54</v>
      </c>
      <c r="F53" s="11" t="s">
        <v>42</v>
      </c>
      <c r="G53" s="14" t="n">
        <v>16477</v>
      </c>
      <c r="H53" s="15" t="n">
        <v>0.00608189347378957</v>
      </c>
      <c r="I53" s="15" t="n">
        <v>0.00996356356845106</v>
      </c>
      <c r="J53" s="15" t="n">
        <v>0.00333848041160351</v>
      </c>
      <c r="K53" s="15" t="n">
        <v>0.00313402137359854</v>
      </c>
      <c r="L53" s="15" t="n">
        <v>0.00296618186478849</v>
      </c>
      <c r="M53" s="15" t="n">
        <v>0.00332627390187187</v>
      </c>
      <c r="N53" s="15" t="n">
        <v>0.00163872393147265</v>
      </c>
      <c r="O53" s="15" t="n">
        <v>0.000677461290106014</v>
      </c>
      <c r="P53" s="15" t="n">
        <v>0.00148003930496134</v>
      </c>
      <c r="Q53" s="15" t="n">
        <v>0.010473185349747</v>
      </c>
      <c r="R53" s="15" t="n">
        <v>0.00720184074166753</v>
      </c>
      <c r="S53" s="16" t="n">
        <f aca="false">IF(A53="","",SUM(H53:R53))</f>
        <v>0.0502816652120576</v>
      </c>
      <c r="T53" s="17" t="str">
        <f aca="false">IF(A53="","",IF(AND(MIN(H53:R53)&gt;=0,MAX(H53:R53)&lt;=1,S53&lt;=1),"OK","CHECK"))</f>
        <v>OK</v>
      </c>
      <c r="U53" s="17" t="str">
        <f aca="false">IF(A53="","", "LOSS-"&amp;A53&amp;"-L"&amp;TEXT(B53,"00")&amp;"-"&amp;TEXT(C53,"yyyymmdd")&amp;"-"&amp;D53&amp;"-"&amp;E53)</f>
        <v>LOSS-KG01-L24-20251023-AM-ORD-2025-00125</v>
      </c>
      <c r="V53" s="17" t="str">
        <f aca="false">IF(U53="","",IF(COUNTIF($U$5:$U$935,U53)=1,"OK","CHECK"))</f>
        <v>OK</v>
      </c>
      <c r="W53" s="17" t="str">
        <f aca="false">IF(A53="","",IF(AND(T53="OK",V53="OK",G53&gt;=0),"OK","CHECK"))</f>
        <v>OK</v>
      </c>
    </row>
    <row r="54" customFormat="false" ht="18" hidden="false" customHeight="true" outlineLevel="0" collapsed="false">
      <c r="A54" s="11" t="s">
        <v>39</v>
      </c>
      <c r="B54" s="12" t="n">
        <v>24</v>
      </c>
      <c r="C54" s="13" t="n">
        <v>45953</v>
      </c>
      <c r="D54" s="11" t="s">
        <v>43</v>
      </c>
      <c r="E54" s="11" t="s">
        <v>54</v>
      </c>
      <c r="F54" s="11" t="s">
        <v>42</v>
      </c>
      <c r="G54" s="14" t="n">
        <v>9377</v>
      </c>
      <c r="H54" s="15" t="n">
        <v>0.00241832762239644</v>
      </c>
      <c r="I54" s="15" t="n">
        <v>0.0072765110062611</v>
      </c>
      <c r="J54" s="15" t="n">
        <v>0.00424821944349761</v>
      </c>
      <c r="K54" s="15" t="n">
        <v>0.00401140991370804</v>
      </c>
      <c r="L54" s="15" t="n">
        <v>0.00363107945677329</v>
      </c>
      <c r="M54" s="15" t="n">
        <v>0.00146750148005956</v>
      </c>
      <c r="N54" s="15" t="n">
        <v>0.00113022730126837</v>
      </c>
      <c r="O54" s="15" t="n">
        <v>0.000154284996681079</v>
      </c>
      <c r="P54" s="15" t="n">
        <v>0.0043558601388565</v>
      </c>
      <c r="Q54" s="15" t="n">
        <v>0.00393964945013545</v>
      </c>
      <c r="R54" s="15" t="n">
        <v>0.00101182253637359</v>
      </c>
      <c r="S54" s="16" t="n">
        <f aca="false">IF(A54="","",SUM(H54:R54))</f>
        <v>0.033644893346011</v>
      </c>
      <c r="T54" s="17" t="str">
        <f aca="false">IF(A54="","",IF(AND(MIN(H54:R54)&gt;=0,MAX(H54:R54)&lt;=1,S54&lt;=1),"OK","CHECK"))</f>
        <v>OK</v>
      </c>
      <c r="U54" s="17" t="str">
        <f aca="false">IF(A54="","", "LOSS-"&amp;A54&amp;"-L"&amp;TEXT(B54,"00")&amp;"-"&amp;TEXT(C54,"yyyymmdd")&amp;"-"&amp;D54&amp;"-"&amp;E54)</f>
        <v>LOSS-KG01-L24-20251023-PM-ORD-2025-00125</v>
      </c>
      <c r="V54" s="17" t="str">
        <f aca="false">IF(U54="","",IF(COUNTIF($U$5:$U$935,U54)=1,"OK","CHECK"))</f>
        <v>OK</v>
      </c>
      <c r="W54" s="17" t="str">
        <f aca="false">IF(A54="","",IF(AND(T54="OK",V54="OK",G54&gt;=0),"OK","CHECK"))</f>
        <v>OK</v>
      </c>
    </row>
    <row r="55" customFormat="false" ht="18" hidden="false" customHeight="true" outlineLevel="0" collapsed="false">
      <c r="A55" s="11" t="s">
        <v>39</v>
      </c>
      <c r="B55" s="12" t="n">
        <v>24</v>
      </c>
      <c r="C55" s="13" t="n">
        <v>45954</v>
      </c>
      <c r="D55" s="11" t="s">
        <v>40</v>
      </c>
      <c r="E55" s="11" t="s">
        <v>54</v>
      </c>
      <c r="F55" s="11" t="s">
        <v>42</v>
      </c>
      <c r="G55" s="14" t="n">
        <v>13071</v>
      </c>
      <c r="H55" s="15" t="n">
        <v>0.00707754432089709</v>
      </c>
      <c r="I55" s="15" t="n">
        <v>0.0126880142930808</v>
      </c>
      <c r="J55" s="15" t="n">
        <v>0.00578477583539716</v>
      </c>
      <c r="K55" s="15" t="n">
        <v>0.00200451742695495</v>
      </c>
      <c r="L55" s="15" t="n">
        <v>0.00433948971958544</v>
      </c>
      <c r="M55" s="15" t="n">
        <v>0.00148159983731453</v>
      </c>
      <c r="N55" s="15" t="n">
        <v>0.00109667438938477</v>
      </c>
      <c r="O55" s="15" t="n">
        <v>0.00171037628278221</v>
      </c>
      <c r="P55" s="15" t="n">
        <v>0.00321013298084814</v>
      </c>
      <c r="Q55" s="15" t="n">
        <v>0.00419060346142393</v>
      </c>
      <c r="R55" s="15" t="n">
        <v>0.00388193682865007</v>
      </c>
      <c r="S55" s="16" t="n">
        <f aca="false">IF(A55="","",SUM(H55:R55))</f>
        <v>0.0474656653763191</v>
      </c>
      <c r="T55" s="17" t="str">
        <f aca="false">IF(A55="","",IF(AND(MIN(H55:R55)&gt;=0,MAX(H55:R55)&lt;=1,S55&lt;=1),"OK","CHECK"))</f>
        <v>OK</v>
      </c>
      <c r="U55" s="17" t="str">
        <f aca="false">IF(A55="","", "LOSS-"&amp;A55&amp;"-L"&amp;TEXT(B55,"00")&amp;"-"&amp;TEXT(C55,"yyyymmdd")&amp;"-"&amp;D55&amp;"-"&amp;E55)</f>
        <v>LOSS-KG01-L24-20251024-AM-ORD-2025-00125</v>
      </c>
      <c r="V55" s="17" t="str">
        <f aca="false">IF(U55="","",IF(COUNTIF($U$5:$U$935,U55)=1,"OK","CHECK"))</f>
        <v>OK</v>
      </c>
      <c r="W55" s="17" t="str">
        <f aca="false">IF(A55="","",IF(AND(T55="OK",V55="OK",G55&gt;=0),"OK","CHECK"))</f>
        <v>OK</v>
      </c>
    </row>
    <row r="56" customFormat="false" ht="18" hidden="false" customHeight="true" outlineLevel="0" collapsed="false">
      <c r="A56" s="11" t="s">
        <v>39</v>
      </c>
      <c r="B56" s="12" t="n">
        <v>24</v>
      </c>
      <c r="C56" s="13" t="n">
        <v>45954</v>
      </c>
      <c r="D56" s="11" t="s">
        <v>43</v>
      </c>
      <c r="E56" s="11" t="s">
        <v>54</v>
      </c>
      <c r="F56" s="11" t="s">
        <v>42</v>
      </c>
      <c r="G56" s="14" t="n">
        <v>14154</v>
      </c>
      <c r="H56" s="15" t="n">
        <v>0.00534490538154751</v>
      </c>
      <c r="I56" s="15" t="n">
        <v>0.00992668546216019</v>
      </c>
      <c r="J56" s="15" t="n">
        <v>0.0060959175824675</v>
      </c>
      <c r="K56" s="15" t="n">
        <v>0.00302524672870593</v>
      </c>
      <c r="L56" s="15" t="n">
        <v>0.00245290275300481</v>
      </c>
      <c r="M56" s="15" t="n">
        <v>0.00301010535368738</v>
      </c>
      <c r="N56" s="15" t="n">
        <v>0.00222275385272287</v>
      </c>
      <c r="O56" s="15" t="n">
        <v>0.00166252297703659</v>
      </c>
      <c r="P56" s="15" t="n">
        <v>0.00227120625278223</v>
      </c>
      <c r="Q56" s="15" t="n">
        <v>0.00567801563195557</v>
      </c>
      <c r="R56" s="15" t="n">
        <v>0.00117194242643563</v>
      </c>
      <c r="S56" s="16" t="n">
        <f aca="false">IF(A56="","",SUM(H56:R56))</f>
        <v>0.0428622044025062</v>
      </c>
      <c r="T56" s="17" t="str">
        <f aca="false">IF(A56="","",IF(AND(MIN(H56:R56)&gt;=0,MAX(H56:R56)&lt;=1,S56&lt;=1),"OK","CHECK"))</f>
        <v>OK</v>
      </c>
      <c r="U56" s="17" t="str">
        <f aca="false">IF(A56="","", "LOSS-"&amp;A56&amp;"-L"&amp;TEXT(B56,"00")&amp;"-"&amp;TEXT(C56,"yyyymmdd")&amp;"-"&amp;D56&amp;"-"&amp;E56)</f>
        <v>LOSS-KG01-L24-20251024-PM-ORD-2025-00125</v>
      </c>
      <c r="V56" s="17" t="str">
        <f aca="false">IF(U56="","",IF(COUNTIF($U$5:$U$935,U56)=1,"OK","CHECK"))</f>
        <v>OK</v>
      </c>
      <c r="W56" s="17" t="str">
        <f aca="false">IF(A56="","",IF(AND(T56="OK",V56="OK",G56&gt;=0),"OK","CHECK"))</f>
        <v>OK</v>
      </c>
    </row>
    <row r="57" customFormat="false" ht="18" hidden="false" customHeight="true" outlineLevel="0" collapsed="false">
      <c r="A57" s="11" t="s">
        <v>39</v>
      </c>
      <c r="B57" s="12" t="n">
        <v>24</v>
      </c>
      <c r="C57" s="13" t="n">
        <v>45955</v>
      </c>
      <c r="D57" s="11" t="s">
        <v>40</v>
      </c>
      <c r="E57" s="11" t="s">
        <v>55</v>
      </c>
      <c r="F57" s="11" t="s">
        <v>42</v>
      </c>
      <c r="G57" s="14" t="n">
        <v>4816</v>
      </c>
      <c r="H57" s="15" t="n">
        <v>0.00540072725321025</v>
      </c>
      <c r="I57" s="15" t="n">
        <v>0.00657479839521247</v>
      </c>
      <c r="J57" s="15" t="n">
        <v>0.000845331222241604</v>
      </c>
      <c r="K57" s="15" t="n">
        <v>0.00413273041984784</v>
      </c>
      <c r="L57" s="15" t="n">
        <v>0.00288486052034833</v>
      </c>
      <c r="M57" s="15" t="n">
        <v>0.00297207723375421</v>
      </c>
      <c r="N57" s="15" t="n">
        <v>0.00233472432809586</v>
      </c>
      <c r="O57" s="15" t="n">
        <v>0.0021468729453755</v>
      </c>
      <c r="P57" s="15" t="n">
        <v>0.00146926617199136</v>
      </c>
      <c r="Q57" s="15" t="n">
        <v>0.00252257571081621</v>
      </c>
      <c r="R57" s="15" t="n">
        <v>0.00102647362700766</v>
      </c>
      <c r="S57" s="16" t="n">
        <f aca="false">IF(A57="","",SUM(H57:R57))</f>
        <v>0.0323104378279013</v>
      </c>
      <c r="T57" s="17" t="str">
        <f aca="false">IF(A57="","",IF(AND(MIN(H57:R57)&gt;=0,MAX(H57:R57)&lt;=1,S57&lt;=1),"OK","CHECK"))</f>
        <v>OK</v>
      </c>
      <c r="U57" s="17" t="str">
        <f aca="false">IF(A57="","", "LOSS-"&amp;A57&amp;"-L"&amp;TEXT(B57,"00")&amp;"-"&amp;TEXT(C57,"yyyymmdd")&amp;"-"&amp;D57&amp;"-"&amp;E57)</f>
        <v>LOSS-KG01-L24-20251025-AM-ORD-2025-00126</v>
      </c>
      <c r="V57" s="17" t="str">
        <f aca="false">IF(U57="","",IF(COUNTIF($U$5:$U$935,U57)=1,"OK","CHECK"))</f>
        <v>OK</v>
      </c>
      <c r="W57" s="17" t="str">
        <f aca="false">IF(A57="","",IF(AND(T57="OK",V57="OK",G57&gt;=0),"OK","CHECK"))</f>
        <v>OK</v>
      </c>
    </row>
    <row r="58" customFormat="false" ht="18" hidden="false" customHeight="true" outlineLevel="0" collapsed="false">
      <c r="A58" s="11" t="s">
        <v>39</v>
      </c>
      <c r="B58" s="12" t="n">
        <v>24</v>
      </c>
      <c r="C58" s="13" t="n">
        <v>45955</v>
      </c>
      <c r="D58" s="11" t="s">
        <v>43</v>
      </c>
      <c r="E58" s="11" t="s">
        <v>55</v>
      </c>
      <c r="F58" s="11" t="s">
        <v>42</v>
      </c>
      <c r="G58" s="14" t="n">
        <v>6779</v>
      </c>
      <c r="H58" s="15" t="n">
        <v>0.00854678133265987</v>
      </c>
      <c r="I58" s="15" t="n">
        <v>0.0131059508460383</v>
      </c>
      <c r="J58" s="15" t="n">
        <v>0.00146212433373653</v>
      </c>
      <c r="K58" s="15" t="n">
        <v>0.00331636382970239</v>
      </c>
      <c r="L58" s="15" t="n">
        <v>0.00371512501163053</v>
      </c>
      <c r="M58" s="15" t="n">
        <v>0.00196722183084551</v>
      </c>
      <c r="N58" s="15" t="n">
        <v>0.00270493001741257</v>
      </c>
      <c r="O58" s="15" t="n">
        <v>0.000671247989579041</v>
      </c>
      <c r="P58" s="15" t="n">
        <v>0.00182765541717066</v>
      </c>
      <c r="Q58" s="15" t="n">
        <v>0.00552284236970478</v>
      </c>
      <c r="R58" s="15" t="n">
        <v>0.0022131245597012</v>
      </c>
      <c r="S58" s="16" t="n">
        <f aca="false">IF(A58="","",SUM(H58:R58))</f>
        <v>0.0450533675381814</v>
      </c>
      <c r="T58" s="17" t="str">
        <f aca="false">IF(A58="","",IF(AND(MIN(H58:R58)&gt;=0,MAX(H58:R58)&lt;=1,S58&lt;=1),"OK","CHECK"))</f>
        <v>OK</v>
      </c>
      <c r="U58" s="17" t="str">
        <f aca="false">IF(A58="","", "LOSS-"&amp;A58&amp;"-L"&amp;TEXT(B58,"00")&amp;"-"&amp;TEXT(C58,"yyyymmdd")&amp;"-"&amp;D58&amp;"-"&amp;E58)</f>
        <v>LOSS-KG01-L24-20251025-PM-ORD-2025-00126</v>
      </c>
      <c r="V58" s="17" t="str">
        <f aca="false">IF(U58="","",IF(COUNTIF($U$5:$U$935,U58)=1,"OK","CHECK"))</f>
        <v>OK</v>
      </c>
      <c r="W58" s="17" t="str">
        <f aca="false">IF(A58="","",IF(AND(T58="OK",V58="OK",G58&gt;=0),"OK","CHECK"))</f>
        <v>OK</v>
      </c>
    </row>
    <row r="59" customFormat="false" ht="18" hidden="false" customHeight="true" outlineLevel="0" collapsed="false">
      <c r="A59" s="11" t="s">
        <v>39</v>
      </c>
      <c r="B59" s="12" t="n">
        <v>24</v>
      </c>
      <c r="C59" s="13" t="n">
        <v>45956</v>
      </c>
      <c r="D59" s="11" t="s">
        <v>40</v>
      </c>
      <c r="E59" s="11" t="s">
        <v>55</v>
      </c>
      <c r="F59" s="11" t="s">
        <v>42</v>
      </c>
      <c r="G59" s="14" t="n">
        <v>7322</v>
      </c>
      <c r="H59" s="15" t="n">
        <v>0.00270947238008026</v>
      </c>
      <c r="I59" s="15" t="n">
        <v>0.00528966575991812</v>
      </c>
      <c r="J59" s="15" t="n">
        <v>0.00242936787955507</v>
      </c>
      <c r="K59" s="15" t="n">
        <v>0.00148132187777748</v>
      </c>
      <c r="L59" s="15" t="n">
        <v>0.00471329688383743</v>
      </c>
      <c r="M59" s="15" t="n">
        <v>0.00300573675563576</v>
      </c>
      <c r="N59" s="15" t="n">
        <v>0.00151902825284818</v>
      </c>
      <c r="O59" s="15" t="n">
        <v>0.00338280050634275</v>
      </c>
      <c r="P59" s="15" t="n">
        <v>0.00278488513022166</v>
      </c>
      <c r="Q59" s="15" t="n">
        <v>0.00808532414015998</v>
      </c>
      <c r="R59" s="15" t="n">
        <v>0.00403996875757494</v>
      </c>
      <c r="S59" s="16" t="n">
        <f aca="false">IF(A59="","",SUM(H59:R59))</f>
        <v>0.0394408683239516</v>
      </c>
      <c r="T59" s="17" t="str">
        <f aca="false">IF(A59="","",IF(AND(MIN(H59:R59)&gt;=0,MAX(H59:R59)&lt;=1,S59&lt;=1),"OK","CHECK"))</f>
        <v>OK</v>
      </c>
      <c r="U59" s="17" t="str">
        <f aca="false">IF(A59="","", "LOSS-"&amp;A59&amp;"-L"&amp;TEXT(B59,"00")&amp;"-"&amp;TEXT(C59,"yyyymmdd")&amp;"-"&amp;D59&amp;"-"&amp;E59)</f>
        <v>LOSS-KG01-L24-20251026-AM-ORD-2025-00126</v>
      </c>
      <c r="V59" s="17" t="str">
        <f aca="false">IF(U59="","",IF(COUNTIF($U$5:$U$935,U59)=1,"OK","CHECK"))</f>
        <v>OK</v>
      </c>
      <c r="W59" s="17" t="str">
        <f aca="false">IF(A59="","",IF(AND(T59="OK",V59="OK",G59&gt;=0),"OK","CHECK"))</f>
        <v>OK</v>
      </c>
    </row>
    <row r="60" customFormat="false" ht="18" hidden="false" customHeight="true" outlineLevel="0" collapsed="false">
      <c r="A60" s="11" t="s">
        <v>39</v>
      </c>
      <c r="B60" s="12" t="n">
        <v>24</v>
      </c>
      <c r="C60" s="13" t="n">
        <v>45956</v>
      </c>
      <c r="D60" s="11" t="s">
        <v>43</v>
      </c>
      <c r="E60" s="11" t="s">
        <v>55</v>
      </c>
      <c r="F60" s="11" t="s">
        <v>42</v>
      </c>
      <c r="G60" s="14" t="n">
        <v>7085</v>
      </c>
      <c r="H60" s="15" t="n">
        <v>0.0125501213464176</v>
      </c>
      <c r="I60" s="15" t="n">
        <v>0.00817769336287855</v>
      </c>
      <c r="J60" s="15" t="n">
        <v>0.00346892476522106</v>
      </c>
      <c r="K60" s="15" t="n">
        <v>0.00216313179276142</v>
      </c>
      <c r="L60" s="15" t="n">
        <v>0.00592882768808695</v>
      </c>
      <c r="M60" s="15" t="n">
        <v>0.000481428722169463</v>
      </c>
      <c r="N60" s="15" t="n">
        <v>0.00366017727128838</v>
      </c>
      <c r="O60" s="15" t="n">
        <v>0.00155639970454785</v>
      </c>
      <c r="P60" s="15" t="n">
        <v>0.00364698744328374</v>
      </c>
      <c r="Q60" s="15" t="n">
        <v>0.00290176216102142</v>
      </c>
      <c r="R60" s="15" t="n">
        <v>0.00218951144877071</v>
      </c>
      <c r="S60" s="16" t="n">
        <f aca="false">IF(A60="","",SUM(H60:R60))</f>
        <v>0.0467249657064471</v>
      </c>
      <c r="T60" s="17" t="str">
        <f aca="false">IF(A60="","",IF(AND(MIN(H60:R60)&gt;=0,MAX(H60:R60)&lt;=1,S60&lt;=1),"OK","CHECK"))</f>
        <v>OK</v>
      </c>
      <c r="U60" s="17" t="str">
        <f aca="false">IF(A60="","", "LOSS-"&amp;A60&amp;"-L"&amp;TEXT(B60,"00")&amp;"-"&amp;TEXT(C60,"yyyymmdd")&amp;"-"&amp;D60&amp;"-"&amp;E60)</f>
        <v>LOSS-KG01-L24-20251026-PM-ORD-2025-00126</v>
      </c>
      <c r="V60" s="17" t="str">
        <f aca="false">IF(U60="","",IF(COUNTIF($U$5:$U$935,U60)=1,"OK","CHECK"))</f>
        <v>OK</v>
      </c>
      <c r="W60" s="17" t="str">
        <f aca="false">IF(A60="","",IF(AND(T60="OK",V60="OK",G60&gt;=0),"OK","CHECK"))</f>
        <v>OK</v>
      </c>
    </row>
    <row r="61" customFormat="false" ht="18" hidden="false" customHeight="true" outlineLevel="0" collapsed="false">
      <c r="A61" s="11" t="s">
        <v>39</v>
      </c>
      <c r="B61" s="12" t="n">
        <v>25</v>
      </c>
      <c r="C61" s="13" t="n">
        <v>45950</v>
      </c>
      <c r="D61" s="11" t="s">
        <v>40</v>
      </c>
      <c r="E61" s="11" t="s">
        <v>56</v>
      </c>
      <c r="F61" s="11" t="s">
        <v>42</v>
      </c>
      <c r="G61" s="14" t="n">
        <v>2749</v>
      </c>
      <c r="H61" s="15" t="n">
        <v>0.00315951571792693</v>
      </c>
      <c r="I61" s="15" t="n">
        <v>0.00664648824695554</v>
      </c>
      <c r="J61" s="15" t="n">
        <v>0.00270815632965166</v>
      </c>
      <c r="K61" s="15" t="n">
        <v>0.0010089209855565</v>
      </c>
      <c r="L61" s="15" t="n">
        <v>0.00206209289153214</v>
      </c>
      <c r="M61" s="15" t="n">
        <v>0.0010089209855565</v>
      </c>
      <c r="N61" s="15" t="n">
        <v>0.000814216935712263</v>
      </c>
      <c r="O61" s="15" t="n">
        <v>0.00135407816482583</v>
      </c>
      <c r="P61" s="15" t="n">
        <v>0.00215059473237043</v>
      </c>
      <c r="Q61" s="15" t="n">
        <v>0.00233644859813084</v>
      </c>
      <c r="R61" s="15" t="n">
        <v>0.00107972245822713</v>
      </c>
      <c r="S61" s="16" t="n">
        <f aca="false">IF(A61="","",SUM(H61:R61))</f>
        <v>0.0243291560464458</v>
      </c>
      <c r="T61" s="17" t="str">
        <f aca="false">IF(A61="","",IF(AND(MIN(H61:R61)&gt;=0,MAX(H61:R61)&lt;=1,S61&lt;=1),"OK","CHECK"))</f>
        <v>OK</v>
      </c>
      <c r="U61" s="17" t="str">
        <f aca="false">IF(A61="","", "LOSS-"&amp;A61&amp;"-L"&amp;TEXT(B61,"00")&amp;"-"&amp;TEXT(C61,"yyyymmdd")&amp;"-"&amp;D61&amp;"-"&amp;E61)</f>
        <v>LOSS-KG01-L25-20251020-AM-ORD-2025-00161</v>
      </c>
      <c r="V61" s="17" t="str">
        <f aca="false">IF(U61="","",IF(COUNTIF($U$5:$U$935,U61)=1,"OK","CHECK"))</f>
        <v>OK</v>
      </c>
      <c r="W61" s="17" t="str">
        <f aca="false">IF(A61="","",IF(AND(T61="OK",V61="OK",G61&gt;=0),"OK","CHECK"))</f>
        <v>OK</v>
      </c>
    </row>
    <row r="62" customFormat="false" ht="18" hidden="false" customHeight="true" outlineLevel="0" collapsed="false">
      <c r="A62" s="11" t="s">
        <v>39</v>
      </c>
      <c r="B62" s="12" t="n">
        <v>25</v>
      </c>
      <c r="C62" s="13" t="n">
        <v>45950</v>
      </c>
      <c r="D62" s="11" t="s">
        <v>43</v>
      </c>
      <c r="E62" s="11" t="s">
        <v>56</v>
      </c>
      <c r="F62" s="11" t="s">
        <v>42</v>
      </c>
      <c r="G62" s="14" t="n">
        <v>5916</v>
      </c>
      <c r="H62" s="15" t="n">
        <v>0.00454774230658614</v>
      </c>
      <c r="I62" s="15" t="n">
        <v>0.0118816508484326</v>
      </c>
      <c r="J62" s="15" t="n">
        <v>0.00337935001438021</v>
      </c>
      <c r="K62" s="15" t="n">
        <v>0.00386468219729652</v>
      </c>
      <c r="L62" s="15" t="n">
        <v>0.00261540120793788</v>
      </c>
      <c r="M62" s="15" t="n">
        <v>0.00295693126258269</v>
      </c>
      <c r="N62" s="15" t="n">
        <v>0.00144700891573195</v>
      </c>
      <c r="O62" s="15" t="n">
        <v>0.00275920333620938</v>
      </c>
      <c r="P62" s="15" t="n">
        <v>0.00370290480299108</v>
      </c>
      <c r="Q62" s="15" t="n">
        <v>0.0124388840954846</v>
      </c>
      <c r="R62" s="15" t="n">
        <v>0.00357707794075352</v>
      </c>
      <c r="S62" s="16" t="n">
        <f aca="false">IF(A62="","",SUM(H62:R62))</f>
        <v>0.0531708369283866</v>
      </c>
      <c r="T62" s="17" t="str">
        <f aca="false">IF(A62="","",IF(AND(MIN(H62:R62)&gt;=0,MAX(H62:R62)&lt;=1,S62&lt;=1),"OK","CHECK"))</f>
        <v>OK</v>
      </c>
      <c r="U62" s="17" t="str">
        <f aca="false">IF(A62="","", "LOSS-"&amp;A62&amp;"-L"&amp;TEXT(B62,"00")&amp;"-"&amp;TEXT(C62,"yyyymmdd")&amp;"-"&amp;D62&amp;"-"&amp;E62)</f>
        <v>LOSS-KG01-L25-20251020-PM-ORD-2025-00161</v>
      </c>
      <c r="V62" s="17" t="str">
        <f aca="false">IF(U62="","",IF(COUNTIF($U$5:$U$935,U62)=1,"OK","CHECK"))</f>
        <v>OK</v>
      </c>
      <c r="W62" s="17" t="str">
        <f aca="false">IF(A62="","",IF(AND(T62="OK",V62="OK",G62&gt;=0),"OK","CHECK"))</f>
        <v>OK</v>
      </c>
    </row>
    <row r="63" customFormat="false" ht="18" hidden="false" customHeight="true" outlineLevel="0" collapsed="false">
      <c r="A63" s="11" t="s">
        <v>39</v>
      </c>
      <c r="B63" s="12" t="n">
        <v>25</v>
      </c>
      <c r="C63" s="13" t="n">
        <v>45951</v>
      </c>
      <c r="D63" s="11" t="s">
        <v>40</v>
      </c>
      <c r="E63" s="11" t="s">
        <v>56</v>
      </c>
      <c r="F63" s="11" t="s">
        <v>42</v>
      </c>
      <c r="G63" s="14" t="n">
        <v>5268</v>
      </c>
      <c r="H63" s="15" t="n">
        <v>0.00766721362712924</v>
      </c>
      <c r="I63" s="15" t="n">
        <v>0.00825324269417097</v>
      </c>
      <c r="J63" s="15" t="n">
        <v>0.00271526801062666</v>
      </c>
      <c r="K63" s="15" t="n">
        <v>0.00477613689639006</v>
      </c>
      <c r="L63" s="15" t="n">
        <v>0.00211947179246757</v>
      </c>
      <c r="M63" s="15" t="n">
        <v>0.00181669010782935</v>
      </c>
      <c r="N63" s="15" t="n">
        <v>0.0036333802156587</v>
      </c>
      <c r="O63" s="15" t="n">
        <v>0.0014943741209564</v>
      </c>
      <c r="P63" s="15" t="n">
        <v>0.00449288951398656</v>
      </c>
      <c r="Q63" s="15" t="n">
        <v>0.0111150179715581</v>
      </c>
      <c r="R63" s="15" t="n">
        <v>0.00336966713548992</v>
      </c>
      <c r="S63" s="16" t="n">
        <f aca="false">IF(A63="","",SUM(H63:R63))</f>
        <v>0.0514533520862635</v>
      </c>
      <c r="T63" s="17" t="str">
        <f aca="false">IF(A63="","",IF(AND(MIN(H63:R63)&gt;=0,MAX(H63:R63)&lt;=1,S63&lt;=1),"OK","CHECK"))</f>
        <v>OK</v>
      </c>
      <c r="U63" s="17" t="str">
        <f aca="false">IF(A63="","", "LOSS-"&amp;A63&amp;"-L"&amp;TEXT(B63,"00")&amp;"-"&amp;TEXT(C63,"yyyymmdd")&amp;"-"&amp;D63&amp;"-"&amp;E63)</f>
        <v>LOSS-KG01-L25-20251021-AM-ORD-2025-00161</v>
      </c>
      <c r="V63" s="17" t="str">
        <f aca="false">IF(U63="","",IF(COUNTIF($U$5:$U$935,U63)=1,"OK","CHECK"))</f>
        <v>OK</v>
      </c>
      <c r="W63" s="17" t="str">
        <f aca="false">IF(A63="","",IF(AND(T63="OK",V63="OK",G63&gt;=0),"OK","CHECK"))</f>
        <v>OK</v>
      </c>
    </row>
    <row r="64" customFormat="false" ht="18" hidden="false" customHeight="true" outlineLevel="0" collapsed="false">
      <c r="A64" s="11" t="s">
        <v>39</v>
      </c>
      <c r="B64" s="12" t="n">
        <v>25</v>
      </c>
      <c r="C64" s="13" t="n">
        <v>45951</v>
      </c>
      <c r="D64" s="11" t="s">
        <v>43</v>
      </c>
      <c r="E64" s="11" t="s">
        <v>56</v>
      </c>
      <c r="F64" s="11" t="s">
        <v>42</v>
      </c>
      <c r="G64" s="14" t="n">
        <v>5792</v>
      </c>
      <c r="H64" s="15" t="n">
        <v>0.00831212725611374</v>
      </c>
      <c r="I64" s="15" t="n">
        <v>0.00823352557993299</v>
      </c>
      <c r="J64" s="15" t="n">
        <v>0.00661236600870514</v>
      </c>
      <c r="K64" s="15" t="n">
        <v>0.00567897110405879</v>
      </c>
      <c r="L64" s="15" t="n">
        <v>0.00243665196160308</v>
      </c>
      <c r="M64" s="15" t="n">
        <v>0.00185696459977009</v>
      </c>
      <c r="N64" s="15" t="n">
        <v>0.00118885035223376</v>
      </c>
      <c r="O64" s="15" t="n">
        <v>0.00204364358069936</v>
      </c>
      <c r="P64" s="15" t="n">
        <v>0.00329144519006868</v>
      </c>
      <c r="Q64" s="15" t="n">
        <v>0.0109158077796009</v>
      </c>
      <c r="R64" s="15" t="n">
        <v>0.00633726014207253</v>
      </c>
      <c r="S64" s="16" t="n">
        <f aca="false">IF(A64="","",SUM(H64:R64))</f>
        <v>0.0569076135548591</v>
      </c>
      <c r="T64" s="17" t="str">
        <f aca="false">IF(A64="","",IF(AND(MIN(H64:R64)&gt;=0,MAX(H64:R64)&lt;=1,S64&lt;=1),"OK","CHECK"))</f>
        <v>OK</v>
      </c>
      <c r="U64" s="17" t="str">
        <f aca="false">IF(A64="","", "LOSS-"&amp;A64&amp;"-L"&amp;TEXT(B64,"00")&amp;"-"&amp;TEXT(C64,"yyyymmdd")&amp;"-"&amp;D64&amp;"-"&amp;E64)</f>
        <v>LOSS-KG01-L25-20251021-PM-ORD-2025-00161</v>
      </c>
      <c r="V64" s="17" t="str">
        <f aca="false">IF(U64="","",IF(COUNTIF($U$5:$U$935,U64)=1,"OK","CHECK"))</f>
        <v>OK</v>
      </c>
      <c r="W64" s="17" t="str">
        <f aca="false">IF(A64="","",IF(AND(T64="OK",V64="OK",G64&gt;=0),"OK","CHECK"))</f>
        <v>OK</v>
      </c>
    </row>
    <row r="65" customFormat="false" ht="18" hidden="false" customHeight="true" outlineLevel="0" collapsed="false">
      <c r="A65" s="11" t="s">
        <v>39</v>
      </c>
      <c r="B65" s="12" t="n">
        <v>25</v>
      </c>
      <c r="C65" s="13" t="n">
        <v>45952</v>
      </c>
      <c r="D65" s="11" t="s">
        <v>40</v>
      </c>
      <c r="E65" s="11" t="s">
        <v>56</v>
      </c>
      <c r="F65" s="11" t="s">
        <v>42</v>
      </c>
      <c r="G65" s="14" t="n">
        <v>4270</v>
      </c>
      <c r="H65" s="15" t="n">
        <v>0.00604917983203444</v>
      </c>
      <c r="I65" s="15" t="n">
        <v>0.00947704840352062</v>
      </c>
      <c r="J65" s="15" t="n">
        <v>0.00356901610090032</v>
      </c>
      <c r="K65" s="15" t="n">
        <v>0.00220795063869257</v>
      </c>
      <c r="L65" s="15" t="n">
        <v>0.00681540927742547</v>
      </c>
      <c r="M65" s="15" t="n">
        <v>0.00321614727736498</v>
      </c>
      <c r="N65" s="15" t="n">
        <v>0.00225836047062619</v>
      </c>
      <c r="O65" s="15" t="n">
        <v>0.00171393428574309</v>
      </c>
      <c r="P65" s="15" t="n">
        <v>0.00384122919334187</v>
      </c>
      <c r="Q65" s="15" t="n">
        <v>0.00277254075634912</v>
      </c>
      <c r="R65" s="15" t="n">
        <v>0.0011291802353131</v>
      </c>
      <c r="S65" s="16" t="n">
        <f aca="false">IF(A65="","",SUM(H65:R65))</f>
        <v>0.0430499964713118</v>
      </c>
      <c r="T65" s="17" t="str">
        <f aca="false">IF(A65="","",IF(AND(MIN(H65:R65)&gt;=0,MAX(H65:R65)&lt;=1,S65&lt;=1),"OK","CHECK"))</f>
        <v>OK</v>
      </c>
      <c r="U65" s="17" t="str">
        <f aca="false">IF(A65="","", "LOSS-"&amp;A65&amp;"-L"&amp;TEXT(B65,"00")&amp;"-"&amp;TEXT(C65,"yyyymmdd")&amp;"-"&amp;D65&amp;"-"&amp;E65)</f>
        <v>LOSS-KG01-L25-20251022-AM-ORD-2025-00161</v>
      </c>
      <c r="V65" s="17" t="str">
        <f aca="false">IF(U65="","",IF(COUNTIF($U$5:$U$935,U65)=1,"OK","CHECK"))</f>
        <v>OK</v>
      </c>
      <c r="W65" s="17" t="str">
        <f aca="false">IF(A65="","",IF(AND(T65="OK",V65="OK",G65&gt;=0),"OK","CHECK"))</f>
        <v>OK</v>
      </c>
    </row>
    <row r="66" customFormat="false" ht="18" hidden="false" customHeight="true" outlineLevel="0" collapsed="false">
      <c r="A66" s="11" t="s">
        <v>39</v>
      </c>
      <c r="B66" s="12" t="n">
        <v>25</v>
      </c>
      <c r="C66" s="13" t="n">
        <v>45952</v>
      </c>
      <c r="D66" s="11" t="s">
        <v>43</v>
      </c>
      <c r="E66" s="11" t="s">
        <v>56</v>
      </c>
      <c r="F66" s="11" t="s">
        <v>42</v>
      </c>
      <c r="G66" s="14" t="n">
        <v>6183</v>
      </c>
      <c r="H66" s="15" t="n">
        <v>0.0095043854801925</v>
      </c>
      <c r="I66" s="15" t="n">
        <v>0.0156832407342289</v>
      </c>
      <c r="J66" s="15" t="n">
        <v>0.00675152964343484</v>
      </c>
      <c r="K66" s="15" t="n">
        <v>0.00334562406438066</v>
      </c>
      <c r="L66" s="15" t="n">
        <v>0.00441059749027961</v>
      </c>
      <c r="M66" s="15" t="n">
        <v>0.00071333125697005</v>
      </c>
      <c r="N66" s="15" t="n">
        <v>0.00238111982960425</v>
      </c>
      <c r="O66" s="15" t="n">
        <v>0.00253182361628807</v>
      </c>
      <c r="P66" s="15" t="n">
        <v>0.00138647483749108</v>
      </c>
      <c r="Q66" s="15" t="n">
        <v>0.00995649684024394</v>
      </c>
      <c r="R66" s="15" t="n">
        <v>0.00545547707795405</v>
      </c>
      <c r="S66" s="16" t="n">
        <f aca="false">IF(A66="","",SUM(H66:R66))</f>
        <v>0.062120100871068</v>
      </c>
      <c r="T66" s="17" t="str">
        <f aca="false">IF(A66="","",IF(AND(MIN(H66:R66)&gt;=0,MAX(H66:R66)&lt;=1,S66&lt;=1),"OK","CHECK"))</f>
        <v>OK</v>
      </c>
      <c r="U66" s="17" t="str">
        <f aca="false">IF(A66="","", "LOSS-"&amp;A66&amp;"-L"&amp;TEXT(B66,"00")&amp;"-"&amp;TEXT(C66,"yyyymmdd")&amp;"-"&amp;D66&amp;"-"&amp;E66)</f>
        <v>LOSS-KG01-L25-20251022-PM-ORD-2025-00161</v>
      </c>
      <c r="V66" s="17" t="str">
        <f aca="false">IF(U66="","",IF(COUNTIF($U$5:$U$935,U66)=1,"OK","CHECK"))</f>
        <v>OK</v>
      </c>
      <c r="W66" s="17" t="str">
        <f aca="false">IF(A66="","",IF(AND(T66="OK",V66="OK",G66&gt;=0),"OK","CHECK"))</f>
        <v>OK</v>
      </c>
    </row>
    <row r="67" customFormat="false" ht="18" hidden="false" customHeight="true" outlineLevel="0" collapsed="false">
      <c r="A67" s="11" t="s">
        <v>39</v>
      </c>
      <c r="B67" s="12" t="n">
        <v>25</v>
      </c>
      <c r="C67" s="13" t="n">
        <v>45953</v>
      </c>
      <c r="D67" s="11" t="s">
        <v>40</v>
      </c>
      <c r="E67" s="11" t="s">
        <v>57</v>
      </c>
      <c r="F67" s="11" t="s">
        <v>42</v>
      </c>
      <c r="G67" s="14" t="n">
        <v>6613</v>
      </c>
      <c r="H67" s="15" t="n">
        <v>0.00845557719011085</v>
      </c>
      <c r="I67" s="15" t="n">
        <v>0.0116438728095013</v>
      </c>
      <c r="J67" s="15" t="n">
        <v>0.00163681356615907</v>
      </c>
      <c r="K67" s="15" t="n">
        <v>0.00142736348897284</v>
      </c>
      <c r="L67" s="15" t="n">
        <v>0.00551551869923745</v>
      </c>
      <c r="M67" s="15" t="n">
        <v>0.00263751949049329</v>
      </c>
      <c r="N67" s="15" t="n">
        <v>0.00275388064448565</v>
      </c>
      <c r="O67" s="15" t="n">
        <v>0.000504231667300189</v>
      </c>
      <c r="P67" s="15" t="n">
        <v>0.00698166923954107</v>
      </c>
      <c r="Q67" s="15" t="n">
        <v>0.00372355692775524</v>
      </c>
      <c r="R67" s="15" t="n">
        <v>0.00601975036653764</v>
      </c>
      <c r="S67" s="16" t="n">
        <f aca="false">IF(A67="","",SUM(H67:R67))</f>
        <v>0.0512997540900946</v>
      </c>
      <c r="T67" s="17" t="str">
        <f aca="false">IF(A67="","",IF(AND(MIN(H67:R67)&gt;=0,MAX(H67:R67)&lt;=1,S67&lt;=1),"OK","CHECK"))</f>
        <v>OK</v>
      </c>
      <c r="U67" s="17" t="str">
        <f aca="false">IF(A67="","", "LOSS-"&amp;A67&amp;"-L"&amp;TEXT(B67,"00")&amp;"-"&amp;TEXT(C67,"yyyymmdd")&amp;"-"&amp;D67&amp;"-"&amp;E67)</f>
        <v>LOSS-KG01-L25-20251023-AM-ORD-2025-00162</v>
      </c>
      <c r="V67" s="17" t="str">
        <f aca="false">IF(U67="","",IF(COUNTIF($U$5:$U$935,U67)=1,"OK","CHECK"))</f>
        <v>OK</v>
      </c>
      <c r="W67" s="17" t="str">
        <f aca="false">IF(A67="","",IF(AND(T67="OK",V67="OK",G67&gt;=0),"OK","CHECK"))</f>
        <v>OK</v>
      </c>
    </row>
    <row r="68" customFormat="false" ht="18" hidden="false" customHeight="true" outlineLevel="0" collapsed="false">
      <c r="A68" s="11" t="s">
        <v>39</v>
      </c>
      <c r="B68" s="12" t="n">
        <v>25</v>
      </c>
      <c r="C68" s="13" t="n">
        <v>45953</v>
      </c>
      <c r="D68" s="11" t="s">
        <v>43</v>
      </c>
      <c r="E68" s="11" t="s">
        <v>57</v>
      </c>
      <c r="F68" s="11" t="s">
        <v>42</v>
      </c>
      <c r="G68" s="14" t="n">
        <v>12718</v>
      </c>
      <c r="H68" s="15" t="n">
        <v>0.0064972021737926</v>
      </c>
      <c r="I68" s="15" t="n">
        <v>0.010380413705571</v>
      </c>
      <c r="J68" s="15" t="n">
        <v>0.00323349131439911</v>
      </c>
      <c r="K68" s="15" t="n">
        <v>0.00490060287992264</v>
      </c>
      <c r="L68" s="15" t="n">
        <v>0.0066936292162561</v>
      </c>
      <c r="M68" s="15" t="n">
        <v>0.00514235923987771</v>
      </c>
      <c r="N68" s="15" t="n">
        <v>0.0055402499156371</v>
      </c>
      <c r="O68" s="15" t="n">
        <v>0.00763547170191441</v>
      </c>
      <c r="P68" s="15" t="n">
        <v>0.00579711604808937</v>
      </c>
      <c r="Q68" s="15" t="n">
        <v>0.00328385722272308</v>
      </c>
      <c r="R68" s="15" t="n">
        <v>0.00495096878824661</v>
      </c>
      <c r="S68" s="16" t="n">
        <f aca="false">IF(A68="","",SUM(H68:R68))</f>
        <v>0.0640553622064297</v>
      </c>
      <c r="T68" s="17" t="str">
        <f aca="false">IF(A68="","",IF(AND(MIN(H68:R68)&gt;=0,MAX(H68:R68)&lt;=1,S68&lt;=1),"OK","CHECK"))</f>
        <v>OK</v>
      </c>
      <c r="U68" s="17" t="str">
        <f aca="false">IF(A68="","", "LOSS-"&amp;A68&amp;"-L"&amp;TEXT(B68,"00")&amp;"-"&amp;TEXT(C68,"yyyymmdd")&amp;"-"&amp;D68&amp;"-"&amp;E68)</f>
        <v>LOSS-KG01-L25-20251023-PM-ORD-2025-00162</v>
      </c>
      <c r="V68" s="17" t="str">
        <f aca="false">IF(U68="","",IF(COUNTIF($U$5:$U$935,U68)=1,"OK","CHECK"))</f>
        <v>OK</v>
      </c>
      <c r="W68" s="17" t="str">
        <f aca="false">IF(A68="","",IF(AND(T68="OK",V68="OK",G68&gt;=0),"OK","CHECK"))</f>
        <v>OK</v>
      </c>
    </row>
    <row r="69" customFormat="false" ht="18" hidden="false" customHeight="true" outlineLevel="0" collapsed="false">
      <c r="A69" s="11" t="s">
        <v>39</v>
      </c>
      <c r="B69" s="12" t="n">
        <v>25</v>
      </c>
      <c r="C69" s="13" t="n">
        <v>45954</v>
      </c>
      <c r="D69" s="11" t="s">
        <v>40</v>
      </c>
      <c r="E69" s="11" t="s">
        <v>57</v>
      </c>
      <c r="F69" s="11" t="s">
        <v>42</v>
      </c>
      <c r="G69" s="14" t="n">
        <v>10139</v>
      </c>
      <c r="H69" s="15" t="n">
        <v>0.00534146857815969</v>
      </c>
      <c r="I69" s="15" t="n">
        <v>0.0135110927754466</v>
      </c>
      <c r="J69" s="15" t="n">
        <v>0.00517319060466076</v>
      </c>
      <c r="K69" s="15" t="n">
        <v>0.00351212415657451</v>
      </c>
      <c r="L69" s="15" t="n">
        <v>0.00451636367584234</v>
      </c>
      <c r="M69" s="15" t="n">
        <v>0.00336555946997867</v>
      </c>
      <c r="N69" s="15" t="n">
        <v>0.00293672205364268</v>
      </c>
      <c r="O69" s="15" t="n">
        <v>0.00231246505517889</v>
      </c>
      <c r="P69" s="15" t="n">
        <v>0.00364783219971881</v>
      </c>
      <c r="Q69" s="15" t="n">
        <v>0.00744222908603347</v>
      </c>
      <c r="R69" s="15" t="n">
        <v>0.00327870632236631</v>
      </c>
      <c r="S69" s="16" t="n">
        <f aca="false">IF(A69="","",SUM(H69:R69))</f>
        <v>0.0550377539776027</v>
      </c>
      <c r="T69" s="17" t="str">
        <f aca="false">IF(A69="","",IF(AND(MIN(H69:R69)&gt;=0,MAX(H69:R69)&lt;=1,S69&lt;=1),"OK","CHECK"))</f>
        <v>OK</v>
      </c>
      <c r="U69" s="17" t="str">
        <f aca="false">IF(A69="","", "LOSS-"&amp;A69&amp;"-L"&amp;TEXT(B69,"00")&amp;"-"&amp;TEXT(C69,"yyyymmdd")&amp;"-"&amp;D69&amp;"-"&amp;E69)</f>
        <v>LOSS-KG01-L25-20251024-AM-ORD-2025-00162</v>
      </c>
      <c r="V69" s="17" t="str">
        <f aca="false">IF(U69="","",IF(COUNTIF($U$5:$U$935,U69)=1,"OK","CHECK"))</f>
        <v>OK</v>
      </c>
      <c r="W69" s="17" t="str">
        <f aca="false">IF(A69="","",IF(AND(T69="OK",V69="OK",G69&gt;=0),"OK","CHECK"))</f>
        <v>OK</v>
      </c>
    </row>
    <row r="70" customFormat="false" ht="18" hidden="false" customHeight="true" outlineLevel="0" collapsed="false">
      <c r="A70" s="11" t="s">
        <v>39</v>
      </c>
      <c r="B70" s="12" t="n">
        <v>25</v>
      </c>
      <c r="C70" s="13" t="n">
        <v>45954</v>
      </c>
      <c r="D70" s="11" t="s">
        <v>43</v>
      </c>
      <c r="E70" s="11" t="s">
        <v>57</v>
      </c>
      <c r="F70" s="11" t="s">
        <v>42</v>
      </c>
      <c r="G70" s="14" t="n">
        <v>11342</v>
      </c>
      <c r="H70" s="15" t="n">
        <v>0.00930898870284226</v>
      </c>
      <c r="I70" s="15" t="n">
        <v>0.011177322889545</v>
      </c>
      <c r="J70" s="15" t="n">
        <v>0.0137265368818973</v>
      </c>
      <c r="K70" s="15" t="n">
        <v>0.0010349373045875</v>
      </c>
      <c r="L70" s="15" t="n">
        <v>0.00548516771431373</v>
      </c>
      <c r="M70" s="15" t="n">
        <v>0.00162866449511401</v>
      </c>
      <c r="N70" s="15" t="n">
        <v>0.00139988888041572</v>
      </c>
      <c r="O70" s="15" t="n">
        <v>0.00174849934090835</v>
      </c>
      <c r="P70" s="15" t="n">
        <v>0.00281067183772183</v>
      </c>
      <c r="Q70" s="15" t="n">
        <v>0.00778381793818701</v>
      </c>
      <c r="R70" s="15" t="n">
        <v>0.00567581405989564</v>
      </c>
      <c r="S70" s="16" t="n">
        <f aca="false">IF(A70="","",SUM(H70:R70))</f>
        <v>0.0617803100454284</v>
      </c>
      <c r="T70" s="17" t="str">
        <f aca="false">IF(A70="","",IF(AND(MIN(H70:R70)&gt;=0,MAX(H70:R70)&lt;=1,S70&lt;=1),"OK","CHECK"))</f>
        <v>OK</v>
      </c>
      <c r="U70" s="17" t="str">
        <f aca="false">IF(A70="","", "LOSS-"&amp;A70&amp;"-L"&amp;TEXT(B70,"00")&amp;"-"&amp;TEXT(C70,"yyyymmdd")&amp;"-"&amp;D70&amp;"-"&amp;E70)</f>
        <v>LOSS-KG01-L25-20251024-PM-ORD-2025-00162</v>
      </c>
      <c r="V70" s="17" t="str">
        <f aca="false">IF(U70="","",IF(COUNTIF($U$5:$U$935,U70)=1,"OK","CHECK"))</f>
        <v>OK</v>
      </c>
      <c r="W70" s="17" t="str">
        <f aca="false">IF(A70="","",IF(AND(T70="OK",V70="OK",G70&gt;=0),"OK","CHECK"))</f>
        <v>OK</v>
      </c>
    </row>
    <row r="71" customFormat="false" ht="18" hidden="false" customHeight="true" outlineLevel="0" collapsed="false">
      <c r="A71" s="11" t="s">
        <v>39</v>
      </c>
      <c r="B71" s="12" t="n">
        <v>25</v>
      </c>
      <c r="C71" s="13" t="n">
        <v>45955</v>
      </c>
      <c r="D71" s="11" t="s">
        <v>40</v>
      </c>
      <c r="E71" s="11" t="s">
        <v>57</v>
      </c>
      <c r="F71" s="11" t="s">
        <v>42</v>
      </c>
      <c r="G71" s="14" t="n">
        <v>9330</v>
      </c>
      <c r="H71" s="15" t="n">
        <v>0.010208212523387</v>
      </c>
      <c r="I71" s="15" t="n">
        <v>0.0140868956311476</v>
      </c>
      <c r="J71" s="15" t="n">
        <v>0.0012308937930129</v>
      </c>
      <c r="K71" s="15" t="n">
        <v>0.00134030657461405</v>
      </c>
      <c r="L71" s="15" t="n">
        <v>0.00723218486383579</v>
      </c>
      <c r="M71" s="15" t="n">
        <v>0.00204601901594144</v>
      </c>
      <c r="N71" s="15" t="n">
        <v>0.00293773318599079</v>
      </c>
      <c r="O71" s="15" t="n">
        <v>0.00133483593553399</v>
      </c>
      <c r="P71" s="15" t="n">
        <v>0.000590829020646192</v>
      </c>
      <c r="Q71" s="15" t="n">
        <v>0.00672341542939046</v>
      </c>
      <c r="R71" s="15" t="n">
        <v>0.00330973664343469</v>
      </c>
      <c r="S71" s="16" t="n">
        <f aca="false">IF(A71="","",SUM(H71:R71))</f>
        <v>0.0510410626169349</v>
      </c>
      <c r="T71" s="17" t="str">
        <f aca="false">IF(A71="","",IF(AND(MIN(H71:R71)&gt;=0,MAX(H71:R71)&lt;=1,S71&lt;=1),"OK","CHECK"))</f>
        <v>OK</v>
      </c>
      <c r="U71" s="17" t="str">
        <f aca="false">IF(A71="","", "LOSS-"&amp;A71&amp;"-L"&amp;TEXT(B71,"00")&amp;"-"&amp;TEXT(C71,"yyyymmdd")&amp;"-"&amp;D71&amp;"-"&amp;E71)</f>
        <v>LOSS-KG01-L25-20251025-AM-ORD-2025-00162</v>
      </c>
      <c r="V71" s="17" t="str">
        <f aca="false">IF(U71="","",IF(COUNTIF($U$5:$U$935,U71)=1,"OK","CHECK"))</f>
        <v>OK</v>
      </c>
      <c r="W71" s="17" t="str">
        <f aca="false">IF(A71="","",IF(AND(T71="OK",V71="OK",G71&gt;=0),"OK","CHECK"))</f>
        <v>OK</v>
      </c>
    </row>
    <row r="72" customFormat="false" ht="18" hidden="false" customHeight="true" outlineLevel="0" collapsed="false">
      <c r="A72" s="11" t="s">
        <v>39</v>
      </c>
      <c r="B72" s="12" t="n">
        <v>25</v>
      </c>
      <c r="C72" s="13" t="n">
        <v>45955</v>
      </c>
      <c r="D72" s="11" t="s">
        <v>43</v>
      </c>
      <c r="E72" s="11" t="s">
        <v>57</v>
      </c>
      <c r="F72" s="11" t="s">
        <v>42</v>
      </c>
      <c r="G72" s="14" t="n">
        <v>6003</v>
      </c>
      <c r="H72" s="15" t="n">
        <v>0.00391230130146921</v>
      </c>
      <c r="I72" s="15" t="n">
        <v>0.00520982367509645</v>
      </c>
      <c r="J72" s="15" t="n">
        <v>0.00346334869310389</v>
      </c>
      <c r="K72" s="15" t="n">
        <v>0.00154419963097082</v>
      </c>
      <c r="L72" s="15" t="n">
        <v>0.00324133916149467</v>
      </c>
      <c r="M72" s="15" t="n">
        <v>0.00293545936238863</v>
      </c>
      <c r="N72" s="15" t="n">
        <v>0.000784433678352591</v>
      </c>
      <c r="O72" s="15" t="n">
        <v>0.00230889912873593</v>
      </c>
      <c r="P72" s="15" t="n">
        <v>0.000680829230268286</v>
      </c>
      <c r="Q72" s="15" t="n">
        <v>0.00361135504751004</v>
      </c>
      <c r="R72" s="15" t="n">
        <v>0.00192408260727994</v>
      </c>
      <c r="S72" s="16" t="n">
        <f aca="false">IF(A72="","",SUM(H72:R72))</f>
        <v>0.0296160715166705</v>
      </c>
      <c r="T72" s="17" t="str">
        <f aca="false">IF(A72="","",IF(AND(MIN(H72:R72)&gt;=0,MAX(H72:R72)&lt;=1,S72&lt;=1),"OK","CHECK"))</f>
        <v>OK</v>
      </c>
      <c r="U72" s="17" t="str">
        <f aca="false">IF(A72="","", "LOSS-"&amp;A72&amp;"-L"&amp;TEXT(B72,"00")&amp;"-"&amp;TEXT(C72,"yyyymmdd")&amp;"-"&amp;D72&amp;"-"&amp;E72)</f>
        <v>LOSS-KG01-L25-20251025-PM-ORD-2025-00162</v>
      </c>
      <c r="V72" s="17" t="str">
        <f aca="false">IF(U72="","",IF(COUNTIF($U$5:$U$935,U72)=1,"OK","CHECK"))</f>
        <v>OK</v>
      </c>
      <c r="W72" s="17" t="str">
        <f aca="false">IF(A72="","",IF(AND(T72="OK",V72="OK",G72&gt;=0),"OK","CHECK"))</f>
        <v>OK</v>
      </c>
    </row>
    <row r="73" customFormat="false" ht="18" hidden="false" customHeight="true" outlineLevel="0" collapsed="false">
      <c r="A73" s="11" t="s">
        <v>39</v>
      </c>
      <c r="B73" s="12" t="n">
        <v>25</v>
      </c>
      <c r="C73" s="13" t="n">
        <v>45956</v>
      </c>
      <c r="D73" s="11" t="s">
        <v>40</v>
      </c>
      <c r="E73" s="11" t="s">
        <v>57</v>
      </c>
      <c r="F73" s="11" t="s">
        <v>42</v>
      </c>
      <c r="G73" s="14" t="n">
        <v>13046</v>
      </c>
      <c r="H73" s="15" t="n">
        <v>0.00686185722958112</v>
      </c>
      <c r="I73" s="15" t="n">
        <v>0.015669317197934</v>
      </c>
      <c r="J73" s="15" t="n">
        <v>0.0031149547684683</v>
      </c>
      <c r="K73" s="15" t="n">
        <v>0.0044932973736851</v>
      </c>
      <c r="L73" s="15" t="n">
        <v>0.00595125543624295</v>
      </c>
      <c r="M73" s="15" t="n">
        <v>0.0056726013355493</v>
      </c>
      <c r="N73" s="15" t="n">
        <v>0.00310002687021685</v>
      </c>
      <c r="O73" s="15" t="n">
        <v>0.00362747927510126</v>
      </c>
      <c r="P73" s="15" t="n">
        <v>0.000547356269219669</v>
      </c>
      <c r="Q73" s="15" t="n">
        <v>0.0118328473473125</v>
      </c>
      <c r="R73" s="15" t="n">
        <v>0.00404546042614174</v>
      </c>
      <c r="S73" s="16" t="n">
        <f aca="false">IF(A73="","",SUM(H73:R73))</f>
        <v>0.0649164535294528</v>
      </c>
      <c r="T73" s="17" t="str">
        <f aca="false">IF(A73="","",IF(AND(MIN(H73:R73)&gt;=0,MAX(H73:R73)&lt;=1,S73&lt;=1),"OK","CHECK"))</f>
        <v>OK</v>
      </c>
      <c r="U73" s="17" t="str">
        <f aca="false">IF(A73="","", "LOSS-"&amp;A73&amp;"-L"&amp;TEXT(B73,"00")&amp;"-"&amp;TEXT(C73,"yyyymmdd")&amp;"-"&amp;D73&amp;"-"&amp;E73)</f>
        <v>LOSS-KG01-L25-20251026-AM-ORD-2025-00162</v>
      </c>
      <c r="V73" s="17" t="str">
        <f aca="false">IF(U73="","",IF(COUNTIF($U$5:$U$935,U73)=1,"OK","CHECK"))</f>
        <v>OK</v>
      </c>
      <c r="W73" s="17" t="str">
        <f aca="false">IF(A73="","",IF(AND(T73="OK",V73="OK",G73&gt;=0),"OK","CHECK"))</f>
        <v>OK</v>
      </c>
    </row>
    <row r="74" customFormat="false" ht="18" hidden="false" customHeight="true" outlineLevel="0" collapsed="false">
      <c r="A74" s="11" t="s">
        <v>39</v>
      </c>
      <c r="B74" s="12" t="n">
        <v>25</v>
      </c>
      <c r="C74" s="13" t="n">
        <v>45956</v>
      </c>
      <c r="D74" s="11" t="s">
        <v>43</v>
      </c>
      <c r="E74" s="11" t="s">
        <v>57</v>
      </c>
      <c r="F74" s="11" t="s">
        <v>42</v>
      </c>
      <c r="G74" s="14" t="n">
        <v>8299</v>
      </c>
      <c r="H74" s="15" t="n">
        <v>0.00646906357212764</v>
      </c>
      <c r="I74" s="15" t="n">
        <v>0.00725417020681645</v>
      </c>
      <c r="J74" s="15" t="n">
        <v>0.00555489831255848</v>
      </c>
      <c r="K74" s="15" t="n">
        <v>0.00231767780514299</v>
      </c>
      <c r="L74" s="15" t="n">
        <v>0.0046945074800228</v>
      </c>
      <c r="M74" s="15" t="n">
        <v>0.00588292231746271</v>
      </c>
      <c r="N74" s="15" t="n">
        <v>0.00260268226842043</v>
      </c>
      <c r="O74" s="15" t="n">
        <v>0.00201116357105215</v>
      </c>
      <c r="P74" s="15" t="n">
        <v>0.00177455609210484</v>
      </c>
      <c r="Q74" s="15" t="n">
        <v>0.00403845947021435</v>
      </c>
      <c r="R74" s="15" t="n">
        <v>0.00202729589916219</v>
      </c>
      <c r="S74" s="16" t="n">
        <f aca="false">IF(A74="","",SUM(H74:R74))</f>
        <v>0.044627396995085</v>
      </c>
      <c r="T74" s="17" t="str">
        <f aca="false">IF(A74="","",IF(AND(MIN(H74:R74)&gt;=0,MAX(H74:R74)&lt;=1,S74&lt;=1),"OK","CHECK"))</f>
        <v>OK</v>
      </c>
      <c r="U74" s="17" t="str">
        <f aca="false">IF(A74="","", "LOSS-"&amp;A74&amp;"-L"&amp;TEXT(B74,"00")&amp;"-"&amp;TEXT(C74,"yyyymmdd")&amp;"-"&amp;D74&amp;"-"&amp;E74)</f>
        <v>LOSS-KG01-L25-20251026-PM-ORD-2025-00162</v>
      </c>
      <c r="V74" s="17" t="str">
        <f aca="false">IF(U74="","",IF(COUNTIF($U$5:$U$935,U74)=1,"OK","CHECK"))</f>
        <v>OK</v>
      </c>
      <c r="W74" s="17" t="str">
        <f aca="false">IF(A74="","",IF(AND(T74="OK",V74="OK",G74&gt;=0),"OK","CHECK"))</f>
        <v>OK</v>
      </c>
    </row>
    <row r="75" customFormat="false" ht="18" hidden="false" customHeight="true" outlineLevel="0" collapsed="false">
      <c r="A75" s="18" t="s">
        <v>39</v>
      </c>
      <c r="B75" s="19" t="n">
        <v>21</v>
      </c>
      <c r="C75" s="20" t="n">
        <v>45931</v>
      </c>
      <c r="D75" s="18" t="s">
        <v>40</v>
      </c>
      <c r="E75" s="18" t="s">
        <v>58</v>
      </c>
      <c r="F75" s="18" t="s">
        <v>42</v>
      </c>
      <c r="G75" s="21" t="n">
        <v>7563</v>
      </c>
      <c r="H75" s="22" t="n">
        <v>0.00460935912626525</v>
      </c>
      <c r="I75" s="22" t="n">
        <v>0.0049788460534173</v>
      </c>
      <c r="J75" s="22" t="n">
        <v>0.00147696326899621</v>
      </c>
      <c r="K75" s="22" t="n">
        <v>0.00508229176458235</v>
      </c>
      <c r="L75" s="22" t="n">
        <v>0.00245026336019535</v>
      </c>
      <c r="M75" s="22" t="n">
        <v>0.00288582918284125</v>
      </c>
      <c r="N75" s="22" t="n">
        <v>0.00130707192877771</v>
      </c>
      <c r="O75" s="22" t="n">
        <v>0.000272804541146707</v>
      </c>
      <c r="P75" s="22" t="n">
        <v>0.00138790419475971</v>
      </c>
      <c r="Q75" s="22" t="n">
        <v>0.00354522781949702</v>
      </c>
      <c r="R75" s="22" t="n">
        <v>0.00398540740763492</v>
      </c>
      <c r="S75" s="23" t="n">
        <f aca="false">IF(A75="","",SUM(H75:R75))</f>
        <v>0.0319819686481138</v>
      </c>
      <c r="T75" s="17" t="str">
        <f aca="false">IF(A75="","",IF(AND(MIN(H75:R75)&gt;=0,MAX(H75:R75)&lt;=1,S75&lt;=1),"OK","CHECK"))</f>
        <v>OK</v>
      </c>
      <c r="U75" s="17" t="str">
        <f aca="false">IF(A75="","", "LOSS-"&amp;A75&amp;"-L"&amp;TEXT(B75,"00")&amp;"-"&amp;TEXT(C75,"yyyymmdd")&amp;"-"&amp;D75&amp;"-"&amp;E75)</f>
        <v>LOSS-KG01-L21-20251001-AM-ORD-2025-00163</v>
      </c>
      <c r="V75" s="17" t="str">
        <f aca="false">IF(U75="","",IF(COUNTIF($U$5:$U$935,U75)=1,"OK","CHECK"))</f>
        <v>OK</v>
      </c>
      <c r="W75" s="17" t="str">
        <f aca="false">IF(A75="","",IF(AND(T75="OK",V75="OK",G75&gt;=0),"OK","CHECK"))</f>
        <v>OK</v>
      </c>
    </row>
    <row r="76" customFormat="false" ht="18" hidden="false" customHeight="true" outlineLevel="0" collapsed="false">
      <c r="A76" s="18" t="s">
        <v>39</v>
      </c>
      <c r="B76" s="19" t="n">
        <v>21</v>
      </c>
      <c r="C76" s="20" t="n">
        <v>45931</v>
      </c>
      <c r="D76" s="18" t="s">
        <v>43</v>
      </c>
      <c r="E76" s="18" t="s">
        <v>58</v>
      </c>
      <c r="F76" s="18" t="s">
        <v>42</v>
      </c>
      <c r="G76" s="21" t="n">
        <v>10897</v>
      </c>
      <c r="H76" s="22" t="n">
        <v>0.0211527951286595</v>
      </c>
      <c r="I76" s="22" t="n">
        <v>0.00458670337783456</v>
      </c>
      <c r="J76" s="22" t="n">
        <v>0.00520148292564591</v>
      </c>
      <c r="K76" s="22" t="n">
        <v>0.0221501917806345</v>
      </c>
      <c r="L76" s="22" t="n">
        <v>1.46812651446541E-006</v>
      </c>
      <c r="M76" s="22" t="n">
        <v>3.17617920060271E-006</v>
      </c>
      <c r="N76" s="22" t="n">
        <v>0.00415738038509071</v>
      </c>
      <c r="O76" s="22" t="n">
        <v>0.00998692797307625</v>
      </c>
      <c r="P76" s="22" t="n">
        <v>0.00065820434279498</v>
      </c>
      <c r="Q76" s="22" t="n">
        <v>0.00629563243412309</v>
      </c>
      <c r="R76" s="22" t="n">
        <v>0.0129374260753962</v>
      </c>
      <c r="S76" s="23" t="n">
        <f aca="false">IF(A76="","",SUM(H76:R76))</f>
        <v>0.0871313887289708</v>
      </c>
      <c r="T76" s="17" t="str">
        <f aca="false">IF(A76="","",IF(AND(MIN(H76:R76)&gt;=0,MAX(H76:R76)&lt;=1,S76&lt;=1),"OK","CHECK"))</f>
        <v>OK</v>
      </c>
      <c r="U76" s="17" t="str">
        <f aca="false">IF(A76="","", "LOSS-"&amp;A76&amp;"-L"&amp;TEXT(B76,"00")&amp;"-"&amp;TEXT(C76,"yyyymmdd")&amp;"-"&amp;D76&amp;"-"&amp;E76)</f>
        <v>LOSS-KG01-L21-20251001-PM-ORD-2025-00163</v>
      </c>
      <c r="V76" s="17" t="str">
        <f aca="false">IF(U76="","",IF(COUNTIF($U$5:$U$935,U76)=1,"OK","CHECK"))</f>
        <v>OK</v>
      </c>
      <c r="W76" s="17" t="str">
        <f aca="false">IF(A76="","",IF(AND(T76="OK",V76="OK",G76&gt;=0),"OK","CHECK"))</f>
        <v>OK</v>
      </c>
    </row>
    <row r="77" customFormat="false" ht="18" hidden="false" customHeight="true" outlineLevel="0" collapsed="false">
      <c r="A77" s="18" t="s">
        <v>39</v>
      </c>
      <c r="B77" s="19" t="n">
        <v>21</v>
      </c>
      <c r="C77" s="20" t="n">
        <v>45932</v>
      </c>
      <c r="D77" s="18" t="s">
        <v>40</v>
      </c>
      <c r="E77" s="18" t="s">
        <v>58</v>
      </c>
      <c r="F77" s="18" t="s">
        <v>42</v>
      </c>
      <c r="G77" s="21" t="n">
        <v>8577</v>
      </c>
      <c r="H77" s="22" t="n">
        <v>0.0113134290528211</v>
      </c>
      <c r="I77" s="22" t="n">
        <v>0.00175920236608486</v>
      </c>
      <c r="J77" s="22" t="n">
        <v>0.0129185724199289</v>
      </c>
      <c r="K77" s="22" t="n">
        <v>0.000538483129488401</v>
      </c>
      <c r="L77" s="22" t="n">
        <v>0.00109616261301519</v>
      </c>
      <c r="M77" s="22" t="n">
        <v>0.000651028557271025</v>
      </c>
      <c r="N77" s="22" t="n">
        <v>0.000932241846478765</v>
      </c>
      <c r="O77" s="22" t="n">
        <v>0.000412522314846936</v>
      </c>
      <c r="P77" s="22" t="n">
        <v>0.00975538161066106</v>
      </c>
      <c r="Q77" s="22" t="n">
        <v>0.000821625346838485</v>
      </c>
      <c r="R77" s="22" t="n">
        <v>0.000521659147745858</v>
      </c>
      <c r="S77" s="23" t="n">
        <f aca="false">IF(A77="","",SUM(H77:R77))</f>
        <v>0.0407203084051806</v>
      </c>
      <c r="T77" s="17" t="str">
        <f aca="false">IF(A77="","",IF(AND(MIN(H77:R77)&gt;=0,MAX(H77:R77)&lt;=1,S77&lt;=1),"OK","CHECK"))</f>
        <v>OK</v>
      </c>
      <c r="U77" s="17" t="str">
        <f aca="false">IF(A77="","", "LOSS-"&amp;A77&amp;"-L"&amp;TEXT(B77,"00")&amp;"-"&amp;TEXT(C77,"yyyymmdd")&amp;"-"&amp;D77&amp;"-"&amp;E77)</f>
        <v>LOSS-KG01-L21-20251002-AM-ORD-2025-00163</v>
      </c>
      <c r="V77" s="17" t="str">
        <f aca="false">IF(U77="","",IF(COUNTIF($U$5:$U$935,U77)=1,"OK","CHECK"))</f>
        <v>OK</v>
      </c>
      <c r="W77" s="17" t="str">
        <f aca="false">IF(A77="","",IF(AND(T77="OK",V77="OK",G77&gt;=0),"OK","CHECK"))</f>
        <v>OK</v>
      </c>
    </row>
    <row r="78" customFormat="false" ht="18" hidden="false" customHeight="true" outlineLevel="0" collapsed="false">
      <c r="A78" s="18" t="s">
        <v>39</v>
      </c>
      <c r="B78" s="19" t="n">
        <v>21</v>
      </c>
      <c r="C78" s="20" t="n">
        <v>45932</v>
      </c>
      <c r="D78" s="18" t="s">
        <v>43</v>
      </c>
      <c r="E78" s="18" t="s">
        <v>58</v>
      </c>
      <c r="F78" s="18" t="s">
        <v>42</v>
      </c>
      <c r="G78" s="21" t="n">
        <v>4927</v>
      </c>
      <c r="H78" s="22" t="n">
        <v>0.000391495130088756</v>
      </c>
      <c r="I78" s="22" t="n">
        <v>0.000865407175485351</v>
      </c>
      <c r="J78" s="22" t="n">
        <v>0.000129299267713401</v>
      </c>
      <c r="K78" s="22" t="n">
        <v>0.00872944899736967</v>
      </c>
      <c r="L78" s="22" t="n">
        <v>0.000237849804537128</v>
      </c>
      <c r="M78" s="22" t="n">
        <v>0.00541537003080705</v>
      </c>
      <c r="N78" s="22" t="n">
        <v>0.00989046847949407</v>
      </c>
      <c r="O78" s="22" t="n">
        <v>0.00144589514845442</v>
      </c>
      <c r="P78" s="22" t="n">
        <v>0.000558134510612098</v>
      </c>
      <c r="Q78" s="22" t="n">
        <v>0.00262806786866971</v>
      </c>
      <c r="R78" s="22" t="n">
        <v>0.00172535501949865</v>
      </c>
      <c r="S78" s="23" t="n">
        <f aca="false">IF(A78="","",SUM(H78:R78))</f>
        <v>0.0320167914327303</v>
      </c>
      <c r="T78" s="17" t="str">
        <f aca="false">IF(A78="","",IF(AND(MIN(H78:R78)&gt;=0,MAX(H78:R78)&lt;=1,S78&lt;=1),"OK","CHECK"))</f>
        <v>OK</v>
      </c>
      <c r="U78" s="17" t="str">
        <f aca="false">IF(A78="","", "LOSS-"&amp;A78&amp;"-L"&amp;TEXT(B78,"00")&amp;"-"&amp;TEXT(C78,"yyyymmdd")&amp;"-"&amp;D78&amp;"-"&amp;E78)</f>
        <v>LOSS-KG01-L21-20251002-PM-ORD-2025-00163</v>
      </c>
      <c r="V78" s="17" t="str">
        <f aca="false">IF(U78="","",IF(COUNTIF($U$5:$U$935,U78)=1,"OK","CHECK"))</f>
        <v>OK</v>
      </c>
      <c r="W78" s="17" t="str">
        <f aca="false">IF(A78="","",IF(AND(T78="OK",V78="OK",G78&gt;=0),"OK","CHECK"))</f>
        <v>OK</v>
      </c>
    </row>
    <row r="79" customFormat="false" ht="18" hidden="false" customHeight="true" outlineLevel="0" collapsed="false">
      <c r="A79" s="18" t="s">
        <v>39</v>
      </c>
      <c r="B79" s="19" t="n">
        <v>21</v>
      </c>
      <c r="C79" s="20" t="n">
        <v>45933</v>
      </c>
      <c r="D79" s="18" t="s">
        <v>40</v>
      </c>
      <c r="E79" s="18" t="s">
        <v>59</v>
      </c>
      <c r="F79" s="18" t="s">
        <v>45</v>
      </c>
      <c r="G79" s="21" t="n">
        <v>3814</v>
      </c>
      <c r="H79" s="22" t="n">
        <v>0.00144691695192818</v>
      </c>
      <c r="I79" s="22" t="n">
        <v>0.000306449003995367</v>
      </c>
      <c r="J79" s="22" t="n">
        <v>0.0028976155553694</v>
      </c>
      <c r="K79" s="22" t="n">
        <v>0.0066628289511765</v>
      </c>
      <c r="L79" s="22" t="n">
        <v>0.00405322253707204</v>
      </c>
      <c r="M79" s="22" t="n">
        <v>0.00196315822326975</v>
      </c>
      <c r="N79" s="22" t="n">
        <v>0.00527483407890009</v>
      </c>
      <c r="O79" s="22" t="n">
        <v>0.000146530495953661</v>
      </c>
      <c r="P79" s="22" t="n">
        <v>0.00813184874306908</v>
      </c>
      <c r="Q79" s="22" t="n">
        <v>0.000178533798954754</v>
      </c>
      <c r="R79" s="22" t="n">
        <v>0.000375323140186871</v>
      </c>
      <c r="S79" s="23" t="n">
        <f aca="false">IF(A79="","",SUM(H79:R79))</f>
        <v>0.0314372614798757</v>
      </c>
      <c r="T79" s="17" t="str">
        <f aca="false">IF(A79="","",IF(AND(MIN(H79:R79)&gt;=0,MAX(H79:R79)&lt;=1,S79&lt;=1),"OK","CHECK"))</f>
        <v>OK</v>
      </c>
      <c r="U79" s="17" t="str">
        <f aca="false">IF(A79="","", "LOSS-"&amp;A79&amp;"-L"&amp;TEXT(B79,"00")&amp;"-"&amp;TEXT(C79,"yyyymmdd")&amp;"-"&amp;D79&amp;"-"&amp;E79)</f>
        <v>LOSS-KG01-L21-20251003-AM-ORD-2025-00164</v>
      </c>
      <c r="V79" s="17" t="str">
        <f aca="false">IF(U79="","",IF(COUNTIF($U$5:$U$935,U79)=1,"OK","CHECK"))</f>
        <v>OK</v>
      </c>
      <c r="W79" s="17" t="str">
        <f aca="false">IF(A79="","",IF(AND(T79="OK",V79="OK",G79&gt;=0),"OK","CHECK"))</f>
        <v>OK</v>
      </c>
    </row>
    <row r="80" customFormat="false" ht="18" hidden="false" customHeight="true" outlineLevel="0" collapsed="false">
      <c r="A80" s="18" t="s">
        <v>39</v>
      </c>
      <c r="B80" s="19" t="n">
        <v>21</v>
      </c>
      <c r="C80" s="20" t="n">
        <v>45933</v>
      </c>
      <c r="D80" s="18" t="s">
        <v>43</v>
      </c>
      <c r="E80" s="18" t="s">
        <v>59</v>
      </c>
      <c r="F80" s="18" t="s">
        <v>42</v>
      </c>
      <c r="G80" s="21" t="n">
        <v>17900</v>
      </c>
      <c r="H80" s="22" t="n">
        <v>0.00504760504215415</v>
      </c>
      <c r="I80" s="22" t="n">
        <v>0.00858061975741434</v>
      </c>
      <c r="J80" s="22" t="n">
        <v>0.00179919799373386</v>
      </c>
      <c r="K80" s="22" t="n">
        <v>0.00328370747744274</v>
      </c>
      <c r="L80" s="22" t="n">
        <v>0.0072022192590967</v>
      </c>
      <c r="M80" s="22" t="n">
        <v>0.0150969419176792</v>
      </c>
      <c r="N80" s="22" t="n">
        <v>0.0103633400459688</v>
      </c>
      <c r="O80" s="22" t="n">
        <v>0.00613924787205776</v>
      </c>
      <c r="P80" s="22" t="n">
        <v>0.0129931784602492</v>
      </c>
      <c r="Q80" s="22" t="n">
        <v>0.00154025028763459</v>
      </c>
      <c r="R80" s="22" t="n">
        <v>0.000392826825703523</v>
      </c>
      <c r="S80" s="23" t="n">
        <f aca="false">IF(A80="","",SUM(H80:R80))</f>
        <v>0.0724391349391349</v>
      </c>
      <c r="T80" s="17" t="str">
        <f aca="false">IF(A80="","",IF(AND(MIN(H80:R80)&gt;=0,MAX(H80:R80)&lt;=1,S80&lt;=1),"OK","CHECK"))</f>
        <v>OK</v>
      </c>
      <c r="U80" s="17" t="str">
        <f aca="false">IF(A80="","", "LOSS-"&amp;A80&amp;"-L"&amp;TEXT(B80,"00")&amp;"-"&amp;TEXT(C80,"yyyymmdd")&amp;"-"&amp;D80&amp;"-"&amp;E80)</f>
        <v>LOSS-KG01-L21-20251003-PM-ORD-2025-00164</v>
      </c>
      <c r="V80" s="17" t="str">
        <f aca="false">IF(U80="","",IF(COUNTIF($U$5:$U$935,U80)=1,"OK","CHECK"))</f>
        <v>OK</v>
      </c>
      <c r="W80" s="17" t="str">
        <f aca="false">IF(A80="","",IF(AND(T80="OK",V80="OK",G80&gt;=0),"OK","CHECK"))</f>
        <v>OK</v>
      </c>
    </row>
    <row r="81" customFormat="false" ht="18" hidden="false" customHeight="true" outlineLevel="0" collapsed="false">
      <c r="A81" s="18" t="s">
        <v>39</v>
      </c>
      <c r="B81" s="19" t="n">
        <v>21</v>
      </c>
      <c r="C81" s="20" t="n">
        <v>45934</v>
      </c>
      <c r="D81" s="18" t="s">
        <v>40</v>
      </c>
      <c r="E81" s="18" t="s">
        <v>59</v>
      </c>
      <c r="F81" s="18" t="s">
        <v>42</v>
      </c>
      <c r="G81" s="21" t="n">
        <v>4358</v>
      </c>
      <c r="H81" s="22" t="n">
        <v>0.000655415285502554</v>
      </c>
      <c r="I81" s="22" t="n">
        <v>0.00425064022886525</v>
      </c>
      <c r="J81" s="22" t="n">
        <v>0.000841516616095743</v>
      </c>
      <c r="K81" s="22" t="n">
        <v>0.000171559799653309</v>
      </c>
      <c r="L81" s="22" t="n">
        <v>0.0027714517703112</v>
      </c>
      <c r="M81" s="22" t="n">
        <v>0.00365988327456815</v>
      </c>
      <c r="N81" s="22" t="n">
        <v>0.00256519475992427</v>
      </c>
      <c r="O81" s="22" t="n">
        <v>0.00567472335145338</v>
      </c>
      <c r="P81" s="22" t="n">
        <v>0.00660523187363575</v>
      </c>
      <c r="Q81" s="22" t="n">
        <v>0.00671226620796249</v>
      </c>
      <c r="R81" s="22" t="n">
        <v>0.00405610418317302</v>
      </c>
      <c r="S81" s="23" t="n">
        <f aca="false">IF(A81="","",SUM(H81:R81))</f>
        <v>0.0379639873511451</v>
      </c>
      <c r="T81" s="17" t="str">
        <f aca="false">IF(A81="","",IF(AND(MIN(H81:R81)&gt;=0,MAX(H81:R81)&lt;=1,S81&lt;=1),"OK","CHECK"))</f>
        <v>OK</v>
      </c>
      <c r="U81" s="17" t="str">
        <f aca="false">IF(A81="","", "LOSS-"&amp;A81&amp;"-L"&amp;TEXT(B81,"00")&amp;"-"&amp;TEXT(C81,"yyyymmdd")&amp;"-"&amp;D81&amp;"-"&amp;E81)</f>
        <v>LOSS-KG01-L21-20251004-AM-ORD-2025-00164</v>
      </c>
      <c r="V81" s="17" t="str">
        <f aca="false">IF(U81="","",IF(COUNTIF($U$5:$U$935,U81)=1,"OK","CHECK"))</f>
        <v>OK</v>
      </c>
      <c r="W81" s="17" t="str">
        <f aca="false">IF(A81="","",IF(AND(T81="OK",V81="OK",G81&gt;=0),"OK","CHECK"))</f>
        <v>OK</v>
      </c>
    </row>
    <row r="82" customFormat="false" ht="18" hidden="false" customHeight="true" outlineLevel="0" collapsed="false">
      <c r="A82" s="18" t="s">
        <v>39</v>
      </c>
      <c r="B82" s="19" t="n">
        <v>21</v>
      </c>
      <c r="C82" s="20" t="n">
        <v>45934</v>
      </c>
      <c r="D82" s="18" t="s">
        <v>43</v>
      </c>
      <c r="E82" s="18" t="s">
        <v>59</v>
      </c>
      <c r="F82" s="18" t="s">
        <v>42</v>
      </c>
      <c r="G82" s="21" t="n">
        <v>20627</v>
      </c>
      <c r="H82" s="22" t="n">
        <v>0.000539219252406105</v>
      </c>
      <c r="I82" s="22" t="n">
        <v>0.00289736498967298</v>
      </c>
      <c r="J82" s="22" t="n">
        <v>0.0149772887897752</v>
      </c>
      <c r="K82" s="22" t="n">
        <v>0.0108522035202335</v>
      </c>
      <c r="L82" s="22" t="n">
        <v>0.00269427194076235</v>
      </c>
      <c r="M82" s="22" t="n">
        <v>0.00517887020926339</v>
      </c>
      <c r="N82" s="22" t="n">
        <v>0.000616281784965505</v>
      </c>
      <c r="O82" s="22" t="n">
        <v>0.00976414452280326</v>
      </c>
      <c r="P82" s="22" t="n">
        <v>0.00531111482751939</v>
      </c>
      <c r="Q82" s="22" t="n">
        <v>0.00449271388879129</v>
      </c>
      <c r="R82" s="22" t="n">
        <v>0.0175699609803259</v>
      </c>
      <c r="S82" s="23" t="n">
        <f aca="false">IF(A82="","",SUM(H82:R82))</f>
        <v>0.0748934347065189</v>
      </c>
      <c r="T82" s="17" t="str">
        <f aca="false">IF(A82="","",IF(AND(MIN(H82:R82)&gt;=0,MAX(H82:R82)&lt;=1,S82&lt;=1),"OK","CHECK"))</f>
        <v>OK</v>
      </c>
      <c r="U82" s="17" t="str">
        <f aca="false">IF(A82="","", "LOSS-"&amp;A82&amp;"-L"&amp;TEXT(B82,"00")&amp;"-"&amp;TEXT(C82,"yyyymmdd")&amp;"-"&amp;D82&amp;"-"&amp;E82)</f>
        <v>LOSS-KG01-L21-20251004-PM-ORD-2025-00164</v>
      </c>
      <c r="V82" s="17" t="str">
        <f aca="false">IF(U82="","",IF(COUNTIF($U$5:$U$935,U82)=1,"OK","CHECK"))</f>
        <v>OK</v>
      </c>
      <c r="W82" s="17" t="str">
        <f aca="false">IF(A82="","",IF(AND(T82="OK",V82="OK",G82&gt;=0),"OK","CHECK"))</f>
        <v>OK</v>
      </c>
    </row>
    <row r="83" customFormat="false" ht="18" hidden="false" customHeight="true" outlineLevel="0" collapsed="false">
      <c r="A83" s="18" t="s">
        <v>39</v>
      </c>
      <c r="B83" s="19" t="n">
        <v>21</v>
      </c>
      <c r="C83" s="20" t="n">
        <v>45935</v>
      </c>
      <c r="D83" s="18" t="s">
        <v>40</v>
      </c>
      <c r="E83" s="18" t="s">
        <v>59</v>
      </c>
      <c r="F83" s="18" t="s">
        <v>42</v>
      </c>
      <c r="G83" s="21" t="n">
        <v>9590</v>
      </c>
      <c r="H83" s="22" t="n">
        <v>0.0042387178716711</v>
      </c>
      <c r="I83" s="22" t="n">
        <v>0.00637899738931531</v>
      </c>
      <c r="J83" s="22" t="n">
        <v>0.00768964383820697</v>
      </c>
      <c r="K83" s="22" t="n">
        <v>0.01180488140091</v>
      </c>
      <c r="L83" s="22" t="n">
        <v>0.00797253913338933</v>
      </c>
      <c r="M83" s="22" t="n">
        <v>0.000810772345943607</v>
      </c>
      <c r="N83" s="22" t="n">
        <v>0.0151236008089941</v>
      </c>
      <c r="O83" s="22" t="n">
        <v>0.0038596847622558</v>
      </c>
      <c r="P83" s="22" t="n">
        <v>0.0010374787950617</v>
      </c>
      <c r="Q83" s="22" t="n">
        <v>0.000902394624138945</v>
      </c>
      <c r="R83" s="22" t="n">
        <v>0.00341150239087474</v>
      </c>
      <c r="S83" s="23" t="n">
        <f aca="false">IF(A83="","",SUM(H83:R83))</f>
        <v>0.0632302133607616</v>
      </c>
      <c r="T83" s="17" t="str">
        <f aca="false">IF(A83="","",IF(AND(MIN(H83:R83)&gt;=0,MAX(H83:R83)&lt;=1,S83&lt;=1),"OK","CHECK"))</f>
        <v>OK</v>
      </c>
      <c r="U83" s="17" t="str">
        <f aca="false">IF(A83="","", "LOSS-"&amp;A83&amp;"-L"&amp;TEXT(B83,"00")&amp;"-"&amp;TEXT(C83,"yyyymmdd")&amp;"-"&amp;D83&amp;"-"&amp;E83)</f>
        <v>LOSS-KG01-L21-20251005-AM-ORD-2025-00164</v>
      </c>
      <c r="V83" s="17" t="str">
        <f aca="false">IF(U83="","",IF(COUNTIF($U$5:$U$935,U83)=1,"OK","CHECK"))</f>
        <v>OK</v>
      </c>
      <c r="W83" s="17" t="str">
        <f aca="false">IF(A83="","",IF(AND(T83="OK",V83="OK",G83&gt;=0),"OK","CHECK"))</f>
        <v>OK</v>
      </c>
    </row>
    <row r="84" customFormat="false" ht="18" hidden="false" customHeight="true" outlineLevel="0" collapsed="false">
      <c r="A84" s="18" t="s">
        <v>39</v>
      </c>
      <c r="B84" s="19" t="n">
        <v>21</v>
      </c>
      <c r="C84" s="20" t="n">
        <v>45935</v>
      </c>
      <c r="D84" s="18" t="s">
        <v>43</v>
      </c>
      <c r="E84" s="18" t="s">
        <v>59</v>
      </c>
      <c r="F84" s="18" t="s">
        <v>42</v>
      </c>
      <c r="G84" s="21" t="n">
        <v>8530</v>
      </c>
      <c r="H84" s="22" t="n">
        <v>0.0049318747414719</v>
      </c>
      <c r="I84" s="22" t="n">
        <v>0.000857225110312716</v>
      </c>
      <c r="J84" s="22" t="n">
        <v>0.0246154349563609</v>
      </c>
      <c r="K84" s="22" t="n">
        <v>0.00224705438476413</v>
      </c>
      <c r="L84" s="22" t="n">
        <v>0.000249177602854757</v>
      </c>
      <c r="M84" s="22" t="n">
        <v>0.0195946744178389</v>
      </c>
      <c r="N84" s="22" t="n">
        <v>0.00301942060921074</v>
      </c>
      <c r="O84" s="22" t="n">
        <v>0.00933625792037146</v>
      </c>
      <c r="P84" s="22" t="n">
        <v>0.00183765613401078</v>
      </c>
      <c r="Q84" s="22" t="n">
        <v>5.87122160583691E-005</v>
      </c>
      <c r="R84" s="22" t="n">
        <v>0.0091017027301492</v>
      </c>
      <c r="S84" s="23" t="n">
        <f aca="false">IF(A84="","",SUM(H84:R84))</f>
        <v>0.0758491908234038</v>
      </c>
      <c r="T84" s="17" t="str">
        <f aca="false">IF(A84="","",IF(AND(MIN(H84:R84)&gt;=0,MAX(H84:R84)&lt;=1,S84&lt;=1),"OK","CHECK"))</f>
        <v>OK</v>
      </c>
      <c r="U84" s="17" t="str">
        <f aca="false">IF(A84="","", "LOSS-"&amp;A84&amp;"-L"&amp;TEXT(B84,"00")&amp;"-"&amp;TEXT(C84,"yyyymmdd")&amp;"-"&amp;D84&amp;"-"&amp;E84)</f>
        <v>LOSS-KG01-L21-20251005-PM-ORD-2025-00164</v>
      </c>
      <c r="V84" s="17" t="str">
        <f aca="false">IF(U84="","",IF(COUNTIF($U$5:$U$935,U84)=1,"OK","CHECK"))</f>
        <v>OK</v>
      </c>
      <c r="W84" s="17" t="str">
        <f aca="false">IF(A84="","",IF(AND(T84="OK",V84="OK",G84&gt;=0),"OK","CHECK"))</f>
        <v>OK</v>
      </c>
    </row>
    <row r="85" customFormat="false" ht="18" hidden="false" customHeight="true" outlineLevel="0" collapsed="false">
      <c r="A85" s="18" t="s">
        <v>39</v>
      </c>
      <c r="B85" s="19" t="n">
        <v>21</v>
      </c>
      <c r="C85" s="20" t="n">
        <v>45936</v>
      </c>
      <c r="D85" s="18" t="s">
        <v>40</v>
      </c>
      <c r="E85" s="18" t="s">
        <v>59</v>
      </c>
      <c r="F85" s="18" t="s">
        <v>42</v>
      </c>
      <c r="G85" s="21" t="n">
        <v>6888</v>
      </c>
      <c r="H85" s="22" t="n">
        <v>0.00194664861242781</v>
      </c>
      <c r="I85" s="22" t="n">
        <v>0.00350176514154965</v>
      </c>
      <c r="J85" s="22" t="n">
        <v>0.00321829886135308</v>
      </c>
      <c r="K85" s="22" t="n">
        <v>0.0023237301114858</v>
      </c>
      <c r="L85" s="22" t="n">
        <v>0.00425896551927486</v>
      </c>
      <c r="M85" s="22" t="n">
        <v>0.00128241916651223</v>
      </c>
      <c r="N85" s="22" t="n">
        <v>1.05117818045361E-005</v>
      </c>
      <c r="O85" s="22" t="n">
        <v>0.00335640955485094</v>
      </c>
      <c r="P85" s="22" t="n">
        <v>0.0012138926219785</v>
      </c>
      <c r="Q85" s="22" t="n">
        <v>9.90818386003822E-005</v>
      </c>
      <c r="R85" s="22" t="n">
        <v>0.0139814098373725</v>
      </c>
      <c r="S85" s="23" t="n">
        <f aca="false">IF(A85="","",SUM(H85:R85))</f>
        <v>0.0351931330472103</v>
      </c>
      <c r="T85" s="17" t="str">
        <f aca="false">IF(A85="","",IF(AND(MIN(H85:R85)&gt;=0,MAX(H85:R85)&lt;=1,S85&lt;=1),"OK","CHECK"))</f>
        <v>OK</v>
      </c>
      <c r="U85" s="17" t="str">
        <f aca="false">IF(A85="","", "LOSS-"&amp;A85&amp;"-L"&amp;TEXT(B85,"00")&amp;"-"&amp;TEXT(C85,"yyyymmdd")&amp;"-"&amp;D85&amp;"-"&amp;E85)</f>
        <v>LOSS-KG01-L21-20251006-AM-ORD-2025-00164</v>
      </c>
      <c r="V85" s="17" t="str">
        <f aca="false">IF(U85="","",IF(COUNTIF($U$5:$U$935,U85)=1,"OK","CHECK"))</f>
        <v>OK</v>
      </c>
      <c r="W85" s="17" t="str">
        <f aca="false">IF(A85="","",IF(AND(T85="OK",V85="OK",G85&gt;=0),"OK","CHECK"))</f>
        <v>OK</v>
      </c>
    </row>
    <row r="86" customFormat="false" ht="18" hidden="false" customHeight="true" outlineLevel="0" collapsed="false">
      <c r="A86" s="18" t="s">
        <v>39</v>
      </c>
      <c r="B86" s="19" t="n">
        <v>21</v>
      </c>
      <c r="C86" s="20" t="n">
        <v>45936</v>
      </c>
      <c r="D86" s="18" t="s">
        <v>43</v>
      </c>
      <c r="E86" s="18" t="s">
        <v>60</v>
      </c>
      <c r="F86" s="18" t="s">
        <v>45</v>
      </c>
      <c r="G86" s="21" t="n">
        <v>9685</v>
      </c>
      <c r="H86" s="22" t="n">
        <v>0.0036041691553193</v>
      </c>
      <c r="I86" s="22" t="n">
        <v>0.0104612262970566</v>
      </c>
      <c r="J86" s="22" t="n">
        <v>0.0124166292777992</v>
      </c>
      <c r="K86" s="22" t="n">
        <v>0.000253828340282328</v>
      </c>
      <c r="L86" s="22" t="n">
        <v>0.00317494707836182</v>
      </c>
      <c r="M86" s="22" t="n">
        <v>0.00215509645708295</v>
      </c>
      <c r="N86" s="22" t="n">
        <v>0.000584335983703533</v>
      </c>
      <c r="O86" s="22" t="n">
        <v>0.0053921054710706</v>
      </c>
      <c r="P86" s="22" t="n">
        <v>0.0123882154089981</v>
      </c>
      <c r="Q86" s="22" t="n">
        <v>0.00462855004095309</v>
      </c>
      <c r="R86" s="22" t="n">
        <v>0.0189377181024039</v>
      </c>
      <c r="S86" s="23" t="n">
        <f aca="false">IF(A86="","",SUM(H86:R86))</f>
        <v>0.0739968216130314</v>
      </c>
      <c r="T86" s="17" t="str">
        <f aca="false">IF(A86="","",IF(AND(MIN(H86:R86)&gt;=0,MAX(H86:R86)&lt;=1,S86&lt;=1),"OK","CHECK"))</f>
        <v>OK</v>
      </c>
      <c r="U86" s="17" t="str">
        <f aca="false">IF(A86="","", "LOSS-"&amp;A86&amp;"-L"&amp;TEXT(B86,"00")&amp;"-"&amp;TEXT(C86,"yyyymmdd")&amp;"-"&amp;D86&amp;"-"&amp;E86)</f>
        <v>LOSS-KG01-L21-20251006-PM-ORD-2025-00165</v>
      </c>
      <c r="V86" s="17" t="str">
        <f aca="false">IF(U86="","",IF(COUNTIF($U$5:$U$935,U86)=1,"OK","CHECK"))</f>
        <v>OK</v>
      </c>
      <c r="W86" s="17" t="str">
        <f aca="false">IF(A86="","",IF(AND(T86="OK",V86="OK",G86&gt;=0),"OK","CHECK"))</f>
        <v>OK</v>
      </c>
    </row>
    <row r="87" customFormat="false" ht="18" hidden="false" customHeight="true" outlineLevel="0" collapsed="false">
      <c r="A87" s="18" t="s">
        <v>39</v>
      </c>
      <c r="B87" s="19" t="n">
        <v>21</v>
      </c>
      <c r="C87" s="20" t="n">
        <v>45937</v>
      </c>
      <c r="D87" s="18" t="s">
        <v>40</v>
      </c>
      <c r="E87" s="18" t="s">
        <v>60</v>
      </c>
      <c r="F87" s="18" t="s">
        <v>61</v>
      </c>
      <c r="G87" s="21" t="n">
        <v>3004</v>
      </c>
      <c r="H87" s="22" t="n">
        <v>0.000423407305002745</v>
      </c>
      <c r="I87" s="22" t="n">
        <v>0.0037614483850704</v>
      </c>
      <c r="J87" s="22" t="n">
        <v>0.00400004202021051</v>
      </c>
      <c r="K87" s="22" t="n">
        <v>0.00484139183026237</v>
      </c>
      <c r="L87" s="22" t="n">
        <v>0.000246170126856651</v>
      </c>
      <c r="M87" s="22" t="n">
        <v>0.00247126331394052</v>
      </c>
      <c r="N87" s="22" t="n">
        <v>0.000128737488995488</v>
      </c>
      <c r="O87" s="22" t="n">
        <v>0.00495139551130487</v>
      </c>
      <c r="P87" s="22" t="n">
        <v>0.00347413800617082</v>
      </c>
      <c r="Q87" s="22" t="n">
        <v>0.00199800602804865</v>
      </c>
      <c r="R87" s="22" t="n">
        <v>0.000461878593867437</v>
      </c>
      <c r="S87" s="23" t="n">
        <f aca="false">IF(A87="","",SUM(H87:R87))</f>
        <v>0.0267578786097305</v>
      </c>
      <c r="T87" s="17" t="str">
        <f aca="false">IF(A87="","",IF(AND(MIN(H87:R87)&gt;=0,MAX(H87:R87)&lt;=1,S87&lt;=1),"OK","CHECK"))</f>
        <v>OK</v>
      </c>
      <c r="U87" s="17" t="str">
        <f aca="false">IF(A87="","", "LOSS-"&amp;A87&amp;"-L"&amp;TEXT(B87,"00")&amp;"-"&amp;TEXT(C87,"yyyymmdd")&amp;"-"&amp;D87&amp;"-"&amp;E87)</f>
        <v>LOSS-KG01-L21-20251007-AM-ORD-2025-00165</v>
      </c>
      <c r="V87" s="17" t="str">
        <f aca="false">IF(U87="","",IF(COUNTIF($U$5:$U$935,U87)=1,"OK","CHECK"))</f>
        <v>OK</v>
      </c>
      <c r="W87" s="17" t="str">
        <f aca="false">IF(A87="","",IF(AND(T87="OK",V87="OK",G87&gt;=0),"OK","CHECK"))</f>
        <v>OK</v>
      </c>
    </row>
    <row r="88" customFormat="false" ht="18" hidden="false" customHeight="true" outlineLevel="0" collapsed="false">
      <c r="A88" s="18" t="s">
        <v>39</v>
      </c>
      <c r="B88" s="19" t="n">
        <v>21</v>
      </c>
      <c r="C88" s="20" t="n">
        <v>45937</v>
      </c>
      <c r="D88" s="18" t="s">
        <v>43</v>
      </c>
      <c r="E88" s="18" t="s">
        <v>60</v>
      </c>
      <c r="F88" s="18" t="s">
        <v>42</v>
      </c>
      <c r="G88" s="21" t="n">
        <v>30481</v>
      </c>
      <c r="H88" s="22" t="n">
        <v>0.00764594428585816</v>
      </c>
      <c r="I88" s="22" t="n">
        <v>0.00102420136906447</v>
      </c>
      <c r="J88" s="22" t="n">
        <v>0.00154918062629095</v>
      </c>
      <c r="K88" s="22" t="n">
        <v>0.0128119960896159</v>
      </c>
      <c r="L88" s="22" t="n">
        <v>0.0115339018453799</v>
      </c>
      <c r="M88" s="22" t="n">
        <v>0.00870885236302311</v>
      </c>
      <c r="N88" s="22" t="n">
        <v>0.00740423193986437</v>
      </c>
      <c r="O88" s="22" t="n">
        <v>1.82297277019442E-006</v>
      </c>
      <c r="P88" s="22" t="n">
        <v>0.00551620302378077</v>
      </c>
      <c r="Q88" s="22" t="n">
        <v>0.0126182053296224</v>
      </c>
      <c r="R88" s="22" t="n">
        <v>0.0116726982761221</v>
      </c>
      <c r="S88" s="23" t="n">
        <f aca="false">IF(A88="","",SUM(H88:R88))</f>
        <v>0.0804872381213923</v>
      </c>
      <c r="T88" s="17" t="str">
        <f aca="false">IF(A88="","",IF(AND(MIN(H88:R88)&gt;=0,MAX(H88:R88)&lt;=1,S88&lt;=1),"OK","CHECK"))</f>
        <v>OK</v>
      </c>
      <c r="U88" s="17" t="str">
        <f aca="false">IF(A88="","", "LOSS-"&amp;A88&amp;"-L"&amp;TEXT(B88,"00")&amp;"-"&amp;TEXT(C88,"yyyymmdd")&amp;"-"&amp;D88&amp;"-"&amp;E88)</f>
        <v>LOSS-KG01-L21-20251007-PM-ORD-2025-00165</v>
      </c>
      <c r="V88" s="17" t="str">
        <f aca="false">IF(U88="","",IF(COUNTIF($U$5:$U$935,U88)=1,"OK","CHECK"))</f>
        <v>OK</v>
      </c>
      <c r="W88" s="17" t="str">
        <f aca="false">IF(A88="","",IF(AND(T88="OK",V88="OK",G88&gt;=0),"OK","CHECK"))</f>
        <v>OK</v>
      </c>
    </row>
    <row r="89" customFormat="false" ht="18" hidden="false" customHeight="true" outlineLevel="0" collapsed="false">
      <c r="A89" s="18" t="s">
        <v>39</v>
      </c>
      <c r="B89" s="19" t="n">
        <v>21</v>
      </c>
      <c r="C89" s="20" t="n">
        <v>45938</v>
      </c>
      <c r="D89" s="18" t="s">
        <v>40</v>
      </c>
      <c r="E89" s="18" t="s">
        <v>60</v>
      </c>
      <c r="F89" s="18" t="s">
        <v>42</v>
      </c>
      <c r="G89" s="21" t="n">
        <v>6618</v>
      </c>
      <c r="H89" s="22" t="n">
        <v>0.00702766913780587</v>
      </c>
      <c r="I89" s="22" t="n">
        <v>0.000485929870473622</v>
      </c>
      <c r="J89" s="22" t="n">
        <v>0.00490897919538368</v>
      </c>
      <c r="K89" s="22" t="n">
        <v>0.000413268846500629</v>
      </c>
      <c r="L89" s="22" t="n">
        <v>0.000512524667716735</v>
      </c>
      <c r="M89" s="22" t="n">
        <v>0.00323290356824035</v>
      </c>
      <c r="N89" s="22" t="n">
        <v>0.00286521291057243</v>
      </c>
      <c r="O89" s="22" t="n">
        <v>0.0020614466533446</v>
      </c>
      <c r="P89" s="22" t="n">
        <v>0.00622277719966493</v>
      </c>
      <c r="Q89" s="22" t="n">
        <v>0.0010888106402141</v>
      </c>
      <c r="R89" s="22" t="n">
        <v>6.91915920557754E-005</v>
      </c>
      <c r="S89" s="23" t="n">
        <f aca="false">IF(A89="","",SUM(H89:R89))</f>
        <v>0.0288887142819727</v>
      </c>
      <c r="T89" s="17" t="str">
        <f aca="false">IF(A89="","",IF(AND(MIN(H89:R89)&gt;=0,MAX(H89:R89)&lt;=1,S89&lt;=1),"OK","CHECK"))</f>
        <v>OK</v>
      </c>
      <c r="U89" s="17" t="str">
        <f aca="false">IF(A89="","", "LOSS-"&amp;A89&amp;"-L"&amp;TEXT(B89,"00")&amp;"-"&amp;TEXT(C89,"yyyymmdd")&amp;"-"&amp;D89&amp;"-"&amp;E89)</f>
        <v>LOSS-KG01-L21-20251008-AM-ORD-2025-00165</v>
      </c>
      <c r="V89" s="17" t="str">
        <f aca="false">IF(U89="","",IF(COUNTIF($U$5:$U$935,U89)=1,"OK","CHECK"))</f>
        <v>OK</v>
      </c>
      <c r="W89" s="17" t="str">
        <f aca="false">IF(A89="","",IF(AND(T89="OK",V89="OK",G89&gt;=0),"OK","CHECK"))</f>
        <v>OK</v>
      </c>
    </row>
    <row r="90" customFormat="false" ht="18" hidden="false" customHeight="true" outlineLevel="0" collapsed="false">
      <c r="A90" s="18" t="s">
        <v>39</v>
      </c>
      <c r="B90" s="19" t="n">
        <v>21</v>
      </c>
      <c r="C90" s="20" t="n">
        <v>45938</v>
      </c>
      <c r="D90" s="18" t="s">
        <v>43</v>
      </c>
      <c r="E90" s="18" t="s">
        <v>60</v>
      </c>
      <c r="F90" s="18" t="s">
        <v>42</v>
      </c>
      <c r="G90" s="21" t="n">
        <v>16146</v>
      </c>
      <c r="H90" s="22" t="n">
        <v>0.0133721286465832</v>
      </c>
      <c r="I90" s="22" t="n">
        <v>0.00343683587625243</v>
      </c>
      <c r="J90" s="22" t="n">
        <v>0.0165844290648657</v>
      </c>
      <c r="K90" s="22" t="n">
        <v>0.00326112305696748</v>
      </c>
      <c r="L90" s="22" t="n">
        <v>0.00359716805238</v>
      </c>
      <c r="M90" s="22" t="n">
        <v>0.0135989267974061</v>
      </c>
      <c r="N90" s="22" t="n">
        <v>1.69400235064758E-005</v>
      </c>
      <c r="O90" s="22" t="n">
        <v>0.00036089592959943</v>
      </c>
      <c r="P90" s="22" t="n">
        <v>0.0142704628322037</v>
      </c>
      <c r="Q90" s="22" t="n">
        <v>0.00174538163595052</v>
      </c>
      <c r="R90" s="22" t="n">
        <v>0.0101752885038653</v>
      </c>
      <c r="S90" s="23" t="n">
        <f aca="false">IF(A90="","",SUM(H90:R90))</f>
        <v>0.0804195804195803</v>
      </c>
      <c r="T90" s="17" t="str">
        <f aca="false">IF(A90="","",IF(AND(MIN(H90:R90)&gt;=0,MAX(H90:R90)&lt;=1,S90&lt;=1),"OK","CHECK"))</f>
        <v>OK</v>
      </c>
      <c r="U90" s="17" t="str">
        <f aca="false">IF(A90="","", "LOSS-"&amp;A90&amp;"-L"&amp;TEXT(B90,"00")&amp;"-"&amp;TEXT(C90,"yyyymmdd")&amp;"-"&amp;D90&amp;"-"&amp;E90)</f>
        <v>LOSS-KG01-L21-20251008-PM-ORD-2025-00165</v>
      </c>
      <c r="V90" s="17" t="str">
        <f aca="false">IF(U90="","",IF(COUNTIF($U$5:$U$935,U90)=1,"OK","CHECK"))</f>
        <v>OK</v>
      </c>
      <c r="W90" s="17" t="str">
        <f aca="false">IF(A90="","",IF(AND(T90="OK",V90="OK",G90&gt;=0),"OK","CHECK"))</f>
        <v>OK</v>
      </c>
    </row>
    <row r="91" customFormat="false" ht="18" hidden="false" customHeight="true" outlineLevel="0" collapsed="false">
      <c r="A91" s="18" t="s">
        <v>39</v>
      </c>
      <c r="B91" s="19" t="n">
        <v>21</v>
      </c>
      <c r="C91" s="20" t="n">
        <v>45939</v>
      </c>
      <c r="D91" s="18" t="s">
        <v>40</v>
      </c>
      <c r="E91" s="18" t="s">
        <v>62</v>
      </c>
      <c r="F91" s="18" t="s">
        <v>45</v>
      </c>
      <c r="G91" s="21" t="n">
        <v>1417</v>
      </c>
      <c r="H91" s="22" t="n">
        <v>0.00539875040118621</v>
      </c>
      <c r="I91" s="22" t="n">
        <v>0.0093814725284166</v>
      </c>
      <c r="J91" s="22" t="n">
        <v>0.00271850904132775</v>
      </c>
      <c r="K91" s="22" t="n">
        <v>0.00109889808873564</v>
      </c>
      <c r="L91" s="22" t="n">
        <v>0.00391694213500776</v>
      </c>
      <c r="M91" s="22" t="n">
        <v>0.0122421874500739</v>
      </c>
      <c r="N91" s="22" t="n">
        <v>0.0125767692633362</v>
      </c>
      <c r="O91" s="22" t="n">
        <v>0.0103050748303324</v>
      </c>
      <c r="P91" s="22" t="n">
        <v>0.00194040266721303</v>
      </c>
      <c r="Q91" s="22" t="n">
        <v>0.00744577859881929</v>
      </c>
      <c r="R91" s="22" t="n">
        <v>0.00696226595628642</v>
      </c>
      <c r="S91" s="23" t="n">
        <f aca="false">IF(A91="","",SUM(H91:R91))</f>
        <v>0.0739870509607352</v>
      </c>
      <c r="T91" s="17" t="str">
        <f aca="false">IF(A91="","",IF(AND(MIN(H91:R91)&gt;=0,MAX(H91:R91)&lt;=1,S91&lt;=1),"OK","CHECK"))</f>
        <v>OK</v>
      </c>
      <c r="U91" s="17" t="str">
        <f aca="false">IF(A91="","", "LOSS-"&amp;A91&amp;"-L"&amp;TEXT(B91,"00")&amp;"-"&amp;TEXT(C91,"yyyymmdd")&amp;"-"&amp;D91&amp;"-"&amp;E91)</f>
        <v>LOSS-KG01-L21-20251009-AM-ORD-2025-00166</v>
      </c>
      <c r="V91" s="17" t="str">
        <f aca="false">IF(U91="","",IF(COUNTIF($U$5:$U$935,U91)=1,"OK","CHECK"))</f>
        <v>OK</v>
      </c>
      <c r="W91" s="17" t="str">
        <f aca="false">IF(A91="","",IF(AND(T91="OK",V91="OK",G91&gt;=0),"OK","CHECK"))</f>
        <v>OK</v>
      </c>
    </row>
    <row r="92" customFormat="false" ht="18" hidden="false" customHeight="true" outlineLevel="0" collapsed="false">
      <c r="A92" s="18" t="s">
        <v>39</v>
      </c>
      <c r="B92" s="19" t="n">
        <v>21</v>
      </c>
      <c r="C92" s="20" t="n">
        <v>45939</v>
      </c>
      <c r="D92" s="18" t="s">
        <v>43</v>
      </c>
      <c r="E92" s="18" t="s">
        <v>62</v>
      </c>
      <c r="F92" s="18" t="s">
        <v>42</v>
      </c>
      <c r="G92" s="21" t="n">
        <v>12649</v>
      </c>
      <c r="H92" s="22" t="n">
        <v>9.58052425100807E-006</v>
      </c>
      <c r="I92" s="22" t="n">
        <v>0.000178774719406055</v>
      </c>
      <c r="J92" s="22" t="n">
        <v>0.00881942764253272</v>
      </c>
      <c r="K92" s="22" t="n">
        <v>0.00912919758524654</v>
      </c>
      <c r="L92" s="22" t="n">
        <v>0.00298142228230751</v>
      </c>
      <c r="M92" s="22" t="n">
        <v>0.00589775851897332</v>
      </c>
      <c r="N92" s="22" t="n">
        <v>0.00771066500095515</v>
      </c>
      <c r="O92" s="22" t="n">
        <v>0.0030414118377552</v>
      </c>
      <c r="P92" s="22" t="n">
        <v>0.00141102579943672</v>
      </c>
      <c r="Q92" s="22" t="n">
        <v>0.00134279855235416</v>
      </c>
      <c r="R92" s="22" t="n">
        <v>0.00831162733919223</v>
      </c>
      <c r="S92" s="23" t="n">
        <f aca="false">IF(A92="","",SUM(H92:R92))</f>
        <v>0.0488336898024106</v>
      </c>
      <c r="T92" s="17" t="str">
        <f aca="false">IF(A92="","",IF(AND(MIN(H92:R92)&gt;=0,MAX(H92:R92)&lt;=1,S92&lt;=1),"OK","CHECK"))</f>
        <v>OK</v>
      </c>
      <c r="U92" s="17" t="str">
        <f aca="false">IF(A92="","", "LOSS-"&amp;A92&amp;"-L"&amp;TEXT(B92,"00")&amp;"-"&amp;TEXT(C92,"yyyymmdd")&amp;"-"&amp;D92&amp;"-"&amp;E92)</f>
        <v>LOSS-KG01-L21-20251009-PM-ORD-2025-00166</v>
      </c>
      <c r="V92" s="17" t="str">
        <f aca="false">IF(U92="","",IF(COUNTIF($U$5:$U$935,U92)=1,"OK","CHECK"))</f>
        <v>OK</v>
      </c>
      <c r="W92" s="17" t="str">
        <f aca="false">IF(A92="","",IF(AND(T92="OK",V92="OK",G92&gt;=0),"OK","CHECK"))</f>
        <v>OK</v>
      </c>
    </row>
    <row r="93" customFormat="false" ht="18" hidden="false" customHeight="true" outlineLevel="0" collapsed="false">
      <c r="A93" s="18" t="s">
        <v>39</v>
      </c>
      <c r="B93" s="19" t="n">
        <v>21</v>
      </c>
      <c r="C93" s="20" t="n">
        <v>45940</v>
      </c>
      <c r="D93" s="18" t="s">
        <v>40</v>
      </c>
      <c r="E93" s="18" t="s">
        <v>62</v>
      </c>
      <c r="F93" s="18" t="s">
        <v>42</v>
      </c>
      <c r="G93" s="21" t="n">
        <v>18854</v>
      </c>
      <c r="H93" s="22" t="n">
        <v>0.000117010646001297</v>
      </c>
      <c r="I93" s="22" t="n">
        <v>0.00430497587066081</v>
      </c>
      <c r="J93" s="22" t="n">
        <v>0.00649831798729336</v>
      </c>
      <c r="K93" s="22" t="n">
        <v>0.00311740549161183</v>
      </c>
      <c r="L93" s="22" t="n">
        <v>0.0266756316744301</v>
      </c>
      <c r="M93" s="22" t="n">
        <v>0.0117713596169356</v>
      </c>
      <c r="N93" s="22" t="n">
        <v>0.00267553016315327</v>
      </c>
      <c r="O93" s="22" t="n">
        <v>0.000847153173121704</v>
      </c>
      <c r="P93" s="22" t="n">
        <v>0.0131304817750891</v>
      </c>
      <c r="Q93" s="22" t="n">
        <v>0.000909667860353215</v>
      </c>
      <c r="R93" s="22" t="n">
        <v>0.0196915398877006</v>
      </c>
      <c r="S93" s="23" t="n">
        <f aca="false">IF(A93="","",SUM(H93:R93))</f>
        <v>0.0897390741463509</v>
      </c>
      <c r="T93" s="17" t="str">
        <f aca="false">IF(A93="","",IF(AND(MIN(H93:R93)&gt;=0,MAX(H93:R93)&lt;=1,S93&lt;=1),"OK","CHECK"))</f>
        <v>OK</v>
      </c>
      <c r="U93" s="17" t="str">
        <f aca="false">IF(A93="","", "LOSS-"&amp;A93&amp;"-L"&amp;TEXT(B93,"00")&amp;"-"&amp;TEXT(C93,"yyyymmdd")&amp;"-"&amp;D93&amp;"-"&amp;E93)</f>
        <v>LOSS-KG01-L21-20251010-AM-ORD-2025-00166</v>
      </c>
      <c r="V93" s="17" t="str">
        <f aca="false">IF(U93="","",IF(COUNTIF($U$5:$U$935,U93)=1,"OK","CHECK"))</f>
        <v>OK</v>
      </c>
      <c r="W93" s="17" t="str">
        <f aca="false">IF(A93="","",IF(AND(T93="OK",V93="OK",G93&gt;=0),"OK","CHECK"))</f>
        <v>OK</v>
      </c>
    </row>
    <row r="94" customFormat="false" ht="18" hidden="false" customHeight="true" outlineLevel="0" collapsed="false">
      <c r="A94" s="18" t="s">
        <v>39</v>
      </c>
      <c r="B94" s="19" t="n">
        <v>21</v>
      </c>
      <c r="C94" s="20" t="n">
        <v>45940</v>
      </c>
      <c r="D94" s="18" t="s">
        <v>43</v>
      </c>
      <c r="E94" s="18" t="s">
        <v>62</v>
      </c>
      <c r="F94" s="18" t="s">
        <v>42</v>
      </c>
      <c r="G94" s="21" t="n">
        <v>9733</v>
      </c>
      <c r="H94" s="22" t="n">
        <v>0.00800409834551562</v>
      </c>
      <c r="I94" s="22" t="n">
        <v>1.58369082256928E-005</v>
      </c>
      <c r="J94" s="22" t="n">
        <v>0.000870671611715793</v>
      </c>
      <c r="K94" s="22" t="n">
        <v>0.0182607949484792</v>
      </c>
      <c r="L94" s="22" t="n">
        <v>0.00327408585347791</v>
      </c>
      <c r="M94" s="22" t="n">
        <v>0.000932038706771654</v>
      </c>
      <c r="N94" s="22" t="n">
        <v>0.00186317934406097</v>
      </c>
      <c r="O94" s="22" t="n">
        <v>0.00604605359981859</v>
      </c>
      <c r="P94" s="22" t="n">
        <v>0.00454500423604787</v>
      </c>
      <c r="Q94" s="22" t="n">
        <v>0.00298804799061168</v>
      </c>
      <c r="R94" s="22" t="n">
        <v>2.683177792434E-006</v>
      </c>
      <c r="S94" s="23" t="n">
        <f aca="false">IF(A94="","",SUM(H94:R94))</f>
        <v>0.0468024947225174</v>
      </c>
      <c r="T94" s="17" t="str">
        <f aca="false">IF(A94="","",IF(AND(MIN(H94:R94)&gt;=0,MAX(H94:R94)&lt;=1,S94&lt;=1),"OK","CHECK"))</f>
        <v>OK</v>
      </c>
      <c r="U94" s="17" t="str">
        <f aca="false">IF(A94="","", "LOSS-"&amp;A94&amp;"-L"&amp;TEXT(B94,"00")&amp;"-"&amp;TEXT(C94,"yyyymmdd")&amp;"-"&amp;D94&amp;"-"&amp;E94)</f>
        <v>LOSS-KG01-L21-20251010-PM-ORD-2025-00166</v>
      </c>
      <c r="V94" s="17" t="str">
        <f aca="false">IF(U94="","",IF(COUNTIF($U$5:$U$935,U94)=1,"OK","CHECK"))</f>
        <v>OK</v>
      </c>
      <c r="W94" s="17" t="str">
        <f aca="false">IF(A94="","",IF(AND(T94="OK",V94="OK",G94&gt;=0),"OK","CHECK"))</f>
        <v>OK</v>
      </c>
    </row>
    <row r="95" customFormat="false" ht="18" hidden="false" customHeight="true" outlineLevel="0" collapsed="false">
      <c r="A95" s="18" t="s">
        <v>39</v>
      </c>
      <c r="B95" s="19" t="n">
        <v>21</v>
      </c>
      <c r="C95" s="20" t="n">
        <v>45941</v>
      </c>
      <c r="D95" s="18" t="s">
        <v>40</v>
      </c>
      <c r="E95" s="18" t="s">
        <v>63</v>
      </c>
      <c r="F95" s="18" t="s">
        <v>45</v>
      </c>
      <c r="G95" s="21" t="n">
        <v>567</v>
      </c>
      <c r="H95" s="22" t="n">
        <v>0.000770537202515991</v>
      </c>
      <c r="I95" s="22" t="n">
        <v>0.00597320609425671</v>
      </c>
      <c r="J95" s="22" t="n">
        <v>0.00110380179257625</v>
      </c>
      <c r="K95" s="22" t="n">
        <v>0.00706673564491749</v>
      </c>
      <c r="L95" s="22" t="n">
        <v>0.000120339897813684</v>
      </c>
      <c r="M95" s="22" t="n">
        <v>0.00126332331974059</v>
      </c>
      <c r="N95" s="22" t="n">
        <v>0.00398518280612885</v>
      </c>
      <c r="O95" s="22" t="n">
        <v>0.00109191063662248</v>
      </c>
      <c r="P95" s="22" t="n">
        <v>0.00589174829977882</v>
      </c>
      <c r="Q95" s="22" t="n">
        <v>0.000307651076821474</v>
      </c>
      <c r="R95" s="22" t="n">
        <v>0.0054675212707857</v>
      </c>
      <c r="S95" s="23" t="n">
        <f aca="false">IF(A95="","",SUM(H95:R95))</f>
        <v>0.033041958041958</v>
      </c>
      <c r="T95" s="17" t="str">
        <f aca="false">IF(A95="","",IF(AND(MIN(H95:R95)&gt;=0,MAX(H95:R95)&lt;=1,S95&lt;=1),"OK","CHECK"))</f>
        <v>OK</v>
      </c>
      <c r="U95" s="17" t="str">
        <f aca="false">IF(A95="","", "LOSS-"&amp;A95&amp;"-L"&amp;TEXT(B95,"00")&amp;"-"&amp;TEXT(C95,"yyyymmdd")&amp;"-"&amp;D95&amp;"-"&amp;E95)</f>
        <v>LOSS-KG01-L21-20251011-AM-ORD-2025-00167</v>
      </c>
      <c r="V95" s="17" t="str">
        <f aca="false">IF(U95="","",IF(COUNTIF($U$5:$U$935,U95)=1,"OK","CHECK"))</f>
        <v>OK</v>
      </c>
      <c r="W95" s="17" t="str">
        <f aca="false">IF(A95="","",IF(AND(T95="OK",V95="OK",G95&gt;=0),"OK","CHECK"))</f>
        <v>OK</v>
      </c>
    </row>
    <row r="96" customFormat="false" ht="18" hidden="false" customHeight="true" outlineLevel="0" collapsed="false">
      <c r="A96" s="18" t="s">
        <v>39</v>
      </c>
      <c r="B96" s="19" t="n">
        <v>21</v>
      </c>
      <c r="C96" s="20" t="n">
        <v>45941</v>
      </c>
      <c r="D96" s="18" t="s">
        <v>43</v>
      </c>
      <c r="E96" s="18" t="s">
        <v>63</v>
      </c>
      <c r="F96" s="18" t="s">
        <v>42</v>
      </c>
      <c r="G96" s="21" t="n">
        <v>5837</v>
      </c>
      <c r="H96" s="22" t="n">
        <v>0.0005531195063739</v>
      </c>
      <c r="I96" s="22" t="n">
        <v>0.00385631497940668</v>
      </c>
      <c r="J96" s="22" t="n">
        <v>0.00254770203446692</v>
      </c>
      <c r="K96" s="22" t="n">
        <v>0.000145336485399934</v>
      </c>
      <c r="L96" s="22" t="n">
        <v>0.00190655765604619</v>
      </c>
      <c r="M96" s="22" t="n">
        <v>0.000555108938843648</v>
      </c>
      <c r="N96" s="22" t="n">
        <v>0.000237493692814499</v>
      </c>
      <c r="O96" s="22" t="n">
        <v>0.00296168142823453</v>
      </c>
      <c r="P96" s="22" t="n">
        <v>0.00121428086883866</v>
      </c>
      <c r="Q96" s="22" t="n">
        <v>0.000234530737547313</v>
      </c>
      <c r="R96" s="22" t="n">
        <v>0.00566236846761359</v>
      </c>
      <c r="S96" s="23" t="n">
        <f aca="false">IF(A96="","",SUM(H96:R96))</f>
        <v>0.0198744947955859</v>
      </c>
      <c r="T96" s="17" t="str">
        <f aca="false">IF(A96="","",IF(AND(MIN(H96:R96)&gt;=0,MAX(H96:R96)&lt;=1,S96&lt;=1),"OK","CHECK"))</f>
        <v>OK</v>
      </c>
      <c r="U96" s="17" t="str">
        <f aca="false">IF(A96="","", "LOSS-"&amp;A96&amp;"-L"&amp;TEXT(B96,"00")&amp;"-"&amp;TEXT(C96,"yyyymmdd")&amp;"-"&amp;D96&amp;"-"&amp;E96)</f>
        <v>LOSS-KG01-L21-20251011-PM-ORD-2025-00167</v>
      </c>
      <c r="V96" s="17" t="str">
        <f aca="false">IF(U96="","",IF(COUNTIF($U$5:$U$935,U96)=1,"OK","CHECK"))</f>
        <v>OK</v>
      </c>
      <c r="W96" s="17" t="str">
        <f aca="false">IF(A96="","",IF(AND(T96="OK",V96="OK",G96&gt;=0),"OK","CHECK"))</f>
        <v>OK</v>
      </c>
    </row>
    <row r="97" customFormat="false" ht="18" hidden="false" customHeight="true" outlineLevel="0" collapsed="false">
      <c r="A97" s="18" t="s">
        <v>39</v>
      </c>
      <c r="B97" s="19" t="n">
        <v>21</v>
      </c>
      <c r="C97" s="20" t="n">
        <v>45942</v>
      </c>
      <c r="D97" s="18" t="s">
        <v>40</v>
      </c>
      <c r="E97" s="18" t="s">
        <v>63</v>
      </c>
      <c r="F97" s="18" t="s">
        <v>42</v>
      </c>
      <c r="G97" s="21" t="n">
        <v>20886</v>
      </c>
      <c r="H97" s="22" t="n">
        <v>0.00482448217548076</v>
      </c>
      <c r="I97" s="22" t="n">
        <v>0.0165109572640305</v>
      </c>
      <c r="J97" s="22" t="n">
        <v>0.00888376892910687</v>
      </c>
      <c r="K97" s="22" t="n">
        <v>0.00147956961647826</v>
      </c>
      <c r="L97" s="22" t="n">
        <v>0.00262669166626343</v>
      </c>
      <c r="M97" s="22" t="n">
        <v>0.00786824802658811</v>
      </c>
      <c r="N97" s="22" t="n">
        <v>0.00585320434835509</v>
      </c>
      <c r="O97" s="22" t="n">
        <v>0.0051986952538508</v>
      </c>
      <c r="P97" s="22" t="n">
        <v>3.70953492913565E-005</v>
      </c>
      <c r="Q97" s="22" t="n">
        <v>0.000201542281223907</v>
      </c>
      <c r="R97" s="22" t="n">
        <v>0.0101431079627068</v>
      </c>
      <c r="S97" s="23" t="n">
        <f aca="false">IF(A97="","",SUM(H97:R97))</f>
        <v>0.0636273628733759</v>
      </c>
      <c r="T97" s="17" t="str">
        <f aca="false">IF(A97="","",IF(AND(MIN(H97:R97)&gt;=0,MAX(H97:R97)&lt;=1,S97&lt;=1),"OK","CHECK"))</f>
        <v>OK</v>
      </c>
      <c r="U97" s="17" t="str">
        <f aca="false">IF(A97="","", "LOSS-"&amp;A97&amp;"-L"&amp;TEXT(B97,"00")&amp;"-"&amp;TEXT(C97,"yyyymmdd")&amp;"-"&amp;D97&amp;"-"&amp;E97)</f>
        <v>LOSS-KG01-L21-20251012-AM-ORD-2025-00167</v>
      </c>
      <c r="V97" s="17" t="str">
        <f aca="false">IF(U97="","",IF(COUNTIF($U$5:$U$935,U97)=1,"OK","CHECK"))</f>
        <v>OK</v>
      </c>
      <c r="W97" s="17" t="str">
        <f aca="false">IF(A97="","",IF(AND(T97="OK",V97="OK",G97&gt;=0),"OK","CHECK"))</f>
        <v>OK</v>
      </c>
    </row>
    <row r="98" customFormat="false" ht="18" hidden="false" customHeight="true" outlineLevel="0" collapsed="false">
      <c r="A98" s="18" t="s">
        <v>39</v>
      </c>
      <c r="B98" s="19" t="n">
        <v>21</v>
      </c>
      <c r="C98" s="20" t="n">
        <v>45942</v>
      </c>
      <c r="D98" s="18" t="s">
        <v>43</v>
      </c>
      <c r="E98" s="18" t="s">
        <v>64</v>
      </c>
      <c r="F98" s="18" t="s">
        <v>45</v>
      </c>
      <c r="G98" s="21" t="n">
        <v>1155</v>
      </c>
      <c r="H98" s="22" t="n">
        <v>0.01596244503999</v>
      </c>
      <c r="I98" s="22" t="n">
        <v>0.00227341914441817</v>
      </c>
      <c r="J98" s="22" t="n">
        <v>0.0134230256248903</v>
      </c>
      <c r="K98" s="22" t="n">
        <v>0.0118685433279817</v>
      </c>
      <c r="L98" s="22" t="n">
        <v>0.00289148576701598</v>
      </c>
      <c r="M98" s="22" t="n">
        <v>0.0128179854472429</v>
      </c>
      <c r="N98" s="22" t="n">
        <v>0.0136535357796298</v>
      </c>
      <c r="O98" s="22" t="n">
        <v>0.00325666756224755</v>
      </c>
      <c r="P98" s="22" t="n">
        <v>0.000609640220187423</v>
      </c>
      <c r="Q98" s="22" t="n">
        <v>0.00721395399647543</v>
      </c>
      <c r="R98" s="22" t="n">
        <v>0.00352929808992077</v>
      </c>
      <c r="S98" s="23" t="n">
        <f aca="false">IF(A98="","",SUM(H98:R98))</f>
        <v>0.0875</v>
      </c>
      <c r="T98" s="17" t="str">
        <f aca="false">IF(A98="","",IF(AND(MIN(H98:R98)&gt;=0,MAX(H98:R98)&lt;=1,S98&lt;=1),"OK","CHECK"))</f>
        <v>OK</v>
      </c>
      <c r="U98" s="17" t="str">
        <f aca="false">IF(A98="","", "LOSS-"&amp;A98&amp;"-L"&amp;TEXT(B98,"00")&amp;"-"&amp;TEXT(C98,"yyyymmdd")&amp;"-"&amp;D98&amp;"-"&amp;E98)</f>
        <v>LOSS-KG01-L21-20251012-PM-ORD-2025-00168</v>
      </c>
      <c r="V98" s="17" t="str">
        <f aca="false">IF(U98="","",IF(COUNTIF($U$5:$U$935,U98)=1,"OK","CHECK"))</f>
        <v>OK</v>
      </c>
      <c r="W98" s="17" t="str">
        <f aca="false">IF(A98="","",IF(AND(T98="OK",V98="OK",G98&gt;=0),"OK","CHECK"))</f>
        <v>OK</v>
      </c>
    </row>
    <row r="99" customFormat="false" ht="18" hidden="false" customHeight="true" outlineLevel="0" collapsed="false">
      <c r="A99" s="18" t="s">
        <v>39</v>
      </c>
      <c r="B99" s="19" t="n">
        <v>21</v>
      </c>
      <c r="C99" s="20" t="n">
        <v>45943</v>
      </c>
      <c r="D99" s="18" t="s">
        <v>40</v>
      </c>
      <c r="E99" s="18" t="s">
        <v>64</v>
      </c>
      <c r="F99" s="18" t="s">
        <v>42</v>
      </c>
      <c r="G99" s="21" t="n">
        <v>13805</v>
      </c>
      <c r="H99" s="22" t="n">
        <v>0.00229555567845157</v>
      </c>
      <c r="I99" s="22" t="n">
        <v>0.0067390520188685</v>
      </c>
      <c r="J99" s="22" t="n">
        <v>0.00756977054267843</v>
      </c>
      <c r="K99" s="22" t="n">
        <v>0.000141592409799527</v>
      </c>
      <c r="L99" s="22" t="n">
        <v>0.00757243059864904</v>
      </c>
      <c r="M99" s="22" t="n">
        <v>2.95786789216251E-005</v>
      </c>
      <c r="N99" s="22" t="n">
        <v>0.0121657991697309</v>
      </c>
      <c r="O99" s="22" t="n">
        <v>0.000386958147551296</v>
      </c>
      <c r="P99" s="22" t="n">
        <v>0.0120838930235607</v>
      </c>
      <c r="Q99" s="22" t="n">
        <v>0.00448604071132129</v>
      </c>
      <c r="R99" s="22" t="n">
        <v>0.00689488938602743</v>
      </c>
      <c r="S99" s="23" t="n">
        <f aca="false">IF(A99="","",SUM(H99:R99))</f>
        <v>0.0603655603655603</v>
      </c>
      <c r="T99" s="17" t="str">
        <f aca="false">IF(A99="","",IF(AND(MIN(H99:R99)&gt;=0,MAX(H99:R99)&lt;=1,S99&lt;=1),"OK","CHECK"))</f>
        <v>OK</v>
      </c>
      <c r="U99" s="17" t="str">
        <f aca="false">IF(A99="","", "LOSS-"&amp;A99&amp;"-L"&amp;TEXT(B99,"00")&amp;"-"&amp;TEXT(C99,"yyyymmdd")&amp;"-"&amp;D99&amp;"-"&amp;E99)</f>
        <v>LOSS-KG01-L21-20251013-AM-ORD-2025-00168</v>
      </c>
      <c r="V99" s="17" t="str">
        <f aca="false">IF(U99="","",IF(COUNTIF($U$5:$U$935,U99)=1,"OK","CHECK"))</f>
        <v>OK</v>
      </c>
      <c r="W99" s="17" t="str">
        <f aca="false">IF(A99="","",IF(AND(T99="OK",V99="OK",G99&gt;=0),"OK","CHECK"))</f>
        <v>OK</v>
      </c>
    </row>
    <row r="100" customFormat="false" ht="18" hidden="false" customHeight="true" outlineLevel="0" collapsed="false">
      <c r="A100" s="18" t="s">
        <v>39</v>
      </c>
      <c r="B100" s="19" t="n">
        <v>21</v>
      </c>
      <c r="C100" s="20" t="n">
        <v>45943</v>
      </c>
      <c r="D100" s="18" t="s">
        <v>43</v>
      </c>
      <c r="E100" s="18" t="s">
        <v>64</v>
      </c>
      <c r="F100" s="18" t="s">
        <v>42</v>
      </c>
      <c r="G100" s="21" t="n">
        <v>4663</v>
      </c>
      <c r="H100" s="22" t="n">
        <v>3.04278901961428E-005</v>
      </c>
      <c r="I100" s="22" t="n">
        <v>0.00360550026743051</v>
      </c>
      <c r="J100" s="22" t="n">
        <v>0.00556017202904813</v>
      </c>
      <c r="K100" s="22" t="n">
        <v>0.00564059702478447</v>
      </c>
      <c r="L100" s="22" t="n">
        <v>0.00115536830582423</v>
      </c>
      <c r="M100" s="22" t="n">
        <v>0.0039646094662538</v>
      </c>
      <c r="N100" s="22" t="n">
        <v>0.000100386160217526</v>
      </c>
      <c r="O100" s="22" t="n">
        <v>0.000928690429079557</v>
      </c>
      <c r="P100" s="22" t="n">
        <v>0.00389762017743367</v>
      </c>
      <c r="Q100" s="22" t="n">
        <v>0.00173776254235075</v>
      </c>
      <c r="R100" s="22" t="n">
        <v>0.00415043153992265</v>
      </c>
      <c r="S100" s="23" t="n">
        <f aca="false">IF(A100="","",SUM(H100:R100))</f>
        <v>0.0307715658325414</v>
      </c>
      <c r="T100" s="17" t="str">
        <f aca="false">IF(A100="","",IF(AND(MIN(H100:R100)&gt;=0,MAX(H100:R100)&lt;=1,S100&lt;=1),"OK","CHECK"))</f>
        <v>OK</v>
      </c>
      <c r="U100" s="17" t="str">
        <f aca="false">IF(A100="","", "LOSS-"&amp;A100&amp;"-L"&amp;TEXT(B100,"00")&amp;"-"&amp;TEXT(C100,"yyyymmdd")&amp;"-"&amp;D100&amp;"-"&amp;E100)</f>
        <v>LOSS-KG01-L21-20251013-PM-ORD-2025-00168</v>
      </c>
      <c r="V100" s="17" t="str">
        <f aca="false">IF(U100="","",IF(COUNTIF($U$5:$U$935,U100)=1,"OK","CHECK"))</f>
        <v>OK</v>
      </c>
      <c r="W100" s="17" t="str">
        <f aca="false">IF(A100="","",IF(AND(T100="OK",V100="OK",G100&gt;=0),"OK","CHECK"))</f>
        <v>OK</v>
      </c>
    </row>
    <row r="101" customFormat="false" ht="18" hidden="false" customHeight="true" outlineLevel="0" collapsed="false">
      <c r="A101" s="18" t="s">
        <v>39</v>
      </c>
      <c r="B101" s="19" t="n">
        <v>21</v>
      </c>
      <c r="C101" s="20" t="n">
        <v>45944</v>
      </c>
      <c r="D101" s="18" t="s">
        <v>40</v>
      </c>
      <c r="E101" s="18" t="s">
        <v>64</v>
      </c>
      <c r="F101" s="18" t="s">
        <v>42</v>
      </c>
      <c r="G101" s="21" t="n">
        <v>14052</v>
      </c>
      <c r="H101" s="22" t="n">
        <v>0.00717643438219488</v>
      </c>
      <c r="I101" s="22" t="n">
        <v>0.00115946597318248</v>
      </c>
      <c r="J101" s="22" t="n">
        <v>0.00183500875635809</v>
      </c>
      <c r="K101" s="22" t="n">
        <v>8.50142644355296E-005</v>
      </c>
      <c r="L101" s="22" t="n">
        <v>3.04608122428843E-005</v>
      </c>
      <c r="M101" s="22" t="n">
        <v>0.0174163806486867</v>
      </c>
      <c r="N101" s="22" t="n">
        <v>0.0194780358030712</v>
      </c>
      <c r="O101" s="22" t="n">
        <v>0.00910418130975351</v>
      </c>
      <c r="P101" s="22" t="n">
        <v>0.00503952617611583</v>
      </c>
      <c r="Q101" s="22" t="n">
        <v>0.00680498430777036</v>
      </c>
      <c r="R101" s="22" t="n">
        <v>0.00161267199530237</v>
      </c>
      <c r="S101" s="23" t="n">
        <f aca="false">IF(A101="","",SUM(H101:R101))</f>
        <v>0.0697421644291138</v>
      </c>
      <c r="T101" s="17" t="str">
        <f aca="false">IF(A101="","",IF(AND(MIN(H101:R101)&gt;=0,MAX(H101:R101)&lt;=1,S101&lt;=1),"OK","CHECK"))</f>
        <v>OK</v>
      </c>
      <c r="U101" s="17" t="str">
        <f aca="false">IF(A101="","", "LOSS-"&amp;A101&amp;"-L"&amp;TEXT(B101,"00")&amp;"-"&amp;TEXT(C101,"yyyymmdd")&amp;"-"&amp;D101&amp;"-"&amp;E101)</f>
        <v>LOSS-KG01-L21-20251014-AM-ORD-2025-00168</v>
      </c>
      <c r="V101" s="17" t="str">
        <f aca="false">IF(U101="","",IF(COUNTIF($U$5:$U$935,U101)=1,"OK","CHECK"))</f>
        <v>OK</v>
      </c>
      <c r="W101" s="17" t="str">
        <f aca="false">IF(A101="","",IF(AND(T101="OK",V101="OK",G101&gt;=0),"OK","CHECK"))</f>
        <v>OK</v>
      </c>
    </row>
    <row r="102" customFormat="false" ht="18" hidden="false" customHeight="true" outlineLevel="0" collapsed="false">
      <c r="A102" s="18" t="s">
        <v>39</v>
      </c>
      <c r="B102" s="19" t="n">
        <v>21</v>
      </c>
      <c r="C102" s="20" t="n">
        <v>45944</v>
      </c>
      <c r="D102" s="18" t="s">
        <v>43</v>
      </c>
      <c r="E102" s="18" t="s">
        <v>64</v>
      </c>
      <c r="F102" s="18" t="s">
        <v>42</v>
      </c>
      <c r="G102" s="21" t="n">
        <v>9370</v>
      </c>
      <c r="H102" s="22" t="n">
        <v>1.6073223567265E-005</v>
      </c>
      <c r="I102" s="22" t="n">
        <v>0.000707430641234158</v>
      </c>
      <c r="J102" s="22" t="n">
        <v>0.00566391007569794</v>
      </c>
      <c r="K102" s="22" t="n">
        <v>0.000209818381344709</v>
      </c>
      <c r="L102" s="22" t="n">
        <v>0.00506097932711134</v>
      </c>
      <c r="M102" s="22" t="n">
        <v>0.00242771306248212</v>
      </c>
      <c r="N102" s="22" t="n">
        <v>0.00239759645380568</v>
      </c>
      <c r="O102" s="22" t="n">
        <v>7.67576378113999E-005</v>
      </c>
      <c r="P102" s="22" t="n">
        <v>0.00486253214944205</v>
      </c>
      <c r="Q102" s="22" t="n">
        <v>0.00573573495748747</v>
      </c>
      <c r="R102" s="22" t="n">
        <v>0.00215825070591265</v>
      </c>
      <c r="S102" s="23" t="n">
        <f aca="false">IF(A102="","",SUM(H102:R102))</f>
        <v>0.0293167966158968</v>
      </c>
      <c r="T102" s="17" t="str">
        <f aca="false">IF(A102="","",IF(AND(MIN(H102:R102)&gt;=0,MAX(H102:R102)&lt;=1,S102&lt;=1),"OK","CHECK"))</f>
        <v>OK</v>
      </c>
      <c r="U102" s="17" t="str">
        <f aca="false">IF(A102="","", "LOSS-"&amp;A102&amp;"-L"&amp;TEXT(B102,"00")&amp;"-"&amp;TEXT(C102,"yyyymmdd")&amp;"-"&amp;D102&amp;"-"&amp;E102)</f>
        <v>LOSS-KG01-L21-20251014-PM-ORD-2025-00168</v>
      </c>
      <c r="V102" s="17" t="str">
        <f aca="false">IF(U102="","",IF(COUNTIF($U$5:$U$935,U102)=1,"OK","CHECK"))</f>
        <v>OK</v>
      </c>
      <c r="W102" s="17" t="str">
        <f aca="false">IF(A102="","",IF(AND(T102="OK",V102="OK",G102&gt;=0),"OK","CHECK"))</f>
        <v>OK</v>
      </c>
    </row>
    <row r="103" customFormat="false" ht="18" hidden="false" customHeight="true" outlineLevel="0" collapsed="false">
      <c r="A103" s="18" t="s">
        <v>39</v>
      </c>
      <c r="B103" s="19" t="n">
        <v>21</v>
      </c>
      <c r="C103" s="20" t="n">
        <v>45945</v>
      </c>
      <c r="D103" s="18" t="s">
        <v>40</v>
      </c>
      <c r="E103" s="18" t="s">
        <v>64</v>
      </c>
      <c r="F103" s="18" t="s">
        <v>42</v>
      </c>
      <c r="G103" s="21" t="n">
        <v>7669</v>
      </c>
      <c r="H103" s="22" t="n">
        <v>0.00401448070296658</v>
      </c>
      <c r="I103" s="22" t="n">
        <v>0.0014113317728989</v>
      </c>
      <c r="J103" s="22" t="n">
        <v>0.000471634998328302</v>
      </c>
      <c r="K103" s="22" t="n">
        <v>0.0127344717685559</v>
      </c>
      <c r="L103" s="22" t="n">
        <v>0.00667329167735677</v>
      </c>
      <c r="M103" s="22" t="n">
        <v>0.000568965507378445</v>
      </c>
      <c r="N103" s="22" t="n">
        <v>0.000279178662211767</v>
      </c>
      <c r="O103" s="22" t="n">
        <v>0.00995723411269298</v>
      </c>
      <c r="P103" s="22" t="n">
        <v>0.00051397089335429</v>
      </c>
      <c r="Q103" s="22" t="n">
        <v>0.00816453819649033</v>
      </c>
      <c r="R103" s="22" t="n">
        <v>2.27634565002734E-006</v>
      </c>
      <c r="S103" s="23" t="n">
        <f aca="false">IF(A103="","",SUM(H103:R103))</f>
        <v>0.0447913746378843</v>
      </c>
      <c r="T103" s="17" t="str">
        <f aca="false">IF(A103="","",IF(AND(MIN(H103:R103)&gt;=0,MAX(H103:R103)&lt;=1,S103&lt;=1),"OK","CHECK"))</f>
        <v>OK</v>
      </c>
      <c r="U103" s="17" t="str">
        <f aca="false">IF(A103="","", "LOSS-"&amp;A103&amp;"-L"&amp;TEXT(B103,"00")&amp;"-"&amp;TEXT(C103,"yyyymmdd")&amp;"-"&amp;D103&amp;"-"&amp;E103)</f>
        <v>LOSS-KG01-L21-20251015-AM-ORD-2025-00168</v>
      </c>
      <c r="V103" s="17" t="str">
        <f aca="false">IF(U103="","",IF(COUNTIF($U$5:$U$935,U103)=1,"OK","CHECK"))</f>
        <v>OK</v>
      </c>
      <c r="W103" s="17" t="str">
        <f aca="false">IF(A103="","",IF(AND(T103="OK",V103="OK",G103&gt;=0),"OK","CHECK"))</f>
        <v>OK</v>
      </c>
    </row>
    <row r="104" customFormat="false" ht="18" hidden="false" customHeight="true" outlineLevel="0" collapsed="false">
      <c r="A104" s="18" t="s">
        <v>39</v>
      </c>
      <c r="B104" s="19" t="n">
        <v>21</v>
      </c>
      <c r="C104" s="20" t="n">
        <v>45945</v>
      </c>
      <c r="D104" s="18" t="s">
        <v>43</v>
      </c>
      <c r="E104" s="18" t="s">
        <v>65</v>
      </c>
      <c r="F104" s="18" t="s">
        <v>45</v>
      </c>
      <c r="G104" s="21" t="n">
        <v>3207</v>
      </c>
      <c r="H104" s="22" t="n">
        <v>0.000837424868164357</v>
      </c>
      <c r="I104" s="22" t="n">
        <v>0.00217781815096437</v>
      </c>
      <c r="J104" s="22" t="n">
        <v>0.000355113025102871</v>
      </c>
      <c r="K104" s="22" t="n">
        <v>0.00572421748212429</v>
      </c>
      <c r="L104" s="22" t="n">
        <v>0.00893752810213646</v>
      </c>
      <c r="M104" s="22" t="n">
        <v>0.00317782001026797</v>
      </c>
      <c r="N104" s="22" t="n">
        <v>0.00219167979801722</v>
      </c>
      <c r="O104" s="22" t="n">
        <v>2.55784727073966E-005</v>
      </c>
      <c r="P104" s="22" t="n">
        <v>0.00451938177157002</v>
      </c>
      <c r="Q104" s="22" t="n">
        <v>0.0030662896604483</v>
      </c>
      <c r="R104" s="22" t="n">
        <v>0.00492314292128784</v>
      </c>
      <c r="S104" s="23" t="n">
        <f aca="false">IF(A104="","",SUM(H104:R104))</f>
        <v>0.0359359942627911</v>
      </c>
      <c r="T104" s="17" t="str">
        <f aca="false">IF(A104="","",IF(AND(MIN(H104:R104)&gt;=0,MAX(H104:R104)&lt;=1,S104&lt;=1),"OK","CHECK"))</f>
        <v>OK</v>
      </c>
      <c r="U104" s="17" t="str">
        <f aca="false">IF(A104="","", "LOSS-"&amp;A104&amp;"-L"&amp;TEXT(B104,"00")&amp;"-"&amp;TEXT(C104,"yyyymmdd")&amp;"-"&amp;D104&amp;"-"&amp;E104)</f>
        <v>LOSS-KG01-L21-20251015-PM-ORD-2025-00169</v>
      </c>
      <c r="V104" s="17" t="str">
        <f aca="false">IF(U104="","",IF(COUNTIF($U$5:$U$935,U104)=1,"OK","CHECK"))</f>
        <v>OK</v>
      </c>
      <c r="W104" s="17" t="str">
        <f aca="false">IF(A104="","",IF(AND(T104="OK",V104="OK",G104&gt;=0),"OK","CHECK"))</f>
        <v>OK</v>
      </c>
    </row>
    <row r="105" customFormat="false" ht="18" hidden="false" customHeight="true" outlineLevel="0" collapsed="false">
      <c r="A105" s="18" t="s">
        <v>39</v>
      </c>
      <c r="B105" s="19" t="n">
        <v>21</v>
      </c>
      <c r="C105" s="20" t="n">
        <v>45946</v>
      </c>
      <c r="D105" s="18" t="s">
        <v>40</v>
      </c>
      <c r="E105" s="18" t="s">
        <v>65</v>
      </c>
      <c r="F105" s="18" t="s">
        <v>42</v>
      </c>
      <c r="G105" s="21" t="n">
        <v>6199</v>
      </c>
      <c r="H105" s="22" t="n">
        <v>0.0066962608686063</v>
      </c>
      <c r="I105" s="22" t="n">
        <v>0.000162413012209637</v>
      </c>
      <c r="J105" s="22" t="n">
        <v>0.00732530714285888</v>
      </c>
      <c r="K105" s="22" t="n">
        <v>0.00302992031906798</v>
      </c>
      <c r="L105" s="22" t="n">
        <v>0.00550036997564409</v>
      </c>
      <c r="M105" s="22" t="n">
        <v>3.64015037753937E-005</v>
      </c>
      <c r="N105" s="22" t="n">
        <v>0.00218919689484454</v>
      </c>
      <c r="O105" s="22" t="n">
        <v>0.000625557104129465</v>
      </c>
      <c r="P105" s="22" t="n">
        <v>0.00095835771151401</v>
      </c>
      <c r="Q105" s="22" t="n">
        <v>0.0126936426148342</v>
      </c>
      <c r="R105" s="22" t="n">
        <v>0.000614736730480968</v>
      </c>
      <c r="S105" s="23" t="n">
        <f aca="false">IF(A105="","",SUM(H105:R105))</f>
        <v>0.0398321638779655</v>
      </c>
      <c r="T105" s="17" t="str">
        <f aca="false">IF(A105="","",IF(AND(MIN(H105:R105)&gt;=0,MAX(H105:R105)&lt;=1,S105&lt;=1),"OK","CHECK"))</f>
        <v>OK</v>
      </c>
      <c r="U105" s="17" t="str">
        <f aca="false">IF(A105="","", "LOSS-"&amp;A105&amp;"-L"&amp;TEXT(B105,"00")&amp;"-"&amp;TEXT(C105,"yyyymmdd")&amp;"-"&amp;D105&amp;"-"&amp;E105)</f>
        <v>LOSS-KG01-L21-20251016-AM-ORD-2025-00169</v>
      </c>
      <c r="V105" s="17" t="str">
        <f aca="false">IF(U105="","",IF(COUNTIF($U$5:$U$935,U105)=1,"OK","CHECK"))</f>
        <v>OK</v>
      </c>
      <c r="W105" s="17" t="str">
        <f aca="false">IF(A105="","",IF(AND(T105="OK",V105="OK",G105&gt;=0),"OK","CHECK"))</f>
        <v>OK</v>
      </c>
    </row>
    <row r="106" customFormat="false" ht="18" hidden="false" customHeight="true" outlineLevel="0" collapsed="false">
      <c r="A106" s="18" t="s">
        <v>39</v>
      </c>
      <c r="B106" s="19" t="n">
        <v>21</v>
      </c>
      <c r="C106" s="20" t="n">
        <v>45946</v>
      </c>
      <c r="D106" s="18" t="s">
        <v>43</v>
      </c>
      <c r="E106" s="18" t="s">
        <v>65</v>
      </c>
      <c r="F106" s="18" t="s">
        <v>42</v>
      </c>
      <c r="G106" s="21" t="n">
        <v>10712</v>
      </c>
      <c r="H106" s="22" t="n">
        <v>5.32945021470848E-006</v>
      </c>
      <c r="I106" s="22" t="n">
        <v>1.61785802616614E-005</v>
      </c>
      <c r="J106" s="22" t="n">
        <v>4.39216459734624E-006</v>
      </c>
      <c r="K106" s="22" t="n">
        <v>0.0139490059107536</v>
      </c>
      <c r="L106" s="22" t="n">
        <v>0.00957908677203541</v>
      </c>
      <c r="M106" s="22" t="n">
        <v>8.26799410181314E-005</v>
      </c>
      <c r="N106" s="22" t="n">
        <v>0.0190442747372073</v>
      </c>
      <c r="O106" s="22" t="n">
        <v>0.000193348612661959</v>
      </c>
      <c r="P106" s="22" t="n">
        <v>0.014458772178652</v>
      </c>
      <c r="Q106" s="22" t="n">
        <v>0.00913768943109528</v>
      </c>
      <c r="R106" s="22" t="n">
        <v>0.010860477196705</v>
      </c>
      <c r="S106" s="23" t="n">
        <f aca="false">IF(A106="","",SUM(H106:R106))</f>
        <v>0.0773312349752024</v>
      </c>
      <c r="T106" s="17" t="str">
        <f aca="false">IF(A106="","",IF(AND(MIN(H106:R106)&gt;=0,MAX(H106:R106)&lt;=1,S106&lt;=1),"OK","CHECK"))</f>
        <v>OK</v>
      </c>
      <c r="U106" s="17" t="str">
        <f aca="false">IF(A106="","", "LOSS-"&amp;A106&amp;"-L"&amp;TEXT(B106,"00")&amp;"-"&amp;TEXT(C106,"yyyymmdd")&amp;"-"&amp;D106&amp;"-"&amp;E106)</f>
        <v>LOSS-KG01-L21-20251016-PM-ORD-2025-00169</v>
      </c>
      <c r="V106" s="17" t="str">
        <f aca="false">IF(U106="","",IF(COUNTIF($U$5:$U$935,U106)=1,"OK","CHECK"))</f>
        <v>OK</v>
      </c>
      <c r="W106" s="17" t="str">
        <f aca="false">IF(A106="","",IF(AND(T106="OK",V106="OK",G106&gt;=0),"OK","CHECK"))</f>
        <v>OK</v>
      </c>
    </row>
    <row r="107" customFormat="false" ht="18" hidden="false" customHeight="true" outlineLevel="0" collapsed="false">
      <c r="A107" s="18" t="s">
        <v>39</v>
      </c>
      <c r="B107" s="19" t="n">
        <v>21</v>
      </c>
      <c r="C107" s="20" t="n">
        <v>45947</v>
      </c>
      <c r="D107" s="18" t="s">
        <v>40</v>
      </c>
      <c r="E107" s="18" t="s">
        <v>66</v>
      </c>
      <c r="F107" s="18" t="s">
        <v>45</v>
      </c>
      <c r="G107" s="21" t="n">
        <v>3172</v>
      </c>
      <c r="H107" s="22" t="n">
        <v>1.65400917271847E-005</v>
      </c>
      <c r="I107" s="22" t="n">
        <v>0.00224271198122352</v>
      </c>
      <c r="J107" s="22" t="n">
        <v>0.00568023030396598</v>
      </c>
      <c r="K107" s="22" t="n">
        <v>0.000889054835453467</v>
      </c>
      <c r="L107" s="22" t="n">
        <v>0.00335447662745732</v>
      </c>
      <c r="M107" s="22" t="n">
        <v>0.00333189689891743</v>
      </c>
      <c r="N107" s="22" t="n">
        <v>0.00745390294521379</v>
      </c>
      <c r="O107" s="22" t="n">
        <v>0.00133266297961396</v>
      </c>
      <c r="P107" s="22" t="n">
        <v>0.00156325622710455</v>
      </c>
      <c r="Q107" s="22" t="n">
        <v>0.00046119889129456</v>
      </c>
      <c r="R107" s="22" t="n">
        <v>9.57319831986126E-005</v>
      </c>
      <c r="S107" s="23" t="n">
        <f aca="false">IF(A107="","",SUM(H107:R107))</f>
        <v>0.0264216637651704</v>
      </c>
      <c r="T107" s="17" t="str">
        <f aca="false">IF(A107="","",IF(AND(MIN(H107:R107)&gt;=0,MAX(H107:R107)&lt;=1,S107&lt;=1),"OK","CHECK"))</f>
        <v>OK</v>
      </c>
      <c r="U107" s="17" t="str">
        <f aca="false">IF(A107="","", "LOSS-"&amp;A107&amp;"-L"&amp;TEXT(B107,"00")&amp;"-"&amp;TEXT(C107,"yyyymmdd")&amp;"-"&amp;D107&amp;"-"&amp;E107)</f>
        <v>LOSS-KG01-L21-20251017-AM-ORD-2025-00170</v>
      </c>
      <c r="V107" s="17" t="str">
        <f aca="false">IF(U107="","",IF(COUNTIF($U$5:$U$935,U107)=1,"OK","CHECK"))</f>
        <v>OK</v>
      </c>
      <c r="W107" s="17" t="str">
        <f aca="false">IF(A107="","",IF(AND(T107="OK",V107="OK",G107&gt;=0),"OK","CHECK"))</f>
        <v>OK</v>
      </c>
    </row>
    <row r="108" customFormat="false" ht="18" hidden="false" customHeight="true" outlineLevel="0" collapsed="false">
      <c r="A108" s="18" t="s">
        <v>39</v>
      </c>
      <c r="B108" s="19" t="n">
        <v>21</v>
      </c>
      <c r="C108" s="20" t="n">
        <v>45947</v>
      </c>
      <c r="D108" s="18" t="s">
        <v>43</v>
      </c>
      <c r="E108" s="18" t="s">
        <v>66</v>
      </c>
      <c r="F108" s="18" t="s">
        <v>42</v>
      </c>
      <c r="G108" s="21" t="n">
        <v>5100</v>
      </c>
      <c r="H108" s="22" t="n">
        <v>0.00165702593959323</v>
      </c>
      <c r="I108" s="22" t="n">
        <v>3.56290171973914E-006</v>
      </c>
      <c r="J108" s="22" t="n">
        <v>0.00677768793119945</v>
      </c>
      <c r="K108" s="22" t="n">
        <v>2.27483162900875E-006</v>
      </c>
      <c r="L108" s="22" t="n">
        <v>0.000717378017415023</v>
      </c>
      <c r="M108" s="22" t="n">
        <v>0.000767645577569583</v>
      </c>
      <c r="N108" s="22" t="n">
        <v>0.00686020224646415</v>
      </c>
      <c r="O108" s="22" t="n">
        <v>0.0012287227929706</v>
      </c>
      <c r="P108" s="22" t="n">
        <v>0.00616848819281303</v>
      </c>
      <c r="Q108" s="22" t="n">
        <v>3.05939035906692E-005</v>
      </c>
      <c r="R108" s="22" t="n">
        <v>0.0124243486995183</v>
      </c>
      <c r="S108" s="23" t="n">
        <f aca="false">IF(A108="","",SUM(H108:R108))</f>
        <v>0.0366379310344828</v>
      </c>
      <c r="T108" s="17" t="str">
        <f aca="false">IF(A108="","",IF(AND(MIN(H108:R108)&gt;=0,MAX(H108:R108)&lt;=1,S108&lt;=1),"OK","CHECK"))</f>
        <v>OK</v>
      </c>
      <c r="U108" s="17" t="str">
        <f aca="false">IF(A108="","", "LOSS-"&amp;A108&amp;"-L"&amp;TEXT(B108,"00")&amp;"-"&amp;TEXT(C108,"yyyymmdd")&amp;"-"&amp;D108&amp;"-"&amp;E108)</f>
        <v>LOSS-KG01-L21-20251017-PM-ORD-2025-00170</v>
      </c>
      <c r="V108" s="17" t="str">
        <f aca="false">IF(U108="","",IF(COUNTIF($U$5:$U$935,U108)=1,"OK","CHECK"))</f>
        <v>OK</v>
      </c>
      <c r="W108" s="17" t="str">
        <f aca="false">IF(A108="","",IF(AND(T108="OK",V108="OK",G108&gt;=0),"OK","CHECK"))</f>
        <v>OK</v>
      </c>
    </row>
    <row r="109" customFormat="false" ht="18" hidden="false" customHeight="true" outlineLevel="0" collapsed="false">
      <c r="A109" s="18" t="s">
        <v>39</v>
      </c>
      <c r="B109" s="19" t="n">
        <v>21</v>
      </c>
      <c r="C109" s="20" t="n">
        <v>45948</v>
      </c>
      <c r="D109" s="18" t="s">
        <v>40</v>
      </c>
      <c r="E109" s="18" t="s">
        <v>66</v>
      </c>
      <c r="F109" s="18" t="s">
        <v>42</v>
      </c>
      <c r="G109" s="21" t="n">
        <v>4960</v>
      </c>
      <c r="H109" s="22" t="n">
        <v>0.00166000762335232</v>
      </c>
      <c r="I109" s="22" t="n">
        <v>0.00578668252248425</v>
      </c>
      <c r="J109" s="22" t="n">
        <v>0.00245146100677251</v>
      </c>
      <c r="K109" s="22" t="n">
        <v>0.00963625379516275</v>
      </c>
      <c r="L109" s="22" t="n">
        <v>0.00498688639136112</v>
      </c>
      <c r="M109" s="22" t="n">
        <v>0.00614978578695547</v>
      </c>
      <c r="N109" s="22" t="n">
        <v>0.00835400189216676</v>
      </c>
      <c r="O109" s="22" t="n">
        <v>0.00318243338207208</v>
      </c>
      <c r="P109" s="22" t="n">
        <v>0.000623471480828307</v>
      </c>
      <c r="Q109" s="22" t="n">
        <v>8.81719508901883E-005</v>
      </c>
      <c r="R109" s="22" t="n">
        <v>0.00103338251565783</v>
      </c>
      <c r="S109" s="23" t="n">
        <f aca="false">IF(A109="","",SUM(H109:R109))</f>
        <v>0.0439525383477036</v>
      </c>
      <c r="T109" s="17" t="str">
        <f aca="false">IF(A109="","",IF(AND(MIN(H109:R109)&gt;=0,MAX(H109:R109)&lt;=1,S109&lt;=1),"OK","CHECK"))</f>
        <v>OK</v>
      </c>
      <c r="U109" s="17" t="str">
        <f aca="false">IF(A109="","", "LOSS-"&amp;A109&amp;"-L"&amp;TEXT(B109,"00")&amp;"-"&amp;TEXT(C109,"yyyymmdd")&amp;"-"&amp;D109&amp;"-"&amp;E109)</f>
        <v>LOSS-KG01-L21-20251018-AM-ORD-2025-00170</v>
      </c>
      <c r="V109" s="17" t="str">
        <f aca="false">IF(U109="","",IF(COUNTIF($U$5:$U$935,U109)=1,"OK","CHECK"))</f>
        <v>OK</v>
      </c>
      <c r="W109" s="17" t="str">
        <f aca="false">IF(A109="","",IF(AND(T109="OK",V109="OK",G109&gt;=0),"OK","CHECK"))</f>
        <v>OK</v>
      </c>
    </row>
    <row r="110" customFormat="false" ht="18" hidden="false" customHeight="true" outlineLevel="0" collapsed="false">
      <c r="A110" s="18" t="s">
        <v>39</v>
      </c>
      <c r="B110" s="19" t="n">
        <v>21</v>
      </c>
      <c r="C110" s="20" t="n">
        <v>45948</v>
      </c>
      <c r="D110" s="18" t="s">
        <v>43</v>
      </c>
      <c r="E110" s="18" t="s">
        <v>66</v>
      </c>
      <c r="F110" s="18" t="s">
        <v>42</v>
      </c>
      <c r="G110" s="21" t="n">
        <v>8149</v>
      </c>
      <c r="H110" s="22" t="n">
        <v>0.00330117484126222</v>
      </c>
      <c r="I110" s="22" t="n">
        <v>0.00125230962004467</v>
      </c>
      <c r="J110" s="22" t="n">
        <v>0.00709001859976871</v>
      </c>
      <c r="K110" s="22" t="n">
        <v>0.00493571255508881</v>
      </c>
      <c r="L110" s="22" t="n">
        <v>0.000146567866490642</v>
      </c>
      <c r="M110" s="22" t="n">
        <v>0.000254977007761638</v>
      </c>
      <c r="N110" s="22" t="n">
        <v>0.00481249013127616</v>
      </c>
      <c r="O110" s="22" t="n">
        <v>0.0039218123715475</v>
      </c>
      <c r="P110" s="22" t="n">
        <v>0.00793378093638417</v>
      </c>
      <c r="Q110" s="22" t="n">
        <v>0.00368311275590879</v>
      </c>
      <c r="R110" s="22" t="n">
        <v>3.78063198229175E-005</v>
      </c>
      <c r="S110" s="23" t="n">
        <f aca="false">IF(A110="","",SUM(H110:R110))</f>
        <v>0.0373697630053562</v>
      </c>
      <c r="T110" s="17" t="str">
        <f aca="false">IF(A110="","",IF(AND(MIN(H110:R110)&gt;=0,MAX(H110:R110)&lt;=1,S110&lt;=1),"OK","CHECK"))</f>
        <v>OK</v>
      </c>
      <c r="U110" s="17" t="str">
        <f aca="false">IF(A110="","", "LOSS-"&amp;A110&amp;"-L"&amp;TEXT(B110,"00")&amp;"-"&amp;TEXT(C110,"yyyymmdd")&amp;"-"&amp;D110&amp;"-"&amp;E110)</f>
        <v>LOSS-KG01-L21-20251018-PM-ORD-2025-00170</v>
      </c>
      <c r="V110" s="17" t="str">
        <f aca="false">IF(U110="","",IF(COUNTIF($U$5:$U$935,U110)=1,"OK","CHECK"))</f>
        <v>OK</v>
      </c>
      <c r="W110" s="17" t="str">
        <f aca="false">IF(A110="","",IF(AND(T110="OK",V110="OK",G110&gt;=0),"OK","CHECK"))</f>
        <v>OK</v>
      </c>
    </row>
    <row r="111" customFormat="false" ht="18" hidden="false" customHeight="true" outlineLevel="0" collapsed="false">
      <c r="A111" s="18" t="s">
        <v>39</v>
      </c>
      <c r="B111" s="19" t="n">
        <v>21</v>
      </c>
      <c r="C111" s="20" t="n">
        <v>45949</v>
      </c>
      <c r="D111" s="18" t="s">
        <v>40</v>
      </c>
      <c r="E111" s="18" t="s">
        <v>66</v>
      </c>
      <c r="F111" s="18" t="s">
        <v>42</v>
      </c>
      <c r="G111" s="21" t="n">
        <v>4892</v>
      </c>
      <c r="H111" s="22" t="n">
        <v>1.88714183847114E-006</v>
      </c>
      <c r="I111" s="22" t="n">
        <v>0.00504036834267432</v>
      </c>
      <c r="J111" s="22" t="n">
        <v>0.00122094430309485</v>
      </c>
      <c r="K111" s="22" t="n">
        <v>0.00158219678536622</v>
      </c>
      <c r="L111" s="22" t="n">
        <v>0.00333398946855962</v>
      </c>
      <c r="M111" s="22" t="n">
        <v>0.00153544855935309</v>
      </c>
      <c r="N111" s="22" t="n">
        <v>0.00300812203836837</v>
      </c>
      <c r="O111" s="22" t="n">
        <v>1.07037039119368E-006</v>
      </c>
      <c r="P111" s="22" t="n">
        <v>2.72642774076679E-006</v>
      </c>
      <c r="Q111" s="22" t="n">
        <v>0.00348971797289897</v>
      </c>
      <c r="R111" s="22" t="n">
        <v>9.32418649446498E-005</v>
      </c>
      <c r="S111" s="23" t="n">
        <f aca="false">IF(A111="","",SUM(H111:R111))</f>
        <v>0.0193097132752305</v>
      </c>
      <c r="T111" s="17" t="str">
        <f aca="false">IF(A111="","",IF(AND(MIN(H111:R111)&gt;=0,MAX(H111:R111)&lt;=1,S111&lt;=1),"OK","CHECK"))</f>
        <v>OK</v>
      </c>
      <c r="U111" s="17" t="str">
        <f aca="false">IF(A111="","", "LOSS-"&amp;A111&amp;"-L"&amp;TEXT(B111,"00")&amp;"-"&amp;TEXT(C111,"yyyymmdd")&amp;"-"&amp;D111&amp;"-"&amp;E111)</f>
        <v>LOSS-KG01-L21-20251019-AM-ORD-2025-00170</v>
      </c>
      <c r="V111" s="17" t="str">
        <f aca="false">IF(U111="","",IF(COUNTIF($U$5:$U$935,U111)=1,"OK","CHECK"))</f>
        <v>OK</v>
      </c>
      <c r="W111" s="17" t="str">
        <f aca="false">IF(A111="","",IF(AND(T111="OK",V111="OK",G111&gt;=0),"OK","CHECK"))</f>
        <v>OK</v>
      </c>
    </row>
    <row r="112" customFormat="false" ht="18" hidden="false" customHeight="true" outlineLevel="0" collapsed="false">
      <c r="A112" s="18" t="s">
        <v>39</v>
      </c>
      <c r="B112" s="19" t="n">
        <v>21</v>
      </c>
      <c r="C112" s="20" t="n">
        <v>45949</v>
      </c>
      <c r="D112" s="18" t="s">
        <v>43</v>
      </c>
      <c r="E112" s="18" t="s">
        <v>66</v>
      </c>
      <c r="F112" s="18" t="s">
        <v>42</v>
      </c>
      <c r="G112" s="21" t="n">
        <v>13175</v>
      </c>
      <c r="H112" s="22" t="n">
        <v>0.00168374870177041</v>
      </c>
      <c r="I112" s="22" t="n">
        <v>0.00553214007177935</v>
      </c>
      <c r="J112" s="22" t="n">
        <v>0.00178713298741077</v>
      </c>
      <c r="K112" s="22" t="n">
        <v>0.000189899355705008</v>
      </c>
      <c r="L112" s="22" t="n">
        <v>0.000570100787587757</v>
      </c>
      <c r="M112" s="22" t="n">
        <v>0.00749412079206513</v>
      </c>
      <c r="N112" s="22" t="n">
        <v>0.00122955866036275</v>
      </c>
      <c r="O112" s="22" t="n">
        <v>0.00425391740562878</v>
      </c>
      <c r="P112" s="22" t="n">
        <v>0.0124199117462238</v>
      </c>
      <c r="Q112" s="22" t="n">
        <v>0.00170758828475401</v>
      </c>
      <c r="R112" s="22" t="n">
        <v>0.0158504381387523</v>
      </c>
      <c r="S112" s="23" t="n">
        <f aca="false">IF(A112="","",SUM(H112:R112))</f>
        <v>0.0527185569320401</v>
      </c>
      <c r="T112" s="17" t="str">
        <f aca="false">IF(A112="","",IF(AND(MIN(H112:R112)&gt;=0,MAX(H112:R112)&lt;=1,S112&lt;=1),"OK","CHECK"))</f>
        <v>OK</v>
      </c>
      <c r="U112" s="17" t="str">
        <f aca="false">IF(A112="","", "LOSS-"&amp;A112&amp;"-L"&amp;TEXT(B112,"00")&amp;"-"&amp;TEXT(C112,"yyyymmdd")&amp;"-"&amp;D112&amp;"-"&amp;E112)</f>
        <v>LOSS-KG01-L21-20251019-PM-ORD-2025-00170</v>
      </c>
      <c r="V112" s="17" t="str">
        <f aca="false">IF(U112="","",IF(COUNTIF($U$5:$U$935,U112)=1,"OK","CHECK"))</f>
        <v>OK</v>
      </c>
      <c r="W112" s="17" t="str">
        <f aca="false">IF(A112="","",IF(AND(T112="OK",V112="OK",G112&gt;=0),"OK","CHECK"))</f>
        <v>OK</v>
      </c>
    </row>
    <row r="113" customFormat="false" ht="18" hidden="false" customHeight="true" outlineLevel="0" collapsed="false">
      <c r="A113" s="18" t="s">
        <v>39</v>
      </c>
      <c r="B113" s="19" t="n">
        <v>21</v>
      </c>
      <c r="C113" s="20" t="n">
        <v>45957</v>
      </c>
      <c r="D113" s="18" t="s">
        <v>40</v>
      </c>
      <c r="E113" s="18" t="s">
        <v>67</v>
      </c>
      <c r="F113" s="18" t="s">
        <v>45</v>
      </c>
      <c r="G113" s="21" t="n">
        <v>13323</v>
      </c>
      <c r="H113" s="22" t="n">
        <v>0.0135015895811707</v>
      </c>
      <c r="I113" s="22" t="n">
        <v>0.0027202984906519</v>
      </c>
      <c r="J113" s="22" t="n">
        <v>0.0106344310445285</v>
      </c>
      <c r="K113" s="22" t="n">
        <v>0.000249072086093925</v>
      </c>
      <c r="L113" s="22" t="n">
        <v>0.0013930914577407</v>
      </c>
      <c r="M113" s="22" t="n">
        <v>0.00855664940752681</v>
      </c>
      <c r="N113" s="22" t="n">
        <v>2.16740843545656E-005</v>
      </c>
      <c r="O113" s="22" t="n">
        <v>0.00866154198273765</v>
      </c>
      <c r="P113" s="22" t="n">
        <v>0.00237826073304377</v>
      </c>
      <c r="Q113" s="22" t="n">
        <v>0.0091255320699902</v>
      </c>
      <c r="R113" s="22" t="n">
        <v>0.00778299450068925</v>
      </c>
      <c r="S113" s="23" t="n">
        <f aca="false">IF(A113="","",SUM(H113:R113))</f>
        <v>0.065025135438528</v>
      </c>
      <c r="T113" s="17" t="str">
        <f aca="false">IF(A113="","",IF(AND(MIN(H113:R113)&gt;=0,MAX(H113:R113)&lt;=1,S113&lt;=1),"OK","CHECK"))</f>
        <v>OK</v>
      </c>
      <c r="U113" s="17" t="str">
        <f aca="false">IF(A113="","", "LOSS-"&amp;A113&amp;"-L"&amp;TEXT(B113,"00")&amp;"-"&amp;TEXT(C113,"yyyymmdd")&amp;"-"&amp;D113&amp;"-"&amp;E113)</f>
        <v>LOSS-KG01-L21-20251027-AM-ORD-2025-00171</v>
      </c>
      <c r="V113" s="17" t="str">
        <f aca="false">IF(U113="","",IF(COUNTIF($U$5:$U$935,U113)=1,"OK","CHECK"))</f>
        <v>OK</v>
      </c>
      <c r="W113" s="17" t="str">
        <f aca="false">IF(A113="","",IF(AND(T113="OK",V113="OK",G113&gt;=0),"OK","CHECK"))</f>
        <v>OK</v>
      </c>
    </row>
    <row r="114" customFormat="false" ht="18" hidden="false" customHeight="true" outlineLevel="0" collapsed="false">
      <c r="A114" s="18" t="s">
        <v>39</v>
      </c>
      <c r="B114" s="19" t="n">
        <v>21</v>
      </c>
      <c r="C114" s="20" t="n">
        <v>45957</v>
      </c>
      <c r="D114" s="18" t="s">
        <v>43</v>
      </c>
      <c r="E114" s="18" t="s">
        <v>67</v>
      </c>
      <c r="F114" s="18" t="s">
        <v>42</v>
      </c>
      <c r="G114" s="21" t="n">
        <v>6431</v>
      </c>
      <c r="H114" s="22" t="n">
        <v>0.000541029978656194</v>
      </c>
      <c r="I114" s="22" t="n">
        <v>0.00554076780102515</v>
      </c>
      <c r="J114" s="22" t="n">
        <v>0.00121174874676962</v>
      </c>
      <c r="K114" s="22" t="n">
        <v>0.000436995210477794</v>
      </c>
      <c r="L114" s="22" t="n">
        <v>3.01640078571831E-005</v>
      </c>
      <c r="M114" s="22" t="n">
        <v>0.00868746682401323</v>
      </c>
      <c r="N114" s="22" t="n">
        <v>0.0100775968024942</v>
      </c>
      <c r="O114" s="22" t="n">
        <v>0.00662624025232126</v>
      </c>
      <c r="P114" s="22" t="n">
        <v>0.00500124073558328</v>
      </c>
      <c r="Q114" s="22" t="n">
        <v>0.000510450881392272</v>
      </c>
      <c r="R114" s="22" t="n">
        <v>0.00785684274089131</v>
      </c>
      <c r="S114" s="23" t="n">
        <f aca="false">IF(A114="","",SUM(H114:R114))</f>
        <v>0.0465205439814815</v>
      </c>
      <c r="T114" s="17" t="str">
        <f aca="false">IF(A114="","",IF(AND(MIN(H114:R114)&gt;=0,MAX(H114:R114)&lt;=1,S114&lt;=1),"OK","CHECK"))</f>
        <v>OK</v>
      </c>
      <c r="U114" s="17" t="str">
        <f aca="false">IF(A114="","", "LOSS-"&amp;A114&amp;"-L"&amp;TEXT(B114,"00")&amp;"-"&amp;TEXT(C114,"yyyymmdd")&amp;"-"&amp;D114&amp;"-"&amp;E114)</f>
        <v>LOSS-KG01-L21-20251027-PM-ORD-2025-00171</v>
      </c>
      <c r="V114" s="17" t="str">
        <f aca="false">IF(U114="","",IF(COUNTIF($U$5:$U$935,U114)=1,"OK","CHECK"))</f>
        <v>OK</v>
      </c>
      <c r="W114" s="17" t="str">
        <f aca="false">IF(A114="","",IF(AND(T114="OK",V114="OK",G114&gt;=0),"OK","CHECK"))</f>
        <v>OK</v>
      </c>
    </row>
    <row r="115" customFormat="false" ht="18" hidden="false" customHeight="true" outlineLevel="0" collapsed="false">
      <c r="A115" s="18" t="s">
        <v>39</v>
      </c>
      <c r="B115" s="19" t="n">
        <v>21</v>
      </c>
      <c r="C115" s="20" t="n">
        <v>45958</v>
      </c>
      <c r="D115" s="18" t="s">
        <v>40</v>
      </c>
      <c r="E115" s="18" t="s">
        <v>67</v>
      </c>
      <c r="F115" s="18" t="s">
        <v>42</v>
      </c>
      <c r="G115" s="21" t="n">
        <v>11392</v>
      </c>
      <c r="H115" s="22" t="n">
        <v>0.00533786662468761</v>
      </c>
      <c r="I115" s="22" t="n">
        <v>0.000661291906794229</v>
      </c>
      <c r="J115" s="22" t="n">
        <v>0.00778550960863178</v>
      </c>
      <c r="K115" s="22" t="n">
        <v>8.19592213403838E-005</v>
      </c>
      <c r="L115" s="22" t="n">
        <v>0.00474465146043596</v>
      </c>
      <c r="M115" s="22" t="n">
        <v>0.0178522955540803</v>
      </c>
      <c r="N115" s="22" t="n">
        <v>5.32961318853911E-005</v>
      </c>
      <c r="O115" s="22" t="n">
        <v>0.0193170231228075</v>
      </c>
      <c r="P115" s="22" t="n">
        <v>0.0172808739232175</v>
      </c>
      <c r="Q115" s="22" t="n">
        <v>0.000309467737042729</v>
      </c>
      <c r="R115" s="22" t="n">
        <v>0.000592085723682404</v>
      </c>
      <c r="S115" s="23" t="n">
        <f aca="false">IF(A115="","",SUM(H115:R115))</f>
        <v>0.0740163210146058</v>
      </c>
      <c r="T115" s="17" t="str">
        <f aca="false">IF(A115="","",IF(AND(MIN(H115:R115)&gt;=0,MAX(H115:R115)&lt;=1,S115&lt;=1),"OK","CHECK"))</f>
        <v>OK</v>
      </c>
      <c r="U115" s="17" t="str">
        <f aca="false">IF(A115="","", "LOSS-"&amp;A115&amp;"-L"&amp;TEXT(B115,"00")&amp;"-"&amp;TEXT(C115,"yyyymmdd")&amp;"-"&amp;D115&amp;"-"&amp;E115)</f>
        <v>LOSS-KG01-L21-20251028-AM-ORD-2025-00171</v>
      </c>
      <c r="V115" s="17" t="str">
        <f aca="false">IF(U115="","",IF(COUNTIF($U$5:$U$935,U115)=1,"OK","CHECK"))</f>
        <v>OK</v>
      </c>
      <c r="W115" s="17" t="str">
        <f aca="false">IF(A115="","",IF(AND(T115="OK",V115="OK",G115&gt;=0),"OK","CHECK"))</f>
        <v>OK</v>
      </c>
    </row>
    <row r="116" customFormat="false" ht="18" hidden="false" customHeight="true" outlineLevel="0" collapsed="false">
      <c r="A116" s="18" t="s">
        <v>39</v>
      </c>
      <c r="B116" s="19" t="n">
        <v>21</v>
      </c>
      <c r="C116" s="20" t="n">
        <v>45958</v>
      </c>
      <c r="D116" s="18" t="s">
        <v>43</v>
      </c>
      <c r="E116" s="18" t="s">
        <v>67</v>
      </c>
      <c r="F116" s="18" t="s">
        <v>42</v>
      </c>
      <c r="G116" s="21" t="n">
        <v>21800</v>
      </c>
      <c r="H116" s="22" t="n">
        <v>0.0101759247655765</v>
      </c>
      <c r="I116" s="22" t="n">
        <v>0.0213628911689505</v>
      </c>
      <c r="J116" s="22" t="n">
        <v>0.00141097587648246</v>
      </c>
      <c r="K116" s="22" t="n">
        <v>0.00869789353999508</v>
      </c>
      <c r="L116" s="22" t="n">
        <v>0.00613732569679368</v>
      </c>
      <c r="M116" s="22" t="n">
        <v>0.00736958419387292</v>
      </c>
      <c r="N116" s="22" t="n">
        <v>0.000910331431209729</v>
      </c>
      <c r="O116" s="22" t="n">
        <v>0.00131814989852139</v>
      </c>
      <c r="P116" s="22" t="n">
        <v>0.00607347455439708</v>
      </c>
      <c r="Q116" s="22" t="n">
        <v>0.0123994703379381</v>
      </c>
      <c r="R116" s="22" t="n">
        <v>0.00310345204318607</v>
      </c>
      <c r="S116" s="23" t="n">
        <f aca="false">IF(A116="","",SUM(H116:R116))</f>
        <v>0.0789594735069235</v>
      </c>
      <c r="T116" s="17" t="str">
        <f aca="false">IF(A116="","",IF(AND(MIN(H116:R116)&gt;=0,MAX(H116:R116)&lt;=1,S116&lt;=1),"OK","CHECK"))</f>
        <v>OK</v>
      </c>
      <c r="U116" s="17" t="str">
        <f aca="false">IF(A116="","", "LOSS-"&amp;A116&amp;"-L"&amp;TEXT(B116,"00")&amp;"-"&amp;TEXT(C116,"yyyymmdd")&amp;"-"&amp;D116&amp;"-"&amp;E116)</f>
        <v>LOSS-KG01-L21-20251028-PM-ORD-2025-00171</v>
      </c>
      <c r="V116" s="17" t="str">
        <f aca="false">IF(U116="","",IF(COUNTIF($U$5:$U$935,U116)=1,"OK","CHECK"))</f>
        <v>OK</v>
      </c>
      <c r="W116" s="17" t="str">
        <f aca="false">IF(A116="","",IF(AND(T116="OK",V116="OK",G116&gt;=0),"OK","CHECK"))</f>
        <v>OK</v>
      </c>
    </row>
    <row r="117" customFormat="false" ht="18" hidden="false" customHeight="true" outlineLevel="0" collapsed="false">
      <c r="A117" s="18" t="s">
        <v>39</v>
      </c>
      <c r="B117" s="19" t="n">
        <v>21</v>
      </c>
      <c r="C117" s="20" t="n">
        <v>45959</v>
      </c>
      <c r="D117" s="18" t="s">
        <v>40</v>
      </c>
      <c r="E117" s="18" t="s">
        <v>67</v>
      </c>
      <c r="F117" s="18" t="s">
        <v>42</v>
      </c>
      <c r="G117" s="21" t="n">
        <v>9025</v>
      </c>
      <c r="H117" s="22" t="n">
        <v>0.00358384519499131</v>
      </c>
      <c r="I117" s="22" t="n">
        <v>0.0101012018718024</v>
      </c>
      <c r="J117" s="22" t="n">
        <v>0.000437513710473842</v>
      </c>
      <c r="K117" s="22" t="n">
        <v>0.0080225347495625</v>
      </c>
      <c r="L117" s="22" t="n">
        <v>0.00249727725766019</v>
      </c>
      <c r="M117" s="22" t="n">
        <v>0.0097553192033343</v>
      </c>
      <c r="N117" s="22" t="n">
        <v>0.00139464647281432</v>
      </c>
      <c r="O117" s="22" t="n">
        <v>0.0015388723231135</v>
      </c>
      <c r="P117" s="22" t="n">
        <v>0.00238991074117956</v>
      </c>
      <c r="Q117" s="22" t="n">
        <v>0.00192720210494223</v>
      </c>
      <c r="R117" s="22" t="n">
        <v>0.00400557680668341</v>
      </c>
      <c r="S117" s="23" t="n">
        <f aca="false">IF(A117="","",SUM(H117:R117))</f>
        <v>0.0456539004365576</v>
      </c>
      <c r="T117" s="17" t="str">
        <f aca="false">IF(A117="","",IF(AND(MIN(H117:R117)&gt;=0,MAX(H117:R117)&lt;=1,S117&lt;=1),"OK","CHECK"))</f>
        <v>OK</v>
      </c>
      <c r="U117" s="17" t="str">
        <f aca="false">IF(A117="","", "LOSS-"&amp;A117&amp;"-L"&amp;TEXT(B117,"00")&amp;"-"&amp;TEXT(C117,"yyyymmdd")&amp;"-"&amp;D117&amp;"-"&amp;E117)</f>
        <v>LOSS-KG01-L21-20251029-AM-ORD-2025-00171</v>
      </c>
      <c r="V117" s="17" t="str">
        <f aca="false">IF(U117="","",IF(COUNTIF($U$5:$U$935,U117)=1,"OK","CHECK"))</f>
        <v>OK</v>
      </c>
      <c r="W117" s="17" t="str">
        <f aca="false">IF(A117="","",IF(AND(T117="OK",V117="OK",G117&gt;=0),"OK","CHECK"))</f>
        <v>OK</v>
      </c>
    </row>
    <row r="118" customFormat="false" ht="18" hidden="false" customHeight="true" outlineLevel="0" collapsed="false">
      <c r="A118" s="18" t="s">
        <v>39</v>
      </c>
      <c r="B118" s="19" t="n">
        <v>21</v>
      </c>
      <c r="C118" s="20" t="n">
        <v>45959</v>
      </c>
      <c r="D118" s="18" t="s">
        <v>43</v>
      </c>
      <c r="E118" s="18" t="s">
        <v>67</v>
      </c>
      <c r="F118" s="18" t="s">
        <v>42</v>
      </c>
      <c r="G118" s="21" t="n">
        <v>8263</v>
      </c>
      <c r="H118" s="22" t="n">
        <v>0.0034344542519063</v>
      </c>
      <c r="I118" s="22" t="n">
        <v>0.000444212805123</v>
      </c>
      <c r="J118" s="22" t="n">
        <v>0.0166300964900097</v>
      </c>
      <c r="K118" s="22" t="n">
        <v>0.00424731231068931</v>
      </c>
      <c r="L118" s="22" t="n">
        <v>0.0106132443695059</v>
      </c>
      <c r="M118" s="22" t="n">
        <v>0.00333950685016719</v>
      </c>
      <c r="N118" s="22" t="n">
        <v>0.000126650936253576</v>
      </c>
      <c r="O118" s="22" t="n">
        <v>0.0150214987084504</v>
      </c>
      <c r="P118" s="22" t="n">
        <v>0.00164790235518652</v>
      </c>
      <c r="Q118" s="22" t="n">
        <v>0.00527578481377883</v>
      </c>
      <c r="R118" s="22" t="n">
        <v>0.00558774786135105</v>
      </c>
      <c r="S118" s="23" t="n">
        <f aca="false">IF(A118="","",SUM(H118:R118))</f>
        <v>0.0663684117524218</v>
      </c>
      <c r="T118" s="17" t="str">
        <f aca="false">IF(A118="","",IF(AND(MIN(H118:R118)&gt;=0,MAX(H118:R118)&lt;=1,S118&lt;=1),"OK","CHECK"))</f>
        <v>OK</v>
      </c>
      <c r="U118" s="17" t="str">
        <f aca="false">IF(A118="","", "LOSS-"&amp;A118&amp;"-L"&amp;TEXT(B118,"00")&amp;"-"&amp;TEXT(C118,"yyyymmdd")&amp;"-"&amp;D118&amp;"-"&amp;E118)</f>
        <v>LOSS-KG01-L21-20251029-PM-ORD-2025-00171</v>
      </c>
      <c r="V118" s="17" t="str">
        <f aca="false">IF(U118="","",IF(COUNTIF($U$5:$U$935,U118)=1,"OK","CHECK"))</f>
        <v>OK</v>
      </c>
      <c r="W118" s="17" t="str">
        <f aca="false">IF(A118="","",IF(AND(T118="OK",V118="OK",G118&gt;=0),"OK","CHECK"))</f>
        <v>OK</v>
      </c>
    </row>
    <row r="119" customFormat="false" ht="18" hidden="false" customHeight="true" outlineLevel="0" collapsed="false">
      <c r="A119" s="18" t="s">
        <v>39</v>
      </c>
      <c r="B119" s="19" t="n">
        <v>21</v>
      </c>
      <c r="C119" s="20" t="n">
        <v>45960</v>
      </c>
      <c r="D119" s="18" t="s">
        <v>40</v>
      </c>
      <c r="E119" s="18" t="s">
        <v>67</v>
      </c>
      <c r="F119" s="18" t="s">
        <v>42</v>
      </c>
      <c r="G119" s="21" t="n">
        <v>16288</v>
      </c>
      <c r="H119" s="22" t="n">
        <v>0.000694966396066685</v>
      </c>
      <c r="I119" s="22" t="n">
        <v>0.00325851236410458</v>
      </c>
      <c r="J119" s="22" t="n">
        <v>0.00210587654998505</v>
      </c>
      <c r="K119" s="22" t="n">
        <v>0.00180588095865237</v>
      </c>
      <c r="L119" s="22" t="n">
        <v>0.00711403306874832</v>
      </c>
      <c r="M119" s="22" t="n">
        <v>0.00520514294900225</v>
      </c>
      <c r="N119" s="22" t="n">
        <v>0.0024998999711154</v>
      </c>
      <c r="O119" s="22" t="n">
        <v>0.0115045528627661</v>
      </c>
      <c r="P119" s="22" t="n">
        <v>0.000862333390341094</v>
      </c>
      <c r="Q119" s="22" t="n">
        <v>0.0188946869770589</v>
      </c>
      <c r="R119" s="22" t="n">
        <v>3.93450986075914E-007</v>
      </c>
      <c r="S119" s="23" t="n">
        <f aca="false">IF(A119="","",SUM(H119:R119))</f>
        <v>0.0539462789388268</v>
      </c>
      <c r="T119" s="17" t="str">
        <f aca="false">IF(A119="","",IF(AND(MIN(H119:R119)&gt;=0,MAX(H119:R119)&lt;=1,S119&lt;=1),"OK","CHECK"))</f>
        <v>OK</v>
      </c>
      <c r="U119" s="17" t="str">
        <f aca="false">IF(A119="","", "LOSS-"&amp;A119&amp;"-L"&amp;TEXT(B119,"00")&amp;"-"&amp;TEXT(C119,"yyyymmdd")&amp;"-"&amp;D119&amp;"-"&amp;E119)</f>
        <v>LOSS-KG01-L21-20251030-AM-ORD-2025-00171</v>
      </c>
      <c r="V119" s="17" t="str">
        <f aca="false">IF(U119="","",IF(COUNTIF($U$5:$U$935,U119)=1,"OK","CHECK"))</f>
        <v>OK</v>
      </c>
      <c r="W119" s="17" t="str">
        <f aca="false">IF(A119="","",IF(AND(T119="OK",V119="OK",G119&gt;=0),"OK","CHECK"))</f>
        <v>OK</v>
      </c>
    </row>
    <row r="120" customFormat="false" ht="18" hidden="false" customHeight="true" outlineLevel="0" collapsed="false">
      <c r="A120" s="18" t="s">
        <v>39</v>
      </c>
      <c r="B120" s="19" t="n">
        <v>21</v>
      </c>
      <c r="C120" s="20" t="n">
        <v>45960</v>
      </c>
      <c r="D120" s="18" t="s">
        <v>43</v>
      </c>
      <c r="E120" s="18" t="s">
        <v>68</v>
      </c>
      <c r="F120" s="18" t="s">
        <v>45</v>
      </c>
      <c r="G120" s="21" t="n">
        <v>880</v>
      </c>
      <c r="H120" s="22" t="n">
        <v>0.00912877803504996</v>
      </c>
      <c r="I120" s="22" t="n">
        <v>0.00655888372022803</v>
      </c>
      <c r="J120" s="22" t="n">
        <v>0.00172221531737904</v>
      </c>
      <c r="K120" s="22" t="n">
        <v>0.00201234018501115</v>
      </c>
      <c r="L120" s="22" t="n">
        <v>0.00212596832244135</v>
      </c>
      <c r="M120" s="22" t="n">
        <v>0.00191500206322336</v>
      </c>
      <c r="N120" s="22" t="n">
        <v>0.006772991874939</v>
      </c>
      <c r="O120" s="22" t="n">
        <v>0.0018133965684087</v>
      </c>
      <c r="P120" s="22" t="n">
        <v>0.00116496659725253</v>
      </c>
      <c r="Q120" s="22" t="n">
        <v>0.0119905556327089</v>
      </c>
      <c r="R120" s="22" t="n">
        <v>6.23913952921783E-005</v>
      </c>
      <c r="S120" s="23" t="n">
        <f aca="false">IF(A120="","",SUM(H120:R120))</f>
        <v>0.0452674897119342</v>
      </c>
      <c r="T120" s="17" t="str">
        <f aca="false">IF(A120="","",IF(AND(MIN(H120:R120)&gt;=0,MAX(H120:R120)&lt;=1,S120&lt;=1),"OK","CHECK"))</f>
        <v>OK</v>
      </c>
      <c r="U120" s="17" t="str">
        <f aca="false">IF(A120="","", "LOSS-"&amp;A120&amp;"-L"&amp;TEXT(B120,"00")&amp;"-"&amp;TEXT(C120,"yyyymmdd")&amp;"-"&amp;D120&amp;"-"&amp;E120)</f>
        <v>LOSS-KG01-L21-20251030-PM-ORD-2025-00172</v>
      </c>
      <c r="V120" s="17" t="str">
        <f aca="false">IF(U120="","",IF(COUNTIF($U$5:$U$935,U120)=1,"OK","CHECK"))</f>
        <v>OK</v>
      </c>
      <c r="W120" s="17" t="str">
        <f aca="false">IF(A120="","",IF(AND(T120="OK",V120="OK",G120&gt;=0),"OK","CHECK"))</f>
        <v>OK</v>
      </c>
    </row>
    <row r="121" customFormat="false" ht="18" hidden="false" customHeight="true" outlineLevel="0" collapsed="false">
      <c r="A121" s="18" t="s">
        <v>39</v>
      </c>
      <c r="B121" s="19" t="n">
        <v>21</v>
      </c>
      <c r="C121" s="20" t="n">
        <v>45961</v>
      </c>
      <c r="D121" s="18" t="s">
        <v>40</v>
      </c>
      <c r="E121" s="18" t="s">
        <v>68</v>
      </c>
      <c r="F121" s="18" t="s">
        <v>42</v>
      </c>
      <c r="G121" s="21" t="n">
        <v>9970</v>
      </c>
      <c r="H121" s="22" t="n">
        <v>0.00880444729129635</v>
      </c>
      <c r="I121" s="22" t="n">
        <v>0.0110726839675836</v>
      </c>
      <c r="J121" s="22" t="n">
        <v>0.000174179781796292</v>
      </c>
      <c r="K121" s="22" t="n">
        <v>0.00976716507589426</v>
      </c>
      <c r="L121" s="22" t="n">
        <v>0.000296337629724628</v>
      </c>
      <c r="M121" s="22" t="n">
        <v>0.00654348478143255</v>
      </c>
      <c r="N121" s="22" t="n">
        <v>0.0102974043271776</v>
      </c>
      <c r="O121" s="22" t="n">
        <v>0.0066869684210333</v>
      </c>
      <c r="P121" s="22" t="n">
        <v>0.0063498490059251</v>
      </c>
      <c r="Q121" s="22" t="n">
        <v>0.00136589598734755</v>
      </c>
      <c r="R121" s="22" t="n">
        <v>0.00565282844617583</v>
      </c>
      <c r="S121" s="23" t="n">
        <f aca="false">IF(A121="","",SUM(H121:R121))</f>
        <v>0.0670112447153871</v>
      </c>
      <c r="T121" s="17" t="str">
        <f aca="false">IF(A121="","",IF(AND(MIN(H121:R121)&gt;=0,MAX(H121:R121)&lt;=1,S121&lt;=1),"OK","CHECK"))</f>
        <v>OK</v>
      </c>
      <c r="U121" s="17" t="str">
        <f aca="false">IF(A121="","", "LOSS-"&amp;A121&amp;"-L"&amp;TEXT(B121,"00")&amp;"-"&amp;TEXT(C121,"yyyymmdd")&amp;"-"&amp;D121&amp;"-"&amp;E121)</f>
        <v>LOSS-KG01-L21-20251031-AM-ORD-2025-00172</v>
      </c>
      <c r="V121" s="17" t="str">
        <f aca="false">IF(U121="","",IF(COUNTIF($U$5:$U$935,U121)=1,"OK","CHECK"))</f>
        <v>OK</v>
      </c>
      <c r="W121" s="17" t="str">
        <f aca="false">IF(A121="","",IF(AND(T121="OK",V121="OK",G121&gt;=0),"OK","CHECK"))</f>
        <v>OK</v>
      </c>
    </row>
    <row r="122" customFormat="false" ht="18" hidden="false" customHeight="true" outlineLevel="0" collapsed="false">
      <c r="A122" s="18" t="s">
        <v>39</v>
      </c>
      <c r="B122" s="19" t="n">
        <v>21</v>
      </c>
      <c r="C122" s="20" t="n">
        <v>45961</v>
      </c>
      <c r="D122" s="18" t="s">
        <v>43</v>
      </c>
      <c r="E122" s="18" t="s">
        <v>68</v>
      </c>
      <c r="F122" s="18" t="s">
        <v>42</v>
      </c>
      <c r="G122" s="21" t="n">
        <v>13365</v>
      </c>
      <c r="H122" s="22" t="n">
        <v>0.00741966487512287</v>
      </c>
      <c r="I122" s="22" t="n">
        <v>0.00249451551068258</v>
      </c>
      <c r="J122" s="22" t="n">
        <v>6.12753327693745E-005</v>
      </c>
      <c r="K122" s="22" t="n">
        <v>0.00273235615797566</v>
      </c>
      <c r="L122" s="22" t="n">
        <v>0.00330886378956613</v>
      </c>
      <c r="M122" s="22" t="n">
        <v>0.00112079462044008</v>
      </c>
      <c r="N122" s="22" t="n">
        <v>0.004199731241773</v>
      </c>
      <c r="O122" s="22" t="n">
        <v>0.0156251997307635</v>
      </c>
      <c r="P122" s="22" t="n">
        <v>0.00240367187497605</v>
      </c>
      <c r="Q122" s="22" t="n">
        <v>0.00918673853983247</v>
      </c>
      <c r="R122" s="22" t="n">
        <v>1.46922507451096E-005</v>
      </c>
      <c r="S122" s="23" t="n">
        <f aca="false">IF(A122="","",SUM(H122:R122))</f>
        <v>0.0485675039246468</v>
      </c>
      <c r="T122" s="17" t="str">
        <f aca="false">IF(A122="","",IF(AND(MIN(H122:R122)&gt;=0,MAX(H122:R122)&lt;=1,S122&lt;=1),"OK","CHECK"))</f>
        <v>OK</v>
      </c>
      <c r="U122" s="17" t="str">
        <f aca="false">IF(A122="","", "LOSS-"&amp;A122&amp;"-L"&amp;TEXT(B122,"00")&amp;"-"&amp;TEXT(C122,"yyyymmdd")&amp;"-"&amp;D122&amp;"-"&amp;E122)</f>
        <v>LOSS-KG01-L21-20251031-PM-ORD-2025-00172</v>
      </c>
      <c r="V122" s="17" t="str">
        <f aca="false">IF(U122="","",IF(COUNTIF($U$5:$U$935,U122)=1,"OK","CHECK"))</f>
        <v>OK</v>
      </c>
      <c r="W122" s="17" t="str">
        <f aca="false">IF(A122="","",IF(AND(T122="OK",V122="OK",G122&gt;=0),"OK","CHECK"))</f>
        <v>OK</v>
      </c>
    </row>
    <row r="123" customFormat="false" ht="18" hidden="false" customHeight="true" outlineLevel="0" collapsed="false">
      <c r="A123" s="18" t="s">
        <v>39</v>
      </c>
      <c r="B123" s="19" t="n">
        <v>21</v>
      </c>
      <c r="C123" s="20" t="n">
        <v>45962</v>
      </c>
      <c r="D123" s="18" t="s">
        <v>40</v>
      </c>
      <c r="E123" s="18" t="s">
        <v>69</v>
      </c>
      <c r="F123" s="18" t="s">
        <v>45</v>
      </c>
      <c r="G123" s="21" t="n">
        <v>4978</v>
      </c>
      <c r="H123" s="22" t="n">
        <v>0.00898479778981137</v>
      </c>
      <c r="I123" s="22" t="n">
        <v>0.000443431981750584</v>
      </c>
      <c r="J123" s="22" t="n">
        <v>0.00743222657850935</v>
      </c>
      <c r="K123" s="22" t="n">
        <v>0.0180788570411297</v>
      </c>
      <c r="L123" s="22" t="n">
        <v>0.000440337593782174</v>
      </c>
      <c r="M123" s="22" t="n">
        <v>0.00124117877070151</v>
      </c>
      <c r="N123" s="22" t="n">
        <v>0.00678191186136397</v>
      </c>
      <c r="O123" s="22" t="n">
        <v>0.00890208960565517</v>
      </c>
      <c r="P123" s="22" t="n">
        <v>0.000528369295078052</v>
      </c>
      <c r="Q123" s="22" t="n">
        <v>0.000276282095765784</v>
      </c>
      <c r="R123" s="22" t="n">
        <v>0.000172759136695885</v>
      </c>
      <c r="S123" s="23" t="n">
        <f aca="false">IF(A123="","",SUM(H123:R123))</f>
        <v>0.0532822417502436</v>
      </c>
      <c r="T123" s="17" t="str">
        <f aca="false">IF(A123="","",IF(AND(MIN(H123:R123)&gt;=0,MAX(H123:R123)&lt;=1,S123&lt;=1),"OK","CHECK"))</f>
        <v>OK</v>
      </c>
      <c r="U123" s="17" t="str">
        <f aca="false">IF(A123="","", "LOSS-"&amp;A123&amp;"-L"&amp;TEXT(B123,"00")&amp;"-"&amp;TEXT(C123,"yyyymmdd")&amp;"-"&amp;D123&amp;"-"&amp;E123)</f>
        <v>LOSS-KG01-L21-20251101-AM-ORD-2025-00173</v>
      </c>
      <c r="V123" s="17" t="str">
        <f aca="false">IF(U123="","",IF(COUNTIF($U$5:$U$935,U123)=1,"OK","CHECK"))</f>
        <v>OK</v>
      </c>
      <c r="W123" s="17" t="str">
        <f aca="false">IF(A123="","",IF(AND(T123="OK",V123="OK",G123&gt;=0),"OK","CHECK"))</f>
        <v>OK</v>
      </c>
    </row>
    <row r="124" customFormat="false" ht="18" hidden="false" customHeight="true" outlineLevel="0" collapsed="false">
      <c r="A124" s="18" t="s">
        <v>39</v>
      </c>
      <c r="B124" s="19" t="n">
        <v>21</v>
      </c>
      <c r="C124" s="20" t="n">
        <v>45962</v>
      </c>
      <c r="D124" s="18" t="s">
        <v>43</v>
      </c>
      <c r="E124" s="18" t="s">
        <v>69</v>
      </c>
      <c r="F124" s="18" t="s">
        <v>42</v>
      </c>
      <c r="G124" s="21" t="n">
        <v>11092</v>
      </c>
      <c r="H124" s="22" t="n">
        <v>0.00572470843135853</v>
      </c>
      <c r="I124" s="22" t="n">
        <v>0.00167000812386359</v>
      </c>
      <c r="J124" s="22" t="n">
        <v>0.00563592461625544</v>
      </c>
      <c r="K124" s="22" t="n">
        <v>0.0107279730962609</v>
      </c>
      <c r="L124" s="22" t="n">
        <v>7.29833011459534E-005</v>
      </c>
      <c r="M124" s="22" t="n">
        <v>0.00936061067864257</v>
      </c>
      <c r="N124" s="22" t="n">
        <v>0.00867529525729951</v>
      </c>
      <c r="O124" s="22" t="n">
        <v>0.000310858434097353</v>
      </c>
      <c r="P124" s="22" t="n">
        <v>0.00205998568794965</v>
      </c>
      <c r="Q124" s="22" t="n">
        <v>0.00541099652073942</v>
      </c>
      <c r="R124" s="22" t="n">
        <v>0.00283356294742124</v>
      </c>
      <c r="S124" s="23" t="n">
        <f aca="false">IF(A124="","",SUM(H124:R124))</f>
        <v>0.0524829070950342</v>
      </c>
      <c r="T124" s="17" t="str">
        <f aca="false">IF(A124="","",IF(AND(MIN(H124:R124)&gt;=0,MAX(H124:R124)&lt;=1,S124&lt;=1),"OK","CHECK"))</f>
        <v>OK</v>
      </c>
      <c r="U124" s="17" t="str">
        <f aca="false">IF(A124="","", "LOSS-"&amp;A124&amp;"-L"&amp;TEXT(B124,"00")&amp;"-"&amp;TEXT(C124,"yyyymmdd")&amp;"-"&amp;D124&amp;"-"&amp;E124)</f>
        <v>LOSS-KG01-L21-20251101-PM-ORD-2025-00173</v>
      </c>
      <c r="V124" s="17" t="str">
        <f aca="false">IF(U124="","",IF(COUNTIF($U$5:$U$935,U124)=1,"OK","CHECK"))</f>
        <v>OK</v>
      </c>
      <c r="W124" s="17" t="str">
        <f aca="false">IF(A124="","",IF(AND(T124="OK",V124="OK",G124&gt;=0),"OK","CHECK"))</f>
        <v>OK</v>
      </c>
    </row>
    <row r="125" customFormat="false" ht="18" hidden="false" customHeight="true" outlineLevel="0" collapsed="false">
      <c r="A125" s="18" t="s">
        <v>39</v>
      </c>
      <c r="B125" s="19" t="n">
        <v>21</v>
      </c>
      <c r="C125" s="20" t="n">
        <v>45963</v>
      </c>
      <c r="D125" s="18" t="s">
        <v>40</v>
      </c>
      <c r="E125" s="18" t="s">
        <v>69</v>
      </c>
      <c r="F125" s="18" t="s">
        <v>42</v>
      </c>
      <c r="G125" s="21" t="n">
        <v>7828</v>
      </c>
      <c r="H125" s="22" t="n">
        <v>0.00155197859554664</v>
      </c>
      <c r="I125" s="22" t="n">
        <v>0.00429149502002881</v>
      </c>
      <c r="J125" s="22" t="n">
        <v>0.00187506692005551</v>
      </c>
      <c r="K125" s="22" t="n">
        <v>0.00294046934790072</v>
      </c>
      <c r="L125" s="22" t="n">
        <v>0.00309081310292194</v>
      </c>
      <c r="M125" s="22" t="n">
        <v>0.00466389285608899</v>
      </c>
      <c r="N125" s="22" t="n">
        <v>0.00412629735979359</v>
      </c>
      <c r="O125" s="22" t="n">
        <v>6.51834826423969E-005</v>
      </c>
      <c r="P125" s="22" t="n">
        <v>0.00178987926408395</v>
      </c>
      <c r="Q125" s="22" t="n">
        <v>0.00347217546620107</v>
      </c>
      <c r="R125" s="22" t="n">
        <v>0.0036190567869438</v>
      </c>
      <c r="S125" s="23" t="n">
        <f aca="false">IF(A125="","",SUM(H125:R125))</f>
        <v>0.0314863082022074</v>
      </c>
      <c r="T125" s="17" t="str">
        <f aca="false">IF(A125="","",IF(AND(MIN(H125:R125)&gt;=0,MAX(H125:R125)&lt;=1,S125&lt;=1),"OK","CHECK"))</f>
        <v>OK</v>
      </c>
      <c r="U125" s="17" t="str">
        <f aca="false">IF(A125="","", "LOSS-"&amp;A125&amp;"-L"&amp;TEXT(B125,"00")&amp;"-"&amp;TEXT(C125,"yyyymmdd")&amp;"-"&amp;D125&amp;"-"&amp;E125)</f>
        <v>LOSS-KG01-L21-20251102-AM-ORD-2025-00173</v>
      </c>
      <c r="V125" s="17" t="str">
        <f aca="false">IF(U125="","",IF(COUNTIF($U$5:$U$935,U125)=1,"OK","CHECK"))</f>
        <v>OK</v>
      </c>
      <c r="W125" s="17" t="str">
        <f aca="false">IF(A125="","",IF(AND(T125="OK",V125="OK",G125&gt;=0),"OK","CHECK"))</f>
        <v>OK</v>
      </c>
    </row>
    <row r="126" customFormat="false" ht="18" hidden="false" customHeight="true" outlineLevel="0" collapsed="false">
      <c r="A126" s="18" t="s">
        <v>39</v>
      </c>
      <c r="B126" s="19" t="n">
        <v>21</v>
      </c>
      <c r="C126" s="20" t="n">
        <v>45963</v>
      </c>
      <c r="D126" s="18" t="s">
        <v>43</v>
      </c>
      <c r="E126" s="18" t="s">
        <v>69</v>
      </c>
      <c r="F126" s="18" t="s">
        <v>42</v>
      </c>
      <c r="G126" s="21" t="n">
        <v>5725</v>
      </c>
      <c r="H126" s="22" t="n">
        <v>0.000941304291411627</v>
      </c>
      <c r="I126" s="22" t="n">
        <v>0.00057099273325411</v>
      </c>
      <c r="J126" s="22" t="n">
        <v>0.00728277272195458</v>
      </c>
      <c r="K126" s="22" t="n">
        <v>0.00635509595856397</v>
      </c>
      <c r="L126" s="22" t="n">
        <v>5.36127569970615E-007</v>
      </c>
      <c r="M126" s="22" t="n">
        <v>0.000368836599489204</v>
      </c>
      <c r="N126" s="22" t="n">
        <v>0.00314483663485562</v>
      </c>
      <c r="O126" s="22" t="n">
        <v>0.000122050935196514</v>
      </c>
      <c r="P126" s="22" t="n">
        <v>0.00778665191391245</v>
      </c>
      <c r="Q126" s="22" t="n">
        <v>0.00227078380446415</v>
      </c>
      <c r="R126" s="22" t="n">
        <v>0.00225995712199409</v>
      </c>
      <c r="S126" s="23" t="n">
        <f aca="false">IF(A126="","",SUM(H126:R126))</f>
        <v>0.0311038188426663</v>
      </c>
      <c r="T126" s="17" t="str">
        <f aca="false">IF(A126="","",IF(AND(MIN(H126:R126)&gt;=0,MAX(H126:R126)&lt;=1,S126&lt;=1),"OK","CHECK"))</f>
        <v>OK</v>
      </c>
      <c r="U126" s="17" t="str">
        <f aca="false">IF(A126="","", "LOSS-"&amp;A126&amp;"-L"&amp;TEXT(B126,"00")&amp;"-"&amp;TEXT(C126,"yyyymmdd")&amp;"-"&amp;D126&amp;"-"&amp;E126)</f>
        <v>LOSS-KG01-L21-20251102-PM-ORD-2025-00173</v>
      </c>
      <c r="V126" s="17" t="str">
        <f aca="false">IF(U126="","",IF(COUNTIF($U$5:$U$935,U126)=1,"OK","CHECK"))</f>
        <v>OK</v>
      </c>
      <c r="W126" s="17" t="str">
        <f aca="false">IF(A126="","",IF(AND(T126="OK",V126="OK",G126&gt;=0),"OK","CHECK"))</f>
        <v>OK</v>
      </c>
    </row>
    <row r="127" customFormat="false" ht="18" hidden="false" customHeight="true" outlineLevel="0" collapsed="false">
      <c r="A127" s="18" t="s">
        <v>39</v>
      </c>
      <c r="B127" s="19" t="n">
        <v>21</v>
      </c>
      <c r="C127" s="20" t="n">
        <v>45964</v>
      </c>
      <c r="D127" s="18" t="s">
        <v>40</v>
      </c>
      <c r="E127" s="18" t="s">
        <v>69</v>
      </c>
      <c r="F127" s="18" t="s">
        <v>42</v>
      </c>
      <c r="G127" s="21" t="n">
        <v>13563</v>
      </c>
      <c r="H127" s="22" t="n">
        <v>0.00468855510637229</v>
      </c>
      <c r="I127" s="22" t="n">
        <v>0.0104732482682671</v>
      </c>
      <c r="J127" s="22" t="n">
        <v>0.00175481767791296</v>
      </c>
      <c r="K127" s="22" t="n">
        <v>0.00195938801302433</v>
      </c>
      <c r="L127" s="22" t="n">
        <v>0.00101762510936177</v>
      </c>
      <c r="M127" s="22" t="n">
        <v>0.0133457450758594</v>
      </c>
      <c r="N127" s="22" t="n">
        <v>0.0142461392662848</v>
      </c>
      <c r="O127" s="22" t="n">
        <v>0.000685319470329588</v>
      </c>
      <c r="P127" s="22" t="n">
        <v>0.0181357573733547</v>
      </c>
      <c r="Q127" s="22" t="n">
        <v>0.00254827432445607</v>
      </c>
      <c r="R127" s="22" t="n">
        <v>0.00227700985787161</v>
      </c>
      <c r="S127" s="23" t="n">
        <f aca="false">IF(A127="","",SUM(H127:R127))</f>
        <v>0.0711318795430946</v>
      </c>
      <c r="T127" s="17" t="str">
        <f aca="false">IF(A127="","",IF(AND(MIN(H127:R127)&gt;=0,MAX(H127:R127)&lt;=1,S127&lt;=1),"OK","CHECK"))</f>
        <v>OK</v>
      </c>
      <c r="U127" s="17" t="str">
        <f aca="false">IF(A127="","", "LOSS-"&amp;A127&amp;"-L"&amp;TEXT(B127,"00")&amp;"-"&amp;TEXT(C127,"yyyymmdd")&amp;"-"&amp;D127&amp;"-"&amp;E127)</f>
        <v>LOSS-KG01-L21-20251103-AM-ORD-2025-00173</v>
      </c>
      <c r="V127" s="17" t="str">
        <f aca="false">IF(U127="","",IF(COUNTIF($U$5:$U$935,U127)=1,"OK","CHECK"))</f>
        <v>OK</v>
      </c>
      <c r="W127" s="17" t="str">
        <f aca="false">IF(A127="","",IF(AND(T127="OK",V127="OK",G127&gt;=0),"OK","CHECK"))</f>
        <v>OK</v>
      </c>
    </row>
    <row r="128" customFormat="false" ht="18" hidden="false" customHeight="true" outlineLevel="0" collapsed="false">
      <c r="A128" s="18" t="s">
        <v>39</v>
      </c>
      <c r="B128" s="19" t="n">
        <v>21</v>
      </c>
      <c r="C128" s="20" t="n">
        <v>45964</v>
      </c>
      <c r="D128" s="18" t="s">
        <v>43</v>
      </c>
      <c r="E128" s="18" t="s">
        <v>70</v>
      </c>
      <c r="F128" s="18" t="s">
        <v>45</v>
      </c>
      <c r="G128" s="21" t="n">
        <v>3856</v>
      </c>
      <c r="H128" s="22" t="n">
        <v>0.00504121822976989</v>
      </c>
      <c r="I128" s="22" t="n">
        <v>0.00586947653507959</v>
      </c>
      <c r="J128" s="22" t="n">
        <v>0.000330059213261118</v>
      </c>
      <c r="K128" s="22" t="n">
        <v>0.00866105664661617</v>
      </c>
      <c r="L128" s="22" t="n">
        <v>0.00681020996149279</v>
      </c>
      <c r="M128" s="22" t="n">
        <v>0.00174123215493995</v>
      </c>
      <c r="N128" s="22" t="n">
        <v>0.00747179443946185</v>
      </c>
      <c r="O128" s="22" t="n">
        <v>0.000106885705953719</v>
      </c>
      <c r="P128" s="22" t="n">
        <v>0.00363092116291711</v>
      </c>
      <c r="Q128" s="22" t="n">
        <v>5.70982807584592E-005</v>
      </c>
      <c r="R128" s="22" t="n">
        <v>6.58481835805039E-005</v>
      </c>
      <c r="S128" s="23" t="n">
        <f aca="false">IF(A128="","",SUM(H128:R128))</f>
        <v>0.0397858005138312</v>
      </c>
      <c r="T128" s="17" t="str">
        <f aca="false">IF(A128="","",IF(AND(MIN(H128:R128)&gt;=0,MAX(H128:R128)&lt;=1,S128&lt;=1),"OK","CHECK"))</f>
        <v>OK</v>
      </c>
      <c r="U128" s="17" t="str">
        <f aca="false">IF(A128="","", "LOSS-"&amp;A128&amp;"-L"&amp;TEXT(B128,"00")&amp;"-"&amp;TEXT(C128,"yyyymmdd")&amp;"-"&amp;D128&amp;"-"&amp;E128)</f>
        <v>LOSS-KG01-L21-20251103-PM-ORD-2025-00174</v>
      </c>
      <c r="V128" s="17" t="str">
        <f aca="false">IF(U128="","",IF(COUNTIF($U$5:$U$935,U128)=1,"OK","CHECK"))</f>
        <v>OK</v>
      </c>
      <c r="W128" s="17" t="str">
        <f aca="false">IF(A128="","",IF(AND(T128="OK",V128="OK",G128&gt;=0),"OK","CHECK"))</f>
        <v>OK</v>
      </c>
    </row>
    <row r="129" customFormat="false" ht="18" hidden="false" customHeight="true" outlineLevel="0" collapsed="false">
      <c r="A129" s="18" t="s">
        <v>39</v>
      </c>
      <c r="B129" s="19" t="n">
        <v>21</v>
      </c>
      <c r="C129" s="20" t="n">
        <v>45965</v>
      </c>
      <c r="D129" s="18" t="s">
        <v>40</v>
      </c>
      <c r="E129" s="18" t="s">
        <v>70</v>
      </c>
      <c r="F129" s="18" t="s">
        <v>42</v>
      </c>
      <c r="G129" s="21" t="n">
        <v>6703</v>
      </c>
      <c r="H129" s="22" t="n">
        <v>0.000212668295538029</v>
      </c>
      <c r="I129" s="22" t="n">
        <v>5.64953299638866E-005</v>
      </c>
      <c r="J129" s="22" t="n">
        <v>1.20402423057497E-005</v>
      </c>
      <c r="K129" s="22" t="n">
        <v>0.000754085926084803</v>
      </c>
      <c r="L129" s="22" t="n">
        <v>0.00322054696585089</v>
      </c>
      <c r="M129" s="22" t="n">
        <v>0.00791288705811363</v>
      </c>
      <c r="N129" s="22" t="n">
        <v>1.23636422775823E-006</v>
      </c>
      <c r="O129" s="22" t="n">
        <v>0.000968556755509914</v>
      </c>
      <c r="P129" s="22" t="n">
        <v>0.0124824339688426</v>
      </c>
      <c r="Q129" s="22" t="n">
        <v>0.00605567130458189</v>
      </c>
      <c r="R129" s="22" t="n">
        <v>0.00852079671049302</v>
      </c>
      <c r="S129" s="23" t="n">
        <f aca="false">IF(A129="","",SUM(H129:R129))</f>
        <v>0.0401974189215122</v>
      </c>
      <c r="T129" s="17" t="str">
        <f aca="false">IF(A129="","",IF(AND(MIN(H129:R129)&gt;=0,MAX(H129:R129)&lt;=1,S129&lt;=1),"OK","CHECK"))</f>
        <v>OK</v>
      </c>
      <c r="U129" s="17" t="str">
        <f aca="false">IF(A129="","", "LOSS-"&amp;A129&amp;"-L"&amp;TEXT(B129,"00")&amp;"-"&amp;TEXT(C129,"yyyymmdd")&amp;"-"&amp;D129&amp;"-"&amp;E129)</f>
        <v>LOSS-KG01-L21-20251104-AM-ORD-2025-00174</v>
      </c>
      <c r="V129" s="17" t="str">
        <f aca="false">IF(U129="","",IF(COUNTIF($U$5:$U$935,U129)=1,"OK","CHECK"))</f>
        <v>OK</v>
      </c>
      <c r="W129" s="17" t="str">
        <f aca="false">IF(A129="","",IF(AND(T129="OK",V129="OK",G129&gt;=0),"OK","CHECK"))</f>
        <v>OK</v>
      </c>
    </row>
    <row r="130" customFormat="false" ht="18" hidden="false" customHeight="true" outlineLevel="0" collapsed="false">
      <c r="A130" s="18" t="s">
        <v>39</v>
      </c>
      <c r="B130" s="19" t="n">
        <v>21</v>
      </c>
      <c r="C130" s="20" t="n">
        <v>45965</v>
      </c>
      <c r="D130" s="18" t="s">
        <v>43</v>
      </c>
      <c r="E130" s="18" t="s">
        <v>70</v>
      </c>
      <c r="F130" s="18" t="s">
        <v>42</v>
      </c>
      <c r="G130" s="21" t="n">
        <v>12040</v>
      </c>
      <c r="H130" s="22" t="n">
        <v>3.86868051979634E-005</v>
      </c>
      <c r="I130" s="22" t="n">
        <v>0.0009836130633066</v>
      </c>
      <c r="J130" s="22" t="n">
        <v>0.0138418535070272</v>
      </c>
      <c r="K130" s="22" t="n">
        <v>0.00311588448964274</v>
      </c>
      <c r="L130" s="22" t="n">
        <v>0.00597184478468142</v>
      </c>
      <c r="M130" s="22" t="n">
        <v>0.0204352720922772</v>
      </c>
      <c r="N130" s="22" t="n">
        <v>0.00156028866175537</v>
      </c>
      <c r="O130" s="22" t="n">
        <v>0.00521337030456247</v>
      </c>
      <c r="P130" s="22" t="n">
        <v>0.0126493552183458</v>
      </c>
      <c r="Q130" s="22" t="n">
        <v>0.00806465974573638</v>
      </c>
      <c r="R130" s="22" t="n">
        <v>0.0025007929260485</v>
      </c>
      <c r="S130" s="23" t="n">
        <f aca="false">IF(A130="","",SUM(H130:R130))</f>
        <v>0.0743756215985817</v>
      </c>
      <c r="T130" s="17" t="str">
        <f aca="false">IF(A130="","",IF(AND(MIN(H130:R130)&gt;=0,MAX(H130:R130)&lt;=1,S130&lt;=1),"OK","CHECK"))</f>
        <v>OK</v>
      </c>
      <c r="U130" s="17" t="str">
        <f aca="false">IF(A130="","", "LOSS-"&amp;A130&amp;"-L"&amp;TEXT(B130,"00")&amp;"-"&amp;TEXT(C130,"yyyymmdd")&amp;"-"&amp;D130&amp;"-"&amp;E130)</f>
        <v>LOSS-KG01-L21-20251104-PM-ORD-2025-00174</v>
      </c>
      <c r="V130" s="17" t="str">
        <f aca="false">IF(U130="","",IF(COUNTIF($U$5:$U$935,U130)=1,"OK","CHECK"))</f>
        <v>OK</v>
      </c>
      <c r="W130" s="17" t="str">
        <f aca="false">IF(A130="","",IF(AND(T130="OK",V130="OK",G130&gt;=0),"OK","CHECK"))</f>
        <v>OK</v>
      </c>
    </row>
    <row r="131" customFormat="false" ht="18" hidden="false" customHeight="true" outlineLevel="0" collapsed="false">
      <c r="A131" s="18" t="s">
        <v>39</v>
      </c>
      <c r="B131" s="19" t="n">
        <v>21</v>
      </c>
      <c r="C131" s="20" t="n">
        <v>45966</v>
      </c>
      <c r="D131" s="18" t="s">
        <v>40</v>
      </c>
      <c r="E131" s="18" t="s">
        <v>70</v>
      </c>
      <c r="F131" s="18" t="s">
        <v>42</v>
      </c>
      <c r="G131" s="21" t="n">
        <v>13628</v>
      </c>
      <c r="H131" s="22" t="n">
        <v>0.00658541138178529</v>
      </c>
      <c r="I131" s="22" t="n">
        <v>0.00166715827413664</v>
      </c>
      <c r="J131" s="22" t="n">
        <v>0.00140744196086165</v>
      </c>
      <c r="K131" s="22" t="n">
        <v>0.000813121307667638</v>
      </c>
      <c r="L131" s="22" t="n">
        <v>0.00184804916310978</v>
      </c>
      <c r="M131" s="22" t="n">
        <v>0.00224898566336343</v>
      </c>
      <c r="N131" s="22" t="n">
        <v>0.00528449414399723</v>
      </c>
      <c r="O131" s="22" t="n">
        <v>0.013473283192867</v>
      </c>
      <c r="P131" s="22" t="n">
        <v>0.0107968733709935</v>
      </c>
      <c r="Q131" s="22" t="n">
        <v>0.00920775394551785</v>
      </c>
      <c r="R131" s="22" t="n">
        <v>1.34774560980001E-007</v>
      </c>
      <c r="S131" s="23" t="n">
        <f aca="false">IF(A131="","",SUM(H131:R131))</f>
        <v>0.053332707178861</v>
      </c>
      <c r="T131" s="17" t="str">
        <f aca="false">IF(A131="","",IF(AND(MIN(H131:R131)&gt;=0,MAX(H131:R131)&lt;=1,S131&lt;=1),"OK","CHECK"))</f>
        <v>OK</v>
      </c>
      <c r="U131" s="17" t="str">
        <f aca="false">IF(A131="","", "LOSS-"&amp;A131&amp;"-L"&amp;TEXT(B131,"00")&amp;"-"&amp;TEXT(C131,"yyyymmdd")&amp;"-"&amp;D131&amp;"-"&amp;E131)</f>
        <v>LOSS-KG01-L21-20251105-AM-ORD-2025-00174</v>
      </c>
      <c r="V131" s="17" t="str">
        <f aca="false">IF(U131="","",IF(COUNTIF($U$5:$U$935,U131)=1,"OK","CHECK"))</f>
        <v>OK</v>
      </c>
      <c r="W131" s="17" t="str">
        <f aca="false">IF(A131="","",IF(AND(T131="OK",V131="OK",G131&gt;=0),"OK","CHECK"))</f>
        <v>OK</v>
      </c>
    </row>
    <row r="132" customFormat="false" ht="18" hidden="false" customHeight="true" outlineLevel="0" collapsed="false">
      <c r="A132" s="18" t="s">
        <v>39</v>
      </c>
      <c r="B132" s="19" t="n">
        <v>21</v>
      </c>
      <c r="C132" s="20" t="n">
        <v>45966</v>
      </c>
      <c r="D132" s="18" t="s">
        <v>43</v>
      </c>
      <c r="E132" s="18" t="s">
        <v>70</v>
      </c>
      <c r="F132" s="18" t="s">
        <v>42</v>
      </c>
      <c r="G132" s="21" t="n">
        <v>17909</v>
      </c>
      <c r="H132" s="22" t="n">
        <v>0.0151196682048953</v>
      </c>
      <c r="I132" s="22" t="n">
        <v>0.00322107784711625</v>
      </c>
      <c r="J132" s="22" t="n">
        <v>0.0139243276035162</v>
      </c>
      <c r="K132" s="22" t="n">
        <v>0.017071890220862</v>
      </c>
      <c r="L132" s="22" t="n">
        <v>1.31573304338891E-005</v>
      </c>
      <c r="M132" s="22" t="n">
        <v>0.00030132035064307</v>
      </c>
      <c r="N132" s="22" t="n">
        <v>0.00561753528413525</v>
      </c>
      <c r="O132" s="22" t="n">
        <v>0.0180459976017905</v>
      </c>
      <c r="P132" s="22" t="n">
        <v>0.0112655295489968</v>
      </c>
      <c r="Q132" s="22" t="n">
        <v>0.00123238848505909</v>
      </c>
      <c r="R132" s="22" t="n">
        <v>0.00407457878807336</v>
      </c>
      <c r="S132" s="23" t="n">
        <f aca="false">IF(A132="","",SUM(H132:R132))</f>
        <v>0.0898874712655217</v>
      </c>
      <c r="T132" s="17" t="str">
        <f aca="false">IF(A132="","",IF(AND(MIN(H132:R132)&gt;=0,MAX(H132:R132)&lt;=1,S132&lt;=1),"OK","CHECK"))</f>
        <v>OK</v>
      </c>
      <c r="U132" s="17" t="str">
        <f aca="false">IF(A132="","", "LOSS-"&amp;A132&amp;"-L"&amp;TEXT(B132,"00")&amp;"-"&amp;TEXT(C132,"yyyymmdd")&amp;"-"&amp;D132&amp;"-"&amp;E132)</f>
        <v>LOSS-KG01-L21-20251105-PM-ORD-2025-00174</v>
      </c>
      <c r="V132" s="17" t="str">
        <f aca="false">IF(U132="","",IF(COUNTIF($U$5:$U$935,U132)=1,"OK","CHECK"))</f>
        <v>OK</v>
      </c>
      <c r="W132" s="17" t="str">
        <f aca="false">IF(A132="","",IF(AND(T132="OK",V132="OK",G132&gt;=0),"OK","CHECK"))</f>
        <v>OK</v>
      </c>
    </row>
    <row r="133" customFormat="false" ht="18" hidden="false" customHeight="true" outlineLevel="0" collapsed="false">
      <c r="A133" s="18" t="s">
        <v>39</v>
      </c>
      <c r="B133" s="19" t="n">
        <v>21</v>
      </c>
      <c r="C133" s="20" t="n">
        <v>45967</v>
      </c>
      <c r="D133" s="18" t="s">
        <v>40</v>
      </c>
      <c r="E133" s="18" t="s">
        <v>70</v>
      </c>
      <c r="F133" s="18" t="s">
        <v>42</v>
      </c>
      <c r="G133" s="21" t="n">
        <v>16418</v>
      </c>
      <c r="H133" s="22" t="n">
        <v>0.00409699303097987</v>
      </c>
      <c r="I133" s="22" t="n">
        <v>0.00658377099571262</v>
      </c>
      <c r="J133" s="22" t="n">
        <v>0.00230702510221951</v>
      </c>
      <c r="K133" s="22" t="n">
        <v>0.003792899489883</v>
      </c>
      <c r="L133" s="22" t="n">
        <v>8.51970343516646E-008</v>
      </c>
      <c r="M133" s="22" t="n">
        <v>0.00354261538118252</v>
      </c>
      <c r="N133" s="22" t="n">
        <v>0.00772017742709655</v>
      </c>
      <c r="O133" s="22" t="n">
        <v>0.00090321200471441</v>
      </c>
      <c r="P133" s="22" t="n">
        <v>0.00349507321838227</v>
      </c>
      <c r="Q133" s="22" t="n">
        <v>0.00663809698807003</v>
      </c>
      <c r="R133" s="22" t="n">
        <v>0.00818023838622424</v>
      </c>
      <c r="S133" s="23" t="n">
        <f aca="false">IF(A133="","",SUM(H133:R133))</f>
        <v>0.0472601872214994</v>
      </c>
      <c r="T133" s="17" t="str">
        <f aca="false">IF(A133="","",IF(AND(MIN(H133:R133)&gt;=0,MAX(H133:R133)&lt;=1,S133&lt;=1),"OK","CHECK"))</f>
        <v>OK</v>
      </c>
      <c r="U133" s="17" t="str">
        <f aca="false">IF(A133="","", "LOSS-"&amp;A133&amp;"-L"&amp;TEXT(B133,"00")&amp;"-"&amp;TEXT(C133,"yyyymmdd")&amp;"-"&amp;D133&amp;"-"&amp;E133)</f>
        <v>LOSS-KG01-L21-20251106-AM-ORD-2025-00174</v>
      </c>
      <c r="V133" s="17" t="str">
        <f aca="false">IF(U133="","",IF(COUNTIF($U$5:$U$935,U133)=1,"OK","CHECK"))</f>
        <v>OK</v>
      </c>
      <c r="W133" s="17" t="str">
        <f aca="false">IF(A133="","",IF(AND(T133="OK",V133="OK",G133&gt;=0),"OK","CHECK"))</f>
        <v>OK</v>
      </c>
    </row>
    <row r="134" customFormat="false" ht="18" hidden="false" customHeight="true" outlineLevel="0" collapsed="false">
      <c r="A134" s="18" t="s">
        <v>39</v>
      </c>
      <c r="B134" s="19" t="n">
        <v>21</v>
      </c>
      <c r="C134" s="20" t="n">
        <v>45967</v>
      </c>
      <c r="D134" s="18" t="s">
        <v>43</v>
      </c>
      <c r="E134" s="18" t="s">
        <v>70</v>
      </c>
      <c r="F134" s="18" t="s">
        <v>42</v>
      </c>
      <c r="G134" s="21" t="n">
        <v>8309</v>
      </c>
      <c r="H134" s="22" t="n">
        <v>0.0066872604627019</v>
      </c>
      <c r="I134" s="22" t="n">
        <v>0.0056765210267144</v>
      </c>
      <c r="J134" s="22" t="n">
        <v>0.000673759975433763</v>
      </c>
      <c r="K134" s="22" t="n">
        <v>0.0028997839824027</v>
      </c>
      <c r="L134" s="22" t="n">
        <v>0.00674905008745438</v>
      </c>
      <c r="M134" s="22" t="n">
        <v>0.00778593813446027</v>
      </c>
      <c r="N134" s="22" t="n">
        <v>0.00149866621799324</v>
      </c>
      <c r="O134" s="22" t="n">
        <v>0.0108923820900785</v>
      </c>
      <c r="P134" s="22" t="n">
        <v>0.0109479620211035</v>
      </c>
      <c r="Q134" s="22" t="n">
        <v>0.00279994587542713</v>
      </c>
      <c r="R134" s="22" t="n">
        <v>0.00535318762960478</v>
      </c>
      <c r="S134" s="23" t="n">
        <f aca="false">IF(A134="","",SUM(H134:R134))</f>
        <v>0.0619644575033746</v>
      </c>
      <c r="T134" s="17" t="str">
        <f aca="false">IF(A134="","",IF(AND(MIN(H134:R134)&gt;=0,MAX(H134:R134)&lt;=1,S134&lt;=1),"OK","CHECK"))</f>
        <v>OK</v>
      </c>
      <c r="U134" s="17" t="str">
        <f aca="false">IF(A134="","", "LOSS-"&amp;A134&amp;"-L"&amp;TEXT(B134,"00")&amp;"-"&amp;TEXT(C134,"yyyymmdd")&amp;"-"&amp;D134&amp;"-"&amp;E134)</f>
        <v>LOSS-KG01-L21-20251106-PM-ORD-2025-00174</v>
      </c>
      <c r="V134" s="17" t="str">
        <f aca="false">IF(U134="","",IF(COUNTIF($U$5:$U$935,U134)=1,"OK","CHECK"))</f>
        <v>OK</v>
      </c>
      <c r="W134" s="17" t="str">
        <f aca="false">IF(A134="","",IF(AND(T134="OK",V134="OK",G134&gt;=0),"OK","CHECK"))</f>
        <v>OK</v>
      </c>
    </row>
    <row r="135" customFormat="false" ht="18" hidden="false" customHeight="true" outlineLevel="0" collapsed="false">
      <c r="A135" s="18" t="s">
        <v>39</v>
      </c>
      <c r="B135" s="19" t="n">
        <v>21</v>
      </c>
      <c r="C135" s="20" t="n">
        <v>45968</v>
      </c>
      <c r="D135" s="18" t="s">
        <v>40</v>
      </c>
      <c r="E135" s="18" t="s">
        <v>70</v>
      </c>
      <c r="F135" s="18" t="s">
        <v>42</v>
      </c>
      <c r="G135" s="21" t="n">
        <v>17269</v>
      </c>
      <c r="H135" s="22" t="n">
        <v>0.00703584574445954</v>
      </c>
      <c r="I135" s="22" t="n">
        <v>0.00014510773376643</v>
      </c>
      <c r="J135" s="22" t="n">
        <v>0.00212982277475425</v>
      </c>
      <c r="K135" s="22" t="n">
        <v>0.00530111545367256</v>
      </c>
      <c r="L135" s="22" t="n">
        <v>0.00728836978960934</v>
      </c>
      <c r="M135" s="22" t="n">
        <v>0.0108802443609429</v>
      </c>
      <c r="N135" s="22" t="n">
        <v>0.0110403136447202</v>
      </c>
      <c r="O135" s="22" t="n">
        <v>0.00885783826243364</v>
      </c>
      <c r="P135" s="22" t="n">
        <v>0.00738540568390484</v>
      </c>
      <c r="Q135" s="22" t="n">
        <v>1.44914660411597E-005</v>
      </c>
      <c r="R135" s="22" t="n">
        <v>0.00356507906385535</v>
      </c>
      <c r="S135" s="23" t="n">
        <f aca="false">IF(A135="","",SUM(H135:R135))</f>
        <v>0.0636436339781602</v>
      </c>
      <c r="T135" s="17" t="str">
        <f aca="false">IF(A135="","",IF(AND(MIN(H135:R135)&gt;=0,MAX(H135:R135)&lt;=1,S135&lt;=1),"OK","CHECK"))</f>
        <v>OK</v>
      </c>
      <c r="U135" s="17" t="str">
        <f aca="false">IF(A135="","", "LOSS-"&amp;A135&amp;"-L"&amp;TEXT(B135,"00")&amp;"-"&amp;TEXT(C135,"yyyymmdd")&amp;"-"&amp;D135&amp;"-"&amp;E135)</f>
        <v>LOSS-KG01-L21-20251107-AM-ORD-2025-00174</v>
      </c>
      <c r="V135" s="17" t="str">
        <f aca="false">IF(U135="","",IF(COUNTIF($U$5:$U$935,U135)=1,"OK","CHECK"))</f>
        <v>OK</v>
      </c>
      <c r="W135" s="17" t="str">
        <f aca="false">IF(A135="","",IF(AND(T135="OK",V135="OK",G135&gt;=0),"OK","CHECK"))</f>
        <v>OK</v>
      </c>
    </row>
    <row r="136" customFormat="false" ht="18" hidden="false" customHeight="true" outlineLevel="0" collapsed="false">
      <c r="A136" s="18" t="s">
        <v>39</v>
      </c>
      <c r="B136" s="19" t="n">
        <v>21</v>
      </c>
      <c r="C136" s="20" t="n">
        <v>45968</v>
      </c>
      <c r="D136" s="18" t="s">
        <v>43</v>
      </c>
      <c r="E136" s="18" t="s">
        <v>71</v>
      </c>
      <c r="F136" s="18" t="s">
        <v>45</v>
      </c>
      <c r="G136" s="21" t="n">
        <v>7718</v>
      </c>
      <c r="H136" s="22" t="n">
        <v>7.78734254481557E-005</v>
      </c>
      <c r="I136" s="22" t="n">
        <v>0.00711328226366083</v>
      </c>
      <c r="J136" s="22" t="n">
        <v>0.0101915016080393</v>
      </c>
      <c r="K136" s="22" t="n">
        <v>0.0100064799681263</v>
      </c>
      <c r="L136" s="22" t="n">
        <v>0.0022372841500513</v>
      </c>
      <c r="M136" s="22" t="n">
        <v>0.00825022495396755</v>
      </c>
      <c r="N136" s="22" t="n">
        <v>0.00936498559465656</v>
      </c>
      <c r="O136" s="22" t="n">
        <v>0.00238699514330143</v>
      </c>
      <c r="P136" s="22" t="n">
        <v>0.00300133843263459</v>
      </c>
      <c r="Q136" s="22" t="n">
        <v>0.000608048044220442</v>
      </c>
      <c r="R136" s="22" t="n">
        <v>0.000298236797403524</v>
      </c>
      <c r="S136" s="23" t="n">
        <f aca="false">IF(A136="","",SUM(H136:R136))</f>
        <v>0.05353625038151</v>
      </c>
      <c r="T136" s="17" t="str">
        <f aca="false">IF(A136="","",IF(AND(MIN(H136:R136)&gt;=0,MAX(H136:R136)&lt;=1,S136&lt;=1),"OK","CHECK"))</f>
        <v>OK</v>
      </c>
      <c r="U136" s="17" t="str">
        <f aca="false">IF(A136="","", "LOSS-"&amp;A136&amp;"-L"&amp;TEXT(B136,"00")&amp;"-"&amp;TEXT(C136,"yyyymmdd")&amp;"-"&amp;D136&amp;"-"&amp;E136)</f>
        <v>LOSS-KG01-L21-20251107-PM-ORD-2025-00175</v>
      </c>
      <c r="V136" s="17" t="str">
        <f aca="false">IF(U136="","",IF(COUNTIF($U$5:$U$935,U136)=1,"OK","CHECK"))</f>
        <v>OK</v>
      </c>
      <c r="W136" s="17" t="str">
        <f aca="false">IF(A136="","",IF(AND(T136="OK",V136="OK",G136&gt;=0),"OK","CHECK"))</f>
        <v>OK</v>
      </c>
    </row>
    <row r="137" customFormat="false" ht="18" hidden="false" customHeight="true" outlineLevel="0" collapsed="false">
      <c r="A137" s="18" t="s">
        <v>39</v>
      </c>
      <c r="B137" s="19" t="n">
        <v>21</v>
      </c>
      <c r="C137" s="20" t="n">
        <v>45969</v>
      </c>
      <c r="D137" s="18" t="s">
        <v>40</v>
      </c>
      <c r="E137" s="18" t="s">
        <v>71</v>
      </c>
      <c r="F137" s="18" t="s">
        <v>42</v>
      </c>
      <c r="G137" s="21" t="n">
        <v>13526</v>
      </c>
      <c r="H137" s="22" t="n">
        <v>0.0128714681574007</v>
      </c>
      <c r="I137" s="22" t="n">
        <v>0.00707251970104384</v>
      </c>
      <c r="J137" s="22" t="n">
        <v>0.000160600258460979</v>
      </c>
      <c r="K137" s="22" t="n">
        <v>0.0142464162514045</v>
      </c>
      <c r="L137" s="22" t="n">
        <v>1.2328334056983E-005</v>
      </c>
      <c r="M137" s="22" t="n">
        <v>0.0124602192846663</v>
      </c>
      <c r="N137" s="22" t="n">
        <v>0.00153907397056692</v>
      </c>
      <c r="O137" s="22" t="n">
        <v>0.00212323799236678</v>
      </c>
      <c r="P137" s="22" t="n">
        <v>0.00113479245238917</v>
      </c>
      <c r="Q137" s="22" t="n">
        <v>0.00746724069763866</v>
      </c>
      <c r="R137" s="22" t="n">
        <v>0.00640253062619074</v>
      </c>
      <c r="S137" s="23" t="n">
        <f aca="false">IF(A137="","",SUM(H137:R137))</f>
        <v>0.0654904277261856</v>
      </c>
      <c r="T137" s="17" t="str">
        <f aca="false">IF(A137="","",IF(AND(MIN(H137:R137)&gt;=0,MAX(H137:R137)&lt;=1,S137&lt;=1),"OK","CHECK"))</f>
        <v>OK</v>
      </c>
      <c r="U137" s="17" t="str">
        <f aca="false">IF(A137="","", "LOSS-"&amp;A137&amp;"-L"&amp;TEXT(B137,"00")&amp;"-"&amp;TEXT(C137,"yyyymmdd")&amp;"-"&amp;D137&amp;"-"&amp;E137)</f>
        <v>LOSS-KG01-L21-20251108-AM-ORD-2025-00175</v>
      </c>
      <c r="V137" s="17" t="str">
        <f aca="false">IF(U137="","",IF(COUNTIF($U$5:$U$935,U137)=1,"OK","CHECK"))</f>
        <v>OK</v>
      </c>
      <c r="W137" s="17" t="str">
        <f aca="false">IF(A137="","",IF(AND(T137="OK",V137="OK",G137&gt;=0),"OK","CHECK"))</f>
        <v>OK</v>
      </c>
    </row>
    <row r="138" customFormat="false" ht="18" hidden="false" customHeight="true" outlineLevel="0" collapsed="false">
      <c r="A138" s="18" t="s">
        <v>39</v>
      </c>
      <c r="B138" s="19" t="n">
        <v>21</v>
      </c>
      <c r="C138" s="20" t="n">
        <v>45969</v>
      </c>
      <c r="D138" s="18" t="s">
        <v>43</v>
      </c>
      <c r="E138" s="18" t="s">
        <v>71</v>
      </c>
      <c r="F138" s="18" t="s">
        <v>42</v>
      </c>
      <c r="G138" s="21" t="n">
        <v>9841</v>
      </c>
      <c r="H138" s="22" t="n">
        <v>0.00820743963775312</v>
      </c>
      <c r="I138" s="22" t="n">
        <v>0.00407676160701817</v>
      </c>
      <c r="J138" s="22" t="n">
        <v>0.00401468842465794</v>
      </c>
      <c r="K138" s="22" t="n">
        <v>0.00771865581884402</v>
      </c>
      <c r="L138" s="22" t="n">
        <v>0.00363869689771845</v>
      </c>
      <c r="M138" s="22" t="n">
        <v>0.00219403730290524</v>
      </c>
      <c r="N138" s="22" t="n">
        <v>0.00573734703528045</v>
      </c>
      <c r="O138" s="22" t="n">
        <v>0.001004051808103</v>
      </c>
      <c r="P138" s="22" t="n">
        <v>0.000454078420056067</v>
      </c>
      <c r="Q138" s="22" t="n">
        <v>0.00300738786483817</v>
      </c>
      <c r="R138" s="22" t="n">
        <v>0.00773725922322941</v>
      </c>
      <c r="S138" s="23" t="n">
        <f aca="false">IF(A138="","",SUM(H138:R138))</f>
        <v>0.047790404040404</v>
      </c>
      <c r="T138" s="17" t="str">
        <f aca="false">IF(A138="","",IF(AND(MIN(H138:R138)&gt;=0,MAX(H138:R138)&lt;=1,S138&lt;=1),"OK","CHECK"))</f>
        <v>OK</v>
      </c>
      <c r="U138" s="17" t="str">
        <f aca="false">IF(A138="","", "LOSS-"&amp;A138&amp;"-L"&amp;TEXT(B138,"00")&amp;"-"&amp;TEXT(C138,"yyyymmdd")&amp;"-"&amp;D138&amp;"-"&amp;E138)</f>
        <v>LOSS-KG01-L21-20251108-PM-ORD-2025-00175</v>
      </c>
      <c r="V138" s="17" t="str">
        <f aca="false">IF(U138="","",IF(COUNTIF($U$5:$U$935,U138)=1,"OK","CHECK"))</f>
        <v>OK</v>
      </c>
      <c r="W138" s="17" t="str">
        <f aca="false">IF(A138="","",IF(AND(T138="OK",V138="OK",G138&gt;=0),"OK","CHECK"))</f>
        <v>OK</v>
      </c>
    </row>
    <row r="139" customFormat="false" ht="18" hidden="false" customHeight="true" outlineLevel="0" collapsed="false">
      <c r="A139" s="18" t="s">
        <v>39</v>
      </c>
      <c r="B139" s="19" t="n">
        <v>21</v>
      </c>
      <c r="C139" s="20" t="n">
        <v>45970</v>
      </c>
      <c r="D139" s="18" t="s">
        <v>40</v>
      </c>
      <c r="E139" s="18" t="s">
        <v>71</v>
      </c>
      <c r="F139" s="18" t="s">
        <v>42</v>
      </c>
      <c r="G139" s="21" t="n">
        <v>23782</v>
      </c>
      <c r="H139" s="22" t="n">
        <v>8.52148616659543E-005</v>
      </c>
      <c r="I139" s="22" t="n">
        <v>0.00240054213827746</v>
      </c>
      <c r="J139" s="22" t="n">
        <v>0.016880753300392</v>
      </c>
      <c r="K139" s="22" t="n">
        <v>0.0112483686053262</v>
      </c>
      <c r="L139" s="22" t="n">
        <v>0.0107117195379221</v>
      </c>
      <c r="M139" s="22" t="n">
        <v>0.00871361380496044</v>
      </c>
      <c r="N139" s="22" t="n">
        <v>0.0125597051173716</v>
      </c>
      <c r="O139" s="22" t="n">
        <v>0.0190250911432398</v>
      </c>
      <c r="P139" s="22" t="n">
        <v>0.00389078628707514</v>
      </c>
      <c r="Q139" s="22" t="n">
        <v>0.00110976257417596</v>
      </c>
      <c r="R139" s="22" t="n">
        <v>0.0013679306230814</v>
      </c>
      <c r="S139" s="23" t="n">
        <f aca="false">IF(A139="","",SUM(H139:R139))</f>
        <v>0.0879934879934881</v>
      </c>
      <c r="T139" s="17" t="str">
        <f aca="false">IF(A139="","",IF(AND(MIN(H139:R139)&gt;=0,MAX(H139:R139)&lt;=1,S139&lt;=1),"OK","CHECK"))</f>
        <v>OK</v>
      </c>
      <c r="U139" s="17" t="str">
        <f aca="false">IF(A139="","", "LOSS-"&amp;A139&amp;"-L"&amp;TEXT(B139,"00")&amp;"-"&amp;TEXT(C139,"yyyymmdd")&amp;"-"&amp;D139&amp;"-"&amp;E139)</f>
        <v>LOSS-KG01-L21-20251109-AM-ORD-2025-00175</v>
      </c>
      <c r="V139" s="17" t="str">
        <f aca="false">IF(U139="","",IF(COUNTIF($U$5:$U$935,U139)=1,"OK","CHECK"))</f>
        <v>OK</v>
      </c>
      <c r="W139" s="17" t="str">
        <f aca="false">IF(A139="","",IF(AND(T139="OK",V139="OK",G139&gt;=0),"OK","CHECK"))</f>
        <v>OK</v>
      </c>
    </row>
    <row r="140" customFormat="false" ht="18" hidden="false" customHeight="true" outlineLevel="0" collapsed="false">
      <c r="A140" s="18" t="s">
        <v>39</v>
      </c>
      <c r="B140" s="19" t="n">
        <v>21</v>
      </c>
      <c r="C140" s="20" t="n">
        <v>45970</v>
      </c>
      <c r="D140" s="18" t="s">
        <v>43</v>
      </c>
      <c r="E140" s="18" t="s">
        <v>71</v>
      </c>
      <c r="F140" s="18" t="s">
        <v>42</v>
      </c>
      <c r="G140" s="21" t="n">
        <v>10518</v>
      </c>
      <c r="H140" s="22" t="n">
        <v>0.00229761412365251</v>
      </c>
      <c r="I140" s="22" t="n">
        <v>0.000336662969857496</v>
      </c>
      <c r="J140" s="22" t="n">
        <v>0.00314142368504763</v>
      </c>
      <c r="K140" s="22" t="n">
        <v>0.00951697161276171</v>
      </c>
      <c r="L140" s="22" t="n">
        <v>0.000960725047247243</v>
      </c>
      <c r="M140" s="22" t="n">
        <v>0.0240807570912855</v>
      </c>
      <c r="N140" s="22" t="n">
        <v>0.0089048462056493</v>
      </c>
      <c r="O140" s="22" t="n">
        <v>0.000440574324122143</v>
      </c>
      <c r="P140" s="22" t="n">
        <v>0.00266490934043354</v>
      </c>
      <c r="Q140" s="22" t="n">
        <v>0.00392260250736621</v>
      </c>
      <c r="R140" s="22" t="n">
        <v>0.0147366732270505</v>
      </c>
      <c r="S140" s="23" t="n">
        <f aca="false">IF(A140="","",SUM(H140:R140))</f>
        <v>0.0710037601344738</v>
      </c>
      <c r="T140" s="17" t="str">
        <f aca="false">IF(A140="","",IF(AND(MIN(H140:R140)&gt;=0,MAX(H140:R140)&lt;=1,S140&lt;=1),"OK","CHECK"))</f>
        <v>OK</v>
      </c>
      <c r="U140" s="17" t="str">
        <f aca="false">IF(A140="","", "LOSS-"&amp;A140&amp;"-L"&amp;TEXT(B140,"00")&amp;"-"&amp;TEXT(C140,"yyyymmdd")&amp;"-"&amp;D140&amp;"-"&amp;E140)</f>
        <v>LOSS-KG01-L21-20251109-PM-ORD-2025-00175</v>
      </c>
      <c r="V140" s="17" t="str">
        <f aca="false">IF(U140="","",IF(COUNTIF($U$5:$U$935,U140)=1,"OK","CHECK"))</f>
        <v>OK</v>
      </c>
      <c r="W140" s="17" t="str">
        <f aca="false">IF(A140="","",IF(AND(T140="OK",V140="OK",G140&gt;=0),"OK","CHECK"))</f>
        <v>OK</v>
      </c>
    </row>
    <row r="141" customFormat="false" ht="18" hidden="false" customHeight="true" outlineLevel="0" collapsed="false">
      <c r="A141" s="18" t="s">
        <v>39</v>
      </c>
      <c r="B141" s="19" t="n">
        <v>21</v>
      </c>
      <c r="C141" s="20" t="n">
        <v>45971</v>
      </c>
      <c r="D141" s="18" t="s">
        <v>40</v>
      </c>
      <c r="E141" s="18" t="s">
        <v>71</v>
      </c>
      <c r="F141" s="18" t="s">
        <v>42</v>
      </c>
      <c r="G141" s="21" t="n">
        <v>8188</v>
      </c>
      <c r="H141" s="22" t="n">
        <v>0.000717510197847929</v>
      </c>
      <c r="I141" s="22" t="n">
        <v>0.0025861941494575</v>
      </c>
      <c r="J141" s="22" t="n">
        <v>0.000267747492464627</v>
      </c>
      <c r="K141" s="22" t="n">
        <v>0.00111907261600264</v>
      </c>
      <c r="L141" s="22" t="n">
        <v>0.00133346903675044</v>
      </c>
      <c r="M141" s="22" t="n">
        <v>0.00441869727977483</v>
      </c>
      <c r="N141" s="22" t="n">
        <v>0.00472443885877308</v>
      </c>
      <c r="O141" s="22" t="n">
        <v>0.00647878024712475</v>
      </c>
      <c r="P141" s="22" t="n">
        <v>0.000118502207793542</v>
      </c>
      <c r="Q141" s="22" t="n">
        <v>0.00327241753101804</v>
      </c>
      <c r="R141" s="22" t="n">
        <v>0.00259247607352282</v>
      </c>
      <c r="S141" s="23" t="n">
        <f aca="false">IF(A141="","",SUM(H141:R141))</f>
        <v>0.0276293056905302</v>
      </c>
      <c r="T141" s="17" t="str">
        <f aca="false">IF(A141="","",IF(AND(MIN(H141:R141)&gt;=0,MAX(H141:R141)&lt;=1,S141&lt;=1),"OK","CHECK"))</f>
        <v>OK</v>
      </c>
      <c r="U141" s="17" t="str">
        <f aca="false">IF(A141="","", "LOSS-"&amp;A141&amp;"-L"&amp;TEXT(B141,"00")&amp;"-"&amp;TEXT(C141,"yyyymmdd")&amp;"-"&amp;D141&amp;"-"&amp;E141)</f>
        <v>LOSS-KG01-L21-20251110-AM-ORD-2025-00175</v>
      </c>
      <c r="V141" s="17" t="str">
        <f aca="false">IF(U141="","",IF(COUNTIF($U$5:$U$935,U141)=1,"OK","CHECK"))</f>
        <v>OK</v>
      </c>
      <c r="W141" s="17" t="str">
        <f aca="false">IF(A141="","",IF(AND(T141="OK",V141="OK",G141&gt;=0),"OK","CHECK"))</f>
        <v>OK</v>
      </c>
    </row>
    <row r="142" customFormat="false" ht="18" hidden="false" customHeight="true" outlineLevel="0" collapsed="false">
      <c r="A142" s="18" t="s">
        <v>39</v>
      </c>
      <c r="B142" s="19" t="n">
        <v>21</v>
      </c>
      <c r="C142" s="20" t="n">
        <v>45971</v>
      </c>
      <c r="D142" s="18" t="s">
        <v>43</v>
      </c>
      <c r="E142" s="18" t="s">
        <v>72</v>
      </c>
      <c r="F142" s="18" t="s">
        <v>45</v>
      </c>
      <c r="G142" s="21" t="n">
        <v>6432</v>
      </c>
      <c r="H142" s="22" t="n">
        <v>0.000274702222715805</v>
      </c>
      <c r="I142" s="22" t="n">
        <v>2.04152069842654E-006</v>
      </c>
      <c r="J142" s="22" t="n">
        <v>0.0175675282062545</v>
      </c>
      <c r="K142" s="22" t="n">
        <v>0.00241342513109211</v>
      </c>
      <c r="L142" s="22" t="n">
        <v>0.0161064664926758</v>
      </c>
      <c r="M142" s="22" t="n">
        <v>0.00213039037604672</v>
      </c>
      <c r="N142" s="22" t="n">
        <v>0.00115869948591042</v>
      </c>
      <c r="O142" s="22" t="n">
        <v>0.0111803636751557</v>
      </c>
      <c r="P142" s="22" t="n">
        <v>0.000525541306591822</v>
      </c>
      <c r="Q142" s="22" t="n">
        <v>0.00194195953522448</v>
      </c>
      <c r="R142" s="22" t="n">
        <v>0.0134950146844821</v>
      </c>
      <c r="S142" s="23" t="n">
        <f aca="false">IF(A142="","",SUM(H142:R142))</f>
        <v>0.0667961326368479</v>
      </c>
      <c r="T142" s="17" t="str">
        <f aca="false">IF(A142="","",IF(AND(MIN(H142:R142)&gt;=0,MAX(H142:R142)&lt;=1,S142&lt;=1),"OK","CHECK"))</f>
        <v>OK</v>
      </c>
      <c r="U142" s="17" t="str">
        <f aca="false">IF(A142="","", "LOSS-"&amp;A142&amp;"-L"&amp;TEXT(B142,"00")&amp;"-"&amp;TEXT(C142,"yyyymmdd")&amp;"-"&amp;D142&amp;"-"&amp;E142)</f>
        <v>LOSS-KG01-L21-20251110-PM-ORD-2025-00176</v>
      </c>
      <c r="V142" s="17" t="str">
        <f aca="false">IF(U142="","",IF(COUNTIF($U$5:$U$935,U142)=1,"OK","CHECK"))</f>
        <v>OK</v>
      </c>
      <c r="W142" s="17" t="str">
        <f aca="false">IF(A142="","",IF(AND(T142="OK",V142="OK",G142&gt;=0),"OK","CHECK"))</f>
        <v>OK</v>
      </c>
    </row>
    <row r="143" customFormat="false" ht="18" hidden="false" customHeight="true" outlineLevel="0" collapsed="false">
      <c r="A143" s="18" t="s">
        <v>39</v>
      </c>
      <c r="B143" s="19" t="n">
        <v>21</v>
      </c>
      <c r="C143" s="20" t="n">
        <v>45972</v>
      </c>
      <c r="D143" s="18" t="s">
        <v>40</v>
      </c>
      <c r="E143" s="18" t="s">
        <v>72</v>
      </c>
      <c r="F143" s="18" t="s">
        <v>42</v>
      </c>
      <c r="G143" s="21" t="n">
        <v>11288</v>
      </c>
      <c r="H143" s="22" t="n">
        <v>0.0117424616061699</v>
      </c>
      <c r="I143" s="22" t="n">
        <v>0.0111586871382924</v>
      </c>
      <c r="J143" s="22" t="n">
        <v>1.92093078455918E-005</v>
      </c>
      <c r="K143" s="22" t="n">
        <v>0.00166913516610534</v>
      </c>
      <c r="L143" s="22" t="n">
        <v>0.00411031004582929</v>
      </c>
      <c r="M143" s="22" t="n">
        <v>0.00772231299737264</v>
      </c>
      <c r="N143" s="22" t="n">
        <v>0.00121780372776363</v>
      </c>
      <c r="O143" s="22" t="n">
        <v>0.0117021655944486</v>
      </c>
      <c r="P143" s="22" t="n">
        <v>0.00536530863742678</v>
      </c>
      <c r="Q143" s="22" t="n">
        <v>0.0064860183221536</v>
      </c>
      <c r="R143" s="22" t="n">
        <v>0.000757764133796386</v>
      </c>
      <c r="S143" s="23" t="n">
        <f aca="false">IF(A143="","",SUM(H143:R143))</f>
        <v>0.0619511766772042</v>
      </c>
      <c r="T143" s="17" t="str">
        <f aca="false">IF(A143="","",IF(AND(MIN(H143:R143)&gt;=0,MAX(H143:R143)&lt;=1,S143&lt;=1),"OK","CHECK"))</f>
        <v>OK</v>
      </c>
      <c r="U143" s="17" t="str">
        <f aca="false">IF(A143="","", "LOSS-"&amp;A143&amp;"-L"&amp;TEXT(B143,"00")&amp;"-"&amp;TEXT(C143,"yyyymmdd")&amp;"-"&amp;D143&amp;"-"&amp;E143)</f>
        <v>LOSS-KG01-L21-20251111-AM-ORD-2025-00176</v>
      </c>
      <c r="V143" s="17" t="str">
        <f aca="false">IF(U143="","",IF(COUNTIF($U$5:$U$935,U143)=1,"OK","CHECK"))</f>
        <v>OK</v>
      </c>
      <c r="W143" s="17" t="str">
        <f aca="false">IF(A143="","",IF(AND(T143="OK",V143="OK",G143&gt;=0),"OK","CHECK"))</f>
        <v>OK</v>
      </c>
    </row>
    <row r="144" customFormat="false" ht="18" hidden="false" customHeight="true" outlineLevel="0" collapsed="false">
      <c r="A144" s="18" t="s">
        <v>39</v>
      </c>
      <c r="B144" s="19" t="n">
        <v>21</v>
      </c>
      <c r="C144" s="20" t="n">
        <v>45972</v>
      </c>
      <c r="D144" s="18" t="s">
        <v>43</v>
      </c>
      <c r="E144" s="18" t="s">
        <v>72</v>
      </c>
      <c r="F144" s="18" t="s">
        <v>42</v>
      </c>
      <c r="G144" s="21" t="n">
        <v>12280</v>
      </c>
      <c r="H144" s="22" t="n">
        <v>0.00119276965959745</v>
      </c>
      <c r="I144" s="22" t="n">
        <v>0.0131127537782765</v>
      </c>
      <c r="J144" s="22" t="n">
        <v>4.85550758869319E-005</v>
      </c>
      <c r="K144" s="22" t="n">
        <v>0.00921487484020707</v>
      </c>
      <c r="L144" s="22" t="n">
        <v>0.000327329260605978</v>
      </c>
      <c r="M144" s="22" t="n">
        <v>0.00721189202210919</v>
      </c>
      <c r="N144" s="22" t="n">
        <v>0.0100961873329559</v>
      </c>
      <c r="O144" s="22" t="n">
        <v>0.0122571725572495</v>
      </c>
      <c r="P144" s="22" t="n">
        <v>0.0007111086524408</v>
      </c>
      <c r="Q144" s="22" t="n">
        <v>0.0075984630703026</v>
      </c>
      <c r="R144" s="22" t="n">
        <v>0.0119631621719264</v>
      </c>
      <c r="S144" s="23" t="n">
        <f aca="false">IF(A144="","",SUM(H144:R144))</f>
        <v>0.0737342684215583</v>
      </c>
      <c r="T144" s="17" t="str">
        <f aca="false">IF(A144="","",IF(AND(MIN(H144:R144)&gt;=0,MAX(H144:R144)&lt;=1,S144&lt;=1),"OK","CHECK"))</f>
        <v>OK</v>
      </c>
      <c r="U144" s="17" t="str">
        <f aca="false">IF(A144="","", "LOSS-"&amp;A144&amp;"-L"&amp;TEXT(B144,"00")&amp;"-"&amp;TEXT(C144,"yyyymmdd")&amp;"-"&amp;D144&amp;"-"&amp;E144)</f>
        <v>LOSS-KG01-L21-20251111-PM-ORD-2025-00176</v>
      </c>
      <c r="V144" s="17" t="str">
        <f aca="false">IF(U144="","",IF(COUNTIF($U$5:$U$935,U144)=1,"OK","CHECK"))</f>
        <v>OK</v>
      </c>
      <c r="W144" s="17" t="str">
        <f aca="false">IF(A144="","",IF(AND(T144="OK",V144="OK",G144&gt;=0),"OK","CHECK"))</f>
        <v>OK</v>
      </c>
    </row>
    <row r="145" customFormat="false" ht="18" hidden="false" customHeight="true" outlineLevel="0" collapsed="false">
      <c r="A145" s="18" t="s">
        <v>39</v>
      </c>
      <c r="B145" s="19" t="n">
        <v>21</v>
      </c>
      <c r="C145" s="20" t="n">
        <v>45973</v>
      </c>
      <c r="D145" s="18" t="s">
        <v>40</v>
      </c>
      <c r="E145" s="18" t="s">
        <v>72</v>
      </c>
      <c r="F145" s="18" t="s">
        <v>42</v>
      </c>
      <c r="G145" s="21" t="n">
        <v>6105</v>
      </c>
      <c r="H145" s="22" t="n">
        <v>0.00544425560335988</v>
      </c>
      <c r="I145" s="22" t="n">
        <v>0.00663604200290375</v>
      </c>
      <c r="J145" s="22" t="n">
        <v>0.00478313767607978</v>
      </c>
      <c r="K145" s="22" t="n">
        <v>0.000808741432864946</v>
      </c>
      <c r="L145" s="22" t="n">
        <v>0.00600481849717968</v>
      </c>
      <c r="M145" s="22" t="n">
        <v>0.0075252297929808</v>
      </c>
      <c r="N145" s="22" t="n">
        <v>0.00022909777353603</v>
      </c>
      <c r="O145" s="22" t="n">
        <v>4.20439696127658E-006</v>
      </c>
      <c r="P145" s="22" t="n">
        <v>0.00139115774807597</v>
      </c>
      <c r="Q145" s="22" t="n">
        <v>0.00161323106135424</v>
      </c>
      <c r="R145" s="22" t="n">
        <v>0.00202613265999443</v>
      </c>
      <c r="S145" s="23" t="n">
        <f aca="false">IF(A145="","",SUM(H145:R145))</f>
        <v>0.0364660486452908</v>
      </c>
      <c r="T145" s="17" t="str">
        <f aca="false">IF(A145="","",IF(AND(MIN(H145:R145)&gt;=0,MAX(H145:R145)&lt;=1,S145&lt;=1),"OK","CHECK"))</f>
        <v>OK</v>
      </c>
      <c r="U145" s="17" t="str">
        <f aca="false">IF(A145="","", "LOSS-"&amp;A145&amp;"-L"&amp;TEXT(B145,"00")&amp;"-"&amp;TEXT(C145,"yyyymmdd")&amp;"-"&amp;D145&amp;"-"&amp;E145)</f>
        <v>LOSS-KG01-L21-20251112-AM-ORD-2025-00176</v>
      </c>
      <c r="V145" s="17" t="str">
        <f aca="false">IF(U145="","",IF(COUNTIF($U$5:$U$935,U145)=1,"OK","CHECK"))</f>
        <v>OK</v>
      </c>
      <c r="W145" s="17" t="str">
        <f aca="false">IF(A145="","",IF(AND(T145="OK",V145="OK",G145&gt;=0),"OK","CHECK"))</f>
        <v>OK</v>
      </c>
    </row>
    <row r="146" customFormat="false" ht="18" hidden="false" customHeight="true" outlineLevel="0" collapsed="false">
      <c r="A146" s="18" t="s">
        <v>39</v>
      </c>
      <c r="B146" s="19" t="n">
        <v>21</v>
      </c>
      <c r="C146" s="20" t="n">
        <v>45973</v>
      </c>
      <c r="D146" s="18" t="s">
        <v>43</v>
      </c>
      <c r="E146" s="18" t="s">
        <v>72</v>
      </c>
      <c r="F146" s="18" t="s">
        <v>61</v>
      </c>
      <c r="G146" s="21" t="n">
        <v>14585</v>
      </c>
      <c r="H146" s="22" t="n">
        <v>0.00198391372775422</v>
      </c>
      <c r="I146" s="22" t="n">
        <v>0.00250470666933309</v>
      </c>
      <c r="J146" s="22" t="n">
        <v>8.43582828138935E-005</v>
      </c>
      <c r="K146" s="22" t="n">
        <v>0.00863721152542132</v>
      </c>
      <c r="L146" s="22" t="n">
        <v>0.00130381773146879</v>
      </c>
      <c r="M146" s="22" t="n">
        <v>0.0139335378763347</v>
      </c>
      <c r="N146" s="22" t="n">
        <v>0.00803838221734983</v>
      </c>
      <c r="O146" s="22" t="n">
        <v>0.0049110572160706</v>
      </c>
      <c r="P146" s="22" t="n">
        <v>0.000154881059054987</v>
      </c>
      <c r="Q146" s="22" t="n">
        <v>0.00171051908213943</v>
      </c>
      <c r="R146" s="22" t="n">
        <v>0.0102389535213234</v>
      </c>
      <c r="S146" s="23" t="n">
        <f aca="false">IF(A146="","",SUM(H146:R146))</f>
        <v>0.0535013389090643</v>
      </c>
      <c r="T146" s="17" t="str">
        <f aca="false">IF(A146="","",IF(AND(MIN(H146:R146)&gt;=0,MAX(H146:R146)&lt;=1,S146&lt;=1),"OK","CHECK"))</f>
        <v>OK</v>
      </c>
      <c r="U146" s="17" t="str">
        <f aca="false">IF(A146="","", "LOSS-"&amp;A146&amp;"-L"&amp;TEXT(B146,"00")&amp;"-"&amp;TEXT(C146,"yyyymmdd")&amp;"-"&amp;D146&amp;"-"&amp;E146)</f>
        <v>LOSS-KG01-L21-20251112-PM-ORD-2025-00176</v>
      </c>
      <c r="V146" s="17" t="str">
        <f aca="false">IF(U146="","",IF(COUNTIF($U$5:$U$935,U146)=1,"OK","CHECK"))</f>
        <v>OK</v>
      </c>
      <c r="W146" s="17" t="str">
        <f aca="false">IF(A146="","",IF(AND(T146="OK",V146="OK",G146&gt;=0),"OK","CHECK"))</f>
        <v>OK</v>
      </c>
    </row>
    <row r="147" customFormat="false" ht="18" hidden="false" customHeight="true" outlineLevel="0" collapsed="false">
      <c r="A147" s="18" t="s">
        <v>39</v>
      </c>
      <c r="B147" s="19" t="n">
        <v>21</v>
      </c>
      <c r="C147" s="20" t="n">
        <v>45974</v>
      </c>
      <c r="D147" s="18" t="s">
        <v>40</v>
      </c>
      <c r="E147" s="18" t="s">
        <v>72</v>
      </c>
      <c r="F147" s="18" t="s">
        <v>42</v>
      </c>
      <c r="G147" s="21" t="n">
        <v>4213</v>
      </c>
      <c r="H147" s="22" t="n">
        <v>0.00713095644037509</v>
      </c>
      <c r="I147" s="22" t="n">
        <v>2.78628545617906E-005</v>
      </c>
      <c r="J147" s="22" t="n">
        <v>0.00830779419935047</v>
      </c>
      <c r="K147" s="22" t="n">
        <v>0.00087945902209833</v>
      </c>
      <c r="L147" s="22" t="n">
        <v>0.004076187078717</v>
      </c>
      <c r="M147" s="22" t="n">
        <v>0.00316844054747338</v>
      </c>
      <c r="N147" s="22" t="n">
        <v>0.00185726149740343</v>
      </c>
      <c r="O147" s="22" t="n">
        <v>0.00221384251280159</v>
      </c>
      <c r="P147" s="22" t="n">
        <v>0.00765690135414878</v>
      </c>
      <c r="Q147" s="22" t="n">
        <v>0.000418531966279455</v>
      </c>
      <c r="R147" s="22" t="n">
        <v>0.00615398257252997</v>
      </c>
      <c r="S147" s="23" t="n">
        <f aca="false">IF(A147="","",SUM(H147:R147))</f>
        <v>0.0418912200457393</v>
      </c>
      <c r="T147" s="17" t="str">
        <f aca="false">IF(A147="","",IF(AND(MIN(H147:R147)&gt;=0,MAX(H147:R147)&lt;=1,S147&lt;=1),"OK","CHECK"))</f>
        <v>OK</v>
      </c>
      <c r="U147" s="17" t="str">
        <f aca="false">IF(A147="","", "LOSS-"&amp;A147&amp;"-L"&amp;TEXT(B147,"00")&amp;"-"&amp;TEXT(C147,"yyyymmdd")&amp;"-"&amp;D147&amp;"-"&amp;E147)</f>
        <v>LOSS-KG01-L21-20251113-AM-ORD-2025-00176</v>
      </c>
      <c r="V147" s="17" t="str">
        <f aca="false">IF(U147="","",IF(COUNTIF($U$5:$U$935,U147)=1,"OK","CHECK"))</f>
        <v>OK</v>
      </c>
      <c r="W147" s="17" t="str">
        <f aca="false">IF(A147="","",IF(AND(T147="OK",V147="OK",G147&gt;=0),"OK","CHECK"))</f>
        <v>OK</v>
      </c>
    </row>
    <row r="148" customFormat="false" ht="18" hidden="false" customHeight="true" outlineLevel="0" collapsed="false">
      <c r="A148" s="18" t="s">
        <v>39</v>
      </c>
      <c r="B148" s="19" t="n">
        <v>21</v>
      </c>
      <c r="C148" s="20" t="n">
        <v>45974</v>
      </c>
      <c r="D148" s="18" t="s">
        <v>43</v>
      </c>
      <c r="E148" s="18" t="s">
        <v>72</v>
      </c>
      <c r="F148" s="18" t="s">
        <v>42</v>
      </c>
      <c r="G148" s="21" t="n">
        <v>10257</v>
      </c>
      <c r="H148" s="22" t="n">
        <v>0.000558826028720753</v>
      </c>
      <c r="I148" s="22" t="n">
        <v>0.00619118643187617</v>
      </c>
      <c r="J148" s="22" t="n">
        <v>0.00191537196003514</v>
      </c>
      <c r="K148" s="22" t="n">
        <v>0.0107000378225661</v>
      </c>
      <c r="L148" s="22" t="n">
        <v>0.000151722675576597</v>
      </c>
      <c r="M148" s="22" t="n">
        <v>0.00900712051060189</v>
      </c>
      <c r="N148" s="22" t="n">
        <v>0.0107573416805887</v>
      </c>
      <c r="O148" s="22" t="n">
        <v>0.00206991774216953</v>
      </c>
      <c r="P148" s="22" t="n">
        <v>0.0140973283438187</v>
      </c>
      <c r="Q148" s="22" t="n">
        <v>0.00673912287554997</v>
      </c>
      <c r="R148" s="22" t="n">
        <v>0.000413109087211593</v>
      </c>
      <c r="S148" s="23" t="n">
        <f aca="false">IF(A148="","",SUM(H148:R148))</f>
        <v>0.0626010851587151</v>
      </c>
      <c r="T148" s="17" t="str">
        <f aca="false">IF(A148="","",IF(AND(MIN(H148:R148)&gt;=0,MAX(H148:R148)&lt;=1,S148&lt;=1),"OK","CHECK"))</f>
        <v>OK</v>
      </c>
      <c r="U148" s="17" t="str">
        <f aca="false">IF(A148="","", "LOSS-"&amp;A148&amp;"-L"&amp;TEXT(B148,"00")&amp;"-"&amp;TEXT(C148,"yyyymmdd")&amp;"-"&amp;D148&amp;"-"&amp;E148)</f>
        <v>LOSS-KG01-L21-20251113-PM-ORD-2025-00176</v>
      </c>
      <c r="V148" s="17" t="str">
        <f aca="false">IF(U148="","",IF(COUNTIF($U$5:$U$935,U148)=1,"OK","CHECK"))</f>
        <v>OK</v>
      </c>
      <c r="W148" s="17" t="str">
        <f aca="false">IF(A148="","",IF(AND(T148="OK",V148="OK",G148&gt;=0),"OK","CHECK"))</f>
        <v>OK</v>
      </c>
    </row>
    <row r="149" customFormat="false" ht="18" hidden="false" customHeight="true" outlineLevel="0" collapsed="false">
      <c r="A149" s="18" t="s">
        <v>39</v>
      </c>
      <c r="B149" s="19" t="n">
        <v>21</v>
      </c>
      <c r="C149" s="20" t="n">
        <v>45975</v>
      </c>
      <c r="D149" s="18" t="s">
        <v>40</v>
      </c>
      <c r="E149" s="18" t="s">
        <v>72</v>
      </c>
      <c r="F149" s="18" t="s">
        <v>42</v>
      </c>
      <c r="G149" s="21" t="n">
        <v>12902</v>
      </c>
      <c r="H149" s="22" t="n">
        <v>8.54694000154624E-005</v>
      </c>
      <c r="I149" s="22" t="n">
        <v>0.00340558682014823</v>
      </c>
      <c r="J149" s="22" t="n">
        <v>0.00604834937930878</v>
      </c>
      <c r="K149" s="22" t="n">
        <v>0.0240563422035868</v>
      </c>
      <c r="L149" s="22" t="n">
        <v>0.000370894787361483</v>
      </c>
      <c r="M149" s="22" t="n">
        <v>0.00715576391682217</v>
      </c>
      <c r="N149" s="22" t="n">
        <v>0.00308594973917299</v>
      </c>
      <c r="O149" s="22" t="n">
        <v>0.00506908896755128</v>
      </c>
      <c r="P149" s="22" t="n">
        <v>0.000594511592864843</v>
      </c>
      <c r="Q149" s="22" t="n">
        <v>0.014061906438802</v>
      </c>
      <c r="R149" s="22" t="n">
        <v>0.00161675278383383</v>
      </c>
      <c r="S149" s="23" t="n">
        <f aca="false">IF(A149="","",SUM(H149:R149))</f>
        <v>0.0655506160294679</v>
      </c>
      <c r="T149" s="17" t="str">
        <f aca="false">IF(A149="","",IF(AND(MIN(H149:R149)&gt;=0,MAX(H149:R149)&lt;=1,S149&lt;=1),"OK","CHECK"))</f>
        <v>OK</v>
      </c>
      <c r="U149" s="17" t="str">
        <f aca="false">IF(A149="","", "LOSS-"&amp;A149&amp;"-L"&amp;TEXT(B149,"00")&amp;"-"&amp;TEXT(C149,"yyyymmdd")&amp;"-"&amp;D149&amp;"-"&amp;E149)</f>
        <v>LOSS-KG01-L21-20251114-AM-ORD-2025-00176</v>
      </c>
      <c r="V149" s="17" t="str">
        <f aca="false">IF(U149="","",IF(COUNTIF($U$5:$U$935,U149)=1,"OK","CHECK"))</f>
        <v>OK</v>
      </c>
      <c r="W149" s="17" t="str">
        <f aca="false">IF(A149="","",IF(AND(T149="OK",V149="OK",G149&gt;=0),"OK","CHECK"))</f>
        <v>OK</v>
      </c>
    </row>
    <row r="150" customFormat="false" ht="18" hidden="false" customHeight="true" outlineLevel="0" collapsed="false">
      <c r="A150" s="18" t="s">
        <v>39</v>
      </c>
      <c r="B150" s="19" t="n">
        <v>21</v>
      </c>
      <c r="C150" s="20" t="n">
        <v>45975</v>
      </c>
      <c r="D150" s="18" t="s">
        <v>43</v>
      </c>
      <c r="E150" s="18" t="s">
        <v>73</v>
      </c>
      <c r="F150" s="18" t="s">
        <v>45</v>
      </c>
      <c r="G150" s="21" t="n">
        <v>413</v>
      </c>
      <c r="H150" s="22" t="n">
        <v>0.000194944755367516</v>
      </c>
      <c r="I150" s="22" t="n">
        <v>0.0021730194545338</v>
      </c>
      <c r="J150" s="22" t="n">
        <v>0.00126547950834139</v>
      </c>
      <c r="K150" s="22" t="n">
        <v>0.00490884331873319</v>
      </c>
      <c r="L150" s="22" t="n">
        <v>0.000410934726448369</v>
      </c>
      <c r="M150" s="22" t="n">
        <v>0.00767018884050228</v>
      </c>
      <c r="N150" s="22" t="n">
        <v>0.0083141031108788</v>
      </c>
      <c r="O150" s="22" t="n">
        <v>0.0135691016233633</v>
      </c>
      <c r="P150" s="22" t="n">
        <v>0.00621388462644221</v>
      </c>
      <c r="Q150" s="22" t="n">
        <v>0.00011091344104287</v>
      </c>
      <c r="R150" s="22" t="n">
        <v>0.0029695125202722</v>
      </c>
      <c r="S150" s="23" t="n">
        <f aca="false">IF(A150="","",SUM(H150:R150))</f>
        <v>0.0478009259259259</v>
      </c>
      <c r="T150" s="17" t="str">
        <f aca="false">IF(A150="","",IF(AND(MIN(H150:R150)&gt;=0,MAX(H150:R150)&lt;=1,S150&lt;=1),"OK","CHECK"))</f>
        <v>OK</v>
      </c>
      <c r="U150" s="17" t="str">
        <f aca="false">IF(A150="","", "LOSS-"&amp;A150&amp;"-L"&amp;TEXT(B150,"00")&amp;"-"&amp;TEXT(C150,"yyyymmdd")&amp;"-"&amp;D150&amp;"-"&amp;E150)</f>
        <v>LOSS-KG01-L21-20251114-PM-ORD-2025-00177</v>
      </c>
      <c r="V150" s="17" t="str">
        <f aca="false">IF(U150="","",IF(COUNTIF($U$5:$U$935,U150)=1,"OK","CHECK"))</f>
        <v>OK</v>
      </c>
      <c r="W150" s="17" t="str">
        <f aca="false">IF(A150="","",IF(AND(T150="OK",V150="OK",G150&gt;=0),"OK","CHECK"))</f>
        <v>OK</v>
      </c>
    </row>
    <row r="151" customFormat="false" ht="18" hidden="false" customHeight="true" outlineLevel="0" collapsed="false">
      <c r="A151" s="18" t="s">
        <v>39</v>
      </c>
      <c r="B151" s="19" t="n">
        <v>21</v>
      </c>
      <c r="C151" s="20" t="n">
        <v>45976</v>
      </c>
      <c r="D151" s="18" t="s">
        <v>40</v>
      </c>
      <c r="E151" s="18" t="s">
        <v>73</v>
      </c>
      <c r="F151" s="18" t="s">
        <v>42</v>
      </c>
      <c r="G151" s="21" t="n">
        <v>7927</v>
      </c>
      <c r="H151" s="22" t="n">
        <v>0.00846128711722629</v>
      </c>
      <c r="I151" s="22" t="n">
        <v>0.00184535018061012</v>
      </c>
      <c r="J151" s="22" t="n">
        <v>0.00505376481408612</v>
      </c>
      <c r="K151" s="22" t="n">
        <v>0.0025042258164581</v>
      </c>
      <c r="L151" s="22" t="n">
        <v>1.70145162680711E-006</v>
      </c>
      <c r="M151" s="22" t="n">
        <v>0.000171919665764293</v>
      </c>
      <c r="N151" s="22" t="n">
        <v>0.000188282222983787</v>
      </c>
      <c r="O151" s="22" t="n">
        <v>0.0051998781738133</v>
      </c>
      <c r="P151" s="22" t="n">
        <v>0.0104316230681365</v>
      </c>
      <c r="Q151" s="22" t="n">
        <v>0.000639494561062433</v>
      </c>
      <c r="R151" s="22" t="n">
        <v>0.00435288878010372</v>
      </c>
      <c r="S151" s="23" t="n">
        <f aca="false">IF(A151="","",SUM(H151:R151))</f>
        <v>0.0388504158518715</v>
      </c>
      <c r="T151" s="17" t="str">
        <f aca="false">IF(A151="","",IF(AND(MIN(H151:R151)&gt;=0,MAX(H151:R151)&lt;=1,S151&lt;=1),"OK","CHECK"))</f>
        <v>OK</v>
      </c>
      <c r="U151" s="17" t="str">
        <f aca="false">IF(A151="","", "LOSS-"&amp;A151&amp;"-L"&amp;TEXT(B151,"00")&amp;"-"&amp;TEXT(C151,"yyyymmdd")&amp;"-"&amp;D151&amp;"-"&amp;E151)</f>
        <v>LOSS-KG01-L21-20251115-AM-ORD-2025-00177</v>
      </c>
      <c r="V151" s="17" t="str">
        <f aca="false">IF(U151="","",IF(COUNTIF($U$5:$U$935,U151)=1,"OK","CHECK"))</f>
        <v>OK</v>
      </c>
      <c r="W151" s="17" t="str">
        <f aca="false">IF(A151="","",IF(AND(T151="OK",V151="OK",G151&gt;=0),"OK","CHECK"))</f>
        <v>OK</v>
      </c>
    </row>
    <row r="152" customFormat="false" ht="18" hidden="false" customHeight="true" outlineLevel="0" collapsed="false">
      <c r="A152" s="18" t="s">
        <v>39</v>
      </c>
      <c r="B152" s="19" t="n">
        <v>21</v>
      </c>
      <c r="C152" s="20" t="n">
        <v>45976</v>
      </c>
      <c r="D152" s="18" t="s">
        <v>43</v>
      </c>
      <c r="E152" s="18" t="s">
        <v>73</v>
      </c>
      <c r="F152" s="18" t="s">
        <v>42</v>
      </c>
      <c r="G152" s="21" t="n">
        <v>6782</v>
      </c>
      <c r="H152" s="22" t="n">
        <v>0.011998212976092</v>
      </c>
      <c r="I152" s="22" t="n">
        <v>0.00282975706796976</v>
      </c>
      <c r="J152" s="22" t="n">
        <v>0.00592312159616221</v>
      </c>
      <c r="K152" s="22" t="n">
        <v>0.00011003420323927</v>
      </c>
      <c r="L152" s="22" t="n">
        <v>0.00432620439889418</v>
      </c>
      <c r="M152" s="22" t="n">
        <v>0.00181445658174618</v>
      </c>
      <c r="N152" s="22" t="n">
        <v>0.0123065154190368</v>
      </c>
      <c r="O152" s="22" t="n">
        <v>0.00607799742122939</v>
      </c>
      <c r="P152" s="22" t="n">
        <v>0.00109563483331524</v>
      </c>
      <c r="Q152" s="22" t="n">
        <v>0.000193035106733331</v>
      </c>
      <c r="R152" s="22" t="n">
        <v>0.00130182722636826</v>
      </c>
      <c r="S152" s="23" t="n">
        <f aca="false">IF(A152="","",SUM(H152:R152))</f>
        <v>0.0479767968307866</v>
      </c>
      <c r="T152" s="17" t="str">
        <f aca="false">IF(A152="","",IF(AND(MIN(H152:R152)&gt;=0,MAX(H152:R152)&lt;=1,S152&lt;=1),"OK","CHECK"))</f>
        <v>OK</v>
      </c>
      <c r="U152" s="17" t="str">
        <f aca="false">IF(A152="","", "LOSS-"&amp;A152&amp;"-L"&amp;TEXT(B152,"00")&amp;"-"&amp;TEXT(C152,"yyyymmdd")&amp;"-"&amp;D152&amp;"-"&amp;E152)</f>
        <v>LOSS-KG01-L21-20251115-PM-ORD-2025-00177</v>
      </c>
      <c r="V152" s="17" t="str">
        <f aca="false">IF(U152="","",IF(COUNTIF($U$5:$U$935,U152)=1,"OK","CHECK"))</f>
        <v>OK</v>
      </c>
      <c r="W152" s="17" t="str">
        <f aca="false">IF(A152="","",IF(AND(T152="OK",V152="OK",G152&gt;=0),"OK","CHECK"))</f>
        <v>OK</v>
      </c>
    </row>
    <row r="153" customFormat="false" ht="18" hidden="false" customHeight="true" outlineLevel="0" collapsed="false">
      <c r="A153" s="18" t="s">
        <v>39</v>
      </c>
      <c r="B153" s="19" t="n">
        <v>21</v>
      </c>
      <c r="C153" s="20" t="n">
        <v>45977</v>
      </c>
      <c r="D153" s="18" t="s">
        <v>40</v>
      </c>
      <c r="E153" s="18" t="s">
        <v>73</v>
      </c>
      <c r="F153" s="18" t="s">
        <v>42</v>
      </c>
      <c r="G153" s="21" t="n">
        <v>10563</v>
      </c>
      <c r="H153" s="22" t="n">
        <v>0.00723924697711939</v>
      </c>
      <c r="I153" s="22" t="n">
        <v>0.0105634473326825</v>
      </c>
      <c r="J153" s="22" t="n">
        <v>0.0041053849828969</v>
      </c>
      <c r="K153" s="22" t="n">
        <v>0.00233452037880655</v>
      </c>
      <c r="L153" s="22" t="n">
        <v>0.00697742622155777</v>
      </c>
      <c r="M153" s="22" t="n">
        <v>0.00220354980652286</v>
      </c>
      <c r="N153" s="22" t="n">
        <v>0.00949544037927913</v>
      </c>
      <c r="O153" s="22" t="n">
        <v>0.0087222566585394</v>
      </c>
      <c r="P153" s="22" t="n">
        <v>0.00399277151477822</v>
      </c>
      <c r="Q153" s="22" t="n">
        <v>5.80779218140512E-005</v>
      </c>
      <c r="R153" s="22" t="n">
        <v>0.00995816558595051</v>
      </c>
      <c r="S153" s="23" t="n">
        <f aca="false">IF(A153="","",SUM(H153:R153))</f>
        <v>0.0656502877599473</v>
      </c>
      <c r="T153" s="17" t="str">
        <f aca="false">IF(A153="","",IF(AND(MIN(H153:R153)&gt;=0,MAX(H153:R153)&lt;=1,S153&lt;=1),"OK","CHECK"))</f>
        <v>OK</v>
      </c>
      <c r="U153" s="17" t="str">
        <f aca="false">IF(A153="","", "LOSS-"&amp;A153&amp;"-L"&amp;TEXT(B153,"00")&amp;"-"&amp;TEXT(C153,"yyyymmdd")&amp;"-"&amp;D153&amp;"-"&amp;E153)</f>
        <v>LOSS-KG01-L21-20251116-AM-ORD-2025-00177</v>
      </c>
      <c r="V153" s="17" t="str">
        <f aca="false">IF(U153="","",IF(COUNTIF($U$5:$U$935,U153)=1,"OK","CHECK"))</f>
        <v>OK</v>
      </c>
      <c r="W153" s="17" t="str">
        <f aca="false">IF(A153="","",IF(AND(T153="OK",V153="OK",G153&gt;=0),"OK","CHECK"))</f>
        <v>OK</v>
      </c>
    </row>
    <row r="154" customFormat="false" ht="18" hidden="false" customHeight="true" outlineLevel="0" collapsed="false">
      <c r="A154" s="18" t="s">
        <v>39</v>
      </c>
      <c r="B154" s="19" t="n">
        <v>21</v>
      </c>
      <c r="C154" s="20" t="n">
        <v>45977</v>
      </c>
      <c r="D154" s="18" t="s">
        <v>43</v>
      </c>
      <c r="E154" s="18" t="s">
        <v>73</v>
      </c>
      <c r="F154" s="18" t="s">
        <v>42</v>
      </c>
      <c r="G154" s="21" t="n">
        <v>5729</v>
      </c>
      <c r="H154" s="22" t="n">
        <v>0.00286519406965078</v>
      </c>
      <c r="I154" s="22" t="n">
        <v>0.00661288266547711</v>
      </c>
      <c r="J154" s="22" t="n">
        <v>0.00418892118696871</v>
      </c>
      <c r="K154" s="22" t="n">
        <v>0.00559992034620819</v>
      </c>
      <c r="L154" s="22" t="n">
        <v>0.000424512419425748</v>
      </c>
      <c r="M154" s="22" t="n">
        <v>0.00427785521463035</v>
      </c>
      <c r="N154" s="22" t="n">
        <v>0.000135767209727075</v>
      </c>
      <c r="O154" s="22" t="n">
        <v>0.00732864805996509</v>
      </c>
      <c r="P154" s="22" t="n">
        <v>0.00476700102189928</v>
      </c>
      <c r="Q154" s="22" t="n">
        <v>2.79564749513192E-007</v>
      </c>
      <c r="R154" s="22" t="n">
        <v>0.00197275572272436</v>
      </c>
      <c r="S154" s="23" t="n">
        <f aca="false">IF(A154="","",SUM(H154:R154))</f>
        <v>0.0381737374814262</v>
      </c>
      <c r="T154" s="17" t="str">
        <f aca="false">IF(A154="","",IF(AND(MIN(H154:R154)&gt;=0,MAX(H154:R154)&lt;=1,S154&lt;=1),"OK","CHECK"))</f>
        <v>OK</v>
      </c>
      <c r="U154" s="17" t="str">
        <f aca="false">IF(A154="","", "LOSS-"&amp;A154&amp;"-L"&amp;TEXT(B154,"00")&amp;"-"&amp;TEXT(C154,"yyyymmdd")&amp;"-"&amp;D154&amp;"-"&amp;E154)</f>
        <v>LOSS-KG01-L21-20251116-PM-ORD-2025-00177</v>
      </c>
      <c r="V154" s="17" t="str">
        <f aca="false">IF(U154="","",IF(COUNTIF($U$5:$U$935,U154)=1,"OK","CHECK"))</f>
        <v>OK</v>
      </c>
      <c r="W154" s="17" t="str">
        <f aca="false">IF(A154="","",IF(AND(T154="OK",V154="OK",G154&gt;=0),"OK","CHECK"))</f>
        <v>OK</v>
      </c>
    </row>
    <row r="155" customFormat="false" ht="18" hidden="false" customHeight="true" outlineLevel="0" collapsed="false">
      <c r="A155" s="18" t="s">
        <v>39</v>
      </c>
      <c r="B155" s="19" t="n">
        <v>21</v>
      </c>
      <c r="C155" s="20" t="n">
        <v>45978</v>
      </c>
      <c r="D155" s="18" t="s">
        <v>40</v>
      </c>
      <c r="E155" s="18" t="s">
        <v>73</v>
      </c>
      <c r="F155" s="18" t="s">
        <v>42</v>
      </c>
      <c r="G155" s="21" t="n">
        <v>4028</v>
      </c>
      <c r="H155" s="22" t="n">
        <v>0.000727936100601845</v>
      </c>
      <c r="I155" s="22" t="n">
        <v>1.12908622513557E-005</v>
      </c>
      <c r="J155" s="22" t="n">
        <v>0.00243710031151105</v>
      </c>
      <c r="K155" s="22" t="n">
        <v>0.00313879797603443</v>
      </c>
      <c r="L155" s="22" t="n">
        <v>5.68344126160105E-005</v>
      </c>
      <c r="M155" s="22" t="n">
        <v>0.000485815866539962</v>
      </c>
      <c r="N155" s="22" t="n">
        <v>0.00417911720940149</v>
      </c>
      <c r="O155" s="22" t="n">
        <v>5.27548118603759E-005</v>
      </c>
      <c r="P155" s="22" t="n">
        <v>0.000114621864805995</v>
      </c>
      <c r="Q155" s="22" t="n">
        <v>0.000656947561987623</v>
      </c>
      <c r="R155" s="22" t="n">
        <v>0.00688046605158185</v>
      </c>
      <c r="S155" s="23" t="n">
        <f aca="false">IF(A155="","",SUM(H155:R155))</f>
        <v>0.018741683029192</v>
      </c>
      <c r="T155" s="17" t="str">
        <f aca="false">IF(A155="","",IF(AND(MIN(H155:R155)&gt;=0,MAX(H155:R155)&lt;=1,S155&lt;=1),"OK","CHECK"))</f>
        <v>OK</v>
      </c>
      <c r="U155" s="17" t="str">
        <f aca="false">IF(A155="","", "LOSS-"&amp;A155&amp;"-L"&amp;TEXT(B155,"00")&amp;"-"&amp;TEXT(C155,"yyyymmdd")&amp;"-"&amp;D155&amp;"-"&amp;E155)</f>
        <v>LOSS-KG01-L21-20251117-AM-ORD-2025-00177</v>
      </c>
      <c r="V155" s="17" t="str">
        <f aca="false">IF(U155="","",IF(COUNTIF($U$5:$U$935,U155)=1,"OK","CHECK"))</f>
        <v>OK</v>
      </c>
      <c r="W155" s="17" t="str">
        <f aca="false">IF(A155="","",IF(AND(T155="OK",V155="OK",G155&gt;=0),"OK","CHECK"))</f>
        <v>OK</v>
      </c>
    </row>
    <row r="156" customFormat="false" ht="18" hidden="false" customHeight="true" outlineLevel="0" collapsed="false">
      <c r="A156" s="18" t="s">
        <v>39</v>
      </c>
      <c r="B156" s="19" t="n">
        <v>21</v>
      </c>
      <c r="C156" s="20" t="n">
        <v>45978</v>
      </c>
      <c r="D156" s="18" t="s">
        <v>43</v>
      </c>
      <c r="E156" s="18" t="s">
        <v>73</v>
      </c>
      <c r="F156" s="18" t="s">
        <v>42</v>
      </c>
      <c r="G156" s="21" t="n">
        <v>15062</v>
      </c>
      <c r="H156" s="22" t="n">
        <v>0.000464744337285625</v>
      </c>
      <c r="I156" s="22" t="n">
        <v>0.0150676016902531</v>
      </c>
      <c r="J156" s="22" t="n">
        <v>0.00683636881027121</v>
      </c>
      <c r="K156" s="22" t="n">
        <v>0.000973299515770143</v>
      </c>
      <c r="L156" s="22" t="n">
        <v>3.36366545373167E-005</v>
      </c>
      <c r="M156" s="22" t="n">
        <v>0.0141174742514103</v>
      </c>
      <c r="N156" s="22" t="n">
        <v>0.0129150250559282</v>
      </c>
      <c r="O156" s="22" t="n">
        <v>0.00135854546940443</v>
      </c>
      <c r="P156" s="22" t="n">
        <v>0.00450207169119231</v>
      </c>
      <c r="Q156" s="22" t="n">
        <v>0.0003086879191891</v>
      </c>
      <c r="R156" s="22" t="n">
        <v>0.00379612164500199</v>
      </c>
      <c r="S156" s="23" t="n">
        <f aca="false">IF(A156="","",SUM(H156:R156))</f>
        <v>0.0603735770402437</v>
      </c>
      <c r="T156" s="17" t="str">
        <f aca="false">IF(A156="","",IF(AND(MIN(H156:R156)&gt;=0,MAX(H156:R156)&lt;=1,S156&lt;=1),"OK","CHECK"))</f>
        <v>OK</v>
      </c>
      <c r="U156" s="17" t="str">
        <f aca="false">IF(A156="","", "LOSS-"&amp;A156&amp;"-L"&amp;TEXT(B156,"00")&amp;"-"&amp;TEXT(C156,"yyyymmdd")&amp;"-"&amp;D156&amp;"-"&amp;E156)</f>
        <v>LOSS-KG01-L21-20251117-PM-ORD-2025-00177</v>
      </c>
      <c r="V156" s="17" t="str">
        <f aca="false">IF(U156="","",IF(COUNTIF($U$5:$U$935,U156)=1,"OK","CHECK"))</f>
        <v>OK</v>
      </c>
      <c r="W156" s="17" t="str">
        <f aca="false">IF(A156="","",IF(AND(T156="OK",V156="OK",G156&gt;=0),"OK","CHECK"))</f>
        <v>OK</v>
      </c>
    </row>
    <row r="157" customFormat="false" ht="18" hidden="false" customHeight="true" outlineLevel="0" collapsed="false">
      <c r="A157" s="18" t="s">
        <v>39</v>
      </c>
      <c r="B157" s="19" t="n">
        <v>21</v>
      </c>
      <c r="C157" s="20" t="n">
        <v>45979</v>
      </c>
      <c r="D157" s="18" t="s">
        <v>40</v>
      </c>
      <c r="E157" s="18" t="s">
        <v>73</v>
      </c>
      <c r="F157" s="18" t="s">
        <v>42</v>
      </c>
      <c r="G157" s="21" t="n">
        <v>10091</v>
      </c>
      <c r="H157" s="22" t="n">
        <v>0.00151574699831877</v>
      </c>
      <c r="I157" s="22" t="n">
        <v>0.0128394230096104</v>
      </c>
      <c r="J157" s="22" t="n">
        <v>0.015379035946342</v>
      </c>
      <c r="K157" s="22" t="n">
        <v>0.00568731733598107</v>
      </c>
      <c r="L157" s="22" t="n">
        <v>0.00403515967703633</v>
      </c>
      <c r="M157" s="22" t="n">
        <v>0.00732494578606626</v>
      </c>
      <c r="N157" s="22" t="n">
        <v>0.00679580126178851</v>
      </c>
      <c r="O157" s="22" t="n">
        <v>3.09757007556586E-005</v>
      </c>
      <c r="P157" s="22" t="n">
        <v>2.08857832238274E-005</v>
      </c>
      <c r="Q157" s="22" t="n">
        <v>0.000310638263867006</v>
      </c>
      <c r="R157" s="22" t="n">
        <v>0.0113435627194779</v>
      </c>
      <c r="S157" s="23" t="n">
        <f aca="false">IF(A157="","",SUM(H157:R157))</f>
        <v>0.0652834924824677</v>
      </c>
      <c r="T157" s="17" t="str">
        <f aca="false">IF(A157="","",IF(AND(MIN(H157:R157)&gt;=0,MAX(H157:R157)&lt;=1,S157&lt;=1),"OK","CHECK"))</f>
        <v>OK</v>
      </c>
      <c r="U157" s="17" t="str">
        <f aca="false">IF(A157="","", "LOSS-"&amp;A157&amp;"-L"&amp;TEXT(B157,"00")&amp;"-"&amp;TEXT(C157,"yyyymmdd")&amp;"-"&amp;D157&amp;"-"&amp;E157)</f>
        <v>LOSS-KG01-L21-20251118-AM-ORD-2025-00177</v>
      </c>
      <c r="V157" s="17" t="str">
        <f aca="false">IF(U157="","",IF(COUNTIF($U$5:$U$935,U157)=1,"OK","CHECK"))</f>
        <v>OK</v>
      </c>
      <c r="W157" s="17" t="str">
        <f aca="false">IF(A157="","",IF(AND(T157="OK",V157="OK",G157&gt;=0),"OK","CHECK"))</f>
        <v>OK</v>
      </c>
    </row>
    <row r="158" customFormat="false" ht="18" hidden="false" customHeight="true" outlineLevel="0" collapsed="false">
      <c r="A158" s="18" t="s">
        <v>39</v>
      </c>
      <c r="B158" s="19" t="n">
        <v>21</v>
      </c>
      <c r="C158" s="20" t="n">
        <v>45979</v>
      </c>
      <c r="D158" s="18" t="s">
        <v>43</v>
      </c>
      <c r="E158" s="18" t="s">
        <v>73</v>
      </c>
      <c r="F158" s="18" t="s">
        <v>42</v>
      </c>
      <c r="G158" s="21" t="n">
        <v>7977</v>
      </c>
      <c r="H158" s="22" t="n">
        <v>0.000781953109942996</v>
      </c>
      <c r="I158" s="22" t="n">
        <v>0.000304089057612445</v>
      </c>
      <c r="J158" s="22" t="n">
        <v>0.00514556689611524</v>
      </c>
      <c r="K158" s="22" t="n">
        <v>0.00591247232663156</v>
      </c>
      <c r="L158" s="22" t="n">
        <v>0.00129910260927804</v>
      </c>
      <c r="M158" s="22" t="n">
        <v>0.00897477129911953</v>
      </c>
      <c r="N158" s="22" t="n">
        <v>0.00300676680424974</v>
      </c>
      <c r="O158" s="22" t="n">
        <v>0.00510422970850728</v>
      </c>
      <c r="P158" s="22" t="n">
        <v>0.00114720452902991</v>
      </c>
      <c r="Q158" s="22" t="n">
        <v>0.00712790401151462</v>
      </c>
      <c r="R158" s="22" t="n">
        <v>0.000450318058828647</v>
      </c>
      <c r="S158" s="23" t="n">
        <f aca="false">IF(A158="","",SUM(H158:R158))</f>
        <v>0.03925437841083</v>
      </c>
      <c r="T158" s="17" t="str">
        <f aca="false">IF(A158="","",IF(AND(MIN(H158:R158)&gt;=0,MAX(H158:R158)&lt;=1,S158&lt;=1),"OK","CHECK"))</f>
        <v>OK</v>
      </c>
      <c r="U158" s="17" t="str">
        <f aca="false">IF(A158="","", "LOSS-"&amp;A158&amp;"-L"&amp;TEXT(B158,"00")&amp;"-"&amp;TEXT(C158,"yyyymmdd")&amp;"-"&amp;D158&amp;"-"&amp;E158)</f>
        <v>LOSS-KG01-L21-20251118-PM-ORD-2025-00177</v>
      </c>
      <c r="V158" s="17" t="str">
        <f aca="false">IF(U158="","",IF(COUNTIF($U$5:$U$935,U158)=1,"OK","CHECK"))</f>
        <v>OK</v>
      </c>
      <c r="W158" s="17" t="str">
        <f aca="false">IF(A158="","",IF(AND(T158="OK",V158="OK",G158&gt;=0),"OK","CHECK"))</f>
        <v>OK</v>
      </c>
    </row>
    <row r="159" customFormat="false" ht="18" hidden="false" customHeight="true" outlineLevel="0" collapsed="false">
      <c r="A159" s="18" t="s">
        <v>39</v>
      </c>
      <c r="B159" s="19" t="n">
        <v>21</v>
      </c>
      <c r="C159" s="20" t="n">
        <v>45980</v>
      </c>
      <c r="D159" s="18" t="s">
        <v>40</v>
      </c>
      <c r="E159" s="18" t="s">
        <v>74</v>
      </c>
      <c r="F159" s="18" t="s">
        <v>45</v>
      </c>
      <c r="G159" s="21" t="n">
        <v>5617</v>
      </c>
      <c r="H159" s="22" t="n">
        <v>0.00184985673042854</v>
      </c>
      <c r="I159" s="22" t="n">
        <v>0.00793787803761046</v>
      </c>
      <c r="J159" s="22" t="n">
        <v>0.0040705016087309</v>
      </c>
      <c r="K159" s="22" t="n">
        <v>0.00786175024790515</v>
      </c>
      <c r="L159" s="22" t="n">
        <v>0.0001824870066222</v>
      </c>
      <c r="M159" s="22" t="n">
        <v>0.000369257719041855</v>
      </c>
      <c r="N159" s="22" t="n">
        <v>0.00352504722682711</v>
      </c>
      <c r="O159" s="22" t="n">
        <v>0.000645466259922292</v>
      </c>
      <c r="P159" s="22" t="n">
        <v>0.00356493174016185</v>
      </c>
      <c r="Q159" s="22" t="n">
        <v>0.00370653153846718</v>
      </c>
      <c r="R159" s="22" t="n">
        <v>0.00453959316393268</v>
      </c>
      <c r="S159" s="23" t="n">
        <f aca="false">IF(A159="","",SUM(H159:R159))</f>
        <v>0.0382533012796502</v>
      </c>
      <c r="T159" s="17" t="str">
        <f aca="false">IF(A159="","",IF(AND(MIN(H159:R159)&gt;=0,MAX(H159:R159)&lt;=1,S159&lt;=1),"OK","CHECK"))</f>
        <v>OK</v>
      </c>
      <c r="U159" s="17" t="str">
        <f aca="false">IF(A159="","", "LOSS-"&amp;A159&amp;"-L"&amp;TEXT(B159,"00")&amp;"-"&amp;TEXT(C159,"yyyymmdd")&amp;"-"&amp;D159&amp;"-"&amp;E159)</f>
        <v>LOSS-KG01-L21-20251119-AM-ORD-2025-00178</v>
      </c>
      <c r="V159" s="17" t="str">
        <f aca="false">IF(U159="","",IF(COUNTIF($U$5:$U$935,U159)=1,"OK","CHECK"))</f>
        <v>OK</v>
      </c>
      <c r="W159" s="17" t="str">
        <f aca="false">IF(A159="","",IF(AND(T159="OK",V159="OK",G159&gt;=0),"OK","CHECK"))</f>
        <v>OK</v>
      </c>
    </row>
    <row r="160" customFormat="false" ht="18" hidden="false" customHeight="true" outlineLevel="0" collapsed="false">
      <c r="A160" s="18" t="s">
        <v>39</v>
      </c>
      <c r="B160" s="19" t="n">
        <v>21</v>
      </c>
      <c r="C160" s="20" t="n">
        <v>45980</v>
      </c>
      <c r="D160" s="18" t="s">
        <v>43</v>
      </c>
      <c r="E160" s="18" t="s">
        <v>74</v>
      </c>
      <c r="F160" s="18" t="s">
        <v>42</v>
      </c>
      <c r="G160" s="21" t="n">
        <v>11403</v>
      </c>
      <c r="H160" s="22" t="n">
        <v>0.00598034789351799</v>
      </c>
      <c r="I160" s="22" t="n">
        <v>0.00789882814053152</v>
      </c>
      <c r="J160" s="22" t="n">
        <v>0.0049236545196204</v>
      </c>
      <c r="K160" s="22" t="n">
        <v>0.000506565140595309</v>
      </c>
      <c r="L160" s="22" t="n">
        <v>0.0127059264500321</v>
      </c>
      <c r="M160" s="22" t="n">
        <v>0.00188401162770268</v>
      </c>
      <c r="N160" s="22" t="n">
        <v>0.0116824490951497</v>
      </c>
      <c r="O160" s="22" t="n">
        <v>0.00270311655609695</v>
      </c>
      <c r="P160" s="22" t="n">
        <v>0.0174940164250075</v>
      </c>
      <c r="Q160" s="22" t="n">
        <v>0.00115308626246031</v>
      </c>
      <c r="R160" s="22" t="n">
        <v>0.00137356692265661</v>
      </c>
      <c r="S160" s="23" t="n">
        <f aca="false">IF(A160="","",SUM(H160:R160))</f>
        <v>0.0683055690333711</v>
      </c>
      <c r="T160" s="17" t="str">
        <f aca="false">IF(A160="","",IF(AND(MIN(H160:R160)&gt;=0,MAX(H160:R160)&lt;=1,S160&lt;=1),"OK","CHECK"))</f>
        <v>OK</v>
      </c>
      <c r="U160" s="17" t="str">
        <f aca="false">IF(A160="","", "LOSS-"&amp;A160&amp;"-L"&amp;TEXT(B160,"00")&amp;"-"&amp;TEXT(C160,"yyyymmdd")&amp;"-"&amp;D160&amp;"-"&amp;E160)</f>
        <v>LOSS-KG01-L21-20251119-PM-ORD-2025-00178</v>
      </c>
      <c r="V160" s="17" t="str">
        <f aca="false">IF(U160="","",IF(COUNTIF($U$5:$U$935,U160)=1,"OK","CHECK"))</f>
        <v>OK</v>
      </c>
      <c r="W160" s="17" t="str">
        <f aca="false">IF(A160="","",IF(AND(T160="OK",V160="OK",G160&gt;=0),"OK","CHECK"))</f>
        <v>OK</v>
      </c>
    </row>
    <row r="161" customFormat="false" ht="18" hidden="false" customHeight="true" outlineLevel="0" collapsed="false">
      <c r="A161" s="18" t="s">
        <v>39</v>
      </c>
      <c r="B161" s="19" t="n">
        <v>21</v>
      </c>
      <c r="C161" s="20" t="n">
        <v>45981</v>
      </c>
      <c r="D161" s="18" t="s">
        <v>40</v>
      </c>
      <c r="E161" s="18" t="s">
        <v>74</v>
      </c>
      <c r="F161" s="18" t="s">
        <v>42</v>
      </c>
      <c r="G161" s="21" t="n">
        <v>16105</v>
      </c>
      <c r="H161" s="22" t="n">
        <v>0.0059474044159099</v>
      </c>
      <c r="I161" s="22" t="n">
        <v>0.00985043796975125</v>
      </c>
      <c r="J161" s="22" t="n">
        <v>0.00348410772204327</v>
      </c>
      <c r="K161" s="22" t="n">
        <v>0.00228404592078727</v>
      </c>
      <c r="L161" s="22" t="n">
        <v>0.000166685363421151</v>
      </c>
      <c r="M161" s="22" t="n">
        <v>0.0174073197048909</v>
      </c>
      <c r="N161" s="22" t="n">
        <v>0.0127470031665893</v>
      </c>
      <c r="O161" s="22" t="n">
        <v>0.000450852266308759</v>
      </c>
      <c r="P161" s="22" t="n">
        <v>0.0134116263725617</v>
      </c>
      <c r="Q161" s="22" t="n">
        <v>0.00157670482643565</v>
      </c>
      <c r="R161" s="22" t="n">
        <v>0.00020199968141351</v>
      </c>
      <c r="S161" s="23" t="n">
        <f aca="false">IF(A161="","",SUM(H161:R161))</f>
        <v>0.0675281874101127</v>
      </c>
      <c r="T161" s="17" t="str">
        <f aca="false">IF(A161="","",IF(AND(MIN(H161:R161)&gt;=0,MAX(H161:R161)&lt;=1,S161&lt;=1),"OK","CHECK"))</f>
        <v>OK</v>
      </c>
      <c r="U161" s="17" t="str">
        <f aca="false">IF(A161="","", "LOSS-"&amp;A161&amp;"-L"&amp;TEXT(B161,"00")&amp;"-"&amp;TEXT(C161,"yyyymmdd")&amp;"-"&amp;D161&amp;"-"&amp;E161)</f>
        <v>LOSS-KG01-L21-20251120-AM-ORD-2025-00178</v>
      </c>
      <c r="V161" s="17" t="str">
        <f aca="false">IF(U161="","",IF(COUNTIF($U$5:$U$935,U161)=1,"OK","CHECK"))</f>
        <v>OK</v>
      </c>
      <c r="W161" s="17" t="str">
        <f aca="false">IF(A161="","",IF(AND(T161="OK",V161="OK",G161&gt;=0),"OK","CHECK"))</f>
        <v>OK</v>
      </c>
    </row>
    <row r="162" customFormat="false" ht="18" hidden="false" customHeight="true" outlineLevel="0" collapsed="false">
      <c r="A162" s="18" t="s">
        <v>39</v>
      </c>
      <c r="B162" s="19" t="n">
        <v>21</v>
      </c>
      <c r="C162" s="20" t="n">
        <v>45981</v>
      </c>
      <c r="D162" s="18" t="s">
        <v>43</v>
      </c>
      <c r="E162" s="18" t="s">
        <v>74</v>
      </c>
      <c r="F162" s="18" t="s">
        <v>42</v>
      </c>
      <c r="G162" s="21" t="n">
        <v>9380</v>
      </c>
      <c r="H162" s="22" t="n">
        <v>0.0118627592211984</v>
      </c>
      <c r="I162" s="22" t="n">
        <v>0.00061062982496646</v>
      </c>
      <c r="J162" s="22" t="n">
        <v>0.0112012297976115</v>
      </c>
      <c r="K162" s="22" t="n">
        <v>0.0075756154627524</v>
      </c>
      <c r="L162" s="22" t="n">
        <v>0.000188602925870163</v>
      </c>
      <c r="M162" s="22" t="n">
        <v>0.00342725615213805</v>
      </c>
      <c r="N162" s="22" t="n">
        <v>0.00947794268412124</v>
      </c>
      <c r="O162" s="22" t="n">
        <v>0.00428711815016775</v>
      </c>
      <c r="P162" s="22" t="n">
        <v>0.00804858897416934</v>
      </c>
      <c r="Q162" s="22" t="n">
        <v>0.000112866611675694</v>
      </c>
      <c r="R162" s="22" t="n">
        <v>0.00150519377275076</v>
      </c>
      <c r="S162" s="23" t="n">
        <f aca="false">IF(A162="","",SUM(H162:R162))</f>
        <v>0.0582978035774218</v>
      </c>
      <c r="T162" s="17" t="str">
        <f aca="false">IF(A162="","",IF(AND(MIN(H162:R162)&gt;=0,MAX(H162:R162)&lt;=1,S162&lt;=1),"OK","CHECK"))</f>
        <v>OK</v>
      </c>
      <c r="U162" s="17" t="str">
        <f aca="false">IF(A162="","", "LOSS-"&amp;A162&amp;"-L"&amp;TEXT(B162,"00")&amp;"-"&amp;TEXT(C162,"yyyymmdd")&amp;"-"&amp;D162&amp;"-"&amp;E162)</f>
        <v>LOSS-KG01-L21-20251120-PM-ORD-2025-00178</v>
      </c>
      <c r="V162" s="17" t="str">
        <f aca="false">IF(U162="","",IF(COUNTIF($U$5:$U$935,U162)=1,"OK","CHECK"))</f>
        <v>OK</v>
      </c>
      <c r="W162" s="17" t="str">
        <f aca="false">IF(A162="","",IF(AND(T162="OK",V162="OK",G162&gt;=0),"OK","CHECK"))</f>
        <v>OK</v>
      </c>
    </row>
    <row r="163" customFormat="false" ht="18" hidden="false" customHeight="true" outlineLevel="0" collapsed="false">
      <c r="A163" s="18" t="s">
        <v>39</v>
      </c>
      <c r="B163" s="19" t="n">
        <v>21</v>
      </c>
      <c r="C163" s="20" t="n">
        <v>45982</v>
      </c>
      <c r="D163" s="18" t="s">
        <v>40</v>
      </c>
      <c r="E163" s="18" t="s">
        <v>74</v>
      </c>
      <c r="F163" s="18" t="s">
        <v>42</v>
      </c>
      <c r="G163" s="21" t="n">
        <v>3902</v>
      </c>
      <c r="H163" s="22" t="n">
        <v>0.00295283244495312</v>
      </c>
      <c r="I163" s="22" t="n">
        <v>0.000717290148572225</v>
      </c>
      <c r="J163" s="22" t="n">
        <v>0.000662701992590545</v>
      </c>
      <c r="K163" s="22" t="n">
        <v>8.85232465003651E-005</v>
      </c>
      <c r="L163" s="22" t="n">
        <v>2.07503098291924E-005</v>
      </c>
      <c r="M163" s="22" t="n">
        <v>0.000912118196720997</v>
      </c>
      <c r="N163" s="22" t="n">
        <v>0.00509912456970059</v>
      </c>
      <c r="O163" s="22" t="n">
        <v>0.000294435907946322</v>
      </c>
      <c r="P163" s="22" t="n">
        <v>0.00586095539478102</v>
      </c>
      <c r="Q163" s="22" t="n">
        <v>0.00414405106176317</v>
      </c>
      <c r="R163" s="22" t="n">
        <v>0.00561154717940355</v>
      </c>
      <c r="S163" s="23" t="n">
        <f aca="false">IF(A163="","",SUM(H163:R163))</f>
        <v>0.0263643304527611</v>
      </c>
      <c r="T163" s="17" t="str">
        <f aca="false">IF(A163="","",IF(AND(MIN(H163:R163)&gt;=0,MAX(H163:R163)&lt;=1,S163&lt;=1),"OK","CHECK"))</f>
        <v>OK</v>
      </c>
      <c r="U163" s="17" t="str">
        <f aca="false">IF(A163="","", "LOSS-"&amp;A163&amp;"-L"&amp;TEXT(B163,"00")&amp;"-"&amp;TEXT(C163,"yyyymmdd")&amp;"-"&amp;D163&amp;"-"&amp;E163)</f>
        <v>LOSS-KG01-L21-20251121-AM-ORD-2025-00178</v>
      </c>
      <c r="V163" s="17" t="str">
        <f aca="false">IF(U163="","",IF(COUNTIF($U$5:$U$935,U163)=1,"OK","CHECK"))</f>
        <v>OK</v>
      </c>
      <c r="W163" s="17" t="str">
        <f aca="false">IF(A163="","",IF(AND(T163="OK",V163="OK",G163&gt;=0),"OK","CHECK"))</f>
        <v>OK</v>
      </c>
    </row>
    <row r="164" customFormat="false" ht="18" hidden="false" customHeight="true" outlineLevel="0" collapsed="false">
      <c r="A164" s="18" t="s">
        <v>39</v>
      </c>
      <c r="B164" s="19" t="n">
        <v>21</v>
      </c>
      <c r="C164" s="20" t="n">
        <v>45982</v>
      </c>
      <c r="D164" s="18" t="s">
        <v>43</v>
      </c>
      <c r="E164" s="18" t="s">
        <v>74</v>
      </c>
      <c r="F164" s="18" t="s">
        <v>42</v>
      </c>
      <c r="G164" s="21" t="n">
        <v>6223</v>
      </c>
      <c r="H164" s="22" t="n">
        <v>0.0035698024130956</v>
      </c>
      <c r="I164" s="22" t="n">
        <v>0.00912516582679015</v>
      </c>
      <c r="J164" s="22" t="n">
        <v>0.0019016951627865</v>
      </c>
      <c r="K164" s="22" t="n">
        <v>0.00411510656095088</v>
      </c>
      <c r="L164" s="22" t="n">
        <v>0.000787203386079482</v>
      </c>
      <c r="M164" s="22" t="n">
        <v>0.00553049729022793</v>
      </c>
      <c r="N164" s="22" t="n">
        <v>0.00596668404476895</v>
      </c>
      <c r="O164" s="22" t="n">
        <v>0.00507174516895975</v>
      </c>
      <c r="P164" s="22" t="n">
        <v>0.000238753069614078</v>
      </c>
      <c r="Q164" s="22" t="n">
        <v>0.00377839641263292</v>
      </c>
      <c r="R164" s="22" t="n">
        <v>0.000838509165777253</v>
      </c>
      <c r="S164" s="23" t="n">
        <f aca="false">IF(A164="","",SUM(H164:R164))</f>
        <v>0.0409235585016835</v>
      </c>
      <c r="T164" s="17" t="str">
        <f aca="false">IF(A164="","",IF(AND(MIN(H164:R164)&gt;=0,MAX(H164:R164)&lt;=1,S164&lt;=1),"OK","CHECK"))</f>
        <v>OK</v>
      </c>
      <c r="U164" s="17" t="str">
        <f aca="false">IF(A164="","", "LOSS-"&amp;A164&amp;"-L"&amp;TEXT(B164,"00")&amp;"-"&amp;TEXT(C164,"yyyymmdd")&amp;"-"&amp;D164&amp;"-"&amp;E164)</f>
        <v>LOSS-KG01-L21-20251121-PM-ORD-2025-00178</v>
      </c>
      <c r="V164" s="17" t="str">
        <f aca="false">IF(U164="","",IF(COUNTIF($U$5:$U$935,U164)=1,"OK","CHECK"))</f>
        <v>OK</v>
      </c>
      <c r="W164" s="17" t="str">
        <f aca="false">IF(A164="","",IF(AND(T164="OK",V164="OK",G164&gt;=0),"OK","CHECK"))</f>
        <v>OK</v>
      </c>
    </row>
    <row r="165" customFormat="false" ht="18" hidden="false" customHeight="true" outlineLevel="0" collapsed="false">
      <c r="A165" s="18" t="s">
        <v>39</v>
      </c>
      <c r="B165" s="19" t="n">
        <v>21</v>
      </c>
      <c r="C165" s="20" t="n">
        <v>45983</v>
      </c>
      <c r="D165" s="18" t="s">
        <v>40</v>
      </c>
      <c r="E165" s="18" t="s">
        <v>74</v>
      </c>
      <c r="F165" s="18" t="s">
        <v>42</v>
      </c>
      <c r="G165" s="21" t="n">
        <v>19604</v>
      </c>
      <c r="H165" s="22" t="n">
        <v>0.0185284853989239</v>
      </c>
      <c r="I165" s="22" t="n">
        <v>0.00897431835276242</v>
      </c>
      <c r="J165" s="22" t="n">
        <v>0.00300949711048443</v>
      </c>
      <c r="K165" s="22" t="n">
        <v>0.0132791122026154</v>
      </c>
      <c r="L165" s="22" t="n">
        <v>0.0101035002168266</v>
      </c>
      <c r="M165" s="22" t="n">
        <v>0.00384233920676275</v>
      </c>
      <c r="N165" s="22" t="n">
        <v>0.00460323260763014</v>
      </c>
      <c r="O165" s="22" t="n">
        <v>0.00423239990430494</v>
      </c>
      <c r="P165" s="22" t="n">
        <v>0.0027526233162924</v>
      </c>
      <c r="Q165" s="22" t="n">
        <v>0.00482462260535091</v>
      </c>
      <c r="R165" s="22" t="n">
        <v>0.0018069853113419</v>
      </c>
      <c r="S165" s="23" t="n">
        <f aca="false">IF(A165="","",SUM(H165:R165))</f>
        <v>0.0759571162332958</v>
      </c>
      <c r="T165" s="17" t="str">
        <f aca="false">IF(A165="","",IF(AND(MIN(H165:R165)&gt;=0,MAX(H165:R165)&lt;=1,S165&lt;=1),"OK","CHECK"))</f>
        <v>OK</v>
      </c>
      <c r="U165" s="17" t="str">
        <f aca="false">IF(A165="","", "LOSS-"&amp;A165&amp;"-L"&amp;TEXT(B165,"00")&amp;"-"&amp;TEXT(C165,"yyyymmdd")&amp;"-"&amp;D165&amp;"-"&amp;E165)</f>
        <v>LOSS-KG01-L21-20251122-AM-ORD-2025-00178</v>
      </c>
      <c r="V165" s="17" t="str">
        <f aca="false">IF(U165="","",IF(COUNTIF($U$5:$U$935,U165)=1,"OK","CHECK"))</f>
        <v>OK</v>
      </c>
      <c r="W165" s="17" t="str">
        <f aca="false">IF(A165="","",IF(AND(T165="OK",V165="OK",G165&gt;=0),"OK","CHECK"))</f>
        <v>OK</v>
      </c>
    </row>
    <row r="166" customFormat="false" ht="18" hidden="false" customHeight="true" outlineLevel="0" collapsed="false">
      <c r="A166" s="18" t="s">
        <v>39</v>
      </c>
      <c r="B166" s="19" t="n">
        <v>21</v>
      </c>
      <c r="C166" s="20" t="n">
        <v>45983</v>
      </c>
      <c r="D166" s="18" t="s">
        <v>43</v>
      </c>
      <c r="E166" s="18" t="s">
        <v>74</v>
      </c>
      <c r="F166" s="18" t="s">
        <v>42</v>
      </c>
      <c r="G166" s="21" t="n">
        <v>7993</v>
      </c>
      <c r="H166" s="22" t="n">
        <v>0.00516956783089273</v>
      </c>
      <c r="I166" s="22" t="n">
        <v>0.00154389451760102</v>
      </c>
      <c r="J166" s="22" t="n">
        <v>0.00294057067608961</v>
      </c>
      <c r="K166" s="22" t="n">
        <v>0.00486166867596748</v>
      </c>
      <c r="L166" s="22" t="n">
        <v>0.000298121954594478</v>
      </c>
      <c r="M166" s="22" t="n">
        <v>0.00230162277300742</v>
      </c>
      <c r="N166" s="22" t="n">
        <v>4.30606221520889E-005</v>
      </c>
      <c r="O166" s="22" t="n">
        <v>0.000532230413988266</v>
      </c>
      <c r="P166" s="22" t="n">
        <v>0.00338260950885776</v>
      </c>
      <c r="Q166" s="22" t="n">
        <v>0.00406990288785609</v>
      </c>
      <c r="R166" s="22" t="n">
        <v>0.00229468609769027</v>
      </c>
      <c r="S166" s="23" t="n">
        <f aca="false">IF(A166="","",SUM(H166:R166))</f>
        <v>0.0274379359586972</v>
      </c>
      <c r="T166" s="17" t="str">
        <f aca="false">IF(A166="","",IF(AND(MIN(H166:R166)&gt;=0,MAX(H166:R166)&lt;=1,S166&lt;=1),"OK","CHECK"))</f>
        <v>OK</v>
      </c>
      <c r="U166" s="17" t="str">
        <f aca="false">IF(A166="","", "LOSS-"&amp;A166&amp;"-L"&amp;TEXT(B166,"00")&amp;"-"&amp;TEXT(C166,"yyyymmdd")&amp;"-"&amp;D166&amp;"-"&amp;E166)</f>
        <v>LOSS-KG01-L21-20251122-PM-ORD-2025-00178</v>
      </c>
      <c r="V166" s="17" t="str">
        <f aca="false">IF(U166="","",IF(COUNTIF($U$5:$U$935,U166)=1,"OK","CHECK"))</f>
        <v>OK</v>
      </c>
      <c r="W166" s="17" t="str">
        <f aca="false">IF(A166="","",IF(AND(T166="OK",V166="OK",G166&gt;=0),"OK","CHECK"))</f>
        <v>OK</v>
      </c>
    </row>
    <row r="167" customFormat="false" ht="18" hidden="false" customHeight="true" outlineLevel="0" collapsed="false">
      <c r="A167" s="18" t="s">
        <v>39</v>
      </c>
      <c r="B167" s="19" t="n">
        <v>21</v>
      </c>
      <c r="C167" s="20" t="n">
        <v>45984</v>
      </c>
      <c r="D167" s="18" t="s">
        <v>40</v>
      </c>
      <c r="E167" s="18" t="s">
        <v>75</v>
      </c>
      <c r="F167" s="18" t="s">
        <v>45</v>
      </c>
      <c r="G167" s="21" t="n">
        <v>10911</v>
      </c>
      <c r="H167" s="22" t="n">
        <v>0.000120924651889159</v>
      </c>
      <c r="I167" s="22" t="n">
        <v>0.00118455826775469</v>
      </c>
      <c r="J167" s="22" t="n">
        <v>0.000180245531185941</v>
      </c>
      <c r="K167" s="22" t="n">
        <v>0.00680479341042335</v>
      </c>
      <c r="L167" s="22" t="n">
        <v>0.00014709196003387</v>
      </c>
      <c r="M167" s="22" t="n">
        <v>0.00167988675594238</v>
      </c>
      <c r="N167" s="22" t="n">
        <v>0.0177657254098397</v>
      </c>
      <c r="O167" s="22" t="n">
        <v>0.0134337283273812</v>
      </c>
      <c r="P167" s="22" t="n">
        <v>2.35145549625632E-006</v>
      </c>
      <c r="Q167" s="22" t="n">
        <v>0.0184918789645957</v>
      </c>
      <c r="R167" s="22" t="n">
        <v>0.00942368461327558</v>
      </c>
      <c r="S167" s="23" t="n">
        <f aca="false">IF(A167="","",SUM(H167:R167))</f>
        <v>0.0692348693478178</v>
      </c>
      <c r="T167" s="17" t="str">
        <f aca="false">IF(A167="","",IF(AND(MIN(H167:R167)&gt;=0,MAX(H167:R167)&lt;=1,S167&lt;=1),"OK","CHECK"))</f>
        <v>OK</v>
      </c>
      <c r="U167" s="17" t="str">
        <f aca="false">IF(A167="","", "LOSS-"&amp;A167&amp;"-L"&amp;TEXT(B167,"00")&amp;"-"&amp;TEXT(C167,"yyyymmdd")&amp;"-"&amp;D167&amp;"-"&amp;E167)</f>
        <v>LOSS-KG01-L21-20251123-AM-ORD-2025-00179</v>
      </c>
      <c r="V167" s="17" t="str">
        <f aca="false">IF(U167="","",IF(COUNTIF($U$5:$U$935,U167)=1,"OK","CHECK"))</f>
        <v>OK</v>
      </c>
      <c r="W167" s="17" t="str">
        <f aca="false">IF(A167="","",IF(AND(T167="OK",V167="OK",G167&gt;=0),"OK","CHECK"))</f>
        <v>OK</v>
      </c>
    </row>
    <row r="168" customFormat="false" ht="18" hidden="false" customHeight="true" outlineLevel="0" collapsed="false">
      <c r="A168" s="18" t="s">
        <v>39</v>
      </c>
      <c r="B168" s="19" t="n">
        <v>21</v>
      </c>
      <c r="C168" s="20" t="n">
        <v>45984</v>
      </c>
      <c r="D168" s="18" t="s">
        <v>43</v>
      </c>
      <c r="E168" s="18" t="s">
        <v>75</v>
      </c>
      <c r="F168" s="18" t="s">
        <v>42</v>
      </c>
      <c r="G168" s="21" t="n">
        <v>8608</v>
      </c>
      <c r="H168" s="22" t="n">
        <v>0.0212076480056645</v>
      </c>
      <c r="I168" s="22" t="n">
        <v>0.000454003134415236</v>
      </c>
      <c r="J168" s="22" t="n">
        <v>0.00604460963163592</v>
      </c>
      <c r="K168" s="22" t="n">
        <v>0.0114494611540047</v>
      </c>
      <c r="L168" s="22" t="n">
        <v>0.0111721546244677</v>
      </c>
      <c r="M168" s="22" t="n">
        <v>0.00691418082728667</v>
      </c>
      <c r="N168" s="22" t="n">
        <v>0.000379248343910345</v>
      </c>
      <c r="O168" s="22" t="n">
        <v>4.71297765519461E-006</v>
      </c>
      <c r="P168" s="22" t="n">
        <v>0.000882261577666766</v>
      </c>
      <c r="Q168" s="22" t="n">
        <v>0.0168603559154684</v>
      </c>
      <c r="R168" s="22" t="n">
        <v>1.29638815899952E-006</v>
      </c>
      <c r="S168" s="23" t="n">
        <f aca="false">IF(A168="","",SUM(H168:R168))</f>
        <v>0.0753699325803344</v>
      </c>
      <c r="T168" s="17" t="str">
        <f aca="false">IF(A168="","",IF(AND(MIN(H168:R168)&gt;=0,MAX(H168:R168)&lt;=1,S168&lt;=1),"OK","CHECK"))</f>
        <v>OK</v>
      </c>
      <c r="U168" s="17" t="str">
        <f aca="false">IF(A168="","", "LOSS-"&amp;A168&amp;"-L"&amp;TEXT(B168,"00")&amp;"-"&amp;TEXT(C168,"yyyymmdd")&amp;"-"&amp;D168&amp;"-"&amp;E168)</f>
        <v>LOSS-KG01-L21-20251123-PM-ORD-2025-00179</v>
      </c>
      <c r="V168" s="17" t="str">
        <f aca="false">IF(U168="","",IF(COUNTIF($U$5:$U$935,U168)=1,"OK","CHECK"))</f>
        <v>OK</v>
      </c>
      <c r="W168" s="17" t="str">
        <f aca="false">IF(A168="","",IF(AND(T168="OK",V168="OK",G168&gt;=0),"OK","CHECK"))</f>
        <v>OK</v>
      </c>
    </row>
    <row r="169" customFormat="false" ht="18" hidden="false" customHeight="true" outlineLevel="0" collapsed="false">
      <c r="A169" s="18" t="s">
        <v>39</v>
      </c>
      <c r="B169" s="19" t="n">
        <v>21</v>
      </c>
      <c r="C169" s="20" t="n">
        <v>45985</v>
      </c>
      <c r="D169" s="18" t="s">
        <v>40</v>
      </c>
      <c r="E169" s="18" t="s">
        <v>75</v>
      </c>
      <c r="F169" s="18" t="s">
        <v>42</v>
      </c>
      <c r="G169" s="21" t="n">
        <v>6317</v>
      </c>
      <c r="H169" s="22" t="n">
        <v>0.00138693322164315</v>
      </c>
      <c r="I169" s="22" t="n">
        <v>0.00219245907886513</v>
      </c>
      <c r="J169" s="22" t="n">
        <v>0.000914348184539736</v>
      </c>
      <c r="K169" s="22" t="n">
        <v>0.00759079889955184</v>
      </c>
      <c r="L169" s="22" t="n">
        <v>0.0033570087613587</v>
      </c>
      <c r="M169" s="22" t="n">
        <v>0.00650623358096417</v>
      </c>
      <c r="N169" s="22" t="n">
        <v>0.00766651089722789</v>
      </c>
      <c r="O169" s="22" t="n">
        <v>0.00685694290459468</v>
      </c>
      <c r="P169" s="22" t="n">
        <v>0.00359362016831042</v>
      </c>
      <c r="Q169" s="22" t="n">
        <v>1.37768615996061E-005</v>
      </c>
      <c r="R169" s="22" t="n">
        <v>0.00154575299240489</v>
      </c>
      <c r="S169" s="23" t="n">
        <f aca="false">IF(A169="","",SUM(H169:R169))</f>
        <v>0.0416243855510602</v>
      </c>
      <c r="T169" s="17" t="str">
        <f aca="false">IF(A169="","",IF(AND(MIN(H169:R169)&gt;=0,MAX(H169:R169)&lt;=1,S169&lt;=1),"OK","CHECK"))</f>
        <v>OK</v>
      </c>
      <c r="U169" s="17" t="str">
        <f aca="false">IF(A169="","", "LOSS-"&amp;A169&amp;"-L"&amp;TEXT(B169,"00")&amp;"-"&amp;TEXT(C169,"yyyymmdd")&amp;"-"&amp;D169&amp;"-"&amp;E169)</f>
        <v>LOSS-KG01-L21-20251124-AM-ORD-2025-00179</v>
      </c>
      <c r="V169" s="17" t="str">
        <f aca="false">IF(U169="","",IF(COUNTIF($U$5:$U$935,U169)=1,"OK","CHECK"))</f>
        <v>OK</v>
      </c>
      <c r="W169" s="17" t="str">
        <f aca="false">IF(A169="","",IF(AND(T169="OK",V169="OK",G169&gt;=0),"OK","CHECK"))</f>
        <v>OK</v>
      </c>
    </row>
    <row r="170" customFormat="false" ht="18" hidden="false" customHeight="true" outlineLevel="0" collapsed="false">
      <c r="A170" s="18" t="s">
        <v>39</v>
      </c>
      <c r="B170" s="19" t="n">
        <v>21</v>
      </c>
      <c r="C170" s="20" t="n">
        <v>45985</v>
      </c>
      <c r="D170" s="18" t="s">
        <v>43</v>
      </c>
      <c r="E170" s="18" t="s">
        <v>76</v>
      </c>
      <c r="F170" s="18" t="s">
        <v>45</v>
      </c>
      <c r="G170" s="21" t="n">
        <v>3970</v>
      </c>
      <c r="H170" s="22" t="n">
        <v>0.00041694089374731</v>
      </c>
      <c r="I170" s="22" t="n">
        <v>0.0127012655658859</v>
      </c>
      <c r="J170" s="22" t="n">
        <v>0.00856180755684639</v>
      </c>
      <c r="K170" s="22" t="n">
        <v>0.0119908878727868</v>
      </c>
      <c r="L170" s="22" t="n">
        <v>0.000448602184758285</v>
      </c>
      <c r="M170" s="22" t="n">
        <v>0.00197770116518437</v>
      </c>
      <c r="N170" s="22" t="n">
        <v>0.000260910039566424</v>
      </c>
      <c r="O170" s="22" t="n">
        <v>0.00183220664880753</v>
      </c>
      <c r="P170" s="22" t="n">
        <v>3.80413195067162E-005</v>
      </c>
      <c r="Q170" s="22" t="n">
        <v>0.00360420175186932</v>
      </c>
      <c r="R170" s="22" t="n">
        <v>0.000426653258726405</v>
      </c>
      <c r="S170" s="23" t="n">
        <f aca="false">IF(A170="","",SUM(H170:R170))</f>
        <v>0.0422592182576855</v>
      </c>
      <c r="T170" s="17" t="str">
        <f aca="false">IF(A170="","",IF(AND(MIN(H170:R170)&gt;=0,MAX(H170:R170)&lt;=1,S170&lt;=1),"OK","CHECK"))</f>
        <v>OK</v>
      </c>
      <c r="U170" s="17" t="str">
        <f aca="false">IF(A170="","", "LOSS-"&amp;A170&amp;"-L"&amp;TEXT(B170,"00")&amp;"-"&amp;TEXT(C170,"yyyymmdd")&amp;"-"&amp;D170&amp;"-"&amp;E170)</f>
        <v>LOSS-KG01-L21-20251124-PM-ORD-2025-00180</v>
      </c>
      <c r="V170" s="17" t="str">
        <f aca="false">IF(U170="","",IF(COUNTIF($U$5:$U$935,U170)=1,"OK","CHECK"))</f>
        <v>OK</v>
      </c>
      <c r="W170" s="17" t="str">
        <f aca="false">IF(A170="","",IF(AND(T170="OK",V170="OK",G170&gt;=0),"OK","CHECK"))</f>
        <v>OK</v>
      </c>
    </row>
    <row r="171" customFormat="false" ht="18" hidden="false" customHeight="true" outlineLevel="0" collapsed="false">
      <c r="A171" s="18" t="s">
        <v>39</v>
      </c>
      <c r="B171" s="19" t="n">
        <v>21</v>
      </c>
      <c r="C171" s="20" t="n">
        <v>45986</v>
      </c>
      <c r="D171" s="18" t="s">
        <v>40</v>
      </c>
      <c r="E171" s="18" t="s">
        <v>76</v>
      </c>
      <c r="F171" s="18" t="s">
        <v>42</v>
      </c>
      <c r="G171" s="21" t="n">
        <v>12211</v>
      </c>
      <c r="H171" s="22" t="n">
        <v>0.0156974663737535</v>
      </c>
      <c r="I171" s="22" t="n">
        <v>0.00190658566360206</v>
      </c>
      <c r="J171" s="22" t="n">
        <v>0.00769749978476058</v>
      </c>
      <c r="K171" s="22" t="n">
        <v>0.011547562151184</v>
      </c>
      <c r="L171" s="22" t="n">
        <v>0.0120826128892795</v>
      </c>
      <c r="M171" s="22" t="n">
        <v>0.0122830905032921</v>
      </c>
      <c r="N171" s="22" t="n">
        <v>0.00140449179378152</v>
      </c>
      <c r="O171" s="22" t="n">
        <v>0.00389625866563332</v>
      </c>
      <c r="P171" s="22" t="n">
        <v>0.00117004846304155</v>
      </c>
      <c r="Q171" s="22" t="n">
        <v>8.3332688627628E-008</v>
      </c>
      <c r="R171" s="22" t="n">
        <v>0.00665014180884191</v>
      </c>
      <c r="S171" s="23" t="n">
        <f aca="false">IF(A171="","",SUM(H171:R171))</f>
        <v>0.0743358414298587</v>
      </c>
      <c r="T171" s="17" t="str">
        <f aca="false">IF(A171="","",IF(AND(MIN(H171:R171)&gt;=0,MAX(H171:R171)&lt;=1,S171&lt;=1),"OK","CHECK"))</f>
        <v>OK</v>
      </c>
      <c r="U171" s="17" t="str">
        <f aca="false">IF(A171="","", "LOSS-"&amp;A171&amp;"-L"&amp;TEXT(B171,"00")&amp;"-"&amp;TEXT(C171,"yyyymmdd")&amp;"-"&amp;D171&amp;"-"&amp;E171)</f>
        <v>LOSS-KG01-L21-20251125-AM-ORD-2025-00180</v>
      </c>
      <c r="V171" s="17" t="str">
        <f aca="false">IF(U171="","",IF(COUNTIF($U$5:$U$935,U171)=1,"OK","CHECK"))</f>
        <v>OK</v>
      </c>
      <c r="W171" s="17" t="str">
        <f aca="false">IF(A171="","",IF(AND(T171="OK",V171="OK",G171&gt;=0),"OK","CHECK"))</f>
        <v>OK</v>
      </c>
    </row>
    <row r="172" customFormat="false" ht="18" hidden="false" customHeight="true" outlineLevel="0" collapsed="false">
      <c r="A172" s="18" t="s">
        <v>39</v>
      </c>
      <c r="B172" s="19" t="n">
        <v>21</v>
      </c>
      <c r="C172" s="20" t="n">
        <v>45986</v>
      </c>
      <c r="D172" s="18" t="s">
        <v>43</v>
      </c>
      <c r="E172" s="18" t="s">
        <v>76</v>
      </c>
      <c r="F172" s="18" t="s">
        <v>42</v>
      </c>
      <c r="G172" s="21" t="n">
        <v>6780</v>
      </c>
      <c r="H172" s="22" t="n">
        <v>0.000771581402380444</v>
      </c>
      <c r="I172" s="22" t="n">
        <v>0.0042430741739935</v>
      </c>
      <c r="J172" s="22" t="n">
        <v>0.00429890175430725</v>
      </c>
      <c r="K172" s="22" t="n">
        <v>0.00458124591748348</v>
      </c>
      <c r="L172" s="22" t="n">
        <v>0.00132351967818953</v>
      </c>
      <c r="M172" s="22" t="n">
        <v>0.00397496617953874</v>
      </c>
      <c r="N172" s="22" t="n">
        <v>0.00435744855309108</v>
      </c>
      <c r="O172" s="22" t="n">
        <v>0.00396674881666226</v>
      </c>
      <c r="P172" s="22" t="n">
        <v>0.00358406709261787</v>
      </c>
      <c r="Q172" s="22" t="n">
        <v>1.64630561309971E-005</v>
      </c>
      <c r="R172" s="22" t="n">
        <v>1.72829384242129E-007</v>
      </c>
      <c r="S172" s="23" t="n">
        <f aca="false">IF(A172="","",SUM(H172:R172))</f>
        <v>0.0311181894537794</v>
      </c>
      <c r="T172" s="17" t="str">
        <f aca="false">IF(A172="","",IF(AND(MIN(H172:R172)&gt;=0,MAX(H172:R172)&lt;=1,S172&lt;=1),"OK","CHECK"))</f>
        <v>OK</v>
      </c>
      <c r="U172" s="17" t="str">
        <f aca="false">IF(A172="","", "LOSS-"&amp;A172&amp;"-L"&amp;TEXT(B172,"00")&amp;"-"&amp;TEXT(C172,"yyyymmdd")&amp;"-"&amp;D172&amp;"-"&amp;E172)</f>
        <v>LOSS-KG01-L21-20251125-PM-ORD-2025-00180</v>
      </c>
      <c r="V172" s="17" t="str">
        <f aca="false">IF(U172="","",IF(COUNTIF($U$5:$U$935,U172)=1,"OK","CHECK"))</f>
        <v>OK</v>
      </c>
      <c r="W172" s="17" t="str">
        <f aca="false">IF(A172="","",IF(AND(T172="OK",V172="OK",G172&gt;=0),"OK","CHECK"))</f>
        <v>OK</v>
      </c>
    </row>
    <row r="173" customFormat="false" ht="18" hidden="false" customHeight="true" outlineLevel="0" collapsed="false">
      <c r="A173" s="18" t="s">
        <v>39</v>
      </c>
      <c r="B173" s="19" t="n">
        <v>21</v>
      </c>
      <c r="C173" s="20" t="n">
        <v>45987</v>
      </c>
      <c r="D173" s="18" t="s">
        <v>40</v>
      </c>
      <c r="E173" s="18" t="s">
        <v>76</v>
      </c>
      <c r="F173" s="18" t="s">
        <v>42</v>
      </c>
      <c r="G173" s="21" t="n">
        <v>4523</v>
      </c>
      <c r="H173" s="22" t="n">
        <v>0.00285562914904122</v>
      </c>
      <c r="I173" s="22" t="n">
        <v>0.00119942245136844</v>
      </c>
      <c r="J173" s="22" t="n">
        <v>0.000154744946924585</v>
      </c>
      <c r="K173" s="22" t="n">
        <v>0.00164802333787348</v>
      </c>
      <c r="L173" s="22" t="n">
        <v>0.00703256994142514</v>
      </c>
      <c r="M173" s="22" t="n">
        <v>0.00217829858145764</v>
      </c>
      <c r="N173" s="22" t="n">
        <v>1.0586478657249E-006</v>
      </c>
      <c r="O173" s="22" t="n">
        <v>0.00250079033682017</v>
      </c>
      <c r="P173" s="22" t="n">
        <v>0.000525832944700453</v>
      </c>
      <c r="Q173" s="22" t="n">
        <v>0.00377214238937648</v>
      </c>
      <c r="R173" s="22" t="n">
        <v>0.0108783740382785</v>
      </c>
      <c r="S173" s="23" t="n">
        <f aca="false">IF(A173="","",SUM(H173:R173))</f>
        <v>0.0327468867651318</v>
      </c>
      <c r="T173" s="17" t="str">
        <f aca="false">IF(A173="","",IF(AND(MIN(H173:R173)&gt;=0,MAX(H173:R173)&lt;=1,S173&lt;=1),"OK","CHECK"))</f>
        <v>OK</v>
      </c>
      <c r="U173" s="17" t="str">
        <f aca="false">IF(A173="","", "LOSS-"&amp;A173&amp;"-L"&amp;TEXT(B173,"00")&amp;"-"&amp;TEXT(C173,"yyyymmdd")&amp;"-"&amp;D173&amp;"-"&amp;E173)</f>
        <v>LOSS-KG01-L21-20251126-AM-ORD-2025-00180</v>
      </c>
      <c r="V173" s="17" t="str">
        <f aca="false">IF(U173="","",IF(COUNTIF($U$5:$U$935,U173)=1,"OK","CHECK"))</f>
        <v>OK</v>
      </c>
      <c r="W173" s="17" t="str">
        <f aca="false">IF(A173="","",IF(AND(T173="OK",V173="OK",G173&gt;=0),"OK","CHECK"))</f>
        <v>OK</v>
      </c>
    </row>
    <row r="174" customFormat="false" ht="18" hidden="false" customHeight="true" outlineLevel="0" collapsed="false">
      <c r="A174" s="18" t="s">
        <v>39</v>
      </c>
      <c r="B174" s="19" t="n">
        <v>21</v>
      </c>
      <c r="C174" s="20" t="n">
        <v>45987</v>
      </c>
      <c r="D174" s="18" t="s">
        <v>43</v>
      </c>
      <c r="E174" s="18" t="s">
        <v>77</v>
      </c>
      <c r="F174" s="18" t="s">
        <v>45</v>
      </c>
      <c r="G174" s="21" t="n">
        <v>6445</v>
      </c>
      <c r="H174" s="22" t="n">
        <v>0.00474746255545929</v>
      </c>
      <c r="I174" s="22" t="n">
        <v>0.0234648186504963</v>
      </c>
      <c r="J174" s="22" t="n">
        <v>1.34395506140588E-006</v>
      </c>
      <c r="K174" s="22" t="n">
        <v>0.0166621083871936</v>
      </c>
      <c r="L174" s="22" t="n">
        <v>0.00176084009627916</v>
      </c>
      <c r="M174" s="22" t="n">
        <v>0.00623530653889999</v>
      </c>
      <c r="N174" s="22" t="n">
        <v>0.00394306078721709</v>
      </c>
      <c r="O174" s="22" t="n">
        <v>0.00373901030135051</v>
      </c>
      <c r="P174" s="22" t="n">
        <v>0.0224021575381657</v>
      </c>
      <c r="Q174" s="22" t="n">
        <v>0.00809829754493848</v>
      </c>
      <c r="R174" s="22" t="n">
        <v>0.00204376201611771</v>
      </c>
      <c r="S174" s="23" t="n">
        <f aca="false">IF(A174="","",SUM(H174:R174))</f>
        <v>0.0930981683711792</v>
      </c>
      <c r="T174" s="17" t="str">
        <f aca="false">IF(A174="","",IF(AND(MIN(H174:R174)&gt;=0,MAX(H174:R174)&lt;=1,S174&lt;=1),"OK","CHECK"))</f>
        <v>OK</v>
      </c>
      <c r="U174" s="17" t="str">
        <f aca="false">IF(A174="","", "LOSS-"&amp;A174&amp;"-L"&amp;TEXT(B174,"00")&amp;"-"&amp;TEXT(C174,"yyyymmdd")&amp;"-"&amp;D174&amp;"-"&amp;E174)</f>
        <v>LOSS-KG01-L21-20251126-PM-ORD-2025-00181</v>
      </c>
      <c r="V174" s="17" t="str">
        <f aca="false">IF(U174="","",IF(COUNTIF($U$5:$U$935,U174)=1,"OK","CHECK"))</f>
        <v>OK</v>
      </c>
      <c r="W174" s="17" t="str">
        <f aca="false">IF(A174="","",IF(AND(T174="OK",V174="OK",G174&gt;=0),"OK","CHECK"))</f>
        <v>OK</v>
      </c>
    </row>
    <row r="175" customFormat="false" ht="18" hidden="false" customHeight="true" outlineLevel="0" collapsed="false">
      <c r="A175" s="18" t="s">
        <v>39</v>
      </c>
      <c r="B175" s="19" t="n">
        <v>21</v>
      </c>
      <c r="C175" s="20" t="n">
        <v>45988</v>
      </c>
      <c r="D175" s="18" t="s">
        <v>40</v>
      </c>
      <c r="E175" s="18" t="s">
        <v>77</v>
      </c>
      <c r="F175" s="18" t="s">
        <v>42</v>
      </c>
      <c r="G175" s="21" t="n">
        <v>17045</v>
      </c>
      <c r="H175" s="22" t="n">
        <v>0.0220246650537416</v>
      </c>
      <c r="I175" s="22" t="n">
        <v>0.00969103958636342</v>
      </c>
      <c r="J175" s="22" t="n">
        <v>0.00434337180492094</v>
      </c>
      <c r="K175" s="22" t="n">
        <v>0.000440219200381616</v>
      </c>
      <c r="L175" s="22" t="n">
        <v>0.0125585532248474</v>
      </c>
      <c r="M175" s="22" t="n">
        <v>7.59586898734834E-007</v>
      </c>
      <c r="N175" s="22" t="n">
        <v>0.0175663115849609</v>
      </c>
      <c r="O175" s="22" t="n">
        <v>0.0113175847492898</v>
      </c>
      <c r="P175" s="22" t="n">
        <v>0.000275561235708376</v>
      </c>
      <c r="Q175" s="22" t="n">
        <v>0.0018263191720534</v>
      </c>
      <c r="R175" s="22" t="n">
        <v>0.000402093939969175</v>
      </c>
      <c r="S175" s="23" t="n">
        <f aca="false">IF(A175="","",SUM(H175:R175))</f>
        <v>0.0804464791391354</v>
      </c>
      <c r="T175" s="17" t="str">
        <f aca="false">IF(A175="","",IF(AND(MIN(H175:R175)&gt;=0,MAX(H175:R175)&lt;=1,S175&lt;=1),"OK","CHECK"))</f>
        <v>OK</v>
      </c>
      <c r="U175" s="17" t="str">
        <f aca="false">IF(A175="","", "LOSS-"&amp;A175&amp;"-L"&amp;TEXT(B175,"00")&amp;"-"&amp;TEXT(C175,"yyyymmdd")&amp;"-"&amp;D175&amp;"-"&amp;E175)</f>
        <v>LOSS-KG01-L21-20251127-AM-ORD-2025-00181</v>
      </c>
      <c r="V175" s="17" t="str">
        <f aca="false">IF(U175="","",IF(COUNTIF($U$5:$U$935,U175)=1,"OK","CHECK"))</f>
        <v>OK</v>
      </c>
      <c r="W175" s="17" t="str">
        <f aca="false">IF(A175="","",IF(AND(T175="OK",V175="OK",G175&gt;=0),"OK","CHECK"))</f>
        <v>OK</v>
      </c>
    </row>
    <row r="176" customFormat="false" ht="18" hidden="false" customHeight="true" outlineLevel="0" collapsed="false">
      <c r="A176" s="18" t="s">
        <v>39</v>
      </c>
      <c r="B176" s="19" t="n">
        <v>21</v>
      </c>
      <c r="C176" s="20" t="n">
        <v>45988</v>
      </c>
      <c r="D176" s="18" t="s">
        <v>43</v>
      </c>
      <c r="E176" s="18" t="s">
        <v>77</v>
      </c>
      <c r="F176" s="18" t="s">
        <v>42</v>
      </c>
      <c r="G176" s="21" t="n">
        <v>9067</v>
      </c>
      <c r="H176" s="22" t="n">
        <v>0.00237334478880737</v>
      </c>
      <c r="I176" s="22" t="n">
        <v>0.0014685802322319</v>
      </c>
      <c r="J176" s="22" t="n">
        <v>1.33732060635417E-005</v>
      </c>
      <c r="K176" s="22" t="n">
        <v>0.0059415140664544</v>
      </c>
      <c r="L176" s="22" t="n">
        <v>0.0120404454091213</v>
      </c>
      <c r="M176" s="22" t="n">
        <v>0.0123296725189702</v>
      </c>
      <c r="N176" s="22" t="n">
        <v>0.0129337846099034</v>
      </c>
      <c r="O176" s="22" t="n">
        <v>0.000188911421555349</v>
      </c>
      <c r="P176" s="22" t="n">
        <v>0.00320198866884969</v>
      </c>
      <c r="Q176" s="22" t="n">
        <v>0.00328766374205109</v>
      </c>
      <c r="R176" s="22" t="n">
        <v>0.00622178013927925</v>
      </c>
      <c r="S176" s="23" t="n">
        <f aca="false">IF(A176="","",SUM(H176:R176))</f>
        <v>0.0600010588032875</v>
      </c>
      <c r="T176" s="17" t="str">
        <f aca="false">IF(A176="","",IF(AND(MIN(H176:R176)&gt;=0,MAX(H176:R176)&lt;=1,S176&lt;=1),"OK","CHECK"))</f>
        <v>OK</v>
      </c>
      <c r="U176" s="17" t="str">
        <f aca="false">IF(A176="","", "LOSS-"&amp;A176&amp;"-L"&amp;TEXT(B176,"00")&amp;"-"&amp;TEXT(C176,"yyyymmdd")&amp;"-"&amp;D176&amp;"-"&amp;E176)</f>
        <v>LOSS-KG01-L21-20251127-PM-ORD-2025-00181</v>
      </c>
      <c r="V176" s="17" t="str">
        <f aca="false">IF(U176="","",IF(COUNTIF($U$5:$U$935,U176)=1,"OK","CHECK"))</f>
        <v>OK</v>
      </c>
      <c r="W176" s="17" t="str">
        <f aca="false">IF(A176="","",IF(AND(T176="OK",V176="OK",G176&gt;=0),"OK","CHECK"))</f>
        <v>OK</v>
      </c>
    </row>
    <row r="177" customFormat="false" ht="18" hidden="false" customHeight="true" outlineLevel="0" collapsed="false">
      <c r="A177" s="18" t="s">
        <v>39</v>
      </c>
      <c r="B177" s="19" t="n">
        <v>21</v>
      </c>
      <c r="C177" s="20" t="n">
        <v>45989</v>
      </c>
      <c r="D177" s="18" t="s">
        <v>40</v>
      </c>
      <c r="E177" s="18" t="s">
        <v>77</v>
      </c>
      <c r="F177" s="18" t="s">
        <v>42</v>
      </c>
      <c r="G177" s="21" t="n">
        <v>6856</v>
      </c>
      <c r="H177" s="22" t="n">
        <v>0.000106811061381799</v>
      </c>
      <c r="I177" s="22" t="n">
        <v>0.00371047520713872</v>
      </c>
      <c r="J177" s="22" t="n">
        <v>0.00400507483023911</v>
      </c>
      <c r="K177" s="22" t="n">
        <v>0.00105171099526086</v>
      </c>
      <c r="L177" s="22" t="n">
        <v>0.00346666927572463</v>
      </c>
      <c r="M177" s="22" t="n">
        <v>0.00362016582782453</v>
      </c>
      <c r="N177" s="22" t="n">
        <v>0.00448359540390544</v>
      </c>
      <c r="O177" s="22" t="n">
        <v>0.000113593429031139</v>
      </c>
      <c r="P177" s="22" t="n">
        <v>0.00603233210767941</v>
      </c>
      <c r="Q177" s="22" t="n">
        <v>0.00413311601665833</v>
      </c>
      <c r="R177" s="22" t="n">
        <v>0.000104625669881523</v>
      </c>
      <c r="S177" s="23" t="n">
        <f aca="false">IF(A177="","",SUM(H177:R177))</f>
        <v>0.0308281698247255</v>
      </c>
      <c r="T177" s="17" t="str">
        <f aca="false">IF(A177="","",IF(AND(MIN(H177:R177)&gt;=0,MAX(H177:R177)&lt;=1,S177&lt;=1),"OK","CHECK"))</f>
        <v>OK</v>
      </c>
      <c r="U177" s="17" t="str">
        <f aca="false">IF(A177="","", "LOSS-"&amp;A177&amp;"-L"&amp;TEXT(B177,"00")&amp;"-"&amp;TEXT(C177,"yyyymmdd")&amp;"-"&amp;D177&amp;"-"&amp;E177)</f>
        <v>LOSS-KG01-L21-20251128-AM-ORD-2025-00181</v>
      </c>
      <c r="V177" s="17" t="str">
        <f aca="false">IF(U177="","",IF(COUNTIF($U$5:$U$935,U177)=1,"OK","CHECK"))</f>
        <v>OK</v>
      </c>
      <c r="W177" s="17" t="str">
        <f aca="false">IF(A177="","",IF(AND(T177="OK",V177="OK",G177&gt;=0),"OK","CHECK"))</f>
        <v>OK</v>
      </c>
    </row>
    <row r="178" customFormat="false" ht="18" hidden="false" customHeight="true" outlineLevel="0" collapsed="false">
      <c r="A178" s="18" t="s">
        <v>39</v>
      </c>
      <c r="B178" s="19" t="n">
        <v>21</v>
      </c>
      <c r="C178" s="20" t="n">
        <v>45989</v>
      </c>
      <c r="D178" s="18" t="s">
        <v>43</v>
      </c>
      <c r="E178" s="18" t="s">
        <v>77</v>
      </c>
      <c r="F178" s="18" t="s">
        <v>42</v>
      </c>
      <c r="G178" s="21" t="n">
        <v>12396</v>
      </c>
      <c r="H178" s="22" t="n">
        <v>0.00324797533347521</v>
      </c>
      <c r="I178" s="22" t="n">
        <v>5.10964026040466E-006</v>
      </c>
      <c r="J178" s="22" t="n">
        <v>0.0128487034094576</v>
      </c>
      <c r="K178" s="22" t="n">
        <v>7.42785397657477E-005</v>
      </c>
      <c r="L178" s="22" t="n">
        <v>0.0188875573194064</v>
      </c>
      <c r="M178" s="22" t="n">
        <v>0.0050635087286025</v>
      </c>
      <c r="N178" s="22" t="n">
        <v>0.00977837022941678</v>
      </c>
      <c r="O178" s="22" t="n">
        <v>1.76808267109615E-006</v>
      </c>
      <c r="P178" s="22" t="n">
        <v>0.00632445603261661</v>
      </c>
      <c r="Q178" s="22" t="n">
        <v>0.00218462776884693</v>
      </c>
      <c r="R178" s="22" t="n">
        <v>0.000187201029945876</v>
      </c>
      <c r="S178" s="23" t="n">
        <f aca="false">IF(A178="","",SUM(H178:R178))</f>
        <v>0.0586035561144652</v>
      </c>
      <c r="T178" s="17" t="str">
        <f aca="false">IF(A178="","",IF(AND(MIN(H178:R178)&gt;=0,MAX(H178:R178)&lt;=1,S178&lt;=1),"OK","CHECK"))</f>
        <v>OK</v>
      </c>
      <c r="U178" s="17" t="str">
        <f aca="false">IF(A178="","", "LOSS-"&amp;A178&amp;"-L"&amp;TEXT(B178,"00")&amp;"-"&amp;TEXT(C178,"yyyymmdd")&amp;"-"&amp;D178&amp;"-"&amp;E178)</f>
        <v>LOSS-KG01-L21-20251128-PM-ORD-2025-00181</v>
      </c>
      <c r="V178" s="17" t="str">
        <f aca="false">IF(U178="","",IF(COUNTIF($U$5:$U$935,U178)=1,"OK","CHECK"))</f>
        <v>OK</v>
      </c>
      <c r="W178" s="17" t="str">
        <f aca="false">IF(A178="","",IF(AND(T178="OK",V178="OK",G178&gt;=0),"OK","CHECK"))</f>
        <v>OK</v>
      </c>
    </row>
    <row r="179" customFormat="false" ht="18" hidden="false" customHeight="true" outlineLevel="0" collapsed="false">
      <c r="A179" s="18" t="s">
        <v>39</v>
      </c>
      <c r="B179" s="19" t="n">
        <v>21</v>
      </c>
      <c r="C179" s="20" t="n">
        <v>45990</v>
      </c>
      <c r="D179" s="18" t="s">
        <v>40</v>
      </c>
      <c r="E179" s="18" t="s">
        <v>77</v>
      </c>
      <c r="F179" s="18" t="s">
        <v>42</v>
      </c>
      <c r="G179" s="21" t="n">
        <v>15350</v>
      </c>
      <c r="H179" s="22" t="n">
        <v>0.00379947880468168</v>
      </c>
      <c r="I179" s="22" t="n">
        <v>0.00787661911230685</v>
      </c>
      <c r="J179" s="22" t="n">
        <v>0.0109814057104678</v>
      </c>
      <c r="K179" s="22" t="n">
        <v>0.000721008766523017</v>
      </c>
      <c r="L179" s="22" t="n">
        <v>0.00163210631617142</v>
      </c>
      <c r="M179" s="22" t="n">
        <v>0.000273182842980722</v>
      </c>
      <c r="N179" s="22" t="n">
        <v>0.0014340665169484</v>
      </c>
      <c r="O179" s="22" t="n">
        <v>0.0101458394626129</v>
      </c>
      <c r="P179" s="22" t="n">
        <v>0.00916824223961014</v>
      </c>
      <c r="Q179" s="22" t="n">
        <v>0.00380314658245841</v>
      </c>
      <c r="R179" s="22" t="n">
        <v>0.00463731966545206</v>
      </c>
      <c r="S179" s="23" t="n">
        <f aca="false">IF(A179="","",SUM(H179:R179))</f>
        <v>0.0544724160202134</v>
      </c>
      <c r="T179" s="17" t="str">
        <f aca="false">IF(A179="","",IF(AND(MIN(H179:R179)&gt;=0,MAX(H179:R179)&lt;=1,S179&lt;=1),"OK","CHECK"))</f>
        <v>OK</v>
      </c>
      <c r="U179" s="17" t="str">
        <f aca="false">IF(A179="","", "LOSS-"&amp;A179&amp;"-L"&amp;TEXT(B179,"00")&amp;"-"&amp;TEXT(C179,"yyyymmdd")&amp;"-"&amp;D179&amp;"-"&amp;E179)</f>
        <v>LOSS-KG01-L21-20251129-AM-ORD-2025-00181</v>
      </c>
      <c r="V179" s="17" t="str">
        <f aca="false">IF(U179="","",IF(COUNTIF($U$5:$U$935,U179)=1,"OK","CHECK"))</f>
        <v>OK</v>
      </c>
      <c r="W179" s="17" t="str">
        <f aca="false">IF(A179="","",IF(AND(T179="OK",V179="OK",G179&gt;=0),"OK","CHECK"))</f>
        <v>OK</v>
      </c>
    </row>
    <row r="180" customFormat="false" ht="18" hidden="false" customHeight="true" outlineLevel="0" collapsed="false">
      <c r="A180" s="18" t="s">
        <v>39</v>
      </c>
      <c r="B180" s="19" t="n">
        <v>21</v>
      </c>
      <c r="C180" s="20" t="n">
        <v>45990</v>
      </c>
      <c r="D180" s="18" t="s">
        <v>43</v>
      </c>
      <c r="E180" s="18" t="s">
        <v>77</v>
      </c>
      <c r="F180" s="18" t="s">
        <v>42</v>
      </c>
      <c r="G180" s="21" t="n">
        <v>17928</v>
      </c>
      <c r="H180" s="22" t="n">
        <v>0.0126620387157135</v>
      </c>
      <c r="I180" s="22" t="n">
        <v>0.000219541031609409</v>
      </c>
      <c r="J180" s="22" t="n">
        <v>0.0110276547736525</v>
      </c>
      <c r="K180" s="22" t="n">
        <v>0.00771825975331941</v>
      </c>
      <c r="L180" s="22" t="n">
        <v>0.000735690704438718</v>
      </c>
      <c r="M180" s="22" t="n">
        <v>0.0151041501410196</v>
      </c>
      <c r="N180" s="22" t="n">
        <v>0.00817463375347922</v>
      </c>
      <c r="O180" s="22" t="n">
        <v>0.000457160365142766</v>
      </c>
      <c r="P180" s="22" t="n">
        <v>0.000299908299650339</v>
      </c>
      <c r="Q180" s="22" t="n">
        <v>0.00332809765906677</v>
      </c>
      <c r="R180" s="22" t="n">
        <v>0.00155008887082942</v>
      </c>
      <c r="S180" s="23" t="n">
        <f aca="false">IF(A180="","",SUM(H180:R180))</f>
        <v>0.0612772240679217</v>
      </c>
      <c r="T180" s="17" t="str">
        <f aca="false">IF(A180="","",IF(AND(MIN(H180:R180)&gt;=0,MAX(H180:R180)&lt;=1,S180&lt;=1),"OK","CHECK"))</f>
        <v>OK</v>
      </c>
      <c r="U180" s="17" t="str">
        <f aca="false">IF(A180="","", "LOSS-"&amp;A180&amp;"-L"&amp;TEXT(B180,"00")&amp;"-"&amp;TEXT(C180,"yyyymmdd")&amp;"-"&amp;D180&amp;"-"&amp;E180)</f>
        <v>LOSS-KG01-L21-20251129-PM-ORD-2025-00181</v>
      </c>
      <c r="V180" s="17" t="str">
        <f aca="false">IF(U180="","",IF(COUNTIF($U$5:$U$935,U180)=1,"OK","CHECK"))</f>
        <v>OK</v>
      </c>
      <c r="W180" s="17" t="str">
        <f aca="false">IF(A180="","",IF(AND(T180="OK",V180="OK",G180&gt;=0),"OK","CHECK"))</f>
        <v>OK</v>
      </c>
    </row>
    <row r="181" customFormat="false" ht="18" hidden="false" customHeight="true" outlineLevel="0" collapsed="false">
      <c r="A181" s="18" t="s">
        <v>39</v>
      </c>
      <c r="B181" s="19" t="n">
        <v>21</v>
      </c>
      <c r="C181" s="20" t="n">
        <v>45991</v>
      </c>
      <c r="D181" s="18" t="s">
        <v>40</v>
      </c>
      <c r="E181" s="18" t="s">
        <v>77</v>
      </c>
      <c r="F181" s="18" t="s">
        <v>42</v>
      </c>
      <c r="G181" s="21" t="n">
        <v>6621</v>
      </c>
      <c r="H181" s="22" t="n">
        <v>0.000458460094132862</v>
      </c>
      <c r="I181" s="22" t="n">
        <v>0.000265366405895612</v>
      </c>
      <c r="J181" s="22" t="n">
        <v>3.87208161876521E-006</v>
      </c>
      <c r="K181" s="22" t="n">
        <v>0.000494774455573701</v>
      </c>
      <c r="L181" s="22" t="n">
        <v>0.00927419733093529</v>
      </c>
      <c r="M181" s="22" t="n">
        <v>0.00179584909168831</v>
      </c>
      <c r="N181" s="22" t="n">
        <v>0.00342111659619127</v>
      </c>
      <c r="O181" s="22" t="n">
        <v>0.00608541398284105</v>
      </c>
      <c r="P181" s="22" t="n">
        <v>0.0119250250040077</v>
      </c>
      <c r="Q181" s="22" t="n">
        <v>0.000610552550178635</v>
      </c>
      <c r="R181" s="22" t="n">
        <v>0.00225356869340901</v>
      </c>
      <c r="S181" s="23" t="n">
        <f aca="false">IF(A181="","",SUM(H181:R181))</f>
        <v>0.0365881962864722</v>
      </c>
      <c r="T181" s="17" t="str">
        <f aca="false">IF(A181="","",IF(AND(MIN(H181:R181)&gt;=0,MAX(H181:R181)&lt;=1,S181&lt;=1),"OK","CHECK"))</f>
        <v>OK</v>
      </c>
      <c r="U181" s="17" t="str">
        <f aca="false">IF(A181="","", "LOSS-"&amp;A181&amp;"-L"&amp;TEXT(B181,"00")&amp;"-"&amp;TEXT(C181,"yyyymmdd")&amp;"-"&amp;D181&amp;"-"&amp;E181)</f>
        <v>LOSS-KG01-L21-20251130-AM-ORD-2025-00181</v>
      </c>
      <c r="V181" s="17" t="str">
        <f aca="false">IF(U181="","",IF(COUNTIF($U$5:$U$935,U181)=1,"OK","CHECK"))</f>
        <v>OK</v>
      </c>
      <c r="W181" s="17" t="str">
        <f aca="false">IF(A181="","",IF(AND(T181="OK",V181="OK",G181&gt;=0),"OK","CHECK"))</f>
        <v>OK</v>
      </c>
    </row>
    <row r="182" customFormat="false" ht="18" hidden="false" customHeight="true" outlineLevel="0" collapsed="false">
      <c r="A182" s="18" t="s">
        <v>39</v>
      </c>
      <c r="B182" s="19" t="n">
        <v>21</v>
      </c>
      <c r="C182" s="20" t="n">
        <v>45991</v>
      </c>
      <c r="D182" s="18" t="s">
        <v>43</v>
      </c>
      <c r="E182" s="18" t="s">
        <v>77</v>
      </c>
      <c r="F182" s="18" t="s">
        <v>42</v>
      </c>
      <c r="G182" s="21" t="n">
        <v>11674</v>
      </c>
      <c r="H182" s="22" t="n">
        <v>4.45635290275858E-005</v>
      </c>
      <c r="I182" s="22" t="n">
        <v>0.00215952500335927</v>
      </c>
      <c r="J182" s="22" t="n">
        <v>3.15927405712729E-005</v>
      </c>
      <c r="K182" s="22" t="n">
        <v>0.000143408044100676</v>
      </c>
      <c r="L182" s="22" t="n">
        <v>0.00156511091053277</v>
      </c>
      <c r="M182" s="22" t="n">
        <v>0.010528744501355</v>
      </c>
      <c r="N182" s="22" t="n">
        <v>0.00599526875508057</v>
      </c>
      <c r="O182" s="22" t="n">
        <v>0.000722167541143002</v>
      </c>
      <c r="P182" s="22" t="n">
        <v>0.00948644556509979</v>
      </c>
      <c r="Q182" s="22" t="n">
        <v>0.000391120838961823</v>
      </c>
      <c r="R182" s="22" t="n">
        <v>3.40069290264866E-009</v>
      </c>
      <c r="S182" s="23" t="n">
        <f aca="false">IF(A182="","",SUM(H182:R182))</f>
        <v>0.0310679508299247</v>
      </c>
      <c r="T182" s="17" t="str">
        <f aca="false">IF(A182="","",IF(AND(MIN(H182:R182)&gt;=0,MAX(H182:R182)&lt;=1,S182&lt;=1),"OK","CHECK"))</f>
        <v>OK</v>
      </c>
      <c r="U182" s="17" t="str">
        <f aca="false">IF(A182="","", "LOSS-"&amp;A182&amp;"-L"&amp;TEXT(B182,"00")&amp;"-"&amp;TEXT(C182,"yyyymmdd")&amp;"-"&amp;D182&amp;"-"&amp;E182)</f>
        <v>LOSS-KG01-L21-20251130-PM-ORD-2025-00181</v>
      </c>
      <c r="V182" s="17" t="str">
        <f aca="false">IF(U182="","",IF(COUNTIF($U$5:$U$935,U182)=1,"OK","CHECK"))</f>
        <v>OK</v>
      </c>
      <c r="W182" s="17" t="str">
        <f aca="false">IF(A182="","",IF(AND(T182="OK",V182="OK",G182&gt;=0),"OK","CHECK"))</f>
        <v>OK</v>
      </c>
    </row>
    <row r="183" customFormat="false" ht="18" hidden="false" customHeight="true" outlineLevel="0" collapsed="false">
      <c r="A183" s="18" t="s">
        <v>39</v>
      </c>
      <c r="B183" s="19" t="n">
        <v>21</v>
      </c>
      <c r="C183" s="20" t="n">
        <v>45992</v>
      </c>
      <c r="D183" s="18" t="s">
        <v>40</v>
      </c>
      <c r="E183" s="18" t="s">
        <v>78</v>
      </c>
      <c r="F183" s="18" t="s">
        <v>45</v>
      </c>
      <c r="G183" s="21" t="n">
        <v>585</v>
      </c>
      <c r="H183" s="22" t="n">
        <v>0.00712334428900709</v>
      </c>
      <c r="I183" s="22" t="n">
        <v>0.00168953968732153</v>
      </c>
      <c r="J183" s="22" t="n">
        <v>0.00132948842398139</v>
      </c>
      <c r="K183" s="22" t="n">
        <v>0.00128185708141906</v>
      </c>
      <c r="L183" s="22" t="n">
        <v>0.00600789338830385</v>
      </c>
      <c r="M183" s="22" t="n">
        <v>0.00303247698414103</v>
      </c>
      <c r="N183" s="22" t="n">
        <v>0.00103928970664447</v>
      </c>
      <c r="O183" s="22" t="n">
        <v>0.00394183775546957</v>
      </c>
      <c r="P183" s="22" t="n">
        <v>0.00182496995895656</v>
      </c>
      <c r="Q183" s="22" t="n">
        <v>0.000203143045592167</v>
      </c>
      <c r="R183" s="22" t="n">
        <v>0.00730825136118957</v>
      </c>
      <c r="S183" s="23" t="n">
        <f aca="false">IF(A183="","",SUM(H183:R183))</f>
        <v>0.0347820916820263</v>
      </c>
      <c r="T183" s="17" t="str">
        <f aca="false">IF(A183="","",IF(AND(MIN(H183:R183)&gt;=0,MAX(H183:R183)&lt;=1,S183&lt;=1),"OK","CHECK"))</f>
        <v>OK</v>
      </c>
      <c r="U183" s="17" t="str">
        <f aca="false">IF(A183="","", "LOSS-"&amp;A183&amp;"-L"&amp;TEXT(B183,"00")&amp;"-"&amp;TEXT(C183,"yyyymmdd")&amp;"-"&amp;D183&amp;"-"&amp;E183)</f>
        <v>LOSS-KG01-L21-20251201-AM-ORD-2025-00182</v>
      </c>
      <c r="V183" s="17" t="str">
        <f aca="false">IF(U183="","",IF(COUNTIF($U$5:$U$935,U183)=1,"OK","CHECK"))</f>
        <v>OK</v>
      </c>
      <c r="W183" s="17" t="str">
        <f aca="false">IF(A183="","",IF(AND(T183="OK",V183="OK",G183&gt;=0),"OK","CHECK"))</f>
        <v>OK</v>
      </c>
    </row>
    <row r="184" customFormat="false" ht="18" hidden="false" customHeight="true" outlineLevel="0" collapsed="false">
      <c r="A184" s="18" t="s">
        <v>39</v>
      </c>
      <c r="B184" s="19" t="n">
        <v>21</v>
      </c>
      <c r="C184" s="20" t="n">
        <v>45992</v>
      </c>
      <c r="D184" s="18" t="s">
        <v>43</v>
      </c>
      <c r="E184" s="18" t="s">
        <v>78</v>
      </c>
      <c r="F184" s="18" t="s">
        <v>42</v>
      </c>
      <c r="G184" s="21" t="n">
        <v>9682</v>
      </c>
      <c r="H184" s="22" t="n">
        <v>0.00586467447890412</v>
      </c>
      <c r="I184" s="22" t="n">
        <v>0.00746372710519724</v>
      </c>
      <c r="J184" s="22" t="n">
        <v>0.000213498184678983</v>
      </c>
      <c r="K184" s="22" t="n">
        <v>0.00163466030835506</v>
      </c>
      <c r="L184" s="22" t="n">
        <v>0.00825010134311714</v>
      </c>
      <c r="M184" s="22" t="n">
        <v>0.00693984233515838</v>
      </c>
      <c r="N184" s="22" t="n">
        <v>0.00436064663069219</v>
      </c>
      <c r="O184" s="22" t="n">
        <v>0.00459781212409083</v>
      </c>
      <c r="P184" s="22" t="n">
        <v>0.000713715884420897</v>
      </c>
      <c r="Q184" s="22" t="n">
        <v>0.000957420310366687</v>
      </c>
      <c r="R184" s="22" t="n">
        <v>0.00429302760125569</v>
      </c>
      <c r="S184" s="23" t="n">
        <f aca="false">IF(A184="","",SUM(H184:R184))</f>
        <v>0.0452891263062372</v>
      </c>
      <c r="T184" s="17" t="str">
        <f aca="false">IF(A184="","",IF(AND(MIN(H184:R184)&gt;=0,MAX(H184:R184)&lt;=1,S184&lt;=1),"OK","CHECK"))</f>
        <v>OK</v>
      </c>
      <c r="U184" s="17" t="str">
        <f aca="false">IF(A184="","", "LOSS-"&amp;A184&amp;"-L"&amp;TEXT(B184,"00")&amp;"-"&amp;TEXT(C184,"yyyymmdd")&amp;"-"&amp;D184&amp;"-"&amp;E184)</f>
        <v>LOSS-KG01-L21-20251201-PM-ORD-2025-00182</v>
      </c>
      <c r="V184" s="17" t="str">
        <f aca="false">IF(U184="","",IF(COUNTIF($U$5:$U$935,U184)=1,"OK","CHECK"))</f>
        <v>OK</v>
      </c>
      <c r="W184" s="17" t="str">
        <f aca="false">IF(A184="","",IF(AND(T184="OK",V184="OK",G184&gt;=0),"OK","CHECK"))</f>
        <v>OK</v>
      </c>
    </row>
    <row r="185" customFormat="false" ht="18" hidden="false" customHeight="true" outlineLevel="0" collapsed="false">
      <c r="A185" s="18" t="s">
        <v>39</v>
      </c>
      <c r="B185" s="19" t="n">
        <v>21</v>
      </c>
      <c r="C185" s="20" t="n">
        <v>45993</v>
      </c>
      <c r="D185" s="18" t="s">
        <v>40</v>
      </c>
      <c r="E185" s="18" t="s">
        <v>78</v>
      </c>
      <c r="F185" s="18" t="s">
        <v>42</v>
      </c>
      <c r="G185" s="21" t="n">
        <v>18960</v>
      </c>
      <c r="H185" s="22" t="n">
        <v>0.000163097637705669</v>
      </c>
      <c r="I185" s="22" t="n">
        <v>0.000242496770972606</v>
      </c>
      <c r="J185" s="22" t="n">
        <v>0.00849525861125922</v>
      </c>
      <c r="K185" s="22" t="n">
        <v>0.00776353124402542</v>
      </c>
      <c r="L185" s="22" t="n">
        <v>3.60991023190331E-005</v>
      </c>
      <c r="M185" s="22" t="n">
        <v>0.0200979230897842</v>
      </c>
      <c r="N185" s="22" t="n">
        <v>0.0167513350326227</v>
      </c>
      <c r="O185" s="22" t="n">
        <v>0.0143213261271767</v>
      </c>
      <c r="P185" s="22" t="n">
        <v>0.000797797276693126</v>
      </c>
      <c r="Q185" s="22" t="n">
        <v>0.00425917545052308</v>
      </c>
      <c r="R185" s="22" t="n">
        <v>0.000208539133158602</v>
      </c>
      <c r="S185" s="23" t="n">
        <f aca="false">IF(A185="","",SUM(H185:R185))</f>
        <v>0.0731365794762404</v>
      </c>
      <c r="T185" s="17" t="str">
        <f aca="false">IF(A185="","",IF(AND(MIN(H185:R185)&gt;=0,MAX(H185:R185)&lt;=1,S185&lt;=1),"OK","CHECK"))</f>
        <v>OK</v>
      </c>
      <c r="U185" s="17" t="str">
        <f aca="false">IF(A185="","", "LOSS-"&amp;A185&amp;"-L"&amp;TEXT(B185,"00")&amp;"-"&amp;TEXT(C185,"yyyymmdd")&amp;"-"&amp;D185&amp;"-"&amp;E185)</f>
        <v>LOSS-KG01-L21-20251202-AM-ORD-2025-00182</v>
      </c>
      <c r="V185" s="17" t="str">
        <f aca="false">IF(U185="","",IF(COUNTIF($U$5:$U$935,U185)=1,"OK","CHECK"))</f>
        <v>OK</v>
      </c>
      <c r="W185" s="17" t="str">
        <f aca="false">IF(A185="","",IF(AND(T185="OK",V185="OK",G185&gt;=0),"OK","CHECK"))</f>
        <v>OK</v>
      </c>
    </row>
    <row r="186" customFormat="false" ht="18" hidden="false" customHeight="true" outlineLevel="0" collapsed="false">
      <c r="A186" s="18" t="s">
        <v>39</v>
      </c>
      <c r="B186" s="19" t="n">
        <v>21</v>
      </c>
      <c r="C186" s="20" t="n">
        <v>45993</v>
      </c>
      <c r="D186" s="18" t="s">
        <v>43</v>
      </c>
      <c r="E186" s="18" t="s">
        <v>78</v>
      </c>
      <c r="F186" s="18" t="s">
        <v>42</v>
      </c>
      <c r="G186" s="21" t="n">
        <v>12543</v>
      </c>
      <c r="H186" s="22" t="n">
        <v>0.0168382934206705</v>
      </c>
      <c r="I186" s="22" t="n">
        <v>0.00727377638448237</v>
      </c>
      <c r="J186" s="22" t="n">
        <v>0.00172532449280513</v>
      </c>
      <c r="K186" s="22" t="n">
        <v>0.00426859042824624</v>
      </c>
      <c r="L186" s="22" t="n">
        <v>0.0109930886419394</v>
      </c>
      <c r="M186" s="22" t="n">
        <v>0.0054041406588085</v>
      </c>
      <c r="N186" s="22" t="n">
        <v>0.000448286415509119</v>
      </c>
      <c r="O186" s="22" t="n">
        <v>0.000310200783047784</v>
      </c>
      <c r="P186" s="22" t="n">
        <v>0.00332015408854477</v>
      </c>
      <c r="Q186" s="22" t="n">
        <v>0.00961257621298158</v>
      </c>
      <c r="R186" s="22" t="n">
        <v>0.0150900686170153</v>
      </c>
      <c r="S186" s="23" t="n">
        <f aca="false">IF(A186="","",SUM(H186:R186))</f>
        <v>0.0752845001440507</v>
      </c>
      <c r="T186" s="17" t="str">
        <f aca="false">IF(A186="","",IF(AND(MIN(H186:R186)&gt;=0,MAX(H186:R186)&lt;=1,S186&lt;=1),"OK","CHECK"))</f>
        <v>OK</v>
      </c>
      <c r="U186" s="17" t="str">
        <f aca="false">IF(A186="","", "LOSS-"&amp;A186&amp;"-L"&amp;TEXT(B186,"00")&amp;"-"&amp;TEXT(C186,"yyyymmdd")&amp;"-"&amp;D186&amp;"-"&amp;E186)</f>
        <v>LOSS-KG01-L21-20251202-PM-ORD-2025-00182</v>
      </c>
      <c r="V186" s="17" t="str">
        <f aca="false">IF(U186="","",IF(COUNTIF($U$5:$U$935,U186)=1,"OK","CHECK"))</f>
        <v>OK</v>
      </c>
      <c r="W186" s="17" t="str">
        <f aca="false">IF(A186="","",IF(AND(T186="OK",V186="OK",G186&gt;=0),"OK","CHECK"))</f>
        <v>OK</v>
      </c>
    </row>
    <row r="187" customFormat="false" ht="18" hidden="false" customHeight="true" outlineLevel="0" collapsed="false">
      <c r="A187" s="18" t="s">
        <v>39</v>
      </c>
      <c r="B187" s="19" t="n">
        <v>21</v>
      </c>
      <c r="C187" s="20" t="n">
        <v>45994</v>
      </c>
      <c r="D187" s="18" t="s">
        <v>40</v>
      </c>
      <c r="E187" s="18" t="s">
        <v>78</v>
      </c>
      <c r="F187" s="18" t="s">
        <v>42</v>
      </c>
      <c r="G187" s="21" t="n">
        <v>3899</v>
      </c>
      <c r="H187" s="22" t="n">
        <v>0.00378449862659715</v>
      </c>
      <c r="I187" s="22" t="n">
        <v>0.00469839545059938</v>
      </c>
      <c r="J187" s="22" t="n">
        <v>0.00206077744156246</v>
      </c>
      <c r="K187" s="22" t="n">
        <v>0.000791820770872918</v>
      </c>
      <c r="L187" s="22" t="n">
        <v>0.000879243502540284</v>
      </c>
      <c r="M187" s="22" t="n">
        <v>0.00260383171966053</v>
      </c>
      <c r="N187" s="22" t="n">
        <v>9.05041942693822E-005</v>
      </c>
      <c r="O187" s="22" t="n">
        <v>0.00124836603519028</v>
      </c>
      <c r="P187" s="22" t="n">
        <v>0.00152999522287901</v>
      </c>
      <c r="Q187" s="22" t="n">
        <v>0.00180047748710004</v>
      </c>
      <c r="R187" s="22" t="n">
        <v>0.00595384561063968</v>
      </c>
      <c r="S187" s="23" t="n">
        <f aca="false">IF(A187="","",SUM(H187:R187))</f>
        <v>0.0254417560619111</v>
      </c>
      <c r="T187" s="17" t="str">
        <f aca="false">IF(A187="","",IF(AND(MIN(H187:R187)&gt;=0,MAX(H187:R187)&lt;=1,S187&lt;=1),"OK","CHECK"))</f>
        <v>OK</v>
      </c>
      <c r="U187" s="17" t="str">
        <f aca="false">IF(A187="","", "LOSS-"&amp;A187&amp;"-L"&amp;TEXT(B187,"00")&amp;"-"&amp;TEXT(C187,"yyyymmdd")&amp;"-"&amp;D187&amp;"-"&amp;E187)</f>
        <v>LOSS-KG01-L21-20251203-AM-ORD-2025-00182</v>
      </c>
      <c r="V187" s="17" t="str">
        <f aca="false">IF(U187="","",IF(COUNTIF($U$5:$U$935,U187)=1,"OK","CHECK"))</f>
        <v>OK</v>
      </c>
      <c r="W187" s="17" t="str">
        <f aca="false">IF(A187="","",IF(AND(T187="OK",V187="OK",G187&gt;=0),"OK","CHECK"))</f>
        <v>OK</v>
      </c>
    </row>
    <row r="188" customFormat="false" ht="18" hidden="false" customHeight="true" outlineLevel="0" collapsed="false">
      <c r="A188" s="18" t="s">
        <v>39</v>
      </c>
      <c r="B188" s="19" t="n">
        <v>21</v>
      </c>
      <c r="C188" s="20" t="n">
        <v>45994</v>
      </c>
      <c r="D188" s="18" t="s">
        <v>43</v>
      </c>
      <c r="E188" s="18" t="s">
        <v>78</v>
      </c>
      <c r="F188" s="18" t="s">
        <v>61</v>
      </c>
      <c r="G188" s="21" t="n">
        <v>7762</v>
      </c>
      <c r="H188" s="22" t="n">
        <v>0.00304310338210646</v>
      </c>
      <c r="I188" s="22" t="n">
        <v>0.000135576777818982</v>
      </c>
      <c r="J188" s="22" t="n">
        <v>0.000365647015722849</v>
      </c>
      <c r="K188" s="22" t="n">
        <v>0.00455386406847754</v>
      </c>
      <c r="L188" s="22" t="n">
        <v>0.00040818398922049</v>
      </c>
      <c r="M188" s="22" t="n">
        <v>0.00444453721266442</v>
      </c>
      <c r="N188" s="22" t="n">
        <v>1.79805335214933E-005</v>
      </c>
      <c r="O188" s="22" t="n">
        <v>0.00460093222892676</v>
      </c>
      <c r="P188" s="22" t="n">
        <v>0.000175982459557493</v>
      </c>
      <c r="Q188" s="22" t="n">
        <v>0.00322780838643582</v>
      </c>
      <c r="R188" s="22" t="n">
        <v>0.00119219057587104</v>
      </c>
      <c r="S188" s="23" t="n">
        <f aca="false">IF(A188="","",SUM(H188:R188))</f>
        <v>0.0221658066303234</v>
      </c>
      <c r="T188" s="17" t="str">
        <f aca="false">IF(A188="","",IF(AND(MIN(H188:R188)&gt;=0,MAX(H188:R188)&lt;=1,S188&lt;=1),"OK","CHECK"))</f>
        <v>OK</v>
      </c>
      <c r="U188" s="17" t="str">
        <f aca="false">IF(A188="","", "LOSS-"&amp;A188&amp;"-L"&amp;TEXT(B188,"00")&amp;"-"&amp;TEXT(C188,"yyyymmdd")&amp;"-"&amp;D188&amp;"-"&amp;E188)</f>
        <v>LOSS-KG01-L21-20251203-PM-ORD-2025-00182</v>
      </c>
      <c r="V188" s="17" t="str">
        <f aca="false">IF(U188="","",IF(COUNTIF($U$5:$U$935,U188)=1,"OK","CHECK"))</f>
        <v>OK</v>
      </c>
      <c r="W188" s="17" t="str">
        <f aca="false">IF(A188="","",IF(AND(T188="OK",V188="OK",G188&gt;=0),"OK","CHECK"))</f>
        <v>OK</v>
      </c>
    </row>
    <row r="189" customFormat="false" ht="18" hidden="false" customHeight="true" outlineLevel="0" collapsed="false">
      <c r="A189" s="18" t="s">
        <v>39</v>
      </c>
      <c r="B189" s="19" t="n">
        <v>21</v>
      </c>
      <c r="C189" s="20" t="n">
        <v>45995</v>
      </c>
      <c r="D189" s="18" t="s">
        <v>40</v>
      </c>
      <c r="E189" s="18" t="s">
        <v>78</v>
      </c>
      <c r="F189" s="18" t="s">
        <v>42</v>
      </c>
      <c r="G189" s="21" t="n">
        <v>4210</v>
      </c>
      <c r="H189" s="22" t="n">
        <v>0.00382536599107757</v>
      </c>
      <c r="I189" s="22" t="n">
        <v>0.00355748459750049</v>
      </c>
      <c r="J189" s="22" t="n">
        <v>7.58643688370068E-005</v>
      </c>
      <c r="K189" s="22" t="n">
        <v>0.00258538497477609</v>
      </c>
      <c r="L189" s="22" t="n">
        <v>0.00349939850864826</v>
      </c>
      <c r="M189" s="22" t="n">
        <v>0.0042689967187242</v>
      </c>
      <c r="N189" s="22" t="n">
        <v>0.00205476363082096</v>
      </c>
      <c r="O189" s="22" t="n">
        <v>0.00497476718636726</v>
      </c>
      <c r="P189" s="22" t="n">
        <v>0.000577706398390005</v>
      </c>
      <c r="Q189" s="22" t="n">
        <v>1.74912067454169E-007</v>
      </c>
      <c r="R189" s="22" t="n">
        <v>0.0044128591527</v>
      </c>
      <c r="S189" s="23" t="n">
        <f aca="false">IF(A189="","",SUM(H189:R189))</f>
        <v>0.0298327664399093</v>
      </c>
      <c r="T189" s="17" t="str">
        <f aca="false">IF(A189="","",IF(AND(MIN(H189:R189)&gt;=0,MAX(H189:R189)&lt;=1,S189&lt;=1),"OK","CHECK"))</f>
        <v>OK</v>
      </c>
      <c r="U189" s="17" t="str">
        <f aca="false">IF(A189="","", "LOSS-"&amp;A189&amp;"-L"&amp;TEXT(B189,"00")&amp;"-"&amp;TEXT(C189,"yyyymmdd")&amp;"-"&amp;D189&amp;"-"&amp;E189)</f>
        <v>LOSS-KG01-L21-20251204-AM-ORD-2025-00182</v>
      </c>
      <c r="V189" s="17" t="str">
        <f aca="false">IF(U189="","",IF(COUNTIF($U$5:$U$935,U189)=1,"OK","CHECK"))</f>
        <v>OK</v>
      </c>
      <c r="W189" s="17" t="str">
        <f aca="false">IF(A189="","",IF(AND(T189="OK",V189="OK",G189&gt;=0),"OK","CHECK"))</f>
        <v>OK</v>
      </c>
    </row>
    <row r="190" customFormat="false" ht="18" hidden="false" customHeight="true" outlineLevel="0" collapsed="false">
      <c r="A190" s="18" t="s">
        <v>39</v>
      </c>
      <c r="B190" s="19" t="n">
        <v>21</v>
      </c>
      <c r="C190" s="20" t="n">
        <v>45995</v>
      </c>
      <c r="D190" s="18" t="s">
        <v>43</v>
      </c>
      <c r="E190" s="18" t="s">
        <v>79</v>
      </c>
      <c r="F190" s="18" t="s">
        <v>45</v>
      </c>
      <c r="G190" s="21" t="n">
        <v>2595</v>
      </c>
      <c r="H190" s="22" t="n">
        <v>0.00392196928948485</v>
      </c>
      <c r="I190" s="22" t="n">
        <v>8.78400682109362E-007</v>
      </c>
      <c r="J190" s="22" t="n">
        <v>0.00964668844548884</v>
      </c>
      <c r="K190" s="22" t="n">
        <v>0.00294160302293655</v>
      </c>
      <c r="L190" s="22" t="n">
        <v>0.00283950285099319</v>
      </c>
      <c r="M190" s="22" t="n">
        <v>0.00580842997930748</v>
      </c>
      <c r="N190" s="22" t="n">
        <v>0.00074944553408455</v>
      </c>
      <c r="O190" s="22" t="n">
        <v>0.00812940459704504</v>
      </c>
      <c r="P190" s="22" t="n">
        <v>0.000982528899482416</v>
      </c>
      <c r="Q190" s="22" t="n">
        <v>0.00080655007092759</v>
      </c>
      <c r="R190" s="22" t="n">
        <v>0.000158687837901094</v>
      </c>
      <c r="S190" s="23" t="n">
        <f aca="false">IF(A190="","",SUM(H190:R190))</f>
        <v>0.0359856889283337</v>
      </c>
      <c r="T190" s="17" t="str">
        <f aca="false">IF(A190="","",IF(AND(MIN(H190:R190)&gt;=0,MAX(H190:R190)&lt;=1,S190&lt;=1),"OK","CHECK"))</f>
        <v>OK</v>
      </c>
      <c r="U190" s="17" t="str">
        <f aca="false">IF(A190="","", "LOSS-"&amp;A190&amp;"-L"&amp;TEXT(B190,"00")&amp;"-"&amp;TEXT(C190,"yyyymmdd")&amp;"-"&amp;D190&amp;"-"&amp;E190)</f>
        <v>LOSS-KG01-L21-20251204-PM-ORD-2025-00183</v>
      </c>
      <c r="V190" s="17" t="str">
        <f aca="false">IF(U190="","",IF(COUNTIF($U$5:$U$935,U190)=1,"OK","CHECK"))</f>
        <v>OK</v>
      </c>
      <c r="W190" s="17" t="str">
        <f aca="false">IF(A190="","",IF(AND(T190="OK",V190="OK",G190&gt;=0),"OK","CHECK"))</f>
        <v>OK</v>
      </c>
    </row>
    <row r="191" customFormat="false" ht="18" hidden="false" customHeight="true" outlineLevel="0" collapsed="false">
      <c r="A191" s="18" t="s">
        <v>39</v>
      </c>
      <c r="B191" s="19" t="n">
        <v>21</v>
      </c>
      <c r="C191" s="20" t="n">
        <v>45996</v>
      </c>
      <c r="D191" s="18" t="s">
        <v>40</v>
      </c>
      <c r="E191" s="18" t="s">
        <v>79</v>
      </c>
      <c r="F191" s="18" t="s">
        <v>42</v>
      </c>
      <c r="G191" s="21" t="n">
        <v>5345</v>
      </c>
      <c r="H191" s="22" t="n">
        <v>0.000522975701157437</v>
      </c>
      <c r="I191" s="22" t="n">
        <v>0.00296916982570313</v>
      </c>
      <c r="J191" s="22" t="n">
        <v>0.000888297672496805</v>
      </c>
      <c r="K191" s="22" t="n">
        <v>0.00426674638485809</v>
      </c>
      <c r="L191" s="22" t="n">
        <v>0.00925557284838869</v>
      </c>
      <c r="M191" s="22" t="n">
        <v>0.000804613950373898</v>
      </c>
      <c r="N191" s="22" t="n">
        <v>0.000184406200826337</v>
      </c>
      <c r="O191" s="22" t="n">
        <v>0.00795551676017429</v>
      </c>
      <c r="P191" s="22" t="n">
        <v>2.76828198474075E-005</v>
      </c>
      <c r="Q191" s="22" t="n">
        <v>0.010016873882541</v>
      </c>
      <c r="R191" s="22" t="n">
        <v>0.0102122753693125</v>
      </c>
      <c r="S191" s="23" t="n">
        <f aca="false">IF(A191="","",SUM(H191:R191))</f>
        <v>0.0471041314156796</v>
      </c>
      <c r="T191" s="17" t="str">
        <f aca="false">IF(A191="","",IF(AND(MIN(H191:R191)&gt;=0,MAX(H191:R191)&lt;=1,S191&lt;=1),"OK","CHECK"))</f>
        <v>OK</v>
      </c>
      <c r="U191" s="17" t="str">
        <f aca="false">IF(A191="","", "LOSS-"&amp;A191&amp;"-L"&amp;TEXT(B191,"00")&amp;"-"&amp;TEXT(C191,"yyyymmdd")&amp;"-"&amp;D191&amp;"-"&amp;E191)</f>
        <v>LOSS-KG01-L21-20251205-AM-ORD-2025-00183</v>
      </c>
      <c r="V191" s="17" t="str">
        <f aca="false">IF(U191="","",IF(COUNTIF($U$5:$U$935,U191)=1,"OK","CHECK"))</f>
        <v>OK</v>
      </c>
      <c r="W191" s="17" t="str">
        <f aca="false">IF(A191="","",IF(AND(T191="OK",V191="OK",G191&gt;=0),"OK","CHECK"))</f>
        <v>OK</v>
      </c>
    </row>
    <row r="192" customFormat="false" ht="18" hidden="false" customHeight="true" outlineLevel="0" collapsed="false">
      <c r="A192" s="18" t="s">
        <v>39</v>
      </c>
      <c r="B192" s="19" t="n">
        <v>21</v>
      </c>
      <c r="C192" s="20" t="n">
        <v>45996</v>
      </c>
      <c r="D192" s="18" t="s">
        <v>43</v>
      </c>
      <c r="E192" s="18" t="s">
        <v>79</v>
      </c>
      <c r="F192" s="18" t="s">
        <v>42</v>
      </c>
      <c r="G192" s="21" t="n">
        <v>15917</v>
      </c>
      <c r="H192" s="22" t="n">
        <v>0.000717996860628382</v>
      </c>
      <c r="I192" s="22" t="n">
        <v>0.000219835130188314</v>
      </c>
      <c r="J192" s="22" t="n">
        <v>0.00685193130211213</v>
      </c>
      <c r="K192" s="22" t="n">
        <v>0.00651884035309953</v>
      </c>
      <c r="L192" s="22" t="n">
        <v>0.0153930987866154</v>
      </c>
      <c r="M192" s="22" t="n">
        <v>0.00171550970873655</v>
      </c>
      <c r="N192" s="22" t="n">
        <v>0.0145872418281732</v>
      </c>
      <c r="O192" s="22" t="n">
        <v>0.0127259242980978</v>
      </c>
      <c r="P192" s="22" t="n">
        <v>0.00113535491369812</v>
      </c>
      <c r="Q192" s="22" t="n">
        <v>0.000290727765872734</v>
      </c>
      <c r="R192" s="22" t="n">
        <v>0.0131424264680446</v>
      </c>
      <c r="S192" s="23" t="n">
        <f aca="false">IF(A192="","",SUM(H192:R192))</f>
        <v>0.0732988874152668</v>
      </c>
      <c r="T192" s="17" t="str">
        <f aca="false">IF(A192="","",IF(AND(MIN(H192:R192)&gt;=0,MAX(H192:R192)&lt;=1,S192&lt;=1),"OK","CHECK"))</f>
        <v>OK</v>
      </c>
      <c r="U192" s="17" t="str">
        <f aca="false">IF(A192="","", "LOSS-"&amp;A192&amp;"-L"&amp;TEXT(B192,"00")&amp;"-"&amp;TEXT(C192,"yyyymmdd")&amp;"-"&amp;D192&amp;"-"&amp;E192)</f>
        <v>LOSS-KG01-L21-20251205-PM-ORD-2025-00183</v>
      </c>
      <c r="V192" s="17" t="str">
        <f aca="false">IF(U192="","",IF(COUNTIF($U$5:$U$935,U192)=1,"OK","CHECK"))</f>
        <v>OK</v>
      </c>
      <c r="W192" s="17" t="str">
        <f aca="false">IF(A192="","",IF(AND(T192="OK",V192="OK",G192&gt;=0),"OK","CHECK"))</f>
        <v>OK</v>
      </c>
    </row>
    <row r="193" customFormat="false" ht="18" hidden="false" customHeight="true" outlineLevel="0" collapsed="false">
      <c r="A193" s="18" t="s">
        <v>39</v>
      </c>
      <c r="B193" s="19" t="n">
        <v>21</v>
      </c>
      <c r="C193" s="20" t="n">
        <v>45997</v>
      </c>
      <c r="D193" s="18" t="s">
        <v>40</v>
      </c>
      <c r="E193" s="18" t="s">
        <v>79</v>
      </c>
      <c r="F193" s="18" t="s">
        <v>42</v>
      </c>
      <c r="G193" s="21" t="n">
        <v>6777</v>
      </c>
      <c r="H193" s="22" t="n">
        <v>0.00134928302931213</v>
      </c>
      <c r="I193" s="22" t="n">
        <v>0.0150615642282177</v>
      </c>
      <c r="J193" s="22" t="n">
        <v>0.00607930442341776</v>
      </c>
      <c r="K193" s="22" t="n">
        <v>1.68080680038376E-006</v>
      </c>
      <c r="L193" s="22" t="n">
        <v>0.00196067355651091</v>
      </c>
      <c r="M193" s="22" t="n">
        <v>0.00827903943933482</v>
      </c>
      <c r="N193" s="22" t="n">
        <v>0.001213725608981</v>
      </c>
      <c r="O193" s="22" t="n">
        <v>0.00101672565752906</v>
      </c>
      <c r="P193" s="22" t="n">
        <v>3.79452004822471E-006</v>
      </c>
      <c r="Q193" s="22" t="n">
        <v>0.00670374917055735</v>
      </c>
      <c r="R193" s="22" t="n">
        <v>0.0116893030967056</v>
      </c>
      <c r="S193" s="23" t="n">
        <f aca="false">IF(A193="","",SUM(H193:R193))</f>
        <v>0.0533588435374149</v>
      </c>
      <c r="T193" s="17" t="str">
        <f aca="false">IF(A193="","",IF(AND(MIN(H193:R193)&gt;=0,MAX(H193:R193)&lt;=1,S193&lt;=1),"OK","CHECK"))</f>
        <v>OK</v>
      </c>
      <c r="U193" s="17" t="str">
        <f aca="false">IF(A193="","", "LOSS-"&amp;A193&amp;"-L"&amp;TEXT(B193,"00")&amp;"-"&amp;TEXT(C193,"yyyymmdd")&amp;"-"&amp;D193&amp;"-"&amp;E193)</f>
        <v>LOSS-KG01-L21-20251206-AM-ORD-2025-00183</v>
      </c>
      <c r="V193" s="17" t="str">
        <f aca="false">IF(U193="","",IF(COUNTIF($U$5:$U$935,U193)=1,"OK","CHECK"))</f>
        <v>OK</v>
      </c>
      <c r="W193" s="17" t="str">
        <f aca="false">IF(A193="","",IF(AND(T193="OK",V193="OK",G193&gt;=0),"OK","CHECK"))</f>
        <v>OK</v>
      </c>
    </row>
    <row r="194" customFormat="false" ht="18" hidden="false" customHeight="true" outlineLevel="0" collapsed="false">
      <c r="A194" s="18" t="s">
        <v>39</v>
      </c>
      <c r="B194" s="19" t="n">
        <v>21</v>
      </c>
      <c r="C194" s="20" t="n">
        <v>45997</v>
      </c>
      <c r="D194" s="18" t="s">
        <v>43</v>
      </c>
      <c r="E194" s="18" t="s">
        <v>79</v>
      </c>
      <c r="F194" s="18" t="s">
        <v>42</v>
      </c>
      <c r="G194" s="21" t="n">
        <v>8877</v>
      </c>
      <c r="H194" s="22" t="n">
        <v>0.0139176993773452</v>
      </c>
      <c r="I194" s="22" t="n">
        <v>0.00536966045583262</v>
      </c>
      <c r="J194" s="22" t="n">
        <v>0.008241745126597</v>
      </c>
      <c r="K194" s="22" t="n">
        <v>0.00747382925100454</v>
      </c>
      <c r="L194" s="22" t="n">
        <v>0.0141152076854059</v>
      </c>
      <c r="M194" s="22" t="n">
        <v>0.00104532820154932</v>
      </c>
      <c r="N194" s="22" t="n">
        <v>0.00618996036535322</v>
      </c>
      <c r="O194" s="22" t="n">
        <v>0.00576481981223963</v>
      </c>
      <c r="P194" s="22" t="n">
        <v>0.000670849753592386</v>
      </c>
      <c r="Q194" s="22" t="n">
        <v>0.00308623095747436</v>
      </c>
      <c r="R194" s="22" t="n">
        <v>0.00165964615198519</v>
      </c>
      <c r="S194" s="23" t="n">
        <f aca="false">IF(A194="","",SUM(H194:R194))</f>
        <v>0.0675349771383794</v>
      </c>
      <c r="T194" s="17" t="str">
        <f aca="false">IF(A194="","",IF(AND(MIN(H194:R194)&gt;=0,MAX(H194:R194)&lt;=1,S194&lt;=1),"OK","CHECK"))</f>
        <v>OK</v>
      </c>
      <c r="U194" s="17" t="str">
        <f aca="false">IF(A194="","", "LOSS-"&amp;A194&amp;"-L"&amp;TEXT(B194,"00")&amp;"-"&amp;TEXT(C194,"yyyymmdd")&amp;"-"&amp;D194&amp;"-"&amp;E194)</f>
        <v>LOSS-KG01-L21-20251206-PM-ORD-2025-00183</v>
      </c>
      <c r="V194" s="17" t="str">
        <f aca="false">IF(U194="","",IF(COUNTIF($U$5:$U$935,U194)=1,"OK","CHECK"))</f>
        <v>OK</v>
      </c>
      <c r="W194" s="17" t="str">
        <f aca="false">IF(A194="","",IF(AND(T194="OK",V194="OK",G194&gt;=0),"OK","CHECK"))</f>
        <v>OK</v>
      </c>
    </row>
    <row r="195" customFormat="false" ht="18" hidden="false" customHeight="true" outlineLevel="0" collapsed="false">
      <c r="A195" s="18" t="s">
        <v>39</v>
      </c>
      <c r="B195" s="19" t="n">
        <v>21</v>
      </c>
      <c r="C195" s="20" t="n">
        <v>45998</v>
      </c>
      <c r="D195" s="18" t="s">
        <v>40</v>
      </c>
      <c r="E195" s="18" t="s">
        <v>79</v>
      </c>
      <c r="F195" s="18" t="s">
        <v>61</v>
      </c>
      <c r="G195" s="21" t="n">
        <v>6110</v>
      </c>
      <c r="H195" s="22" t="n">
        <v>0.000615535479078481</v>
      </c>
      <c r="I195" s="22" t="n">
        <v>0.00587145171267794</v>
      </c>
      <c r="J195" s="22" t="n">
        <v>0.0109027959241344</v>
      </c>
      <c r="K195" s="22" t="n">
        <v>0.00231500471119824</v>
      </c>
      <c r="L195" s="22" t="n">
        <v>0.00294522078655121</v>
      </c>
      <c r="M195" s="22" t="n">
        <v>0.00788426396607477</v>
      </c>
      <c r="N195" s="22" t="n">
        <v>0.00278692769689221</v>
      </c>
      <c r="O195" s="22" t="n">
        <v>0.000325703027469776</v>
      </c>
      <c r="P195" s="22" t="n">
        <v>0.00339643091225017</v>
      </c>
      <c r="Q195" s="22" t="n">
        <v>0.0036411169729579</v>
      </c>
      <c r="R195" s="22" t="n">
        <v>0.00312393908539571</v>
      </c>
      <c r="S195" s="23" t="n">
        <f aca="false">IF(A195="","",SUM(H195:R195))</f>
        <v>0.0438083902746808</v>
      </c>
      <c r="T195" s="17" t="str">
        <f aca="false">IF(A195="","",IF(AND(MIN(H195:R195)&gt;=0,MAX(H195:R195)&lt;=1,S195&lt;=1),"OK","CHECK"))</f>
        <v>OK</v>
      </c>
      <c r="U195" s="17" t="str">
        <f aca="false">IF(A195="","", "LOSS-"&amp;A195&amp;"-L"&amp;TEXT(B195,"00")&amp;"-"&amp;TEXT(C195,"yyyymmdd")&amp;"-"&amp;D195&amp;"-"&amp;E195)</f>
        <v>LOSS-KG01-L21-20251207-AM-ORD-2025-00183</v>
      </c>
      <c r="V195" s="17" t="str">
        <f aca="false">IF(U195="","",IF(COUNTIF($U$5:$U$935,U195)=1,"OK","CHECK"))</f>
        <v>OK</v>
      </c>
      <c r="W195" s="17" t="str">
        <f aca="false">IF(A195="","",IF(AND(T195="OK",V195="OK",G195&gt;=0),"OK","CHECK"))</f>
        <v>OK</v>
      </c>
    </row>
    <row r="196" customFormat="false" ht="18" hidden="false" customHeight="true" outlineLevel="0" collapsed="false">
      <c r="A196" s="18" t="s">
        <v>39</v>
      </c>
      <c r="B196" s="19" t="n">
        <v>21</v>
      </c>
      <c r="C196" s="20" t="n">
        <v>45998</v>
      </c>
      <c r="D196" s="18" t="s">
        <v>43</v>
      </c>
      <c r="E196" s="18" t="s">
        <v>79</v>
      </c>
      <c r="F196" s="18" t="s">
        <v>42</v>
      </c>
      <c r="G196" s="21" t="n">
        <v>15108</v>
      </c>
      <c r="H196" s="22" t="n">
        <v>0.00754572419361047</v>
      </c>
      <c r="I196" s="22" t="n">
        <v>0.000351819083960173</v>
      </c>
      <c r="J196" s="22" t="n">
        <v>0.00368109490760959</v>
      </c>
      <c r="K196" s="22" t="n">
        <v>0.0100948298146589</v>
      </c>
      <c r="L196" s="22" t="n">
        <v>0.000369193191368006</v>
      </c>
      <c r="M196" s="22" t="n">
        <v>0.000902366839028434</v>
      </c>
      <c r="N196" s="22" t="n">
        <v>0.0010912413911775</v>
      </c>
      <c r="O196" s="22" t="n">
        <v>0.00888962606047416</v>
      </c>
      <c r="P196" s="22" t="n">
        <v>0.00758094436903672</v>
      </c>
      <c r="Q196" s="22" t="n">
        <v>0.00535951846635025</v>
      </c>
      <c r="R196" s="22" t="n">
        <v>0.000400278133779546</v>
      </c>
      <c r="S196" s="23" t="n">
        <f aca="false">IF(A196="","",SUM(H196:R196))</f>
        <v>0.0462666364510538</v>
      </c>
      <c r="T196" s="17" t="str">
        <f aca="false">IF(A196="","",IF(AND(MIN(H196:R196)&gt;=0,MAX(H196:R196)&lt;=1,S196&lt;=1),"OK","CHECK"))</f>
        <v>OK</v>
      </c>
      <c r="U196" s="17" t="str">
        <f aca="false">IF(A196="","", "LOSS-"&amp;A196&amp;"-L"&amp;TEXT(B196,"00")&amp;"-"&amp;TEXT(C196,"yyyymmdd")&amp;"-"&amp;D196&amp;"-"&amp;E196)</f>
        <v>LOSS-KG01-L21-20251207-PM-ORD-2025-00183</v>
      </c>
      <c r="V196" s="17" t="str">
        <f aca="false">IF(U196="","",IF(COUNTIF($U$5:$U$935,U196)=1,"OK","CHECK"))</f>
        <v>OK</v>
      </c>
      <c r="W196" s="17" t="str">
        <f aca="false">IF(A196="","",IF(AND(T196="OK",V196="OK",G196&gt;=0),"OK","CHECK"))</f>
        <v>OK</v>
      </c>
    </row>
    <row r="197" customFormat="false" ht="18" hidden="false" customHeight="true" outlineLevel="0" collapsed="false">
      <c r="A197" s="18" t="s">
        <v>39</v>
      </c>
      <c r="B197" s="19" t="n">
        <v>21</v>
      </c>
      <c r="C197" s="20" t="n">
        <v>45999</v>
      </c>
      <c r="D197" s="18" t="s">
        <v>40</v>
      </c>
      <c r="E197" s="18" t="s">
        <v>79</v>
      </c>
      <c r="F197" s="18" t="s">
        <v>42</v>
      </c>
      <c r="G197" s="21" t="n">
        <v>17742</v>
      </c>
      <c r="H197" s="22" t="n">
        <v>0.000779753680992622</v>
      </c>
      <c r="I197" s="22" t="n">
        <v>0.00688244213973097</v>
      </c>
      <c r="J197" s="22" t="n">
        <v>0.00783767430662319</v>
      </c>
      <c r="K197" s="22" t="n">
        <v>0.015754246611477</v>
      </c>
      <c r="L197" s="22" t="n">
        <v>0.00613280759095457</v>
      </c>
      <c r="M197" s="22" t="n">
        <v>0.0198592833235339</v>
      </c>
      <c r="N197" s="22" t="n">
        <v>0.000713516966510487</v>
      </c>
      <c r="O197" s="22" t="n">
        <v>0.0213184248556757</v>
      </c>
      <c r="P197" s="22" t="n">
        <v>5.26062743493897E-006</v>
      </c>
      <c r="Q197" s="22" t="n">
        <v>0.000376503868041106</v>
      </c>
      <c r="R197" s="22" t="n">
        <v>0.00558160848047597</v>
      </c>
      <c r="S197" s="23" t="n">
        <f aca="false">IF(A197="","",SUM(H197:R197))</f>
        <v>0.0852415224514505</v>
      </c>
      <c r="T197" s="17" t="str">
        <f aca="false">IF(A197="","",IF(AND(MIN(H197:R197)&gt;=0,MAX(H197:R197)&lt;=1,S197&lt;=1),"OK","CHECK"))</f>
        <v>OK</v>
      </c>
      <c r="U197" s="17" t="str">
        <f aca="false">IF(A197="","", "LOSS-"&amp;A197&amp;"-L"&amp;TEXT(B197,"00")&amp;"-"&amp;TEXT(C197,"yyyymmdd")&amp;"-"&amp;D197&amp;"-"&amp;E197)</f>
        <v>LOSS-KG01-L21-20251208-AM-ORD-2025-00183</v>
      </c>
      <c r="V197" s="17" t="str">
        <f aca="false">IF(U197="","",IF(COUNTIF($U$5:$U$935,U197)=1,"OK","CHECK"))</f>
        <v>OK</v>
      </c>
      <c r="W197" s="17" t="str">
        <f aca="false">IF(A197="","",IF(AND(T197="OK",V197="OK",G197&gt;=0),"OK","CHECK"))</f>
        <v>OK</v>
      </c>
    </row>
    <row r="198" customFormat="false" ht="18" hidden="false" customHeight="true" outlineLevel="0" collapsed="false">
      <c r="A198" s="18" t="s">
        <v>39</v>
      </c>
      <c r="B198" s="19" t="n">
        <v>21</v>
      </c>
      <c r="C198" s="20" t="n">
        <v>45999</v>
      </c>
      <c r="D198" s="18" t="s">
        <v>43</v>
      </c>
      <c r="E198" s="18" t="s">
        <v>80</v>
      </c>
      <c r="F198" s="18" t="s">
        <v>45</v>
      </c>
      <c r="G198" s="21" t="n">
        <v>760</v>
      </c>
      <c r="H198" s="22" t="n">
        <v>0.000143391535414911</v>
      </c>
      <c r="I198" s="22" t="n">
        <v>2.1750458408943E-006</v>
      </c>
      <c r="J198" s="22" t="n">
        <v>0.00816873760831936</v>
      </c>
      <c r="K198" s="22" t="n">
        <v>0.010346216196271</v>
      </c>
      <c r="L198" s="22" t="n">
        <v>0.000206910714478859</v>
      </c>
      <c r="M198" s="22" t="n">
        <v>0.00702379586548937</v>
      </c>
      <c r="N198" s="22" t="n">
        <v>0.000848424627856717</v>
      </c>
      <c r="O198" s="22" t="n">
        <v>0.0104331959806798</v>
      </c>
      <c r="P198" s="22" t="n">
        <v>0.00425828633821618</v>
      </c>
      <c r="Q198" s="22" t="n">
        <v>0.00743613325868416</v>
      </c>
      <c r="R198" s="22" t="n">
        <v>1.0455859504836E-006</v>
      </c>
      <c r="S198" s="23" t="n">
        <f aca="false">IF(A198="","",SUM(H198:R198))</f>
        <v>0.0488683127572017</v>
      </c>
      <c r="T198" s="17" t="str">
        <f aca="false">IF(A198="","",IF(AND(MIN(H198:R198)&gt;=0,MAX(H198:R198)&lt;=1,S198&lt;=1),"OK","CHECK"))</f>
        <v>OK</v>
      </c>
      <c r="U198" s="17" t="str">
        <f aca="false">IF(A198="","", "LOSS-"&amp;A198&amp;"-L"&amp;TEXT(B198,"00")&amp;"-"&amp;TEXT(C198,"yyyymmdd")&amp;"-"&amp;D198&amp;"-"&amp;E198)</f>
        <v>LOSS-KG01-L21-20251208-PM-ORD-2025-00184</v>
      </c>
      <c r="V198" s="17" t="str">
        <f aca="false">IF(U198="","",IF(COUNTIF($U$5:$U$935,U198)=1,"OK","CHECK"))</f>
        <v>OK</v>
      </c>
      <c r="W198" s="17" t="str">
        <f aca="false">IF(A198="","",IF(AND(T198="OK",V198="OK",G198&gt;=0),"OK","CHECK"))</f>
        <v>OK</v>
      </c>
    </row>
    <row r="199" customFormat="false" ht="18" hidden="false" customHeight="true" outlineLevel="0" collapsed="false">
      <c r="A199" s="18" t="s">
        <v>39</v>
      </c>
      <c r="B199" s="19" t="n">
        <v>21</v>
      </c>
      <c r="C199" s="20" t="n">
        <v>46000</v>
      </c>
      <c r="D199" s="18" t="s">
        <v>40</v>
      </c>
      <c r="E199" s="18" t="s">
        <v>80</v>
      </c>
      <c r="F199" s="18" t="s">
        <v>42</v>
      </c>
      <c r="G199" s="21" t="n">
        <v>16564</v>
      </c>
      <c r="H199" s="22" t="n">
        <v>0.0101753761038501</v>
      </c>
      <c r="I199" s="22" t="n">
        <v>0.00477599529710399</v>
      </c>
      <c r="J199" s="22" t="n">
        <v>0.0108705124930988</v>
      </c>
      <c r="K199" s="22" t="n">
        <v>0.0118055280644029</v>
      </c>
      <c r="L199" s="22" t="n">
        <v>0.000117207229750656</v>
      </c>
      <c r="M199" s="22" t="n">
        <v>0.000314730304677684</v>
      </c>
      <c r="N199" s="22" t="n">
        <v>0.00936966917552363</v>
      </c>
      <c r="O199" s="22" t="n">
        <v>0.0129295073022917</v>
      </c>
      <c r="P199" s="22" t="n">
        <v>0.0107964970582172</v>
      </c>
      <c r="Q199" s="22" t="n">
        <v>0.00153404331453654</v>
      </c>
      <c r="R199" s="22" t="n">
        <v>0.00372372140392887</v>
      </c>
      <c r="S199" s="23" t="n">
        <f aca="false">IF(A199="","",SUM(H199:R199))</f>
        <v>0.0764127877473821</v>
      </c>
      <c r="T199" s="17" t="str">
        <f aca="false">IF(A199="","",IF(AND(MIN(H199:R199)&gt;=0,MAX(H199:R199)&lt;=1,S199&lt;=1),"OK","CHECK"))</f>
        <v>OK</v>
      </c>
      <c r="U199" s="17" t="str">
        <f aca="false">IF(A199="","", "LOSS-"&amp;A199&amp;"-L"&amp;TEXT(B199,"00")&amp;"-"&amp;TEXT(C199,"yyyymmdd")&amp;"-"&amp;D199&amp;"-"&amp;E199)</f>
        <v>LOSS-KG01-L21-20251209-AM-ORD-2025-00184</v>
      </c>
      <c r="V199" s="17" t="str">
        <f aca="false">IF(U199="","",IF(COUNTIF($U$5:$U$935,U199)=1,"OK","CHECK"))</f>
        <v>OK</v>
      </c>
      <c r="W199" s="17" t="str">
        <f aca="false">IF(A199="","",IF(AND(T199="OK",V199="OK",G199&gt;=0),"OK","CHECK"))</f>
        <v>OK</v>
      </c>
    </row>
    <row r="200" customFormat="false" ht="18" hidden="false" customHeight="true" outlineLevel="0" collapsed="false">
      <c r="A200" s="18" t="s">
        <v>39</v>
      </c>
      <c r="B200" s="19" t="n">
        <v>21</v>
      </c>
      <c r="C200" s="20" t="n">
        <v>46000</v>
      </c>
      <c r="D200" s="18" t="s">
        <v>43</v>
      </c>
      <c r="E200" s="18" t="s">
        <v>80</v>
      </c>
      <c r="F200" s="18" t="s">
        <v>42</v>
      </c>
      <c r="G200" s="21" t="n">
        <v>12769</v>
      </c>
      <c r="H200" s="22" t="n">
        <v>0.00172689389753541</v>
      </c>
      <c r="I200" s="22" t="n">
        <v>0.00858238594932481</v>
      </c>
      <c r="J200" s="22" t="n">
        <v>0.00207813359337131</v>
      </c>
      <c r="K200" s="22" t="n">
        <v>0.00858511683360875</v>
      </c>
      <c r="L200" s="22" t="n">
        <v>1.30665890089038E-005</v>
      </c>
      <c r="M200" s="22" t="n">
        <v>5.75958356255232E-005</v>
      </c>
      <c r="N200" s="22" t="n">
        <v>0.00861765513707398</v>
      </c>
      <c r="O200" s="22" t="n">
        <v>0.000305614734110558</v>
      </c>
      <c r="P200" s="22" t="n">
        <v>0.0228287383820992</v>
      </c>
      <c r="Q200" s="22" t="n">
        <v>0.00501023960782311</v>
      </c>
      <c r="R200" s="22" t="n">
        <v>4.25636981697747E-008</v>
      </c>
      <c r="S200" s="23" t="n">
        <f aca="false">IF(A200="","",SUM(H200:R200))</f>
        <v>0.0578054831232797</v>
      </c>
      <c r="T200" s="17" t="str">
        <f aca="false">IF(A200="","",IF(AND(MIN(H200:R200)&gt;=0,MAX(H200:R200)&lt;=1,S200&lt;=1),"OK","CHECK"))</f>
        <v>OK</v>
      </c>
      <c r="U200" s="17" t="str">
        <f aca="false">IF(A200="","", "LOSS-"&amp;A200&amp;"-L"&amp;TEXT(B200,"00")&amp;"-"&amp;TEXT(C200,"yyyymmdd")&amp;"-"&amp;D200&amp;"-"&amp;E200)</f>
        <v>LOSS-KG01-L21-20251209-PM-ORD-2025-00184</v>
      </c>
      <c r="V200" s="17" t="str">
        <f aca="false">IF(U200="","",IF(COUNTIF($U$5:$U$935,U200)=1,"OK","CHECK"))</f>
        <v>OK</v>
      </c>
      <c r="W200" s="17" t="str">
        <f aca="false">IF(A200="","",IF(AND(T200="OK",V200="OK",G200&gt;=0),"OK","CHECK"))</f>
        <v>OK</v>
      </c>
    </row>
    <row r="201" customFormat="false" ht="18" hidden="false" customHeight="true" outlineLevel="0" collapsed="false">
      <c r="A201" s="18" t="s">
        <v>39</v>
      </c>
      <c r="B201" s="19" t="n">
        <v>21</v>
      </c>
      <c r="C201" s="20" t="n">
        <v>46001</v>
      </c>
      <c r="D201" s="18" t="s">
        <v>40</v>
      </c>
      <c r="E201" s="18" t="s">
        <v>80</v>
      </c>
      <c r="F201" s="18" t="s">
        <v>42</v>
      </c>
      <c r="G201" s="21" t="n">
        <v>15053</v>
      </c>
      <c r="H201" s="22" t="n">
        <v>0.00107461419863419</v>
      </c>
      <c r="I201" s="22" t="n">
        <v>0.00109736843267213</v>
      </c>
      <c r="J201" s="22" t="n">
        <v>0.00317197609380395</v>
      </c>
      <c r="K201" s="22" t="n">
        <v>0.00266597649821646</v>
      </c>
      <c r="L201" s="22" t="n">
        <v>0.00175728781447726</v>
      </c>
      <c r="M201" s="22" t="n">
        <v>0.0181432585503652</v>
      </c>
      <c r="N201" s="22" t="n">
        <v>0.0100043033512251</v>
      </c>
      <c r="O201" s="22" t="n">
        <v>0.0100730875988059</v>
      </c>
      <c r="P201" s="22" t="n">
        <v>0.0109137995712984</v>
      </c>
      <c r="Q201" s="22" t="n">
        <v>0.0173614740307664</v>
      </c>
      <c r="R201" s="22" t="n">
        <v>0.00516604351677278</v>
      </c>
      <c r="S201" s="23" t="n">
        <f aca="false">IF(A201="","",SUM(H201:R201))</f>
        <v>0.0814291896570378</v>
      </c>
      <c r="T201" s="17" t="str">
        <f aca="false">IF(A201="","",IF(AND(MIN(H201:R201)&gt;=0,MAX(H201:R201)&lt;=1,S201&lt;=1),"OK","CHECK"))</f>
        <v>OK</v>
      </c>
      <c r="U201" s="17" t="str">
        <f aca="false">IF(A201="","", "LOSS-"&amp;A201&amp;"-L"&amp;TEXT(B201,"00")&amp;"-"&amp;TEXT(C201,"yyyymmdd")&amp;"-"&amp;D201&amp;"-"&amp;E201)</f>
        <v>LOSS-KG01-L21-20251210-AM-ORD-2025-00184</v>
      </c>
      <c r="V201" s="17" t="str">
        <f aca="false">IF(U201="","",IF(COUNTIF($U$5:$U$935,U201)=1,"OK","CHECK"))</f>
        <v>OK</v>
      </c>
      <c r="W201" s="17" t="str">
        <f aca="false">IF(A201="","",IF(AND(T201="OK",V201="OK",G201&gt;=0),"OK","CHECK"))</f>
        <v>OK</v>
      </c>
    </row>
    <row r="202" customFormat="false" ht="18" hidden="false" customHeight="true" outlineLevel="0" collapsed="false">
      <c r="A202" s="18" t="s">
        <v>39</v>
      </c>
      <c r="B202" s="19" t="n">
        <v>21</v>
      </c>
      <c r="C202" s="20" t="n">
        <v>46001</v>
      </c>
      <c r="D202" s="18" t="s">
        <v>43</v>
      </c>
      <c r="E202" s="18" t="s">
        <v>81</v>
      </c>
      <c r="F202" s="18" t="s">
        <v>45</v>
      </c>
      <c r="G202" s="21" t="n">
        <v>7432</v>
      </c>
      <c r="H202" s="22" t="n">
        <v>0.00843150992578005</v>
      </c>
      <c r="I202" s="22" t="n">
        <v>0.000432993064156209</v>
      </c>
      <c r="J202" s="22" t="n">
        <v>0.00785779840733399</v>
      </c>
      <c r="K202" s="22" t="n">
        <v>0.000682161703254912</v>
      </c>
      <c r="L202" s="22" t="n">
        <v>4.99914725936168E-005</v>
      </c>
      <c r="M202" s="22" t="n">
        <v>0.000956617461014004</v>
      </c>
      <c r="N202" s="22" t="n">
        <v>0.00111623662523416</v>
      </c>
      <c r="O202" s="22" t="n">
        <v>0.00734454968239799</v>
      </c>
      <c r="P202" s="22" t="n">
        <v>6.17727907881735E-005</v>
      </c>
      <c r="Q202" s="22" t="n">
        <v>1.61389819509823E-005</v>
      </c>
      <c r="R202" s="22" t="n">
        <v>0.000196113441635888</v>
      </c>
      <c r="S202" s="23" t="n">
        <f aca="false">IF(A202="","",SUM(H202:R202))</f>
        <v>0.02714588355614</v>
      </c>
      <c r="T202" s="17" t="str">
        <f aca="false">IF(A202="","",IF(AND(MIN(H202:R202)&gt;=0,MAX(H202:R202)&lt;=1,S202&lt;=1),"OK","CHECK"))</f>
        <v>OK</v>
      </c>
      <c r="U202" s="17" t="str">
        <f aca="false">IF(A202="","", "LOSS-"&amp;A202&amp;"-L"&amp;TEXT(B202,"00")&amp;"-"&amp;TEXT(C202,"yyyymmdd")&amp;"-"&amp;D202&amp;"-"&amp;E202)</f>
        <v>LOSS-KG01-L21-20251210-PM-ORD-2025-00185</v>
      </c>
      <c r="V202" s="17" t="str">
        <f aca="false">IF(U202="","",IF(COUNTIF($U$5:$U$935,U202)=1,"OK","CHECK"))</f>
        <v>OK</v>
      </c>
      <c r="W202" s="17" t="str">
        <f aca="false">IF(A202="","",IF(AND(T202="OK",V202="OK",G202&gt;=0),"OK","CHECK"))</f>
        <v>OK</v>
      </c>
    </row>
    <row r="203" customFormat="false" ht="18" hidden="false" customHeight="true" outlineLevel="0" collapsed="false">
      <c r="A203" s="18" t="s">
        <v>39</v>
      </c>
      <c r="B203" s="19" t="n">
        <v>21</v>
      </c>
      <c r="C203" s="20" t="n">
        <v>46002</v>
      </c>
      <c r="D203" s="18" t="s">
        <v>40</v>
      </c>
      <c r="E203" s="18" t="s">
        <v>81</v>
      </c>
      <c r="F203" s="18" t="s">
        <v>42</v>
      </c>
      <c r="G203" s="21" t="n">
        <v>14117</v>
      </c>
      <c r="H203" s="22" t="n">
        <v>0.00419571747747751</v>
      </c>
      <c r="I203" s="22" t="n">
        <v>0.00256052814114891</v>
      </c>
      <c r="J203" s="22" t="n">
        <v>0.000751196642706786</v>
      </c>
      <c r="K203" s="22" t="n">
        <v>0.004129731843632</v>
      </c>
      <c r="L203" s="22" t="n">
        <v>0.018216359631666</v>
      </c>
      <c r="M203" s="22" t="n">
        <v>0.0107835310210446</v>
      </c>
      <c r="N203" s="22" t="n">
        <v>0.00891391262655663</v>
      </c>
      <c r="O203" s="22" t="n">
        <v>0.00188115657220245</v>
      </c>
      <c r="P203" s="22" t="n">
        <v>0.0175008675774449</v>
      </c>
      <c r="Q203" s="22" t="n">
        <v>0.00167834733138397</v>
      </c>
      <c r="R203" s="22" t="n">
        <v>0.00569222227374964</v>
      </c>
      <c r="S203" s="23" t="n">
        <f aca="false">IF(A203="","",SUM(H203:R203))</f>
        <v>0.0763035711390134</v>
      </c>
      <c r="T203" s="17" t="str">
        <f aca="false">IF(A203="","",IF(AND(MIN(H203:R203)&gt;=0,MAX(H203:R203)&lt;=1,S203&lt;=1),"OK","CHECK"))</f>
        <v>OK</v>
      </c>
      <c r="U203" s="17" t="str">
        <f aca="false">IF(A203="","", "LOSS-"&amp;A203&amp;"-L"&amp;TEXT(B203,"00")&amp;"-"&amp;TEXT(C203,"yyyymmdd")&amp;"-"&amp;D203&amp;"-"&amp;E203)</f>
        <v>LOSS-KG01-L21-20251211-AM-ORD-2025-00185</v>
      </c>
      <c r="V203" s="17" t="str">
        <f aca="false">IF(U203="","",IF(COUNTIF($U$5:$U$935,U203)=1,"OK","CHECK"))</f>
        <v>OK</v>
      </c>
      <c r="W203" s="17" t="str">
        <f aca="false">IF(A203="","",IF(AND(T203="OK",V203="OK",G203&gt;=0),"OK","CHECK"))</f>
        <v>OK</v>
      </c>
    </row>
    <row r="204" customFormat="false" ht="18" hidden="false" customHeight="true" outlineLevel="0" collapsed="false">
      <c r="A204" s="18" t="s">
        <v>39</v>
      </c>
      <c r="B204" s="19" t="n">
        <v>21</v>
      </c>
      <c r="C204" s="20" t="n">
        <v>46002</v>
      </c>
      <c r="D204" s="18" t="s">
        <v>43</v>
      </c>
      <c r="E204" s="18" t="s">
        <v>81</v>
      </c>
      <c r="F204" s="18" t="s">
        <v>61</v>
      </c>
      <c r="G204" s="21" t="n">
        <v>12335</v>
      </c>
      <c r="H204" s="22" t="n">
        <v>0.00187976995765482</v>
      </c>
      <c r="I204" s="22" t="n">
        <v>0.000971834312570317</v>
      </c>
      <c r="J204" s="22" t="n">
        <v>0.0113497705273204</v>
      </c>
      <c r="K204" s="22" t="n">
        <v>0.00880109421544457</v>
      </c>
      <c r="L204" s="22" t="n">
        <v>0.00858584032729254</v>
      </c>
      <c r="M204" s="22" t="n">
        <v>0.0102450356709421</v>
      </c>
      <c r="N204" s="22" t="n">
        <v>0.0131980206260851</v>
      </c>
      <c r="O204" s="22" t="n">
        <v>0.00834651649734981</v>
      </c>
      <c r="P204" s="22" t="n">
        <v>0.000296476644757619</v>
      </c>
      <c r="Q204" s="22" t="n">
        <v>0.000301314201709348</v>
      </c>
      <c r="R204" s="22" t="n">
        <v>0.00275302495723522</v>
      </c>
      <c r="S204" s="23" t="n">
        <f aca="false">IF(A204="","",SUM(H204:R204))</f>
        <v>0.0667286979383618</v>
      </c>
      <c r="T204" s="17" t="str">
        <f aca="false">IF(A204="","",IF(AND(MIN(H204:R204)&gt;=0,MAX(H204:R204)&lt;=1,S204&lt;=1),"OK","CHECK"))</f>
        <v>OK</v>
      </c>
      <c r="U204" s="17" t="str">
        <f aca="false">IF(A204="","", "LOSS-"&amp;A204&amp;"-L"&amp;TEXT(B204,"00")&amp;"-"&amp;TEXT(C204,"yyyymmdd")&amp;"-"&amp;D204&amp;"-"&amp;E204)</f>
        <v>LOSS-KG01-L21-20251211-PM-ORD-2025-00185</v>
      </c>
      <c r="V204" s="17" t="str">
        <f aca="false">IF(U204="","",IF(COUNTIF($U$5:$U$935,U204)=1,"OK","CHECK"))</f>
        <v>OK</v>
      </c>
      <c r="W204" s="17" t="str">
        <f aca="false">IF(A204="","",IF(AND(T204="OK",V204="OK",G204&gt;=0),"OK","CHECK"))</f>
        <v>OK</v>
      </c>
    </row>
    <row r="205" customFormat="false" ht="18" hidden="false" customHeight="true" outlineLevel="0" collapsed="false">
      <c r="A205" s="18" t="s">
        <v>39</v>
      </c>
      <c r="B205" s="19" t="n">
        <v>21</v>
      </c>
      <c r="C205" s="20" t="n">
        <v>46003</v>
      </c>
      <c r="D205" s="18" t="s">
        <v>40</v>
      </c>
      <c r="E205" s="18" t="s">
        <v>81</v>
      </c>
      <c r="F205" s="18" t="s">
        <v>42</v>
      </c>
      <c r="G205" s="21" t="n">
        <v>10108</v>
      </c>
      <c r="H205" s="22" t="n">
        <v>0.00712260359706327</v>
      </c>
      <c r="I205" s="22" t="n">
        <v>0.0106926735958134</v>
      </c>
      <c r="J205" s="22" t="n">
        <v>0.00744434829388429</v>
      </c>
      <c r="K205" s="22" t="n">
        <v>0.000143648686216089</v>
      </c>
      <c r="L205" s="22" t="n">
        <v>0.00204956586244127</v>
      </c>
      <c r="M205" s="22" t="n">
        <v>0.00592385436490045</v>
      </c>
      <c r="N205" s="22" t="n">
        <v>0.000234762479638128</v>
      </c>
      <c r="O205" s="22" t="n">
        <v>0.00117066727917041</v>
      </c>
      <c r="P205" s="22" t="n">
        <v>0.000182452019338695</v>
      </c>
      <c r="Q205" s="22" t="n">
        <v>0.00660817689810868</v>
      </c>
      <c r="R205" s="22" t="n">
        <v>0.00139466853806176</v>
      </c>
      <c r="S205" s="23" t="n">
        <f aca="false">IF(A205="","",SUM(H205:R205))</f>
        <v>0.0429674216146364</v>
      </c>
      <c r="T205" s="17" t="str">
        <f aca="false">IF(A205="","",IF(AND(MIN(H205:R205)&gt;=0,MAX(H205:R205)&lt;=1,S205&lt;=1),"OK","CHECK"))</f>
        <v>OK</v>
      </c>
      <c r="U205" s="17" t="str">
        <f aca="false">IF(A205="","", "LOSS-"&amp;A205&amp;"-L"&amp;TEXT(B205,"00")&amp;"-"&amp;TEXT(C205,"yyyymmdd")&amp;"-"&amp;D205&amp;"-"&amp;E205)</f>
        <v>LOSS-KG01-L21-20251212-AM-ORD-2025-00185</v>
      </c>
      <c r="V205" s="17" t="str">
        <f aca="false">IF(U205="","",IF(COUNTIF($U$5:$U$935,U205)=1,"OK","CHECK"))</f>
        <v>OK</v>
      </c>
      <c r="W205" s="17" t="str">
        <f aca="false">IF(A205="","",IF(AND(T205="OK",V205="OK",G205&gt;=0),"OK","CHECK"))</f>
        <v>OK</v>
      </c>
    </row>
    <row r="206" customFormat="false" ht="18" hidden="false" customHeight="true" outlineLevel="0" collapsed="false">
      <c r="A206" s="18" t="s">
        <v>39</v>
      </c>
      <c r="B206" s="19" t="n">
        <v>21</v>
      </c>
      <c r="C206" s="20" t="n">
        <v>46003</v>
      </c>
      <c r="D206" s="18" t="s">
        <v>43</v>
      </c>
      <c r="E206" s="18" t="s">
        <v>81</v>
      </c>
      <c r="F206" s="18" t="s">
        <v>42</v>
      </c>
      <c r="G206" s="21" t="n">
        <v>15795</v>
      </c>
      <c r="H206" s="22" t="n">
        <v>0.00383902429701976</v>
      </c>
      <c r="I206" s="22" t="n">
        <v>0.00364095285611861</v>
      </c>
      <c r="J206" s="22" t="n">
        <v>0.0148762938917588</v>
      </c>
      <c r="K206" s="22" t="n">
        <v>0.00569149366010521</v>
      </c>
      <c r="L206" s="22" t="n">
        <v>0.00637005195533234</v>
      </c>
      <c r="M206" s="22" t="n">
        <v>0.000300298940548104</v>
      </c>
      <c r="N206" s="22" t="n">
        <v>0.0140079903429203</v>
      </c>
      <c r="O206" s="22" t="n">
        <v>0.0133503776034756</v>
      </c>
      <c r="P206" s="22" t="n">
        <v>0.00230792384530744</v>
      </c>
      <c r="Q206" s="22" t="n">
        <v>0.00474335111808264</v>
      </c>
      <c r="R206" s="22" t="n">
        <v>0.00456219782120894</v>
      </c>
      <c r="S206" s="23" t="n">
        <f aca="false">IF(A206="","",SUM(H206:R206))</f>
        <v>0.0736899563318777</v>
      </c>
      <c r="T206" s="17" t="str">
        <f aca="false">IF(A206="","",IF(AND(MIN(H206:R206)&gt;=0,MAX(H206:R206)&lt;=1,S206&lt;=1),"OK","CHECK"))</f>
        <v>OK</v>
      </c>
      <c r="U206" s="17" t="str">
        <f aca="false">IF(A206="","", "LOSS-"&amp;A206&amp;"-L"&amp;TEXT(B206,"00")&amp;"-"&amp;TEXT(C206,"yyyymmdd")&amp;"-"&amp;D206&amp;"-"&amp;E206)</f>
        <v>LOSS-KG01-L21-20251212-PM-ORD-2025-00185</v>
      </c>
      <c r="V206" s="17" t="str">
        <f aca="false">IF(U206="","",IF(COUNTIF($U$5:$U$935,U206)=1,"OK","CHECK"))</f>
        <v>OK</v>
      </c>
      <c r="W206" s="17" t="str">
        <f aca="false">IF(A206="","",IF(AND(T206="OK",V206="OK",G206&gt;=0),"OK","CHECK"))</f>
        <v>OK</v>
      </c>
    </row>
    <row r="207" customFormat="false" ht="18" hidden="false" customHeight="true" outlineLevel="0" collapsed="false">
      <c r="A207" s="18" t="s">
        <v>39</v>
      </c>
      <c r="B207" s="19" t="n">
        <v>21</v>
      </c>
      <c r="C207" s="20" t="n">
        <v>46004</v>
      </c>
      <c r="D207" s="18" t="s">
        <v>40</v>
      </c>
      <c r="E207" s="18" t="s">
        <v>81</v>
      </c>
      <c r="F207" s="18" t="s">
        <v>42</v>
      </c>
      <c r="G207" s="21" t="n">
        <v>3907</v>
      </c>
      <c r="H207" s="22" t="n">
        <v>0.00221754020585681</v>
      </c>
      <c r="I207" s="22" t="n">
        <v>0.00262756928726263</v>
      </c>
      <c r="J207" s="22" t="n">
        <v>0.000483914054588094</v>
      </c>
      <c r="K207" s="22" t="n">
        <v>6.38964699294575E-005</v>
      </c>
      <c r="L207" s="22" t="n">
        <v>0.00467085495245383</v>
      </c>
      <c r="M207" s="22" t="n">
        <v>0.00253753676272949</v>
      </c>
      <c r="N207" s="22" t="n">
        <v>0.0055114599652161</v>
      </c>
      <c r="O207" s="22" t="n">
        <v>0.00601498694729646</v>
      </c>
      <c r="P207" s="22" t="n">
        <v>0.000439634821362305</v>
      </c>
      <c r="Q207" s="22" t="n">
        <v>6.95686002573083E-005</v>
      </c>
      <c r="R207" s="22" t="n">
        <v>0.00119563845009624</v>
      </c>
      <c r="S207" s="23" t="n">
        <f aca="false">IF(A207="","",SUM(H207:R207))</f>
        <v>0.0258326005170487</v>
      </c>
      <c r="T207" s="17" t="str">
        <f aca="false">IF(A207="","",IF(AND(MIN(H207:R207)&gt;=0,MAX(H207:R207)&lt;=1,S207&lt;=1),"OK","CHECK"))</f>
        <v>OK</v>
      </c>
      <c r="U207" s="17" t="str">
        <f aca="false">IF(A207="","", "LOSS-"&amp;A207&amp;"-L"&amp;TEXT(B207,"00")&amp;"-"&amp;TEXT(C207,"yyyymmdd")&amp;"-"&amp;D207&amp;"-"&amp;E207)</f>
        <v>LOSS-KG01-L21-20251213-AM-ORD-2025-00185</v>
      </c>
      <c r="V207" s="17" t="str">
        <f aca="false">IF(U207="","",IF(COUNTIF($U$5:$U$935,U207)=1,"OK","CHECK"))</f>
        <v>OK</v>
      </c>
      <c r="W207" s="17" t="str">
        <f aca="false">IF(A207="","",IF(AND(T207="OK",V207="OK",G207&gt;=0),"OK","CHECK"))</f>
        <v>OK</v>
      </c>
    </row>
    <row r="208" customFormat="false" ht="18" hidden="false" customHeight="true" outlineLevel="0" collapsed="false">
      <c r="A208" s="18" t="s">
        <v>39</v>
      </c>
      <c r="B208" s="19" t="n">
        <v>21</v>
      </c>
      <c r="C208" s="20" t="n">
        <v>46004</v>
      </c>
      <c r="D208" s="18" t="s">
        <v>43</v>
      </c>
      <c r="E208" s="18" t="s">
        <v>82</v>
      </c>
      <c r="F208" s="18" t="s">
        <v>45</v>
      </c>
      <c r="G208" s="21" t="n">
        <v>4360</v>
      </c>
      <c r="H208" s="22" t="n">
        <v>0.000411937797813641</v>
      </c>
      <c r="I208" s="22" t="n">
        <v>0.00721256144885391</v>
      </c>
      <c r="J208" s="22" t="n">
        <v>0.00130923138658312</v>
      </c>
      <c r="K208" s="22" t="n">
        <v>0.0022390586809223</v>
      </c>
      <c r="L208" s="22" t="n">
        <v>0.000177913574411065</v>
      </c>
      <c r="M208" s="22" t="n">
        <v>0.000120965784589372</v>
      </c>
      <c r="N208" s="22" t="n">
        <v>0.00827990831203984</v>
      </c>
      <c r="O208" s="22" t="n">
        <v>0.00129812863405227</v>
      </c>
      <c r="P208" s="22" t="n">
        <v>0.00719110769878929</v>
      </c>
      <c r="Q208" s="22" t="n">
        <v>0.00604400557671436</v>
      </c>
      <c r="R208" s="22" t="n">
        <v>0.000193576752728785</v>
      </c>
      <c r="S208" s="23" t="n">
        <f aca="false">IF(A208="","",SUM(H208:R208))</f>
        <v>0.034478395647498</v>
      </c>
      <c r="T208" s="17" t="str">
        <f aca="false">IF(A208="","",IF(AND(MIN(H208:R208)&gt;=0,MAX(H208:R208)&lt;=1,S208&lt;=1),"OK","CHECK"))</f>
        <v>OK</v>
      </c>
      <c r="U208" s="17" t="str">
        <f aca="false">IF(A208="","", "LOSS-"&amp;A208&amp;"-L"&amp;TEXT(B208,"00")&amp;"-"&amp;TEXT(C208,"yyyymmdd")&amp;"-"&amp;D208&amp;"-"&amp;E208)</f>
        <v>LOSS-KG01-L21-20251213-PM-ORD-2025-00186</v>
      </c>
      <c r="V208" s="17" t="str">
        <f aca="false">IF(U208="","",IF(COUNTIF($U$5:$U$935,U208)=1,"OK","CHECK"))</f>
        <v>OK</v>
      </c>
      <c r="W208" s="17" t="str">
        <f aca="false">IF(A208="","",IF(AND(T208="OK",V208="OK",G208&gt;=0),"OK","CHECK"))</f>
        <v>OK</v>
      </c>
    </row>
    <row r="209" customFormat="false" ht="18" hidden="false" customHeight="true" outlineLevel="0" collapsed="false">
      <c r="A209" s="18" t="s">
        <v>39</v>
      </c>
      <c r="B209" s="19" t="n">
        <v>21</v>
      </c>
      <c r="C209" s="20" t="n">
        <v>46005</v>
      </c>
      <c r="D209" s="18" t="s">
        <v>40</v>
      </c>
      <c r="E209" s="18" t="s">
        <v>82</v>
      </c>
      <c r="F209" s="18" t="s">
        <v>42</v>
      </c>
      <c r="G209" s="21" t="n">
        <v>12517</v>
      </c>
      <c r="H209" s="22" t="n">
        <v>0.00327123565731259</v>
      </c>
      <c r="I209" s="22" t="n">
        <v>0.0107670941594847</v>
      </c>
      <c r="J209" s="22" t="n">
        <v>0.00469412614942147</v>
      </c>
      <c r="K209" s="22" t="n">
        <v>0.0133869386270484</v>
      </c>
      <c r="L209" s="22" t="n">
        <v>0.00273644101796396</v>
      </c>
      <c r="M209" s="22" t="n">
        <v>0.000685403344272587</v>
      </c>
      <c r="N209" s="22" t="n">
        <v>0.000778454252247667</v>
      </c>
      <c r="O209" s="22" t="n">
        <v>0.00861189889026639</v>
      </c>
      <c r="P209" s="22" t="n">
        <v>0.000212121009139992</v>
      </c>
      <c r="Q209" s="22" t="n">
        <v>0.0074715019642002</v>
      </c>
      <c r="R209" s="22" t="n">
        <v>0.000315936795419825</v>
      </c>
      <c r="S209" s="23" t="n">
        <f aca="false">IF(A209="","",SUM(H209:R209))</f>
        <v>0.0529311518667778</v>
      </c>
      <c r="T209" s="17" t="str">
        <f aca="false">IF(A209="","",IF(AND(MIN(H209:R209)&gt;=0,MAX(H209:R209)&lt;=1,S209&lt;=1),"OK","CHECK"))</f>
        <v>OK</v>
      </c>
      <c r="U209" s="17" t="str">
        <f aca="false">IF(A209="","", "LOSS-"&amp;A209&amp;"-L"&amp;TEXT(B209,"00")&amp;"-"&amp;TEXT(C209,"yyyymmdd")&amp;"-"&amp;D209&amp;"-"&amp;E209)</f>
        <v>LOSS-KG01-L21-20251214-AM-ORD-2025-00186</v>
      </c>
      <c r="V209" s="17" t="str">
        <f aca="false">IF(U209="","",IF(COUNTIF($U$5:$U$935,U209)=1,"OK","CHECK"))</f>
        <v>OK</v>
      </c>
      <c r="W209" s="17" t="str">
        <f aca="false">IF(A209="","",IF(AND(T209="OK",V209="OK",G209&gt;=0),"OK","CHECK"))</f>
        <v>OK</v>
      </c>
    </row>
    <row r="210" customFormat="false" ht="18" hidden="false" customHeight="true" outlineLevel="0" collapsed="false">
      <c r="A210" s="18" t="s">
        <v>39</v>
      </c>
      <c r="B210" s="19" t="n">
        <v>21</v>
      </c>
      <c r="C210" s="20" t="n">
        <v>46005</v>
      </c>
      <c r="D210" s="18" t="s">
        <v>43</v>
      </c>
      <c r="E210" s="18" t="s">
        <v>82</v>
      </c>
      <c r="F210" s="18" t="s">
        <v>42</v>
      </c>
      <c r="G210" s="21" t="n">
        <v>24175</v>
      </c>
      <c r="H210" s="22" t="n">
        <v>0.0205065261879659</v>
      </c>
      <c r="I210" s="22" t="n">
        <v>0.018490937859632</v>
      </c>
      <c r="J210" s="22" t="n">
        <v>0.00688287613540614</v>
      </c>
      <c r="K210" s="22" t="n">
        <v>0.000111612964735886</v>
      </c>
      <c r="L210" s="22" t="n">
        <v>0.000428824745187853</v>
      </c>
      <c r="M210" s="22" t="n">
        <v>0.0129076420829368</v>
      </c>
      <c r="N210" s="22" t="n">
        <v>0.00867577835241542</v>
      </c>
      <c r="O210" s="22" t="n">
        <v>0.0134602061702695</v>
      </c>
      <c r="P210" s="22" t="n">
        <v>0.000954670131418379</v>
      </c>
      <c r="Q210" s="22" t="n">
        <v>0.0008232890423343</v>
      </c>
      <c r="R210" s="22" t="n">
        <v>0.00076161153132274</v>
      </c>
      <c r="S210" s="23" t="n">
        <f aca="false">IF(A210="","",SUM(H210:R210))</f>
        <v>0.0840039752036249</v>
      </c>
      <c r="T210" s="17" t="str">
        <f aca="false">IF(A210="","",IF(AND(MIN(H210:R210)&gt;=0,MAX(H210:R210)&lt;=1,S210&lt;=1),"OK","CHECK"))</f>
        <v>OK</v>
      </c>
      <c r="U210" s="17" t="str">
        <f aca="false">IF(A210="","", "LOSS-"&amp;A210&amp;"-L"&amp;TEXT(B210,"00")&amp;"-"&amp;TEXT(C210,"yyyymmdd")&amp;"-"&amp;D210&amp;"-"&amp;E210)</f>
        <v>LOSS-KG01-L21-20251214-PM-ORD-2025-00186</v>
      </c>
      <c r="V210" s="17" t="str">
        <f aca="false">IF(U210="","",IF(COUNTIF($U$5:$U$935,U210)=1,"OK","CHECK"))</f>
        <v>OK</v>
      </c>
      <c r="W210" s="17" t="str">
        <f aca="false">IF(A210="","",IF(AND(T210="OK",V210="OK",G210&gt;=0),"OK","CHECK"))</f>
        <v>OK</v>
      </c>
    </row>
    <row r="211" customFormat="false" ht="18" hidden="false" customHeight="true" outlineLevel="0" collapsed="false">
      <c r="A211" s="18" t="s">
        <v>39</v>
      </c>
      <c r="B211" s="19" t="n">
        <v>21</v>
      </c>
      <c r="C211" s="20" t="n">
        <v>46006</v>
      </c>
      <c r="D211" s="18" t="s">
        <v>40</v>
      </c>
      <c r="E211" s="18" t="s">
        <v>82</v>
      </c>
      <c r="F211" s="18" t="s">
        <v>42</v>
      </c>
      <c r="G211" s="21" t="n">
        <v>10078</v>
      </c>
      <c r="H211" s="22" t="n">
        <v>0.000818044029504903</v>
      </c>
      <c r="I211" s="22" t="n">
        <v>2.12105158329295E-006</v>
      </c>
      <c r="J211" s="22" t="n">
        <v>0.00940925528045038</v>
      </c>
      <c r="K211" s="22" t="n">
        <v>0.00236320529506799</v>
      </c>
      <c r="L211" s="22" t="n">
        <v>0.00798140124751768</v>
      </c>
      <c r="M211" s="22" t="n">
        <v>0.00300637371400227</v>
      </c>
      <c r="N211" s="22" t="n">
        <v>0.000267445485587615</v>
      </c>
      <c r="O211" s="22" t="n">
        <v>0.00379004872977749</v>
      </c>
      <c r="P211" s="22" t="n">
        <v>0.0122630965762544</v>
      </c>
      <c r="Q211" s="22" t="n">
        <v>0.00301174886834003</v>
      </c>
      <c r="R211" s="22" t="n">
        <v>0.0071125751722808</v>
      </c>
      <c r="S211" s="23" t="n">
        <f aca="false">IF(A211="","",SUM(H211:R211))</f>
        <v>0.0500253154503669</v>
      </c>
      <c r="T211" s="17" t="str">
        <f aca="false">IF(A211="","",IF(AND(MIN(H211:R211)&gt;=0,MAX(H211:R211)&lt;=1,S211&lt;=1),"OK","CHECK"))</f>
        <v>OK</v>
      </c>
      <c r="U211" s="17" t="str">
        <f aca="false">IF(A211="","", "LOSS-"&amp;A211&amp;"-L"&amp;TEXT(B211,"00")&amp;"-"&amp;TEXT(C211,"yyyymmdd")&amp;"-"&amp;D211&amp;"-"&amp;E211)</f>
        <v>LOSS-KG01-L21-20251215-AM-ORD-2025-00186</v>
      </c>
      <c r="V211" s="17" t="str">
        <f aca="false">IF(U211="","",IF(COUNTIF($U$5:$U$935,U211)=1,"OK","CHECK"))</f>
        <v>OK</v>
      </c>
      <c r="W211" s="17" t="str">
        <f aca="false">IF(A211="","",IF(AND(T211="OK",V211="OK",G211&gt;=0),"OK","CHECK"))</f>
        <v>OK</v>
      </c>
    </row>
    <row r="212" customFormat="false" ht="18" hidden="false" customHeight="true" outlineLevel="0" collapsed="false">
      <c r="A212" s="18" t="s">
        <v>39</v>
      </c>
      <c r="B212" s="19" t="n">
        <v>21</v>
      </c>
      <c r="C212" s="20" t="n">
        <v>46006</v>
      </c>
      <c r="D212" s="18" t="s">
        <v>43</v>
      </c>
      <c r="E212" s="18" t="s">
        <v>83</v>
      </c>
      <c r="F212" s="18" t="s">
        <v>45</v>
      </c>
      <c r="G212" s="21" t="n">
        <v>11683</v>
      </c>
      <c r="H212" s="22" t="n">
        <v>0.00679786434012548</v>
      </c>
      <c r="I212" s="22" t="n">
        <v>0.0143407446164375</v>
      </c>
      <c r="J212" s="22" t="n">
        <v>6.01763165773795E-006</v>
      </c>
      <c r="K212" s="22" t="n">
        <v>0.000426961073516878</v>
      </c>
      <c r="L212" s="22" t="n">
        <v>0.000124157280795499</v>
      </c>
      <c r="M212" s="22" t="n">
        <v>0.0142345120663935</v>
      </c>
      <c r="N212" s="22" t="n">
        <v>0.0125887212255101</v>
      </c>
      <c r="O212" s="22" t="n">
        <v>0.0010391027979089</v>
      </c>
      <c r="P212" s="22" t="n">
        <v>0.000886726101406522</v>
      </c>
      <c r="Q212" s="22" t="n">
        <v>0.00541882369155269</v>
      </c>
      <c r="R212" s="22" t="n">
        <v>0.00618888781753874</v>
      </c>
      <c r="S212" s="23" t="n">
        <f aca="false">IF(A212="","",SUM(H212:R212))</f>
        <v>0.0620525186428436</v>
      </c>
      <c r="T212" s="17" t="str">
        <f aca="false">IF(A212="","",IF(AND(MIN(H212:R212)&gt;=0,MAX(H212:R212)&lt;=1,S212&lt;=1),"OK","CHECK"))</f>
        <v>OK</v>
      </c>
      <c r="U212" s="17" t="str">
        <f aca="false">IF(A212="","", "LOSS-"&amp;A212&amp;"-L"&amp;TEXT(B212,"00")&amp;"-"&amp;TEXT(C212,"yyyymmdd")&amp;"-"&amp;D212&amp;"-"&amp;E212)</f>
        <v>LOSS-KG01-L21-20251215-PM-ORD-2025-00187</v>
      </c>
      <c r="V212" s="17" t="str">
        <f aca="false">IF(U212="","",IF(COUNTIF($U$5:$U$935,U212)=1,"OK","CHECK"))</f>
        <v>OK</v>
      </c>
      <c r="W212" s="17" t="str">
        <f aca="false">IF(A212="","",IF(AND(T212="OK",V212="OK",G212&gt;=0),"OK","CHECK"))</f>
        <v>OK</v>
      </c>
    </row>
    <row r="213" customFormat="false" ht="18" hidden="false" customHeight="true" outlineLevel="0" collapsed="false">
      <c r="A213" s="18" t="s">
        <v>39</v>
      </c>
      <c r="B213" s="19" t="n">
        <v>21</v>
      </c>
      <c r="C213" s="20" t="n">
        <v>46007</v>
      </c>
      <c r="D213" s="18" t="s">
        <v>40</v>
      </c>
      <c r="E213" s="18" t="s">
        <v>83</v>
      </c>
      <c r="F213" s="18" t="s">
        <v>42</v>
      </c>
      <c r="G213" s="21" t="n">
        <v>5799</v>
      </c>
      <c r="H213" s="22" t="n">
        <v>0.0117315167614552</v>
      </c>
      <c r="I213" s="22" t="n">
        <v>0.00269274127592567</v>
      </c>
      <c r="J213" s="22" t="n">
        <v>0.00660315979564565</v>
      </c>
      <c r="K213" s="22" t="n">
        <v>0.00086883683985586</v>
      </c>
      <c r="L213" s="22" t="n">
        <v>0.00426979262388978</v>
      </c>
      <c r="M213" s="22" t="n">
        <v>0.0012219545884277</v>
      </c>
      <c r="N213" s="22" t="n">
        <v>0.000674173164277607</v>
      </c>
      <c r="O213" s="22" t="n">
        <v>0.0113197057260041</v>
      </c>
      <c r="P213" s="22" t="n">
        <v>0.000964057531754081</v>
      </c>
      <c r="Q213" s="22" t="n">
        <v>0.000110278790505667</v>
      </c>
      <c r="R213" s="22" t="n">
        <v>0.00185989498632167</v>
      </c>
      <c r="S213" s="23" t="n">
        <f aca="false">IF(A213="","",SUM(H213:R213))</f>
        <v>0.042316112084063</v>
      </c>
      <c r="T213" s="17" t="str">
        <f aca="false">IF(A213="","",IF(AND(MIN(H213:R213)&gt;=0,MAX(H213:R213)&lt;=1,S213&lt;=1),"OK","CHECK"))</f>
        <v>OK</v>
      </c>
      <c r="U213" s="17" t="str">
        <f aca="false">IF(A213="","", "LOSS-"&amp;A213&amp;"-L"&amp;TEXT(B213,"00")&amp;"-"&amp;TEXT(C213,"yyyymmdd")&amp;"-"&amp;D213&amp;"-"&amp;E213)</f>
        <v>LOSS-KG01-L21-20251216-AM-ORD-2025-00187</v>
      </c>
      <c r="V213" s="17" t="str">
        <f aca="false">IF(U213="","",IF(COUNTIF($U$5:$U$935,U213)=1,"OK","CHECK"))</f>
        <v>OK</v>
      </c>
      <c r="W213" s="17" t="str">
        <f aca="false">IF(A213="","",IF(AND(T213="OK",V213="OK",G213&gt;=0),"OK","CHECK"))</f>
        <v>OK</v>
      </c>
    </row>
    <row r="214" customFormat="false" ht="18" hidden="false" customHeight="true" outlineLevel="0" collapsed="false">
      <c r="A214" s="18" t="s">
        <v>39</v>
      </c>
      <c r="B214" s="19" t="n">
        <v>21</v>
      </c>
      <c r="C214" s="20" t="n">
        <v>46007</v>
      </c>
      <c r="D214" s="18" t="s">
        <v>43</v>
      </c>
      <c r="E214" s="18" t="s">
        <v>83</v>
      </c>
      <c r="F214" s="18" t="s">
        <v>42</v>
      </c>
      <c r="G214" s="21" t="n">
        <v>6156</v>
      </c>
      <c r="H214" s="22" t="n">
        <v>0.0108763997276271</v>
      </c>
      <c r="I214" s="22" t="n">
        <v>0.0066403741195752</v>
      </c>
      <c r="J214" s="22" t="n">
        <v>0.00192775046857284</v>
      </c>
      <c r="K214" s="22" t="n">
        <v>3.7703718234994E-005</v>
      </c>
      <c r="L214" s="22" t="n">
        <v>0.00185043578802558</v>
      </c>
      <c r="M214" s="22" t="n">
        <v>0.00813456771377569</v>
      </c>
      <c r="N214" s="22" t="n">
        <v>0.0114537009063827</v>
      </c>
      <c r="O214" s="22" t="n">
        <v>0.00440238384000579</v>
      </c>
      <c r="P214" s="22" t="n">
        <v>7.16796672100648E-005</v>
      </c>
      <c r="Q214" s="22" t="n">
        <v>0.00576507421653082</v>
      </c>
      <c r="R214" s="22" t="n">
        <v>0.00274063905391744</v>
      </c>
      <c r="S214" s="23" t="n">
        <f aca="false">IF(A214="","",SUM(H214:R214))</f>
        <v>0.0539007092198582</v>
      </c>
      <c r="T214" s="17" t="str">
        <f aca="false">IF(A214="","",IF(AND(MIN(H214:R214)&gt;=0,MAX(H214:R214)&lt;=1,S214&lt;=1),"OK","CHECK"))</f>
        <v>OK</v>
      </c>
      <c r="U214" s="17" t="str">
        <f aca="false">IF(A214="","", "LOSS-"&amp;A214&amp;"-L"&amp;TEXT(B214,"00")&amp;"-"&amp;TEXT(C214,"yyyymmdd")&amp;"-"&amp;D214&amp;"-"&amp;E214)</f>
        <v>LOSS-KG01-L21-20251216-PM-ORD-2025-00187</v>
      </c>
      <c r="V214" s="17" t="str">
        <f aca="false">IF(U214="","",IF(COUNTIF($U$5:$U$935,U214)=1,"OK","CHECK"))</f>
        <v>OK</v>
      </c>
      <c r="W214" s="17" t="str">
        <f aca="false">IF(A214="","",IF(AND(T214="OK",V214="OK",G214&gt;=0),"OK","CHECK"))</f>
        <v>OK</v>
      </c>
    </row>
    <row r="215" customFormat="false" ht="18" hidden="false" customHeight="true" outlineLevel="0" collapsed="false">
      <c r="A215" s="18" t="s">
        <v>39</v>
      </c>
      <c r="B215" s="19" t="n">
        <v>21</v>
      </c>
      <c r="C215" s="20" t="n">
        <v>46008</v>
      </c>
      <c r="D215" s="18" t="s">
        <v>40</v>
      </c>
      <c r="E215" s="18" t="s">
        <v>83</v>
      </c>
      <c r="F215" s="18" t="s">
        <v>42</v>
      </c>
      <c r="G215" s="21" t="n">
        <v>11177</v>
      </c>
      <c r="H215" s="22" t="n">
        <v>0.00981891070200091</v>
      </c>
      <c r="I215" s="22" t="n">
        <v>0.00378233826907992</v>
      </c>
      <c r="J215" s="22" t="n">
        <v>0.00333639241211073</v>
      </c>
      <c r="K215" s="22" t="n">
        <v>6.88907079298041E-005</v>
      </c>
      <c r="L215" s="22" t="n">
        <v>0.00318055322769246</v>
      </c>
      <c r="M215" s="22" t="n">
        <v>0.00414784287945414</v>
      </c>
      <c r="N215" s="22" t="n">
        <v>0.00167920942737472</v>
      </c>
      <c r="O215" s="22" t="n">
        <v>0.000251210425378001</v>
      </c>
      <c r="P215" s="22" t="n">
        <v>0.00303204163938076</v>
      </c>
      <c r="Q215" s="22" t="n">
        <v>0.0139792856335941</v>
      </c>
      <c r="R215" s="22" t="n">
        <v>0.00259386771888315</v>
      </c>
      <c r="S215" s="23" t="n">
        <f aca="false">IF(A215="","",SUM(H215:R215))</f>
        <v>0.0458705430428787</v>
      </c>
      <c r="T215" s="17" t="str">
        <f aca="false">IF(A215="","",IF(AND(MIN(H215:R215)&gt;=0,MAX(H215:R215)&lt;=1,S215&lt;=1),"OK","CHECK"))</f>
        <v>OK</v>
      </c>
      <c r="U215" s="17" t="str">
        <f aca="false">IF(A215="","", "LOSS-"&amp;A215&amp;"-L"&amp;TEXT(B215,"00")&amp;"-"&amp;TEXT(C215,"yyyymmdd")&amp;"-"&amp;D215&amp;"-"&amp;E215)</f>
        <v>LOSS-KG01-L21-20251217-AM-ORD-2025-00187</v>
      </c>
      <c r="V215" s="17" t="str">
        <f aca="false">IF(U215="","",IF(COUNTIF($U$5:$U$935,U215)=1,"OK","CHECK"))</f>
        <v>OK</v>
      </c>
      <c r="W215" s="17" t="str">
        <f aca="false">IF(A215="","",IF(AND(T215="OK",V215="OK",G215&gt;=0),"OK","CHECK"))</f>
        <v>OK</v>
      </c>
    </row>
    <row r="216" customFormat="false" ht="18" hidden="false" customHeight="true" outlineLevel="0" collapsed="false">
      <c r="A216" s="18" t="s">
        <v>39</v>
      </c>
      <c r="B216" s="19" t="n">
        <v>21</v>
      </c>
      <c r="C216" s="20" t="n">
        <v>46008</v>
      </c>
      <c r="D216" s="18" t="s">
        <v>43</v>
      </c>
      <c r="E216" s="18" t="s">
        <v>84</v>
      </c>
      <c r="F216" s="18" t="s">
        <v>45</v>
      </c>
      <c r="G216" s="21" t="n">
        <v>3437</v>
      </c>
      <c r="H216" s="22" t="n">
        <v>0.00115242855988869</v>
      </c>
      <c r="I216" s="22" t="n">
        <v>0.000532098455553386</v>
      </c>
      <c r="J216" s="22" t="n">
        <v>0.000227669299640776</v>
      </c>
      <c r="K216" s="22" t="n">
        <v>0.000901980541281269</v>
      </c>
      <c r="L216" s="22" t="n">
        <v>2.42026459347062E-006</v>
      </c>
      <c r="M216" s="22" t="n">
        <v>0.0166218161567852</v>
      </c>
      <c r="N216" s="22" t="n">
        <v>0.000707987736707549</v>
      </c>
      <c r="O216" s="22" t="n">
        <v>0.00081736849211326</v>
      </c>
      <c r="P216" s="22" t="n">
        <v>0.0173426184757638</v>
      </c>
      <c r="Q216" s="22" t="n">
        <v>0.00116018990452441</v>
      </c>
      <c r="R216" s="22" t="n">
        <v>0.000145256105334177</v>
      </c>
      <c r="S216" s="23" t="n">
        <f aca="false">IF(A216="","",SUM(H216:R216))</f>
        <v>0.039611833992186</v>
      </c>
      <c r="T216" s="17" t="str">
        <f aca="false">IF(A216="","",IF(AND(MIN(H216:R216)&gt;=0,MAX(H216:R216)&lt;=1,S216&lt;=1),"OK","CHECK"))</f>
        <v>OK</v>
      </c>
      <c r="U216" s="17" t="str">
        <f aca="false">IF(A216="","", "LOSS-"&amp;A216&amp;"-L"&amp;TEXT(B216,"00")&amp;"-"&amp;TEXT(C216,"yyyymmdd")&amp;"-"&amp;D216&amp;"-"&amp;E216)</f>
        <v>LOSS-KG01-L21-20251217-PM-ORD-2025-00188</v>
      </c>
      <c r="V216" s="17" t="str">
        <f aca="false">IF(U216="","",IF(COUNTIF($U$5:$U$935,U216)=1,"OK","CHECK"))</f>
        <v>OK</v>
      </c>
      <c r="W216" s="17" t="str">
        <f aca="false">IF(A216="","",IF(AND(T216="OK",V216="OK",G216&gt;=0),"OK","CHECK"))</f>
        <v>OK</v>
      </c>
    </row>
    <row r="217" customFormat="false" ht="18" hidden="false" customHeight="true" outlineLevel="0" collapsed="false">
      <c r="A217" s="18" t="s">
        <v>39</v>
      </c>
      <c r="B217" s="19" t="n">
        <v>21</v>
      </c>
      <c r="C217" s="20" t="n">
        <v>46009</v>
      </c>
      <c r="D217" s="18" t="s">
        <v>40</v>
      </c>
      <c r="E217" s="18" t="s">
        <v>84</v>
      </c>
      <c r="F217" s="18" t="s">
        <v>42</v>
      </c>
      <c r="G217" s="21" t="n">
        <v>6029</v>
      </c>
      <c r="H217" s="22" t="n">
        <v>0.00249821721883374</v>
      </c>
      <c r="I217" s="22" t="n">
        <v>1.54772358730153E-005</v>
      </c>
      <c r="J217" s="22" t="n">
        <v>0.00747966744920922</v>
      </c>
      <c r="K217" s="22" t="n">
        <v>0.00179902705509723</v>
      </c>
      <c r="L217" s="22" t="n">
        <v>1.77443596935327E-005</v>
      </c>
      <c r="M217" s="22" t="n">
        <v>6.67770373105569E-005</v>
      </c>
      <c r="N217" s="22" t="n">
        <v>0.000731979529262421</v>
      </c>
      <c r="O217" s="22" t="n">
        <v>0.00738967753319575</v>
      </c>
      <c r="P217" s="22" t="n">
        <v>0.00434268919358092</v>
      </c>
      <c r="Q217" s="22" t="n">
        <v>0.00706470815077893</v>
      </c>
      <c r="R217" s="22" t="n">
        <v>0.00192313033758317</v>
      </c>
      <c r="S217" s="23" t="n">
        <f aca="false">IF(A217="","",SUM(H217:R217))</f>
        <v>0.0333290951004185</v>
      </c>
      <c r="T217" s="17" t="str">
        <f aca="false">IF(A217="","",IF(AND(MIN(H217:R217)&gt;=0,MAX(H217:R217)&lt;=1,S217&lt;=1),"OK","CHECK"))</f>
        <v>OK</v>
      </c>
      <c r="U217" s="17" t="str">
        <f aca="false">IF(A217="","", "LOSS-"&amp;A217&amp;"-L"&amp;TEXT(B217,"00")&amp;"-"&amp;TEXT(C217,"yyyymmdd")&amp;"-"&amp;D217&amp;"-"&amp;E217)</f>
        <v>LOSS-KG01-L21-20251218-AM-ORD-2025-00188</v>
      </c>
      <c r="V217" s="17" t="str">
        <f aca="false">IF(U217="","",IF(COUNTIF($U$5:$U$935,U217)=1,"OK","CHECK"))</f>
        <v>OK</v>
      </c>
      <c r="W217" s="17" t="str">
        <f aca="false">IF(A217="","",IF(AND(T217="OK",V217="OK",G217&gt;=0),"OK","CHECK"))</f>
        <v>OK</v>
      </c>
    </row>
    <row r="218" customFormat="false" ht="18" hidden="false" customHeight="true" outlineLevel="0" collapsed="false">
      <c r="A218" s="18" t="s">
        <v>39</v>
      </c>
      <c r="B218" s="19" t="n">
        <v>21</v>
      </c>
      <c r="C218" s="20" t="n">
        <v>46009</v>
      </c>
      <c r="D218" s="18" t="s">
        <v>43</v>
      </c>
      <c r="E218" s="18" t="s">
        <v>84</v>
      </c>
      <c r="F218" s="18" t="s">
        <v>42</v>
      </c>
      <c r="G218" s="21" t="n">
        <v>20404</v>
      </c>
      <c r="H218" s="22" t="n">
        <v>0.00214502469826311</v>
      </c>
      <c r="I218" s="22" t="n">
        <v>0.00330996528338765</v>
      </c>
      <c r="J218" s="22" t="n">
        <v>0.002746439472884</v>
      </c>
      <c r="K218" s="22" t="n">
        <v>0.000363847942825136</v>
      </c>
      <c r="L218" s="22" t="n">
        <v>0.00987349803577873</v>
      </c>
      <c r="M218" s="22" t="n">
        <v>0.00238099050671584</v>
      </c>
      <c r="N218" s="22" t="n">
        <v>0.0174332568707411</v>
      </c>
      <c r="O218" s="22" t="n">
        <v>0.00550048901390189</v>
      </c>
      <c r="P218" s="22" t="n">
        <v>0.00546991967700975</v>
      </c>
      <c r="Q218" s="22" t="n">
        <v>0.0130298064692368</v>
      </c>
      <c r="R218" s="22" t="n">
        <v>1.21681703510544E-005</v>
      </c>
      <c r="S218" s="23" t="n">
        <f aca="false">IF(A218="","",SUM(H218:R218))</f>
        <v>0.0622654061410951</v>
      </c>
      <c r="T218" s="17" t="str">
        <f aca="false">IF(A218="","",IF(AND(MIN(H218:R218)&gt;=0,MAX(H218:R218)&lt;=1,S218&lt;=1),"OK","CHECK"))</f>
        <v>OK</v>
      </c>
      <c r="U218" s="17" t="str">
        <f aca="false">IF(A218="","", "LOSS-"&amp;A218&amp;"-L"&amp;TEXT(B218,"00")&amp;"-"&amp;TEXT(C218,"yyyymmdd")&amp;"-"&amp;D218&amp;"-"&amp;E218)</f>
        <v>LOSS-KG01-L21-20251218-PM-ORD-2025-00188</v>
      </c>
      <c r="V218" s="17" t="str">
        <f aca="false">IF(U218="","",IF(COUNTIF($U$5:$U$935,U218)=1,"OK","CHECK"))</f>
        <v>OK</v>
      </c>
      <c r="W218" s="17" t="str">
        <f aca="false">IF(A218="","",IF(AND(T218="OK",V218="OK",G218&gt;=0),"OK","CHECK"))</f>
        <v>OK</v>
      </c>
    </row>
    <row r="219" customFormat="false" ht="18" hidden="false" customHeight="true" outlineLevel="0" collapsed="false">
      <c r="A219" s="18" t="s">
        <v>39</v>
      </c>
      <c r="B219" s="19" t="n">
        <v>21</v>
      </c>
      <c r="C219" s="20" t="n">
        <v>46010</v>
      </c>
      <c r="D219" s="18" t="s">
        <v>40</v>
      </c>
      <c r="E219" s="18" t="s">
        <v>84</v>
      </c>
      <c r="F219" s="18" t="s">
        <v>42</v>
      </c>
      <c r="G219" s="21" t="n">
        <v>6679</v>
      </c>
      <c r="H219" s="22" t="n">
        <v>0.00724980658270342</v>
      </c>
      <c r="I219" s="22" t="n">
        <v>0.00260241110293265</v>
      </c>
      <c r="J219" s="22" t="n">
        <v>0.00863528437717315</v>
      </c>
      <c r="K219" s="22" t="n">
        <v>1.60088566063232E-005</v>
      </c>
      <c r="L219" s="22" t="n">
        <v>0.000297357353978044</v>
      </c>
      <c r="M219" s="22" t="n">
        <v>0.00532683923607931</v>
      </c>
      <c r="N219" s="22" t="n">
        <v>7.09508064537321E-005</v>
      </c>
      <c r="O219" s="22" t="n">
        <v>0.00448237033611005</v>
      </c>
      <c r="P219" s="22" t="n">
        <v>0.010385916967454</v>
      </c>
      <c r="Q219" s="22" t="n">
        <v>0.000613464674370301</v>
      </c>
      <c r="R219" s="22" t="n">
        <v>0.000532000825210823</v>
      </c>
      <c r="S219" s="23" t="n">
        <f aca="false">IF(A219="","",SUM(H219:R219))</f>
        <v>0.0402124111190718</v>
      </c>
      <c r="T219" s="17" t="str">
        <f aca="false">IF(A219="","",IF(AND(MIN(H219:R219)&gt;=0,MAX(H219:R219)&lt;=1,S219&lt;=1),"OK","CHECK"))</f>
        <v>OK</v>
      </c>
      <c r="U219" s="17" t="str">
        <f aca="false">IF(A219="","", "LOSS-"&amp;A219&amp;"-L"&amp;TEXT(B219,"00")&amp;"-"&amp;TEXT(C219,"yyyymmdd")&amp;"-"&amp;D219&amp;"-"&amp;E219)</f>
        <v>LOSS-KG01-L21-20251219-AM-ORD-2025-00188</v>
      </c>
      <c r="V219" s="17" t="str">
        <f aca="false">IF(U219="","",IF(COUNTIF($U$5:$U$935,U219)=1,"OK","CHECK"))</f>
        <v>OK</v>
      </c>
      <c r="W219" s="17" t="str">
        <f aca="false">IF(A219="","",IF(AND(T219="OK",V219="OK",G219&gt;=0),"OK","CHECK"))</f>
        <v>OK</v>
      </c>
    </row>
    <row r="220" customFormat="false" ht="18" hidden="false" customHeight="true" outlineLevel="0" collapsed="false">
      <c r="A220" s="18" t="s">
        <v>39</v>
      </c>
      <c r="B220" s="19" t="n">
        <v>21</v>
      </c>
      <c r="C220" s="20" t="n">
        <v>46010</v>
      </c>
      <c r="D220" s="18" t="s">
        <v>43</v>
      </c>
      <c r="E220" s="18" t="s">
        <v>84</v>
      </c>
      <c r="F220" s="18" t="s">
        <v>42</v>
      </c>
      <c r="G220" s="21" t="n">
        <v>15049</v>
      </c>
      <c r="H220" s="22" t="n">
        <v>0.00645731178248566</v>
      </c>
      <c r="I220" s="22" t="n">
        <v>0.000275907128183186</v>
      </c>
      <c r="J220" s="22" t="n">
        <v>0.00717944417552967</v>
      </c>
      <c r="K220" s="22" t="n">
        <v>0.0137225304975791</v>
      </c>
      <c r="L220" s="22" t="n">
        <v>0.00349881432914212</v>
      </c>
      <c r="M220" s="22" t="n">
        <v>0.0136911157383296</v>
      </c>
      <c r="N220" s="22" t="n">
        <v>0.00515268390783539</v>
      </c>
      <c r="O220" s="22" t="n">
        <v>0.00380760062485356</v>
      </c>
      <c r="P220" s="22" t="n">
        <v>0.00821510347622008</v>
      </c>
      <c r="Q220" s="22" t="n">
        <v>0.00278431915422458</v>
      </c>
      <c r="R220" s="22" t="n">
        <v>0.000239344231093737</v>
      </c>
      <c r="S220" s="23" t="n">
        <f aca="false">IF(A220="","",SUM(H220:R220))</f>
        <v>0.0650241750454767</v>
      </c>
      <c r="T220" s="17" t="str">
        <f aca="false">IF(A220="","",IF(AND(MIN(H220:R220)&gt;=0,MAX(H220:R220)&lt;=1,S220&lt;=1),"OK","CHECK"))</f>
        <v>OK</v>
      </c>
      <c r="U220" s="17" t="str">
        <f aca="false">IF(A220="","", "LOSS-"&amp;A220&amp;"-L"&amp;TEXT(B220,"00")&amp;"-"&amp;TEXT(C220,"yyyymmdd")&amp;"-"&amp;D220&amp;"-"&amp;E220)</f>
        <v>LOSS-KG01-L21-20251219-PM-ORD-2025-00188</v>
      </c>
      <c r="V220" s="17" t="str">
        <f aca="false">IF(U220="","",IF(COUNTIF($U$5:$U$935,U220)=1,"OK","CHECK"))</f>
        <v>OK</v>
      </c>
      <c r="W220" s="17" t="str">
        <f aca="false">IF(A220="","",IF(AND(T220="OK",V220="OK",G220&gt;=0),"OK","CHECK"))</f>
        <v>OK</v>
      </c>
    </row>
    <row r="221" customFormat="false" ht="18" hidden="false" customHeight="true" outlineLevel="0" collapsed="false">
      <c r="A221" s="18" t="s">
        <v>39</v>
      </c>
      <c r="B221" s="19" t="n">
        <v>21</v>
      </c>
      <c r="C221" s="20" t="n">
        <v>46011</v>
      </c>
      <c r="D221" s="18" t="s">
        <v>40</v>
      </c>
      <c r="E221" s="18" t="s">
        <v>84</v>
      </c>
      <c r="F221" s="18" t="s">
        <v>42</v>
      </c>
      <c r="G221" s="21" t="n">
        <v>5565</v>
      </c>
      <c r="H221" s="22" t="n">
        <v>0.000510990190962404</v>
      </c>
      <c r="I221" s="22" t="n">
        <v>0.00234818189506927</v>
      </c>
      <c r="J221" s="22" t="n">
        <v>0.00533931639401932</v>
      </c>
      <c r="K221" s="22" t="n">
        <v>9.67162970054719E-006</v>
      </c>
      <c r="L221" s="22" t="n">
        <v>0.00306894570973324</v>
      </c>
      <c r="M221" s="22" t="n">
        <v>0.00281695579681858</v>
      </c>
      <c r="N221" s="22" t="n">
        <v>0.000345380094384952</v>
      </c>
      <c r="O221" s="22" t="n">
        <v>0.00600479430948806</v>
      </c>
      <c r="P221" s="22" t="n">
        <v>0.00222485117197705</v>
      </c>
      <c r="Q221" s="22" t="n">
        <v>0.00554427486883539</v>
      </c>
      <c r="R221" s="22" t="n">
        <v>0.00194139442512862</v>
      </c>
      <c r="S221" s="23" t="n">
        <f aca="false">IF(A221="","",SUM(H221:R221))</f>
        <v>0.0301547564861174</v>
      </c>
      <c r="T221" s="17" t="str">
        <f aca="false">IF(A221="","",IF(AND(MIN(H221:R221)&gt;=0,MAX(H221:R221)&lt;=1,S221&lt;=1),"OK","CHECK"))</f>
        <v>OK</v>
      </c>
      <c r="U221" s="17" t="str">
        <f aca="false">IF(A221="","", "LOSS-"&amp;A221&amp;"-L"&amp;TEXT(B221,"00")&amp;"-"&amp;TEXT(C221,"yyyymmdd")&amp;"-"&amp;D221&amp;"-"&amp;E221)</f>
        <v>LOSS-KG01-L21-20251220-AM-ORD-2025-00188</v>
      </c>
      <c r="V221" s="17" t="str">
        <f aca="false">IF(U221="","",IF(COUNTIF($U$5:$U$935,U221)=1,"OK","CHECK"))</f>
        <v>OK</v>
      </c>
      <c r="W221" s="17" t="str">
        <f aca="false">IF(A221="","",IF(AND(T221="OK",V221="OK",G221&gt;=0),"OK","CHECK"))</f>
        <v>OK</v>
      </c>
    </row>
    <row r="222" customFormat="false" ht="18" hidden="false" customHeight="true" outlineLevel="0" collapsed="false">
      <c r="A222" s="18" t="s">
        <v>39</v>
      </c>
      <c r="B222" s="19" t="n">
        <v>21</v>
      </c>
      <c r="C222" s="20" t="n">
        <v>46011</v>
      </c>
      <c r="D222" s="18" t="s">
        <v>43</v>
      </c>
      <c r="E222" s="18" t="s">
        <v>84</v>
      </c>
      <c r="F222" s="18" t="s">
        <v>42</v>
      </c>
      <c r="G222" s="21" t="n">
        <v>9013</v>
      </c>
      <c r="H222" s="22" t="n">
        <v>0.0147329411398193</v>
      </c>
      <c r="I222" s="22" t="n">
        <v>0.000141362777802674</v>
      </c>
      <c r="J222" s="22" t="n">
        <v>3.3263379759155E-006</v>
      </c>
      <c r="K222" s="22" t="n">
        <v>0.00874944577023538</v>
      </c>
      <c r="L222" s="22" t="n">
        <v>0.00142758936915816</v>
      </c>
      <c r="M222" s="22" t="n">
        <v>0.0112133648180027</v>
      </c>
      <c r="N222" s="22" t="n">
        <v>0.00947321176822964</v>
      </c>
      <c r="O222" s="22" t="n">
        <v>0.0119382369161475</v>
      </c>
      <c r="P222" s="22" t="n">
        <v>0.00370861389086484</v>
      </c>
      <c r="Q222" s="22" t="n">
        <v>0.00308190456117127</v>
      </c>
      <c r="R222" s="22" t="n">
        <v>0.000429158018292021</v>
      </c>
      <c r="S222" s="23" t="n">
        <f aca="false">IF(A222="","",SUM(H222:R222))</f>
        <v>0.0648991553676994</v>
      </c>
      <c r="T222" s="17" t="str">
        <f aca="false">IF(A222="","",IF(AND(MIN(H222:R222)&gt;=0,MAX(H222:R222)&lt;=1,S222&lt;=1),"OK","CHECK"))</f>
        <v>OK</v>
      </c>
      <c r="U222" s="17" t="str">
        <f aca="false">IF(A222="","", "LOSS-"&amp;A222&amp;"-L"&amp;TEXT(B222,"00")&amp;"-"&amp;TEXT(C222,"yyyymmdd")&amp;"-"&amp;D222&amp;"-"&amp;E222)</f>
        <v>LOSS-KG01-L21-20251220-PM-ORD-2025-00188</v>
      </c>
      <c r="V222" s="17" t="str">
        <f aca="false">IF(U222="","",IF(COUNTIF($U$5:$U$935,U222)=1,"OK","CHECK"))</f>
        <v>OK</v>
      </c>
      <c r="W222" s="17" t="str">
        <f aca="false">IF(A222="","",IF(AND(T222="OK",V222="OK",G222&gt;=0),"OK","CHECK"))</f>
        <v>OK</v>
      </c>
    </row>
    <row r="223" customFormat="false" ht="18" hidden="false" customHeight="true" outlineLevel="0" collapsed="false">
      <c r="A223" s="18" t="s">
        <v>39</v>
      </c>
      <c r="B223" s="19" t="n">
        <v>21</v>
      </c>
      <c r="C223" s="20" t="n">
        <v>46012</v>
      </c>
      <c r="D223" s="18" t="s">
        <v>40</v>
      </c>
      <c r="E223" s="18" t="s">
        <v>84</v>
      </c>
      <c r="F223" s="18" t="s">
        <v>42</v>
      </c>
      <c r="G223" s="21" t="n">
        <v>3504</v>
      </c>
      <c r="H223" s="22" t="n">
        <v>0.000674112595169651</v>
      </c>
      <c r="I223" s="22" t="n">
        <v>3.58411683588729E-005</v>
      </c>
      <c r="J223" s="22" t="n">
        <v>0.00256398621660557</v>
      </c>
      <c r="K223" s="22" t="n">
        <v>0.000963285799582741</v>
      </c>
      <c r="L223" s="22" t="n">
        <v>3.90348970748031E-005</v>
      </c>
      <c r="M223" s="22" t="n">
        <v>0.00389598449966355</v>
      </c>
      <c r="N223" s="22" t="n">
        <v>0.00163762157772696</v>
      </c>
      <c r="O223" s="22" t="n">
        <v>0.00750204413037846</v>
      </c>
      <c r="P223" s="22" t="n">
        <v>0.00738595732707125</v>
      </c>
      <c r="Q223" s="22" t="n">
        <v>0.0044927808469527</v>
      </c>
      <c r="R223" s="22" t="n">
        <v>0.00150741654276111</v>
      </c>
      <c r="S223" s="23" t="n">
        <f aca="false">IF(A223="","",SUM(H223:R223))</f>
        <v>0.0306980656013457</v>
      </c>
      <c r="T223" s="17" t="str">
        <f aca="false">IF(A223="","",IF(AND(MIN(H223:R223)&gt;=0,MAX(H223:R223)&lt;=1,S223&lt;=1),"OK","CHECK"))</f>
        <v>OK</v>
      </c>
      <c r="U223" s="17" t="str">
        <f aca="false">IF(A223="","", "LOSS-"&amp;A223&amp;"-L"&amp;TEXT(B223,"00")&amp;"-"&amp;TEXT(C223,"yyyymmdd")&amp;"-"&amp;D223&amp;"-"&amp;E223)</f>
        <v>LOSS-KG01-L21-20251221-AM-ORD-2025-00188</v>
      </c>
      <c r="V223" s="17" t="str">
        <f aca="false">IF(U223="","",IF(COUNTIF($U$5:$U$935,U223)=1,"OK","CHECK"))</f>
        <v>OK</v>
      </c>
      <c r="W223" s="17" t="str">
        <f aca="false">IF(A223="","",IF(AND(T223="OK",V223="OK",G223&gt;=0),"OK","CHECK"))</f>
        <v>OK</v>
      </c>
    </row>
    <row r="224" customFormat="false" ht="18" hidden="false" customHeight="true" outlineLevel="0" collapsed="false">
      <c r="A224" s="18" t="s">
        <v>39</v>
      </c>
      <c r="B224" s="19" t="n">
        <v>21</v>
      </c>
      <c r="C224" s="20" t="n">
        <v>46012</v>
      </c>
      <c r="D224" s="18" t="s">
        <v>43</v>
      </c>
      <c r="E224" s="18" t="s">
        <v>84</v>
      </c>
      <c r="F224" s="18" t="s">
        <v>42</v>
      </c>
      <c r="G224" s="21" t="n">
        <v>5449</v>
      </c>
      <c r="H224" s="22" t="n">
        <v>0.00883990757236944</v>
      </c>
      <c r="I224" s="22" t="n">
        <v>0.00914220134144575</v>
      </c>
      <c r="J224" s="22" t="n">
        <v>0.00977236700136489</v>
      </c>
      <c r="K224" s="22" t="n">
        <v>0.00246747732570242</v>
      </c>
      <c r="L224" s="22" t="n">
        <v>0.0013673977136934</v>
      </c>
      <c r="M224" s="22" t="n">
        <v>0.000850317280893317</v>
      </c>
      <c r="N224" s="22" t="n">
        <v>0.00173168880041268</v>
      </c>
      <c r="O224" s="22" t="n">
        <v>0.00397459181697034</v>
      </c>
      <c r="P224" s="22" t="n">
        <v>0.00479421086458145</v>
      </c>
      <c r="Q224" s="22" t="n">
        <v>0.00201136261117261</v>
      </c>
      <c r="R224" s="22" t="n">
        <v>0.00271834915782936</v>
      </c>
      <c r="S224" s="23" t="n">
        <f aca="false">IF(A224="","",SUM(H224:R224))</f>
        <v>0.0476698714864357</v>
      </c>
      <c r="T224" s="17" t="str">
        <f aca="false">IF(A224="","",IF(AND(MIN(H224:R224)&gt;=0,MAX(H224:R224)&lt;=1,S224&lt;=1),"OK","CHECK"))</f>
        <v>OK</v>
      </c>
      <c r="U224" s="17" t="str">
        <f aca="false">IF(A224="","", "LOSS-"&amp;A224&amp;"-L"&amp;TEXT(B224,"00")&amp;"-"&amp;TEXT(C224,"yyyymmdd")&amp;"-"&amp;D224&amp;"-"&amp;E224)</f>
        <v>LOSS-KG01-L21-20251221-PM-ORD-2025-00188</v>
      </c>
      <c r="V224" s="17" t="str">
        <f aca="false">IF(U224="","",IF(COUNTIF($U$5:$U$935,U224)=1,"OK","CHECK"))</f>
        <v>OK</v>
      </c>
      <c r="W224" s="17" t="str">
        <f aca="false">IF(A224="","",IF(AND(T224="OK",V224="OK",G224&gt;=0),"OK","CHECK"))</f>
        <v>OK</v>
      </c>
    </row>
    <row r="225" customFormat="false" ht="18" hidden="false" customHeight="true" outlineLevel="0" collapsed="false">
      <c r="A225" s="18" t="s">
        <v>39</v>
      </c>
      <c r="B225" s="19" t="n">
        <v>21</v>
      </c>
      <c r="C225" s="20" t="n">
        <v>46013</v>
      </c>
      <c r="D225" s="18" t="s">
        <v>40</v>
      </c>
      <c r="E225" s="18" t="s">
        <v>84</v>
      </c>
      <c r="F225" s="18" t="s">
        <v>42</v>
      </c>
      <c r="G225" s="21" t="n">
        <v>19641</v>
      </c>
      <c r="H225" s="22" t="n">
        <v>0.00839611311426129</v>
      </c>
      <c r="I225" s="22" t="n">
        <v>0.00211693644158323</v>
      </c>
      <c r="J225" s="22" t="n">
        <v>0.000150004597607777</v>
      </c>
      <c r="K225" s="22" t="n">
        <v>0.00367399409087029</v>
      </c>
      <c r="L225" s="22" t="n">
        <v>0.00435946364009911</v>
      </c>
      <c r="M225" s="22" t="n">
        <v>0.016566613558658</v>
      </c>
      <c r="N225" s="22" t="n">
        <v>0.0211443688304832</v>
      </c>
      <c r="O225" s="22" t="n">
        <v>3.91912119312164E-005</v>
      </c>
      <c r="P225" s="22" t="n">
        <v>0.0205590351816792</v>
      </c>
      <c r="Q225" s="22" t="n">
        <v>7.00605129224692E-005</v>
      </c>
      <c r="R225" s="22" t="n">
        <v>0.0134503405446064</v>
      </c>
      <c r="S225" s="23" t="n">
        <f aca="false">IF(A225="","",SUM(H225:R225))</f>
        <v>0.0905261217247022</v>
      </c>
      <c r="T225" s="17" t="str">
        <f aca="false">IF(A225="","",IF(AND(MIN(H225:R225)&gt;=0,MAX(H225:R225)&lt;=1,S225&lt;=1),"OK","CHECK"))</f>
        <v>OK</v>
      </c>
      <c r="U225" s="17" t="str">
        <f aca="false">IF(A225="","", "LOSS-"&amp;A225&amp;"-L"&amp;TEXT(B225,"00")&amp;"-"&amp;TEXT(C225,"yyyymmdd")&amp;"-"&amp;D225&amp;"-"&amp;E225)</f>
        <v>LOSS-KG01-L21-20251222-AM-ORD-2025-00188</v>
      </c>
      <c r="V225" s="17" t="str">
        <f aca="false">IF(U225="","",IF(COUNTIF($U$5:$U$935,U225)=1,"OK","CHECK"))</f>
        <v>OK</v>
      </c>
      <c r="W225" s="17" t="str">
        <f aca="false">IF(A225="","",IF(AND(T225="OK",V225="OK",G225&gt;=0),"OK","CHECK"))</f>
        <v>OK</v>
      </c>
    </row>
    <row r="226" customFormat="false" ht="18" hidden="false" customHeight="true" outlineLevel="0" collapsed="false">
      <c r="A226" s="18" t="s">
        <v>39</v>
      </c>
      <c r="B226" s="19" t="n">
        <v>21</v>
      </c>
      <c r="C226" s="20" t="n">
        <v>46013</v>
      </c>
      <c r="D226" s="18" t="s">
        <v>43</v>
      </c>
      <c r="E226" s="18" t="s">
        <v>85</v>
      </c>
      <c r="F226" s="18" t="s">
        <v>45</v>
      </c>
      <c r="G226" s="21" t="n">
        <v>7467</v>
      </c>
      <c r="H226" s="22" t="n">
        <v>0.0123481887520237</v>
      </c>
      <c r="I226" s="22" t="n">
        <v>0.00793121857651248</v>
      </c>
      <c r="J226" s="22" t="n">
        <v>0.000602462549606821</v>
      </c>
      <c r="K226" s="22" t="n">
        <v>0.000279617010574961</v>
      </c>
      <c r="L226" s="22" t="n">
        <v>0.00356194297867249</v>
      </c>
      <c r="M226" s="22" t="n">
        <v>0.0081974117321416</v>
      </c>
      <c r="N226" s="22" t="n">
        <v>0.0183850697035064</v>
      </c>
      <c r="O226" s="22" t="n">
        <v>0.00125467938709262</v>
      </c>
      <c r="P226" s="22" t="n">
        <v>0.0192709904556954</v>
      </c>
      <c r="Q226" s="22" t="n">
        <v>0.011292002817851</v>
      </c>
      <c r="R226" s="22" t="n">
        <v>0.00307057510362035</v>
      </c>
      <c r="S226" s="23" t="n">
        <f aca="false">IF(A226="","",SUM(H226:R226))</f>
        <v>0.0861941590672978</v>
      </c>
      <c r="T226" s="17" t="str">
        <f aca="false">IF(A226="","",IF(AND(MIN(H226:R226)&gt;=0,MAX(H226:R226)&lt;=1,S226&lt;=1),"OK","CHECK"))</f>
        <v>OK</v>
      </c>
      <c r="U226" s="17" t="str">
        <f aca="false">IF(A226="","", "LOSS-"&amp;A226&amp;"-L"&amp;TEXT(B226,"00")&amp;"-"&amp;TEXT(C226,"yyyymmdd")&amp;"-"&amp;D226&amp;"-"&amp;E226)</f>
        <v>LOSS-KG01-L21-20251222-PM-ORD-2025-00189</v>
      </c>
      <c r="V226" s="17" t="str">
        <f aca="false">IF(U226="","",IF(COUNTIF($U$5:$U$935,U226)=1,"OK","CHECK"))</f>
        <v>OK</v>
      </c>
      <c r="W226" s="17" t="str">
        <f aca="false">IF(A226="","",IF(AND(T226="OK",V226="OK",G226&gt;=0),"OK","CHECK"))</f>
        <v>OK</v>
      </c>
    </row>
    <row r="227" customFormat="false" ht="18" hidden="false" customHeight="true" outlineLevel="0" collapsed="false">
      <c r="A227" s="18" t="s">
        <v>39</v>
      </c>
      <c r="B227" s="19" t="n">
        <v>21</v>
      </c>
      <c r="C227" s="20" t="n">
        <v>46014</v>
      </c>
      <c r="D227" s="18" t="s">
        <v>40</v>
      </c>
      <c r="E227" s="18" t="s">
        <v>85</v>
      </c>
      <c r="F227" s="18" t="s">
        <v>61</v>
      </c>
      <c r="G227" s="21" t="n">
        <v>12089</v>
      </c>
      <c r="H227" s="22" t="n">
        <v>0.0052346967649746</v>
      </c>
      <c r="I227" s="22" t="n">
        <v>0.00682949778464603</v>
      </c>
      <c r="J227" s="22" t="n">
        <v>0.0159700953757356</v>
      </c>
      <c r="K227" s="22" t="n">
        <v>0.000283984379066065</v>
      </c>
      <c r="L227" s="22" t="n">
        <v>0.000775097608139845</v>
      </c>
      <c r="M227" s="22" t="n">
        <v>0.000279986924381195</v>
      </c>
      <c r="N227" s="22" t="n">
        <v>0.0219597217423933</v>
      </c>
      <c r="O227" s="22" t="n">
        <v>0.00375797337483033</v>
      </c>
      <c r="P227" s="22" t="n">
        <v>0.00447402628081069</v>
      </c>
      <c r="Q227" s="22" t="n">
        <v>0.00384510918169822</v>
      </c>
      <c r="R227" s="22" t="n">
        <v>9.91355110888003E-005</v>
      </c>
      <c r="S227" s="23" t="n">
        <f aca="false">IF(A227="","",SUM(H227:R227))</f>
        <v>0.0635093249277647</v>
      </c>
      <c r="T227" s="17" t="str">
        <f aca="false">IF(A227="","",IF(AND(MIN(H227:R227)&gt;=0,MAX(H227:R227)&lt;=1,S227&lt;=1),"OK","CHECK"))</f>
        <v>OK</v>
      </c>
      <c r="U227" s="17" t="str">
        <f aca="false">IF(A227="","", "LOSS-"&amp;A227&amp;"-L"&amp;TEXT(B227,"00")&amp;"-"&amp;TEXT(C227,"yyyymmdd")&amp;"-"&amp;D227&amp;"-"&amp;E227)</f>
        <v>LOSS-KG01-L21-20251223-AM-ORD-2025-00189</v>
      </c>
      <c r="V227" s="17" t="str">
        <f aca="false">IF(U227="","",IF(COUNTIF($U$5:$U$935,U227)=1,"OK","CHECK"))</f>
        <v>OK</v>
      </c>
      <c r="W227" s="17" t="str">
        <f aca="false">IF(A227="","",IF(AND(T227="OK",V227="OK",G227&gt;=0),"OK","CHECK"))</f>
        <v>OK</v>
      </c>
    </row>
    <row r="228" customFormat="false" ht="18" hidden="false" customHeight="true" outlineLevel="0" collapsed="false">
      <c r="A228" s="18" t="s">
        <v>39</v>
      </c>
      <c r="B228" s="19" t="n">
        <v>21</v>
      </c>
      <c r="C228" s="20" t="n">
        <v>46014</v>
      </c>
      <c r="D228" s="18" t="s">
        <v>43</v>
      </c>
      <c r="E228" s="18" t="s">
        <v>85</v>
      </c>
      <c r="F228" s="18" t="s">
        <v>42</v>
      </c>
      <c r="G228" s="21" t="n">
        <v>22248</v>
      </c>
      <c r="H228" s="22" t="n">
        <v>0.00336347835542484</v>
      </c>
      <c r="I228" s="22" t="n">
        <v>0.0104777098440754</v>
      </c>
      <c r="J228" s="22" t="n">
        <v>0.00129697519641812</v>
      </c>
      <c r="K228" s="22" t="n">
        <v>0.0157627340533529</v>
      </c>
      <c r="L228" s="22" t="n">
        <v>0.000374933910533811</v>
      </c>
      <c r="M228" s="22" t="n">
        <v>0.00592760785020367</v>
      </c>
      <c r="N228" s="22" t="n">
        <v>0.00852283036982906</v>
      </c>
      <c r="O228" s="22" t="n">
        <v>0.0258087467354327</v>
      </c>
      <c r="P228" s="22" t="n">
        <v>0.000607392980140415</v>
      </c>
      <c r="Q228" s="22" t="n">
        <v>0.00130718085123558</v>
      </c>
      <c r="R228" s="22" t="n">
        <v>0.00926134168970126</v>
      </c>
      <c r="S228" s="23" t="n">
        <f aca="false">IF(A228="","",SUM(H228:R228))</f>
        <v>0.0827109318363478</v>
      </c>
      <c r="T228" s="17" t="str">
        <f aca="false">IF(A228="","",IF(AND(MIN(H228:R228)&gt;=0,MAX(H228:R228)&lt;=1,S228&lt;=1),"OK","CHECK"))</f>
        <v>OK</v>
      </c>
      <c r="U228" s="17" t="str">
        <f aca="false">IF(A228="","", "LOSS-"&amp;A228&amp;"-L"&amp;TEXT(B228,"00")&amp;"-"&amp;TEXT(C228,"yyyymmdd")&amp;"-"&amp;D228&amp;"-"&amp;E228)</f>
        <v>LOSS-KG01-L21-20251223-PM-ORD-2025-00189</v>
      </c>
      <c r="V228" s="17" t="str">
        <f aca="false">IF(U228="","",IF(COUNTIF($U$5:$U$935,U228)=1,"OK","CHECK"))</f>
        <v>OK</v>
      </c>
      <c r="W228" s="17" t="str">
        <f aca="false">IF(A228="","",IF(AND(T228="OK",V228="OK",G228&gt;=0),"OK","CHECK"))</f>
        <v>OK</v>
      </c>
    </row>
    <row r="229" customFormat="false" ht="18" hidden="false" customHeight="true" outlineLevel="0" collapsed="false">
      <c r="A229" s="18" t="s">
        <v>39</v>
      </c>
      <c r="B229" s="19" t="n">
        <v>21</v>
      </c>
      <c r="C229" s="20" t="n">
        <v>46015</v>
      </c>
      <c r="D229" s="18" t="s">
        <v>40</v>
      </c>
      <c r="E229" s="18" t="s">
        <v>85</v>
      </c>
      <c r="F229" s="18" t="s">
        <v>42</v>
      </c>
      <c r="G229" s="21" t="n">
        <v>28835</v>
      </c>
      <c r="H229" s="22" t="n">
        <v>0.0180884847382616</v>
      </c>
      <c r="I229" s="22" t="n">
        <v>0.0111113602587822</v>
      </c>
      <c r="J229" s="22" t="n">
        <v>7.21817616042911E-005</v>
      </c>
      <c r="K229" s="22" t="n">
        <v>0.012118554580572</v>
      </c>
      <c r="L229" s="22" t="n">
        <v>0.0115564386074837</v>
      </c>
      <c r="M229" s="22" t="n">
        <v>0.0177513075236735</v>
      </c>
      <c r="N229" s="22" t="n">
        <v>0.000844361283294394</v>
      </c>
      <c r="O229" s="22" t="n">
        <v>0.000829175061587781</v>
      </c>
      <c r="P229" s="22" t="n">
        <v>9.75764757251079E-006</v>
      </c>
      <c r="Q229" s="22" t="n">
        <v>0.0106683963978749</v>
      </c>
      <c r="R229" s="22" t="n">
        <v>0.00331567427787359</v>
      </c>
      <c r="S229" s="23" t="n">
        <f aca="false">IF(A229="","",SUM(H229:R229))</f>
        <v>0.0863656921385805</v>
      </c>
      <c r="T229" s="17" t="str">
        <f aca="false">IF(A229="","",IF(AND(MIN(H229:R229)&gt;=0,MAX(H229:R229)&lt;=1,S229&lt;=1),"OK","CHECK"))</f>
        <v>OK</v>
      </c>
      <c r="U229" s="17" t="str">
        <f aca="false">IF(A229="","", "LOSS-"&amp;A229&amp;"-L"&amp;TEXT(B229,"00")&amp;"-"&amp;TEXT(C229,"yyyymmdd")&amp;"-"&amp;D229&amp;"-"&amp;E229)</f>
        <v>LOSS-KG01-L21-20251224-AM-ORD-2025-00189</v>
      </c>
      <c r="V229" s="17" t="str">
        <f aca="false">IF(U229="","",IF(COUNTIF($U$5:$U$935,U229)=1,"OK","CHECK"))</f>
        <v>OK</v>
      </c>
      <c r="W229" s="17" t="str">
        <f aca="false">IF(A229="","",IF(AND(T229="OK",V229="OK",G229&gt;=0),"OK","CHECK"))</f>
        <v>OK</v>
      </c>
    </row>
    <row r="230" customFormat="false" ht="18" hidden="false" customHeight="true" outlineLevel="0" collapsed="false">
      <c r="A230" s="18" t="s">
        <v>39</v>
      </c>
      <c r="B230" s="19" t="n">
        <v>21</v>
      </c>
      <c r="C230" s="20" t="n">
        <v>46015</v>
      </c>
      <c r="D230" s="18" t="s">
        <v>43</v>
      </c>
      <c r="E230" s="18" t="s">
        <v>85</v>
      </c>
      <c r="F230" s="18" t="s">
        <v>42</v>
      </c>
      <c r="G230" s="21" t="n">
        <v>12303</v>
      </c>
      <c r="H230" s="22" t="n">
        <v>0.00176516438317993</v>
      </c>
      <c r="I230" s="22" t="n">
        <v>0.000861558596425873</v>
      </c>
      <c r="J230" s="22" t="n">
        <v>0.000558097841252927</v>
      </c>
      <c r="K230" s="22" t="n">
        <v>0.00208419965835614</v>
      </c>
      <c r="L230" s="22" t="n">
        <v>0.000185472432946813</v>
      </c>
      <c r="M230" s="22" t="n">
        <v>0.0212098944446187</v>
      </c>
      <c r="N230" s="22" t="n">
        <v>0.00566111242090516</v>
      </c>
      <c r="O230" s="22" t="n">
        <v>0.00489397303338308</v>
      </c>
      <c r="P230" s="22" t="n">
        <v>0.00127347850732387</v>
      </c>
      <c r="Q230" s="22" t="n">
        <v>0.0221570884406911</v>
      </c>
      <c r="R230" s="22" t="n">
        <v>0.000941333543811987</v>
      </c>
      <c r="S230" s="23" t="n">
        <f aca="false">IF(A230="","",SUM(H230:R230))</f>
        <v>0.0615913733028956</v>
      </c>
      <c r="T230" s="17" t="str">
        <f aca="false">IF(A230="","",IF(AND(MIN(H230:R230)&gt;=0,MAX(H230:R230)&lt;=1,S230&lt;=1),"OK","CHECK"))</f>
        <v>OK</v>
      </c>
      <c r="U230" s="17" t="str">
        <f aca="false">IF(A230="","", "LOSS-"&amp;A230&amp;"-L"&amp;TEXT(B230,"00")&amp;"-"&amp;TEXT(C230,"yyyymmdd")&amp;"-"&amp;D230&amp;"-"&amp;E230)</f>
        <v>LOSS-KG01-L21-20251224-PM-ORD-2025-00189</v>
      </c>
      <c r="V230" s="17" t="str">
        <f aca="false">IF(U230="","",IF(COUNTIF($U$5:$U$935,U230)=1,"OK","CHECK"))</f>
        <v>OK</v>
      </c>
      <c r="W230" s="17" t="str">
        <f aca="false">IF(A230="","",IF(AND(T230="OK",V230="OK",G230&gt;=0),"OK","CHECK"))</f>
        <v>OK</v>
      </c>
    </row>
    <row r="231" customFormat="false" ht="18" hidden="false" customHeight="true" outlineLevel="0" collapsed="false">
      <c r="A231" s="18" t="s">
        <v>39</v>
      </c>
      <c r="B231" s="19" t="n">
        <v>21</v>
      </c>
      <c r="C231" s="20" t="n">
        <v>46016</v>
      </c>
      <c r="D231" s="18" t="s">
        <v>40</v>
      </c>
      <c r="E231" s="18" t="s">
        <v>85</v>
      </c>
      <c r="F231" s="18" t="s">
        <v>42</v>
      </c>
      <c r="G231" s="21" t="n">
        <v>19625</v>
      </c>
      <c r="H231" s="22" t="n">
        <v>4.85209442564155E-005</v>
      </c>
      <c r="I231" s="22" t="n">
        <v>0.013455534779562</v>
      </c>
      <c r="J231" s="22" t="n">
        <v>0.00308509250126119</v>
      </c>
      <c r="K231" s="22" t="n">
        <v>0.0155911965198403</v>
      </c>
      <c r="L231" s="22" t="n">
        <v>0.00148092135438386</v>
      </c>
      <c r="M231" s="22" t="n">
        <v>0.000662641653254975</v>
      </c>
      <c r="N231" s="22" t="n">
        <v>0.0149054475433382</v>
      </c>
      <c r="O231" s="22" t="n">
        <v>0.0038968665047821</v>
      </c>
      <c r="P231" s="22" t="n">
        <v>0.00481754942111239</v>
      </c>
      <c r="Q231" s="22" t="n">
        <v>0.0103221731597131</v>
      </c>
      <c r="R231" s="22" t="n">
        <v>0.0156632685442358</v>
      </c>
      <c r="S231" s="23" t="n">
        <f aca="false">IF(A231="","",SUM(H231:R231))</f>
        <v>0.0839292129257403</v>
      </c>
      <c r="T231" s="17" t="str">
        <f aca="false">IF(A231="","",IF(AND(MIN(H231:R231)&gt;=0,MAX(H231:R231)&lt;=1,S231&lt;=1),"OK","CHECK"))</f>
        <v>OK</v>
      </c>
      <c r="U231" s="17" t="str">
        <f aca="false">IF(A231="","", "LOSS-"&amp;A231&amp;"-L"&amp;TEXT(B231,"00")&amp;"-"&amp;TEXT(C231,"yyyymmdd")&amp;"-"&amp;D231&amp;"-"&amp;E231)</f>
        <v>LOSS-KG01-L21-20251225-AM-ORD-2025-00189</v>
      </c>
      <c r="V231" s="17" t="str">
        <f aca="false">IF(U231="","",IF(COUNTIF($U$5:$U$935,U231)=1,"OK","CHECK"))</f>
        <v>OK</v>
      </c>
      <c r="W231" s="17" t="str">
        <f aca="false">IF(A231="","",IF(AND(T231="OK",V231="OK",G231&gt;=0),"OK","CHECK"))</f>
        <v>OK</v>
      </c>
    </row>
    <row r="232" customFormat="false" ht="18" hidden="false" customHeight="true" outlineLevel="0" collapsed="false">
      <c r="A232" s="18" t="s">
        <v>39</v>
      </c>
      <c r="B232" s="19" t="n">
        <v>21</v>
      </c>
      <c r="C232" s="20" t="n">
        <v>46016</v>
      </c>
      <c r="D232" s="18" t="s">
        <v>43</v>
      </c>
      <c r="E232" s="18" t="s">
        <v>85</v>
      </c>
      <c r="F232" s="18" t="s">
        <v>42</v>
      </c>
      <c r="G232" s="21" t="n">
        <v>10644</v>
      </c>
      <c r="H232" s="22" t="n">
        <v>0.00177131561298685</v>
      </c>
      <c r="I232" s="22" t="n">
        <v>0.00773252595165915</v>
      </c>
      <c r="J232" s="22" t="n">
        <v>0.00301991673725774</v>
      </c>
      <c r="K232" s="22" t="n">
        <v>0.00628895911618297</v>
      </c>
      <c r="L232" s="22" t="n">
        <v>0.00292110042622858</v>
      </c>
      <c r="M232" s="22" t="n">
        <v>0.00741691169788843</v>
      </c>
      <c r="N232" s="22" t="n">
        <v>0.00036605468111763</v>
      </c>
      <c r="O232" s="22" t="n">
        <v>0.00484961326250958</v>
      </c>
      <c r="P232" s="22" t="n">
        <v>0.00310708608335927</v>
      </c>
      <c r="Q232" s="22" t="n">
        <v>0.000194179182914269</v>
      </c>
      <c r="R232" s="22" t="n">
        <v>0.00409431282004322</v>
      </c>
      <c r="S232" s="23" t="n">
        <f aca="false">IF(A232="","",SUM(H232:R232))</f>
        <v>0.0417619755721477</v>
      </c>
      <c r="T232" s="17" t="str">
        <f aca="false">IF(A232="","",IF(AND(MIN(H232:R232)&gt;=0,MAX(H232:R232)&lt;=1,S232&lt;=1),"OK","CHECK"))</f>
        <v>OK</v>
      </c>
      <c r="U232" s="17" t="str">
        <f aca="false">IF(A232="","", "LOSS-"&amp;A232&amp;"-L"&amp;TEXT(B232,"00")&amp;"-"&amp;TEXT(C232,"yyyymmdd")&amp;"-"&amp;D232&amp;"-"&amp;E232)</f>
        <v>LOSS-KG01-L21-20251225-PM-ORD-2025-00189</v>
      </c>
      <c r="V232" s="17" t="str">
        <f aca="false">IF(U232="","",IF(COUNTIF($U$5:$U$935,U232)=1,"OK","CHECK"))</f>
        <v>OK</v>
      </c>
      <c r="W232" s="17" t="str">
        <f aca="false">IF(A232="","",IF(AND(T232="OK",V232="OK",G232&gt;=0),"OK","CHECK"))</f>
        <v>OK</v>
      </c>
    </row>
    <row r="233" customFormat="false" ht="18" hidden="false" customHeight="true" outlineLevel="0" collapsed="false">
      <c r="A233" s="18" t="s">
        <v>39</v>
      </c>
      <c r="B233" s="19" t="n">
        <v>21</v>
      </c>
      <c r="C233" s="20" t="n">
        <v>46017</v>
      </c>
      <c r="D233" s="18" t="s">
        <v>40</v>
      </c>
      <c r="E233" s="18" t="s">
        <v>85</v>
      </c>
      <c r="F233" s="18" t="s">
        <v>42</v>
      </c>
      <c r="G233" s="21" t="n">
        <v>6218</v>
      </c>
      <c r="H233" s="22" t="n">
        <v>0.00370582239882732</v>
      </c>
      <c r="I233" s="22" t="n">
        <v>0.0029469132698809</v>
      </c>
      <c r="J233" s="22" t="n">
        <v>0.00372141900656803</v>
      </c>
      <c r="K233" s="22" t="n">
        <v>0.00293705001864181</v>
      </c>
      <c r="L233" s="22" t="n">
        <v>1.09981826475953E-006</v>
      </c>
      <c r="M233" s="22" t="n">
        <v>0.00439192615807799</v>
      </c>
      <c r="N233" s="22" t="n">
        <v>0.00476517821586798</v>
      </c>
      <c r="O233" s="22" t="n">
        <v>0.00136310674194875</v>
      </c>
      <c r="P233" s="22" t="n">
        <v>0.000547076210575871</v>
      </c>
      <c r="Q233" s="22" t="n">
        <v>0.00342785286604891</v>
      </c>
      <c r="R233" s="22" t="n">
        <v>0.00248200513600771</v>
      </c>
      <c r="S233" s="23" t="n">
        <f aca="false">IF(A233="","",SUM(H233:R233))</f>
        <v>0.03028944984071</v>
      </c>
      <c r="T233" s="17" t="str">
        <f aca="false">IF(A233="","",IF(AND(MIN(H233:R233)&gt;=0,MAX(H233:R233)&lt;=1,S233&lt;=1),"OK","CHECK"))</f>
        <v>OK</v>
      </c>
      <c r="U233" s="17" t="str">
        <f aca="false">IF(A233="","", "LOSS-"&amp;A233&amp;"-L"&amp;TEXT(B233,"00")&amp;"-"&amp;TEXT(C233,"yyyymmdd")&amp;"-"&amp;D233&amp;"-"&amp;E233)</f>
        <v>LOSS-KG01-L21-20251226-AM-ORD-2025-00189</v>
      </c>
      <c r="V233" s="17" t="str">
        <f aca="false">IF(U233="","",IF(COUNTIF($U$5:$U$935,U233)=1,"OK","CHECK"))</f>
        <v>OK</v>
      </c>
      <c r="W233" s="17" t="str">
        <f aca="false">IF(A233="","",IF(AND(T233="OK",V233="OK",G233&gt;=0),"OK","CHECK"))</f>
        <v>OK</v>
      </c>
    </row>
    <row r="234" customFormat="false" ht="18" hidden="false" customHeight="true" outlineLevel="0" collapsed="false">
      <c r="A234" s="18" t="s">
        <v>39</v>
      </c>
      <c r="B234" s="19" t="n">
        <v>21</v>
      </c>
      <c r="C234" s="20" t="n">
        <v>46017</v>
      </c>
      <c r="D234" s="18" t="s">
        <v>43</v>
      </c>
      <c r="E234" s="18" t="s">
        <v>86</v>
      </c>
      <c r="F234" s="18" t="s">
        <v>45</v>
      </c>
      <c r="G234" s="21" t="n">
        <v>1422</v>
      </c>
      <c r="H234" s="22" t="n">
        <v>0.00100250257093333</v>
      </c>
      <c r="I234" s="22" t="n">
        <v>0.00757258764869892</v>
      </c>
      <c r="J234" s="22" t="n">
        <v>0.0141758627782265</v>
      </c>
      <c r="K234" s="22" t="n">
        <v>0.0129165759460265</v>
      </c>
      <c r="L234" s="22" t="n">
        <v>0.0106673894237795</v>
      </c>
      <c r="M234" s="22" t="n">
        <v>0.005839904947827</v>
      </c>
      <c r="N234" s="22" t="n">
        <v>0.00592534898982946</v>
      </c>
      <c r="O234" s="22" t="n">
        <v>0.00485565612125957</v>
      </c>
      <c r="P234" s="22" t="n">
        <v>1.93231400461439E-005</v>
      </c>
      <c r="Q234" s="22" t="n">
        <v>0.00807166147473815</v>
      </c>
      <c r="R234" s="22" t="n">
        <v>0.000511157973127614</v>
      </c>
      <c r="S234" s="23" t="n">
        <f aca="false">IF(A234="","",SUM(H234:R234))</f>
        <v>0.0715579710144927</v>
      </c>
      <c r="T234" s="17" t="str">
        <f aca="false">IF(A234="","",IF(AND(MIN(H234:R234)&gt;=0,MAX(H234:R234)&lt;=1,S234&lt;=1),"OK","CHECK"))</f>
        <v>OK</v>
      </c>
      <c r="U234" s="17" t="str">
        <f aca="false">IF(A234="","", "LOSS-"&amp;A234&amp;"-L"&amp;TEXT(B234,"00")&amp;"-"&amp;TEXT(C234,"yyyymmdd")&amp;"-"&amp;D234&amp;"-"&amp;E234)</f>
        <v>LOSS-KG01-L21-20251226-PM-ORD-2025-00190</v>
      </c>
      <c r="V234" s="17" t="str">
        <f aca="false">IF(U234="","",IF(COUNTIF($U$5:$U$935,U234)=1,"OK","CHECK"))</f>
        <v>OK</v>
      </c>
      <c r="W234" s="17" t="str">
        <f aca="false">IF(A234="","",IF(AND(T234="OK",V234="OK",G234&gt;=0),"OK","CHECK"))</f>
        <v>OK</v>
      </c>
    </row>
    <row r="235" customFormat="false" ht="18" hidden="false" customHeight="true" outlineLevel="0" collapsed="false">
      <c r="A235" s="18" t="s">
        <v>39</v>
      </c>
      <c r="B235" s="19" t="n">
        <v>21</v>
      </c>
      <c r="C235" s="20" t="n">
        <v>46018</v>
      </c>
      <c r="D235" s="18" t="s">
        <v>40</v>
      </c>
      <c r="E235" s="18" t="s">
        <v>86</v>
      </c>
      <c r="F235" s="18" t="s">
        <v>42</v>
      </c>
      <c r="G235" s="21" t="n">
        <v>9175</v>
      </c>
      <c r="H235" s="22" t="n">
        <v>0.00810301792251002</v>
      </c>
      <c r="I235" s="22" t="n">
        <v>0.0100180911666374</v>
      </c>
      <c r="J235" s="22" t="n">
        <v>0.00603307708954363</v>
      </c>
      <c r="K235" s="22" t="n">
        <v>0.000780425008334788</v>
      </c>
      <c r="L235" s="22" t="n">
        <v>0.000735072023561414</v>
      </c>
      <c r="M235" s="22" t="n">
        <v>0.000610465751073882</v>
      </c>
      <c r="N235" s="22" t="n">
        <v>0.00771639817137663</v>
      </c>
      <c r="O235" s="22" t="n">
        <v>0.0152395988595032</v>
      </c>
      <c r="P235" s="22" t="n">
        <v>0.00229021881026138</v>
      </c>
      <c r="Q235" s="22" t="n">
        <v>0.00221097555277006</v>
      </c>
      <c r="R235" s="22" t="n">
        <v>0.00152309136843266</v>
      </c>
      <c r="S235" s="23" t="n">
        <f aca="false">IF(A235="","",SUM(H235:R235))</f>
        <v>0.0552604317240051</v>
      </c>
      <c r="T235" s="17" t="str">
        <f aca="false">IF(A235="","",IF(AND(MIN(H235:R235)&gt;=0,MAX(H235:R235)&lt;=1,S235&lt;=1),"OK","CHECK"))</f>
        <v>OK</v>
      </c>
      <c r="U235" s="17" t="str">
        <f aca="false">IF(A235="","", "LOSS-"&amp;A235&amp;"-L"&amp;TEXT(B235,"00")&amp;"-"&amp;TEXT(C235,"yyyymmdd")&amp;"-"&amp;D235&amp;"-"&amp;E235)</f>
        <v>LOSS-KG01-L21-20251227-AM-ORD-2025-00190</v>
      </c>
      <c r="V235" s="17" t="str">
        <f aca="false">IF(U235="","",IF(COUNTIF($U$5:$U$935,U235)=1,"OK","CHECK"))</f>
        <v>OK</v>
      </c>
      <c r="W235" s="17" t="str">
        <f aca="false">IF(A235="","",IF(AND(T235="OK",V235="OK",G235&gt;=0),"OK","CHECK"))</f>
        <v>OK</v>
      </c>
    </row>
    <row r="236" customFormat="false" ht="18" hidden="false" customHeight="true" outlineLevel="0" collapsed="false">
      <c r="A236" s="18" t="s">
        <v>39</v>
      </c>
      <c r="B236" s="19" t="n">
        <v>21</v>
      </c>
      <c r="C236" s="20" t="n">
        <v>46018</v>
      </c>
      <c r="D236" s="18" t="s">
        <v>43</v>
      </c>
      <c r="E236" s="18" t="s">
        <v>86</v>
      </c>
      <c r="F236" s="18" t="s">
        <v>42</v>
      </c>
      <c r="G236" s="21" t="n">
        <v>21282</v>
      </c>
      <c r="H236" s="22" t="n">
        <v>0.00169371304245671</v>
      </c>
      <c r="I236" s="22" t="n">
        <v>0.0120582242609564</v>
      </c>
      <c r="J236" s="22" t="n">
        <v>0.000279711074696102</v>
      </c>
      <c r="K236" s="22" t="n">
        <v>0.00447805496418526</v>
      </c>
      <c r="L236" s="22" t="n">
        <v>0.0179404682577692</v>
      </c>
      <c r="M236" s="22" t="n">
        <v>0.00308158614165587</v>
      </c>
      <c r="N236" s="22" t="n">
        <v>0.00222370523649988</v>
      </c>
      <c r="O236" s="22" t="n">
        <v>0.012328678871823</v>
      </c>
      <c r="P236" s="22" t="n">
        <v>0.00325966207960127</v>
      </c>
      <c r="Q236" s="22" t="n">
        <v>0.0170545944206439</v>
      </c>
      <c r="R236" s="22" t="n">
        <v>0.00202717451831084</v>
      </c>
      <c r="S236" s="23" t="n">
        <f aca="false">IF(A236="","",SUM(H236:R236))</f>
        <v>0.0764255728685984</v>
      </c>
      <c r="T236" s="17" t="str">
        <f aca="false">IF(A236="","",IF(AND(MIN(H236:R236)&gt;=0,MAX(H236:R236)&lt;=1,S236&lt;=1),"OK","CHECK"))</f>
        <v>OK</v>
      </c>
      <c r="U236" s="17" t="str">
        <f aca="false">IF(A236="","", "LOSS-"&amp;A236&amp;"-L"&amp;TEXT(B236,"00")&amp;"-"&amp;TEXT(C236,"yyyymmdd")&amp;"-"&amp;D236&amp;"-"&amp;E236)</f>
        <v>LOSS-KG01-L21-20251227-PM-ORD-2025-00190</v>
      </c>
      <c r="V236" s="17" t="str">
        <f aca="false">IF(U236="","",IF(COUNTIF($U$5:$U$935,U236)=1,"OK","CHECK"))</f>
        <v>OK</v>
      </c>
      <c r="W236" s="17" t="str">
        <f aca="false">IF(A236="","",IF(AND(T236="OK",V236="OK",G236&gt;=0),"OK","CHECK"))</f>
        <v>OK</v>
      </c>
    </row>
    <row r="237" customFormat="false" ht="18" hidden="false" customHeight="true" outlineLevel="0" collapsed="false">
      <c r="A237" s="18" t="s">
        <v>39</v>
      </c>
      <c r="B237" s="19" t="n">
        <v>21</v>
      </c>
      <c r="C237" s="20" t="n">
        <v>46019</v>
      </c>
      <c r="D237" s="18" t="s">
        <v>40</v>
      </c>
      <c r="E237" s="18" t="s">
        <v>86</v>
      </c>
      <c r="F237" s="18" t="s">
        <v>42</v>
      </c>
      <c r="G237" s="21" t="n">
        <v>10056</v>
      </c>
      <c r="H237" s="22" t="n">
        <v>0.0130310601201401</v>
      </c>
      <c r="I237" s="22" t="n">
        <v>0.00319684836072887</v>
      </c>
      <c r="J237" s="22" t="n">
        <v>0.00211412725186151</v>
      </c>
      <c r="K237" s="22" t="n">
        <v>0.0046397408334425</v>
      </c>
      <c r="L237" s="22" t="n">
        <v>0.000401769404369067</v>
      </c>
      <c r="M237" s="22" t="n">
        <v>0.00288507326577679</v>
      </c>
      <c r="N237" s="22" t="n">
        <v>0.00123368833789102</v>
      </c>
      <c r="O237" s="22" t="n">
        <v>0.00660692355126486</v>
      </c>
      <c r="P237" s="22" t="n">
        <v>0.00702762140735808</v>
      </c>
      <c r="Q237" s="22" t="n">
        <v>0.00610598906816649</v>
      </c>
      <c r="R237" s="22" t="n">
        <v>0.00748547605835285</v>
      </c>
      <c r="S237" s="23" t="n">
        <f aca="false">IF(A237="","",SUM(H237:R237))</f>
        <v>0.0547283176593521</v>
      </c>
      <c r="T237" s="17" t="str">
        <f aca="false">IF(A237="","",IF(AND(MIN(H237:R237)&gt;=0,MAX(H237:R237)&lt;=1,S237&lt;=1),"OK","CHECK"))</f>
        <v>OK</v>
      </c>
      <c r="U237" s="17" t="str">
        <f aca="false">IF(A237="","", "LOSS-"&amp;A237&amp;"-L"&amp;TEXT(B237,"00")&amp;"-"&amp;TEXT(C237,"yyyymmdd")&amp;"-"&amp;D237&amp;"-"&amp;E237)</f>
        <v>LOSS-KG01-L21-20251228-AM-ORD-2025-00190</v>
      </c>
      <c r="V237" s="17" t="str">
        <f aca="false">IF(U237="","",IF(COUNTIF($U$5:$U$935,U237)=1,"OK","CHECK"))</f>
        <v>OK</v>
      </c>
      <c r="W237" s="17" t="str">
        <f aca="false">IF(A237="","",IF(AND(T237="OK",V237="OK",G237&gt;=0),"OK","CHECK"))</f>
        <v>OK</v>
      </c>
    </row>
    <row r="238" customFormat="false" ht="18" hidden="false" customHeight="true" outlineLevel="0" collapsed="false">
      <c r="A238" s="18" t="s">
        <v>39</v>
      </c>
      <c r="B238" s="19" t="n">
        <v>21</v>
      </c>
      <c r="C238" s="20" t="n">
        <v>46019</v>
      </c>
      <c r="D238" s="18" t="s">
        <v>43</v>
      </c>
      <c r="E238" s="18" t="s">
        <v>86</v>
      </c>
      <c r="F238" s="18" t="s">
        <v>42</v>
      </c>
      <c r="G238" s="21" t="n">
        <v>7241</v>
      </c>
      <c r="H238" s="22" t="n">
        <v>0.00947052106842301</v>
      </c>
      <c r="I238" s="22" t="n">
        <v>0.00883493540879226</v>
      </c>
      <c r="J238" s="22" t="n">
        <v>0.000105999100639928</v>
      </c>
      <c r="K238" s="22" t="n">
        <v>8.26547255600102E-005</v>
      </c>
      <c r="L238" s="22" t="n">
        <v>0.00754663990835723</v>
      </c>
      <c r="M238" s="22" t="n">
        <v>8.65053797986043E-005</v>
      </c>
      <c r="N238" s="22" t="n">
        <v>2.90501986771905E-006</v>
      </c>
      <c r="O238" s="22" t="n">
        <v>0.00936168530398616</v>
      </c>
      <c r="P238" s="22" t="n">
        <v>0.00011572042009498</v>
      </c>
      <c r="Q238" s="22" t="n">
        <v>0.00605503531965517</v>
      </c>
      <c r="R238" s="22" t="n">
        <v>0.00418972863864459</v>
      </c>
      <c r="S238" s="23" t="n">
        <f aca="false">IF(A238="","",SUM(H238:R238))</f>
        <v>0.0458523302938197</v>
      </c>
      <c r="T238" s="17" t="str">
        <f aca="false">IF(A238="","",IF(AND(MIN(H238:R238)&gt;=0,MAX(H238:R238)&lt;=1,S238&lt;=1),"OK","CHECK"))</f>
        <v>OK</v>
      </c>
      <c r="U238" s="17" t="str">
        <f aca="false">IF(A238="","", "LOSS-"&amp;A238&amp;"-L"&amp;TEXT(B238,"00")&amp;"-"&amp;TEXT(C238,"yyyymmdd")&amp;"-"&amp;D238&amp;"-"&amp;E238)</f>
        <v>LOSS-KG01-L21-20251228-PM-ORD-2025-00190</v>
      </c>
      <c r="V238" s="17" t="str">
        <f aca="false">IF(U238="","",IF(COUNTIF($U$5:$U$935,U238)=1,"OK","CHECK"))</f>
        <v>OK</v>
      </c>
      <c r="W238" s="17" t="str">
        <f aca="false">IF(A238="","",IF(AND(T238="OK",V238="OK",G238&gt;=0),"OK","CHECK"))</f>
        <v>OK</v>
      </c>
    </row>
    <row r="239" customFormat="false" ht="18" hidden="false" customHeight="true" outlineLevel="0" collapsed="false">
      <c r="A239" s="18" t="s">
        <v>39</v>
      </c>
      <c r="B239" s="19" t="n">
        <v>21</v>
      </c>
      <c r="C239" s="20" t="n">
        <v>46020</v>
      </c>
      <c r="D239" s="18" t="s">
        <v>40</v>
      </c>
      <c r="E239" s="18" t="s">
        <v>86</v>
      </c>
      <c r="F239" s="18" t="s">
        <v>42</v>
      </c>
      <c r="G239" s="21" t="n">
        <v>10748</v>
      </c>
      <c r="H239" s="22" t="n">
        <v>0.00379050271525331</v>
      </c>
      <c r="I239" s="22" t="n">
        <v>0.00512691339842471</v>
      </c>
      <c r="J239" s="22" t="n">
        <v>0.00323659444020013</v>
      </c>
      <c r="K239" s="22" t="n">
        <v>0.00829581257220247</v>
      </c>
      <c r="L239" s="22" t="n">
        <v>0.0056951372611326</v>
      </c>
      <c r="M239" s="22" t="n">
        <v>0.00926631189214313</v>
      </c>
      <c r="N239" s="22" t="n">
        <v>0.000573418645069655</v>
      </c>
      <c r="O239" s="22" t="n">
        <v>0.00770968126564522</v>
      </c>
      <c r="P239" s="22" t="n">
        <v>0.00388649165543044</v>
      </c>
      <c r="Q239" s="22" t="n">
        <v>0.000167474086024784</v>
      </c>
      <c r="R239" s="22" t="n">
        <v>0.00936749327174278</v>
      </c>
      <c r="S239" s="23" t="n">
        <f aca="false">IF(A239="","",SUM(H239:R239))</f>
        <v>0.0571158312032692</v>
      </c>
      <c r="T239" s="17" t="str">
        <f aca="false">IF(A239="","",IF(AND(MIN(H239:R239)&gt;=0,MAX(H239:R239)&lt;=1,S239&lt;=1),"OK","CHECK"))</f>
        <v>OK</v>
      </c>
      <c r="U239" s="17" t="str">
        <f aca="false">IF(A239="","", "LOSS-"&amp;A239&amp;"-L"&amp;TEXT(B239,"00")&amp;"-"&amp;TEXT(C239,"yyyymmdd")&amp;"-"&amp;D239&amp;"-"&amp;E239)</f>
        <v>LOSS-KG01-L21-20251229-AM-ORD-2025-00190</v>
      </c>
      <c r="V239" s="17" t="str">
        <f aca="false">IF(U239="","",IF(COUNTIF($U$5:$U$935,U239)=1,"OK","CHECK"))</f>
        <v>OK</v>
      </c>
      <c r="W239" s="17" t="str">
        <f aca="false">IF(A239="","",IF(AND(T239="OK",V239="OK",G239&gt;=0),"OK","CHECK"))</f>
        <v>OK</v>
      </c>
    </row>
    <row r="240" customFormat="false" ht="18" hidden="false" customHeight="true" outlineLevel="0" collapsed="false">
      <c r="A240" s="18" t="s">
        <v>39</v>
      </c>
      <c r="B240" s="19" t="n">
        <v>21</v>
      </c>
      <c r="C240" s="20" t="n">
        <v>46020</v>
      </c>
      <c r="D240" s="18" t="s">
        <v>43</v>
      </c>
      <c r="E240" s="18" t="s">
        <v>86</v>
      </c>
      <c r="F240" s="18" t="s">
        <v>42</v>
      </c>
      <c r="G240" s="21" t="n">
        <v>11407</v>
      </c>
      <c r="H240" s="22" t="n">
        <v>0.00951694508012408</v>
      </c>
      <c r="I240" s="22" t="n">
        <v>0.00129480386172933</v>
      </c>
      <c r="J240" s="22" t="n">
        <v>0.00663613285457233</v>
      </c>
      <c r="K240" s="22" t="n">
        <v>0.0022671656077936</v>
      </c>
      <c r="L240" s="22" t="n">
        <v>0.00868383991375969</v>
      </c>
      <c r="M240" s="22" t="n">
        <v>0.00438002263851793</v>
      </c>
      <c r="N240" s="22" t="n">
        <v>0.00648457928640601</v>
      </c>
      <c r="O240" s="22" t="n">
        <v>0.00165012414104706</v>
      </c>
      <c r="P240" s="22" t="n">
        <v>0.00929924776734534</v>
      </c>
      <c r="Q240" s="22" t="n">
        <v>0.00644432604886114</v>
      </c>
      <c r="R240" s="22" t="n">
        <v>0.00271345381747721</v>
      </c>
      <c r="S240" s="23" t="n">
        <f aca="false">IF(A240="","",SUM(H240:R240))</f>
        <v>0.0593706410176337</v>
      </c>
      <c r="T240" s="17" t="str">
        <f aca="false">IF(A240="","",IF(AND(MIN(H240:R240)&gt;=0,MAX(H240:R240)&lt;=1,S240&lt;=1),"OK","CHECK"))</f>
        <v>OK</v>
      </c>
      <c r="U240" s="17" t="str">
        <f aca="false">IF(A240="","", "LOSS-"&amp;A240&amp;"-L"&amp;TEXT(B240,"00")&amp;"-"&amp;TEXT(C240,"yyyymmdd")&amp;"-"&amp;D240&amp;"-"&amp;E240)</f>
        <v>LOSS-KG01-L21-20251229-PM-ORD-2025-00190</v>
      </c>
      <c r="V240" s="17" t="str">
        <f aca="false">IF(U240="","",IF(COUNTIF($U$5:$U$935,U240)=1,"OK","CHECK"))</f>
        <v>OK</v>
      </c>
      <c r="W240" s="17" t="str">
        <f aca="false">IF(A240="","",IF(AND(T240="OK",V240="OK",G240&gt;=0),"OK","CHECK"))</f>
        <v>OK</v>
      </c>
    </row>
    <row r="241" customFormat="false" ht="18" hidden="false" customHeight="true" outlineLevel="0" collapsed="false">
      <c r="A241" s="18" t="s">
        <v>39</v>
      </c>
      <c r="B241" s="19" t="n">
        <v>21</v>
      </c>
      <c r="C241" s="20" t="n">
        <v>46021</v>
      </c>
      <c r="D241" s="18" t="s">
        <v>40</v>
      </c>
      <c r="E241" s="18" t="s">
        <v>86</v>
      </c>
      <c r="F241" s="18" t="s">
        <v>42</v>
      </c>
      <c r="G241" s="21" t="n">
        <v>7257</v>
      </c>
      <c r="H241" s="22" t="n">
        <v>0.000754327609296811</v>
      </c>
      <c r="I241" s="22" t="n">
        <v>0.00456992947994524</v>
      </c>
      <c r="J241" s="22" t="n">
        <v>0.000995305672927487</v>
      </c>
      <c r="K241" s="22" t="n">
        <v>0.00858260415717509</v>
      </c>
      <c r="L241" s="22" t="n">
        <v>0.00870980675070915</v>
      </c>
      <c r="M241" s="22" t="n">
        <v>0.00477503316744297</v>
      </c>
      <c r="N241" s="22" t="n">
        <v>1.82068414949873E-007</v>
      </c>
      <c r="O241" s="22" t="n">
        <v>0.00870446946934079</v>
      </c>
      <c r="P241" s="22" t="n">
        <v>1.12455049421242E-005</v>
      </c>
      <c r="Q241" s="22" t="n">
        <v>7.25623609244705E-006</v>
      </c>
      <c r="R241" s="22" t="n">
        <v>0.00658222908735187</v>
      </c>
      <c r="S241" s="23" t="n">
        <f aca="false">IF(A241="","",SUM(H241:R241))</f>
        <v>0.0436923892036389</v>
      </c>
      <c r="T241" s="17" t="str">
        <f aca="false">IF(A241="","",IF(AND(MIN(H241:R241)&gt;=0,MAX(H241:R241)&lt;=1,S241&lt;=1),"OK","CHECK"))</f>
        <v>OK</v>
      </c>
      <c r="U241" s="17" t="str">
        <f aca="false">IF(A241="","", "LOSS-"&amp;A241&amp;"-L"&amp;TEXT(B241,"00")&amp;"-"&amp;TEXT(C241,"yyyymmdd")&amp;"-"&amp;D241&amp;"-"&amp;E241)</f>
        <v>LOSS-KG01-L21-20251230-AM-ORD-2025-00190</v>
      </c>
      <c r="V241" s="17" t="str">
        <f aca="false">IF(U241="","",IF(COUNTIF($U$5:$U$935,U241)=1,"OK","CHECK"))</f>
        <v>OK</v>
      </c>
      <c r="W241" s="17" t="str">
        <f aca="false">IF(A241="","",IF(AND(T241="OK",V241="OK",G241&gt;=0),"OK","CHECK"))</f>
        <v>OK</v>
      </c>
    </row>
    <row r="242" customFormat="false" ht="18" hidden="false" customHeight="true" outlineLevel="0" collapsed="false">
      <c r="A242" s="18" t="s">
        <v>39</v>
      </c>
      <c r="B242" s="19" t="n">
        <v>21</v>
      </c>
      <c r="C242" s="20" t="n">
        <v>46021</v>
      </c>
      <c r="D242" s="18" t="s">
        <v>43</v>
      </c>
      <c r="E242" s="18" t="s">
        <v>87</v>
      </c>
      <c r="F242" s="18" t="s">
        <v>45</v>
      </c>
      <c r="G242" s="21" t="n">
        <v>10545</v>
      </c>
      <c r="H242" s="22" t="n">
        <v>0.0148410254623354</v>
      </c>
      <c r="I242" s="22" t="n">
        <v>0.00565435519922036</v>
      </c>
      <c r="J242" s="22" t="n">
        <v>0.011535434094713</v>
      </c>
      <c r="K242" s="22" t="n">
        <v>0.00211601090734051</v>
      </c>
      <c r="L242" s="22" t="n">
        <v>0.000609682696804604</v>
      </c>
      <c r="M242" s="22" t="n">
        <v>0.00687363606125786</v>
      </c>
      <c r="N242" s="22" t="n">
        <v>0.00388227735866255</v>
      </c>
      <c r="O242" s="22" t="n">
        <v>0.00648414238604349</v>
      </c>
      <c r="P242" s="22" t="n">
        <v>0.0032156447602962</v>
      </c>
      <c r="Q242" s="22" t="n">
        <v>0.0079735000523499</v>
      </c>
      <c r="R242" s="22" t="n">
        <v>0.00324785745454261</v>
      </c>
      <c r="S242" s="23" t="n">
        <f aca="false">IF(A242="","",SUM(H242:R242))</f>
        <v>0.0664335664335665</v>
      </c>
      <c r="T242" s="17" t="str">
        <f aca="false">IF(A242="","",IF(AND(MIN(H242:R242)&gt;=0,MAX(H242:R242)&lt;=1,S242&lt;=1),"OK","CHECK"))</f>
        <v>OK</v>
      </c>
      <c r="U242" s="17" t="str">
        <f aca="false">IF(A242="","", "LOSS-"&amp;A242&amp;"-L"&amp;TEXT(B242,"00")&amp;"-"&amp;TEXT(C242,"yyyymmdd")&amp;"-"&amp;D242&amp;"-"&amp;E242)</f>
        <v>LOSS-KG01-L21-20251230-PM-ORD-2025-00191</v>
      </c>
      <c r="V242" s="17" t="str">
        <f aca="false">IF(U242="","",IF(COUNTIF($U$5:$U$935,U242)=1,"OK","CHECK"))</f>
        <v>OK</v>
      </c>
      <c r="W242" s="17" t="str">
        <f aca="false">IF(A242="","",IF(AND(T242="OK",V242="OK",G242&gt;=0),"OK","CHECK"))</f>
        <v>OK</v>
      </c>
    </row>
    <row r="243" customFormat="false" ht="18" hidden="false" customHeight="true" outlineLevel="0" collapsed="false">
      <c r="A243" s="18" t="s">
        <v>39</v>
      </c>
      <c r="B243" s="19" t="n">
        <v>21</v>
      </c>
      <c r="C243" s="20" t="n">
        <v>46022</v>
      </c>
      <c r="D243" s="18" t="s">
        <v>40</v>
      </c>
      <c r="E243" s="18" t="s">
        <v>87</v>
      </c>
      <c r="F243" s="18" t="s">
        <v>42</v>
      </c>
      <c r="G243" s="21" t="n">
        <v>6118</v>
      </c>
      <c r="H243" s="22" t="n">
        <v>3.65659268707882E-005</v>
      </c>
      <c r="I243" s="22" t="n">
        <v>0.0119364015787051</v>
      </c>
      <c r="J243" s="22" t="n">
        <v>0.00253057463992679</v>
      </c>
      <c r="K243" s="22" t="n">
        <v>0.0121280401437809</v>
      </c>
      <c r="L243" s="22" t="n">
        <v>0.0020948012155793</v>
      </c>
      <c r="M243" s="22" t="n">
        <v>0.00728608771096523</v>
      </c>
      <c r="N243" s="22" t="n">
        <v>0.00223338581228151</v>
      </c>
      <c r="O243" s="22" t="n">
        <v>0.00139088949756748</v>
      </c>
      <c r="P243" s="22" t="n">
        <v>0.000345022073898259</v>
      </c>
      <c r="Q243" s="22" t="n">
        <v>0.000733172993689376</v>
      </c>
      <c r="R243" s="22" t="n">
        <v>0.00692858081897088</v>
      </c>
      <c r="S243" s="23" t="n">
        <f aca="false">IF(A243="","",SUM(H243:R243))</f>
        <v>0.0476435224122356</v>
      </c>
      <c r="T243" s="17" t="str">
        <f aca="false">IF(A243="","",IF(AND(MIN(H243:R243)&gt;=0,MAX(H243:R243)&lt;=1,S243&lt;=1),"OK","CHECK"))</f>
        <v>OK</v>
      </c>
      <c r="U243" s="17" t="str">
        <f aca="false">IF(A243="","", "LOSS-"&amp;A243&amp;"-L"&amp;TEXT(B243,"00")&amp;"-"&amp;TEXT(C243,"yyyymmdd")&amp;"-"&amp;D243&amp;"-"&amp;E243)</f>
        <v>LOSS-KG01-L21-20251231-AM-ORD-2025-00191</v>
      </c>
      <c r="V243" s="17" t="str">
        <f aca="false">IF(U243="","",IF(COUNTIF($U$5:$U$935,U243)=1,"OK","CHECK"))</f>
        <v>OK</v>
      </c>
      <c r="W243" s="17" t="str">
        <f aca="false">IF(A243="","",IF(AND(T243="OK",V243="OK",G243&gt;=0),"OK","CHECK"))</f>
        <v>OK</v>
      </c>
    </row>
    <row r="244" customFormat="false" ht="18" hidden="false" customHeight="true" outlineLevel="0" collapsed="false">
      <c r="A244" s="18" t="s">
        <v>39</v>
      </c>
      <c r="B244" s="19" t="n">
        <v>21</v>
      </c>
      <c r="C244" s="20" t="n">
        <v>46022</v>
      </c>
      <c r="D244" s="18" t="s">
        <v>43</v>
      </c>
      <c r="E244" s="18" t="s">
        <v>87</v>
      </c>
      <c r="F244" s="18" t="s">
        <v>42</v>
      </c>
      <c r="G244" s="21" t="n">
        <v>5467</v>
      </c>
      <c r="H244" s="22" t="n">
        <v>0.000257559812590313</v>
      </c>
      <c r="I244" s="22" t="n">
        <v>0.000226134319945255</v>
      </c>
      <c r="J244" s="22" t="n">
        <v>0.00537174084481463</v>
      </c>
      <c r="K244" s="22" t="n">
        <v>0.00248006053888936</v>
      </c>
      <c r="L244" s="22" t="n">
        <v>0.00937495077865284</v>
      </c>
      <c r="M244" s="22" t="n">
        <v>0.0135607842836366</v>
      </c>
      <c r="N244" s="22" t="n">
        <v>0.011315262676796</v>
      </c>
      <c r="O244" s="22" t="n">
        <v>0.00040827032754365</v>
      </c>
      <c r="P244" s="22" t="n">
        <v>0.00167751229029371</v>
      </c>
      <c r="Q244" s="22" t="n">
        <v>0.00014034665479438</v>
      </c>
      <c r="R244" s="22" t="n">
        <v>1.0609795275526E-005</v>
      </c>
      <c r="S244" s="23" t="n">
        <f aca="false">IF(A244="","",SUM(H244:R244))</f>
        <v>0.0448232323232323</v>
      </c>
      <c r="T244" s="17" t="str">
        <f aca="false">IF(A244="","",IF(AND(MIN(H244:R244)&gt;=0,MAX(H244:R244)&lt;=1,S244&lt;=1),"OK","CHECK"))</f>
        <v>OK</v>
      </c>
      <c r="U244" s="17" t="str">
        <f aca="false">IF(A244="","", "LOSS-"&amp;A244&amp;"-L"&amp;TEXT(B244,"00")&amp;"-"&amp;TEXT(C244,"yyyymmdd")&amp;"-"&amp;D244&amp;"-"&amp;E244)</f>
        <v>LOSS-KG01-L21-20251231-PM-ORD-2025-00191</v>
      </c>
      <c r="V244" s="17" t="str">
        <f aca="false">IF(U244="","",IF(COUNTIF($U$5:$U$935,U244)=1,"OK","CHECK"))</f>
        <v>OK</v>
      </c>
      <c r="W244" s="17" t="str">
        <f aca="false">IF(A244="","",IF(AND(T244="OK",V244="OK",G244&gt;=0),"OK","CHECK"))</f>
        <v>OK</v>
      </c>
    </row>
    <row r="245" customFormat="false" ht="18" hidden="false" customHeight="true" outlineLevel="0" collapsed="false">
      <c r="A245" s="18" t="s">
        <v>39</v>
      </c>
      <c r="B245" s="19" t="n">
        <v>22</v>
      </c>
      <c r="C245" s="20" t="n">
        <v>45931</v>
      </c>
      <c r="D245" s="18" t="s">
        <v>40</v>
      </c>
      <c r="E245" s="18" t="s">
        <v>88</v>
      </c>
      <c r="F245" s="18" t="s">
        <v>42</v>
      </c>
      <c r="G245" s="21" t="n">
        <v>10270</v>
      </c>
      <c r="H245" s="22" t="n">
        <v>2.17348733856592E-006</v>
      </c>
      <c r="I245" s="22" t="n">
        <v>0.00968065199320882</v>
      </c>
      <c r="J245" s="22" t="n">
        <v>0.00038242439917502</v>
      </c>
      <c r="K245" s="22" t="n">
        <v>0.00623740271746583</v>
      </c>
      <c r="L245" s="22" t="n">
        <v>0.00482571323794867</v>
      </c>
      <c r="M245" s="22" t="n">
        <v>0.0154374867032889</v>
      </c>
      <c r="N245" s="22" t="n">
        <v>0.00533784227475329</v>
      </c>
      <c r="O245" s="22" t="n">
        <v>1.04419163892562E-005</v>
      </c>
      <c r="P245" s="22" t="n">
        <v>0.00879992719829376</v>
      </c>
      <c r="Q245" s="22" t="n">
        <v>0.0157891860634295</v>
      </c>
      <c r="R245" s="22" t="n">
        <v>0.00657203106748164</v>
      </c>
      <c r="S245" s="23" t="n">
        <f aca="false">IF(A245="","",SUM(H245:R245))</f>
        <v>0.0730752810587733</v>
      </c>
      <c r="T245" s="17" t="str">
        <f aca="false">IF(A245="","",IF(AND(MIN(H245:R245)&gt;=0,MAX(H245:R245)&lt;=1,S245&lt;=1),"OK","CHECK"))</f>
        <v>OK</v>
      </c>
      <c r="U245" s="17" t="str">
        <f aca="false">IF(A245="","", "LOSS-"&amp;A245&amp;"-L"&amp;TEXT(B245,"00")&amp;"-"&amp;TEXT(C245,"yyyymmdd")&amp;"-"&amp;D245&amp;"-"&amp;E245)</f>
        <v>LOSS-KG01-L22-20251001-AM-ORD-2025-00192</v>
      </c>
      <c r="V245" s="17" t="str">
        <f aca="false">IF(U245="","",IF(COUNTIF($U$5:$U$935,U245)=1,"OK","CHECK"))</f>
        <v>OK</v>
      </c>
      <c r="W245" s="17" t="str">
        <f aca="false">IF(A245="","",IF(AND(T245="OK",V245="OK",G245&gt;=0),"OK","CHECK"))</f>
        <v>OK</v>
      </c>
    </row>
    <row r="246" customFormat="false" ht="18" hidden="false" customHeight="true" outlineLevel="0" collapsed="false">
      <c r="A246" s="18" t="s">
        <v>39</v>
      </c>
      <c r="B246" s="19" t="n">
        <v>22</v>
      </c>
      <c r="C246" s="20" t="n">
        <v>45931</v>
      </c>
      <c r="D246" s="18" t="s">
        <v>43</v>
      </c>
      <c r="E246" s="18" t="s">
        <v>88</v>
      </c>
      <c r="F246" s="18" t="s">
        <v>42</v>
      </c>
      <c r="G246" s="21" t="n">
        <v>10060</v>
      </c>
      <c r="H246" s="22" t="n">
        <v>0.0102099352511688</v>
      </c>
      <c r="I246" s="22" t="n">
        <v>0.000587674057643009</v>
      </c>
      <c r="J246" s="22" t="n">
        <v>0.00718974041381851</v>
      </c>
      <c r="K246" s="22" t="n">
        <v>0.00083036618114126</v>
      </c>
      <c r="L246" s="22" t="n">
        <v>0.000634393994016137</v>
      </c>
      <c r="M246" s="22" t="n">
        <v>0.0119275904530309</v>
      </c>
      <c r="N246" s="22" t="n">
        <v>0.00890777249765148</v>
      </c>
      <c r="O246" s="22" t="n">
        <v>0.0109995223780689</v>
      </c>
      <c r="P246" s="22" t="n">
        <v>0.00241407785844156</v>
      </c>
      <c r="Q246" s="22" t="n">
        <v>0.00114569700859153</v>
      </c>
      <c r="R246" s="22" t="n">
        <v>4.52192772434972E-005</v>
      </c>
      <c r="S246" s="23" t="n">
        <f aca="false">IF(A246="","",SUM(H246:R246))</f>
        <v>0.0548919893708156</v>
      </c>
      <c r="T246" s="17" t="str">
        <f aca="false">IF(A246="","",IF(AND(MIN(H246:R246)&gt;=0,MAX(H246:R246)&lt;=1,S246&lt;=1),"OK","CHECK"))</f>
        <v>OK</v>
      </c>
      <c r="U246" s="17" t="str">
        <f aca="false">IF(A246="","", "LOSS-"&amp;A246&amp;"-L"&amp;TEXT(B246,"00")&amp;"-"&amp;TEXT(C246,"yyyymmdd")&amp;"-"&amp;D246&amp;"-"&amp;E246)</f>
        <v>LOSS-KG01-L22-20251001-PM-ORD-2025-00192</v>
      </c>
      <c r="V246" s="17" t="str">
        <f aca="false">IF(U246="","",IF(COUNTIF($U$5:$U$935,U246)=1,"OK","CHECK"))</f>
        <v>OK</v>
      </c>
      <c r="W246" s="17" t="str">
        <f aca="false">IF(A246="","",IF(AND(T246="OK",V246="OK",G246&gt;=0),"OK","CHECK"))</f>
        <v>OK</v>
      </c>
    </row>
    <row r="247" customFormat="false" ht="18" hidden="false" customHeight="true" outlineLevel="0" collapsed="false">
      <c r="A247" s="18" t="s">
        <v>39</v>
      </c>
      <c r="B247" s="19" t="n">
        <v>22</v>
      </c>
      <c r="C247" s="20" t="n">
        <v>45932</v>
      </c>
      <c r="D247" s="18" t="s">
        <v>40</v>
      </c>
      <c r="E247" s="18" t="s">
        <v>88</v>
      </c>
      <c r="F247" s="18" t="s">
        <v>42</v>
      </c>
      <c r="G247" s="21" t="n">
        <v>15186</v>
      </c>
      <c r="H247" s="22" t="n">
        <v>0.000195317134016544</v>
      </c>
      <c r="I247" s="22" t="n">
        <v>0.000586544929011047</v>
      </c>
      <c r="J247" s="22" t="n">
        <v>1.51958559467545E-005</v>
      </c>
      <c r="K247" s="22" t="n">
        <v>0.0275208444036764</v>
      </c>
      <c r="L247" s="22" t="n">
        <v>0.0213277336207047</v>
      </c>
      <c r="M247" s="22" t="n">
        <v>0.000349202626175528</v>
      </c>
      <c r="N247" s="22" t="n">
        <v>0.0243957128828594</v>
      </c>
      <c r="O247" s="22" t="n">
        <v>0.000427115883914308</v>
      </c>
      <c r="P247" s="22" t="n">
        <v>0.000570869409270764</v>
      </c>
      <c r="Q247" s="22" t="n">
        <v>0.00194783652877693</v>
      </c>
      <c r="R247" s="22" t="n">
        <v>0.000925840702147328</v>
      </c>
      <c r="S247" s="23" t="n">
        <f aca="false">IF(A247="","",SUM(H247:R247))</f>
        <v>0.0782622139764997</v>
      </c>
      <c r="T247" s="17" t="str">
        <f aca="false">IF(A247="","",IF(AND(MIN(H247:R247)&gt;=0,MAX(H247:R247)&lt;=1,S247&lt;=1),"OK","CHECK"))</f>
        <v>OK</v>
      </c>
      <c r="U247" s="17" t="str">
        <f aca="false">IF(A247="","", "LOSS-"&amp;A247&amp;"-L"&amp;TEXT(B247,"00")&amp;"-"&amp;TEXT(C247,"yyyymmdd")&amp;"-"&amp;D247&amp;"-"&amp;E247)</f>
        <v>LOSS-KG01-L22-20251002-AM-ORD-2025-00192</v>
      </c>
      <c r="V247" s="17" t="str">
        <f aca="false">IF(U247="","",IF(COUNTIF($U$5:$U$935,U247)=1,"OK","CHECK"))</f>
        <v>OK</v>
      </c>
      <c r="W247" s="17" t="str">
        <f aca="false">IF(A247="","",IF(AND(T247="OK",V247="OK",G247&gt;=0),"OK","CHECK"))</f>
        <v>OK</v>
      </c>
    </row>
    <row r="248" customFormat="false" ht="18" hidden="false" customHeight="true" outlineLevel="0" collapsed="false">
      <c r="A248" s="18" t="s">
        <v>39</v>
      </c>
      <c r="B248" s="19" t="n">
        <v>22</v>
      </c>
      <c r="C248" s="20" t="n">
        <v>45932</v>
      </c>
      <c r="D248" s="18" t="s">
        <v>43</v>
      </c>
      <c r="E248" s="18" t="s">
        <v>88</v>
      </c>
      <c r="F248" s="18" t="s">
        <v>42</v>
      </c>
      <c r="G248" s="21" t="n">
        <v>7139</v>
      </c>
      <c r="H248" s="22" t="n">
        <v>0.000105627566791796</v>
      </c>
      <c r="I248" s="22" t="n">
        <v>0.0125843338179898</v>
      </c>
      <c r="J248" s="22" t="n">
        <v>0.0146952878745892</v>
      </c>
      <c r="K248" s="22" t="n">
        <v>0.000762983997266637</v>
      </c>
      <c r="L248" s="22" t="n">
        <v>0.000178779931784259</v>
      </c>
      <c r="M248" s="22" t="n">
        <v>0.0111614401680005</v>
      </c>
      <c r="N248" s="22" t="n">
        <v>0.00301974018601923</v>
      </c>
      <c r="O248" s="22" t="n">
        <v>0.00417542184699117</v>
      </c>
      <c r="P248" s="22" t="n">
        <v>0.00690577088328052</v>
      </c>
      <c r="Q248" s="22" t="n">
        <v>0.00078012771088165</v>
      </c>
      <c r="R248" s="22" t="n">
        <v>0.00311035719192864</v>
      </c>
      <c r="S248" s="23" t="n">
        <f aca="false">IF(A248="","",SUM(H248:R248))</f>
        <v>0.0574798711755234</v>
      </c>
      <c r="T248" s="17" t="str">
        <f aca="false">IF(A248="","",IF(AND(MIN(H248:R248)&gt;=0,MAX(H248:R248)&lt;=1,S248&lt;=1),"OK","CHECK"))</f>
        <v>OK</v>
      </c>
      <c r="U248" s="17" t="str">
        <f aca="false">IF(A248="","", "LOSS-"&amp;A248&amp;"-L"&amp;TEXT(B248,"00")&amp;"-"&amp;TEXT(C248,"yyyymmdd")&amp;"-"&amp;D248&amp;"-"&amp;E248)</f>
        <v>LOSS-KG01-L22-20251002-PM-ORD-2025-00192</v>
      </c>
      <c r="V248" s="17" t="str">
        <f aca="false">IF(U248="","",IF(COUNTIF($U$5:$U$935,U248)=1,"OK","CHECK"))</f>
        <v>OK</v>
      </c>
      <c r="W248" s="17" t="str">
        <f aca="false">IF(A248="","",IF(AND(T248="OK",V248="OK",G248&gt;=0),"OK","CHECK"))</f>
        <v>OK</v>
      </c>
    </row>
    <row r="249" customFormat="false" ht="18" hidden="false" customHeight="true" outlineLevel="0" collapsed="false">
      <c r="A249" s="18" t="s">
        <v>39</v>
      </c>
      <c r="B249" s="19" t="n">
        <v>22</v>
      </c>
      <c r="C249" s="20" t="n">
        <v>45933</v>
      </c>
      <c r="D249" s="18" t="s">
        <v>40</v>
      </c>
      <c r="E249" s="18" t="s">
        <v>89</v>
      </c>
      <c r="F249" s="18" t="s">
        <v>45</v>
      </c>
      <c r="G249" s="21" t="n">
        <v>2198</v>
      </c>
      <c r="H249" s="22" t="n">
        <v>0.00435982303093922</v>
      </c>
      <c r="I249" s="22" t="n">
        <v>0.00221071488802616</v>
      </c>
      <c r="J249" s="22" t="n">
        <v>0.00111966367840461</v>
      </c>
      <c r="K249" s="22" t="n">
        <v>0.000142948371590703</v>
      </c>
      <c r="L249" s="22" t="n">
        <v>0.00049158519517298</v>
      </c>
      <c r="M249" s="22" t="n">
        <v>0.00449735961381054</v>
      </c>
      <c r="N249" s="22" t="n">
        <v>0.00239671944605077</v>
      </c>
      <c r="O249" s="22" t="n">
        <v>0.00219442580675574</v>
      </c>
      <c r="P249" s="22" t="n">
        <v>0.00402445038966649</v>
      </c>
      <c r="Q249" s="22" t="n">
        <v>7.56617905135989E-005</v>
      </c>
      <c r="R249" s="22" t="n">
        <v>0.000647256752118047</v>
      </c>
      <c r="S249" s="23" t="n">
        <f aca="false">IF(A249="","",SUM(H249:R249))</f>
        <v>0.0221606089630489</v>
      </c>
      <c r="T249" s="17" t="str">
        <f aca="false">IF(A249="","",IF(AND(MIN(H249:R249)&gt;=0,MAX(H249:R249)&lt;=1,S249&lt;=1),"OK","CHECK"))</f>
        <v>OK</v>
      </c>
      <c r="U249" s="17" t="str">
        <f aca="false">IF(A249="","", "LOSS-"&amp;A249&amp;"-L"&amp;TEXT(B249,"00")&amp;"-"&amp;TEXT(C249,"yyyymmdd")&amp;"-"&amp;D249&amp;"-"&amp;E249)</f>
        <v>LOSS-KG01-L22-20251003-AM-ORD-2025-00193</v>
      </c>
      <c r="V249" s="17" t="str">
        <f aca="false">IF(U249="","",IF(COUNTIF($U$5:$U$935,U249)=1,"OK","CHECK"))</f>
        <v>OK</v>
      </c>
      <c r="W249" s="17" t="str">
        <f aca="false">IF(A249="","",IF(AND(T249="OK",V249="OK",G249&gt;=0),"OK","CHECK"))</f>
        <v>OK</v>
      </c>
    </row>
    <row r="250" customFormat="false" ht="18" hidden="false" customHeight="true" outlineLevel="0" collapsed="false">
      <c r="A250" s="18" t="s">
        <v>39</v>
      </c>
      <c r="B250" s="19" t="n">
        <v>22</v>
      </c>
      <c r="C250" s="20" t="n">
        <v>45933</v>
      </c>
      <c r="D250" s="18" t="s">
        <v>43</v>
      </c>
      <c r="E250" s="18" t="s">
        <v>89</v>
      </c>
      <c r="F250" s="18" t="s">
        <v>42</v>
      </c>
      <c r="G250" s="21" t="n">
        <v>7065</v>
      </c>
      <c r="H250" s="22" t="n">
        <v>0.00118829973034872</v>
      </c>
      <c r="I250" s="22" t="n">
        <v>0.00978095949563079</v>
      </c>
      <c r="J250" s="22" t="n">
        <v>0.0035571384051398</v>
      </c>
      <c r="K250" s="22" t="n">
        <v>2.48469656187546E-007</v>
      </c>
      <c r="L250" s="22" t="n">
        <v>0.00268986880751116</v>
      </c>
      <c r="M250" s="22" t="n">
        <v>0.000640011309581626</v>
      </c>
      <c r="N250" s="22" t="n">
        <v>0.000146093232610719</v>
      </c>
      <c r="O250" s="22" t="n">
        <v>0.00363004990586706</v>
      </c>
      <c r="P250" s="22" t="n">
        <v>0.00283833667207964</v>
      </c>
      <c r="Q250" s="22" t="n">
        <v>0.00265130439507961</v>
      </c>
      <c r="R250" s="22" t="n">
        <v>0.00572180901472774</v>
      </c>
      <c r="S250" s="23" t="n">
        <f aca="false">IF(A250="","",SUM(H250:R250))</f>
        <v>0.0328441194382331</v>
      </c>
      <c r="T250" s="17" t="str">
        <f aca="false">IF(A250="","",IF(AND(MIN(H250:R250)&gt;=0,MAX(H250:R250)&lt;=1,S250&lt;=1),"OK","CHECK"))</f>
        <v>OK</v>
      </c>
      <c r="U250" s="17" t="str">
        <f aca="false">IF(A250="","", "LOSS-"&amp;A250&amp;"-L"&amp;TEXT(B250,"00")&amp;"-"&amp;TEXT(C250,"yyyymmdd")&amp;"-"&amp;D250&amp;"-"&amp;E250)</f>
        <v>LOSS-KG01-L22-20251003-PM-ORD-2025-00193</v>
      </c>
      <c r="V250" s="17" t="str">
        <f aca="false">IF(U250="","",IF(COUNTIF($U$5:$U$935,U250)=1,"OK","CHECK"))</f>
        <v>OK</v>
      </c>
      <c r="W250" s="17" t="str">
        <f aca="false">IF(A250="","",IF(AND(T250="OK",V250="OK",G250&gt;=0),"OK","CHECK"))</f>
        <v>OK</v>
      </c>
    </row>
    <row r="251" customFormat="false" ht="18" hidden="false" customHeight="true" outlineLevel="0" collapsed="false">
      <c r="A251" s="18" t="s">
        <v>39</v>
      </c>
      <c r="B251" s="19" t="n">
        <v>22</v>
      </c>
      <c r="C251" s="20" t="n">
        <v>45934</v>
      </c>
      <c r="D251" s="18" t="s">
        <v>40</v>
      </c>
      <c r="E251" s="18" t="s">
        <v>89</v>
      </c>
      <c r="F251" s="18" t="s">
        <v>42</v>
      </c>
      <c r="G251" s="21" t="n">
        <v>15059</v>
      </c>
      <c r="H251" s="22" t="n">
        <v>0.00256724860302937</v>
      </c>
      <c r="I251" s="22" t="n">
        <v>0.00730557029483354</v>
      </c>
      <c r="J251" s="22" t="n">
        <v>0.044303169011735</v>
      </c>
      <c r="K251" s="22" t="n">
        <v>4.774221636523E-005</v>
      </c>
      <c r="L251" s="22" t="n">
        <v>0.00105350327442102</v>
      </c>
      <c r="M251" s="22" t="n">
        <v>0.000382037501144537</v>
      </c>
      <c r="N251" s="22" t="n">
        <v>0.0262446510509162</v>
      </c>
      <c r="O251" s="22" t="n">
        <v>0.000879145085344972</v>
      </c>
      <c r="P251" s="22" t="n">
        <v>0.00410933823688502</v>
      </c>
      <c r="Q251" s="22" t="n">
        <v>0.00217806571527437</v>
      </c>
      <c r="R251" s="22" t="n">
        <v>0.000464108538209086</v>
      </c>
      <c r="S251" s="23" t="n">
        <f aca="false">IF(A251="","",SUM(H251:R251))</f>
        <v>0.0895345795281583</v>
      </c>
      <c r="T251" s="17" t="str">
        <f aca="false">IF(A251="","",IF(AND(MIN(H251:R251)&gt;=0,MAX(H251:R251)&lt;=1,S251&lt;=1),"OK","CHECK"))</f>
        <v>OK</v>
      </c>
      <c r="U251" s="17" t="str">
        <f aca="false">IF(A251="","", "LOSS-"&amp;A251&amp;"-L"&amp;TEXT(B251,"00")&amp;"-"&amp;TEXT(C251,"yyyymmdd")&amp;"-"&amp;D251&amp;"-"&amp;E251)</f>
        <v>LOSS-KG01-L22-20251004-AM-ORD-2025-00193</v>
      </c>
      <c r="V251" s="17" t="str">
        <f aca="false">IF(U251="","",IF(COUNTIF($U$5:$U$935,U251)=1,"OK","CHECK"))</f>
        <v>OK</v>
      </c>
      <c r="W251" s="17" t="str">
        <f aca="false">IF(A251="","",IF(AND(T251="OK",V251="OK",G251&gt;=0),"OK","CHECK"))</f>
        <v>OK</v>
      </c>
    </row>
    <row r="252" customFormat="false" ht="18" hidden="false" customHeight="true" outlineLevel="0" collapsed="false">
      <c r="A252" s="18" t="s">
        <v>39</v>
      </c>
      <c r="B252" s="19" t="n">
        <v>22</v>
      </c>
      <c r="C252" s="20" t="n">
        <v>45934</v>
      </c>
      <c r="D252" s="18" t="s">
        <v>43</v>
      </c>
      <c r="E252" s="18" t="s">
        <v>89</v>
      </c>
      <c r="F252" s="18" t="s">
        <v>42</v>
      </c>
      <c r="G252" s="21" t="n">
        <v>8442</v>
      </c>
      <c r="H252" s="22" t="n">
        <v>0.00654290897011152</v>
      </c>
      <c r="I252" s="22" t="n">
        <v>0.00554621222759022</v>
      </c>
      <c r="J252" s="22" t="n">
        <v>0.00284653785827673</v>
      </c>
      <c r="K252" s="22" t="n">
        <v>0.00854105418040405</v>
      </c>
      <c r="L252" s="22" t="n">
        <v>0.00248140871017824</v>
      </c>
      <c r="M252" s="22" t="n">
        <v>0.0116869568786651</v>
      </c>
      <c r="N252" s="22" t="n">
        <v>0.0111017527745914</v>
      </c>
      <c r="O252" s="22" t="n">
        <v>0.000816216605948073</v>
      </c>
      <c r="P252" s="22" t="n">
        <v>0.000510963679945007</v>
      </c>
      <c r="Q252" s="22" t="n">
        <v>0.00934069726361453</v>
      </c>
      <c r="R252" s="22" t="n">
        <v>0.00671614251452173</v>
      </c>
      <c r="S252" s="23" t="n">
        <f aca="false">IF(A252="","",SUM(H252:R252))</f>
        <v>0.0661308516638466</v>
      </c>
      <c r="T252" s="17" t="str">
        <f aca="false">IF(A252="","",IF(AND(MIN(H252:R252)&gt;=0,MAX(H252:R252)&lt;=1,S252&lt;=1),"OK","CHECK"))</f>
        <v>OK</v>
      </c>
      <c r="U252" s="17" t="str">
        <f aca="false">IF(A252="","", "LOSS-"&amp;A252&amp;"-L"&amp;TEXT(B252,"00")&amp;"-"&amp;TEXT(C252,"yyyymmdd")&amp;"-"&amp;D252&amp;"-"&amp;E252)</f>
        <v>LOSS-KG01-L22-20251004-PM-ORD-2025-00193</v>
      </c>
      <c r="V252" s="17" t="str">
        <f aca="false">IF(U252="","",IF(COUNTIF($U$5:$U$935,U252)=1,"OK","CHECK"))</f>
        <v>OK</v>
      </c>
      <c r="W252" s="17" t="str">
        <f aca="false">IF(A252="","",IF(AND(T252="OK",V252="OK",G252&gt;=0),"OK","CHECK"))</f>
        <v>OK</v>
      </c>
    </row>
    <row r="253" customFormat="false" ht="18" hidden="false" customHeight="true" outlineLevel="0" collapsed="false">
      <c r="A253" s="18" t="s">
        <v>39</v>
      </c>
      <c r="B253" s="19" t="n">
        <v>22</v>
      </c>
      <c r="C253" s="20" t="n">
        <v>45935</v>
      </c>
      <c r="D253" s="18" t="s">
        <v>40</v>
      </c>
      <c r="E253" s="18" t="s">
        <v>89</v>
      </c>
      <c r="F253" s="18" t="s">
        <v>42</v>
      </c>
      <c r="G253" s="21" t="n">
        <v>8743</v>
      </c>
      <c r="H253" s="22" t="n">
        <v>0.0159837921398354</v>
      </c>
      <c r="I253" s="22" t="n">
        <v>0.000182907311624633</v>
      </c>
      <c r="J253" s="22" t="n">
        <v>0.0108682617013762</v>
      </c>
      <c r="K253" s="22" t="n">
        <v>0.00596455786370901</v>
      </c>
      <c r="L253" s="22" t="n">
        <v>0.000474072875070613</v>
      </c>
      <c r="M253" s="22" t="n">
        <v>0.000731932189880284</v>
      </c>
      <c r="N253" s="22" t="n">
        <v>0.00900726384250324</v>
      </c>
      <c r="O253" s="22" t="n">
        <v>0.00324614063720622</v>
      </c>
      <c r="P253" s="22" t="n">
        <v>0.00343892530468422</v>
      </c>
      <c r="Q253" s="22" t="n">
        <v>0.00614354286357364</v>
      </c>
      <c r="R253" s="22" t="n">
        <v>0.00127509282402782</v>
      </c>
      <c r="S253" s="23" t="n">
        <f aca="false">IF(A253="","",SUM(H253:R253))</f>
        <v>0.0573164895534913</v>
      </c>
      <c r="T253" s="17" t="str">
        <f aca="false">IF(A253="","",IF(AND(MIN(H253:R253)&gt;=0,MAX(H253:R253)&lt;=1,S253&lt;=1),"OK","CHECK"))</f>
        <v>OK</v>
      </c>
      <c r="U253" s="17" t="str">
        <f aca="false">IF(A253="","", "LOSS-"&amp;A253&amp;"-L"&amp;TEXT(B253,"00")&amp;"-"&amp;TEXT(C253,"yyyymmdd")&amp;"-"&amp;D253&amp;"-"&amp;E253)</f>
        <v>LOSS-KG01-L22-20251005-AM-ORD-2025-00193</v>
      </c>
      <c r="V253" s="17" t="str">
        <f aca="false">IF(U253="","",IF(COUNTIF($U$5:$U$935,U253)=1,"OK","CHECK"))</f>
        <v>OK</v>
      </c>
      <c r="W253" s="17" t="str">
        <f aca="false">IF(A253="","",IF(AND(T253="OK",V253="OK",G253&gt;=0),"OK","CHECK"))</f>
        <v>OK</v>
      </c>
    </row>
    <row r="254" customFormat="false" ht="18" hidden="false" customHeight="true" outlineLevel="0" collapsed="false">
      <c r="A254" s="18" t="s">
        <v>39</v>
      </c>
      <c r="B254" s="19" t="n">
        <v>22</v>
      </c>
      <c r="C254" s="20" t="n">
        <v>45935</v>
      </c>
      <c r="D254" s="18" t="s">
        <v>43</v>
      </c>
      <c r="E254" s="18" t="s">
        <v>90</v>
      </c>
      <c r="F254" s="18" t="s">
        <v>45</v>
      </c>
      <c r="G254" s="21" t="n">
        <v>957</v>
      </c>
      <c r="H254" s="22" t="n">
        <v>0.000570845465302412</v>
      </c>
      <c r="I254" s="22" t="n">
        <v>6.50004195294469E-005</v>
      </c>
      <c r="J254" s="22" t="n">
        <v>0.000824372059300557</v>
      </c>
      <c r="K254" s="22" t="n">
        <v>0.000224113608261823</v>
      </c>
      <c r="L254" s="22" t="n">
        <v>0.000699782738811747</v>
      </c>
      <c r="M254" s="22" t="n">
        <v>0.00452973233538733</v>
      </c>
      <c r="N254" s="22" t="n">
        <v>0.00377182775476088</v>
      </c>
      <c r="O254" s="22" t="n">
        <v>0.00113473492610188</v>
      </c>
      <c r="P254" s="22" t="n">
        <v>0.0044449258221865</v>
      </c>
      <c r="Q254" s="22" t="n">
        <v>0.00515752218006957</v>
      </c>
      <c r="R254" s="22" t="n">
        <v>0.000359816701304373</v>
      </c>
      <c r="S254" s="23" t="n">
        <f aca="false">IF(A254="","",SUM(H254:R254))</f>
        <v>0.0217826740110165</v>
      </c>
      <c r="T254" s="17" t="str">
        <f aca="false">IF(A254="","",IF(AND(MIN(H254:R254)&gt;=0,MAX(H254:R254)&lt;=1,S254&lt;=1),"OK","CHECK"))</f>
        <v>OK</v>
      </c>
      <c r="U254" s="17" t="str">
        <f aca="false">IF(A254="","", "LOSS-"&amp;A254&amp;"-L"&amp;TEXT(B254,"00")&amp;"-"&amp;TEXT(C254,"yyyymmdd")&amp;"-"&amp;D254&amp;"-"&amp;E254)</f>
        <v>LOSS-KG01-L22-20251005-PM-ORD-2025-00194</v>
      </c>
      <c r="V254" s="17" t="str">
        <f aca="false">IF(U254="","",IF(COUNTIF($U$5:$U$935,U254)=1,"OK","CHECK"))</f>
        <v>OK</v>
      </c>
      <c r="W254" s="17" t="str">
        <f aca="false">IF(A254="","",IF(AND(T254="OK",V254="OK",G254&gt;=0),"OK","CHECK"))</f>
        <v>OK</v>
      </c>
    </row>
    <row r="255" customFormat="false" ht="18" hidden="false" customHeight="true" outlineLevel="0" collapsed="false">
      <c r="A255" s="18" t="s">
        <v>39</v>
      </c>
      <c r="B255" s="19" t="n">
        <v>22</v>
      </c>
      <c r="C255" s="20" t="n">
        <v>45936</v>
      </c>
      <c r="D255" s="18" t="s">
        <v>40</v>
      </c>
      <c r="E255" s="18" t="s">
        <v>90</v>
      </c>
      <c r="F255" s="18" t="s">
        <v>42</v>
      </c>
      <c r="G255" s="21" t="n">
        <v>9537</v>
      </c>
      <c r="H255" s="22" t="n">
        <v>0.00215018872659365</v>
      </c>
      <c r="I255" s="22" t="n">
        <v>0.00466895255193136</v>
      </c>
      <c r="J255" s="22" t="n">
        <v>0.00985289781434046</v>
      </c>
      <c r="K255" s="22" t="n">
        <v>0.0115639972020723</v>
      </c>
      <c r="L255" s="22" t="n">
        <v>0.00360315513840119</v>
      </c>
      <c r="M255" s="22" t="n">
        <v>0.0020311888679776</v>
      </c>
      <c r="N255" s="22" t="n">
        <v>0.00016829178401889</v>
      </c>
      <c r="O255" s="22" t="n">
        <v>0.0083802243117893</v>
      </c>
      <c r="P255" s="22" t="n">
        <v>0.00236054635663637</v>
      </c>
      <c r="Q255" s="22" t="n">
        <v>0.000442530806705166</v>
      </c>
      <c r="R255" s="22" t="n">
        <v>0.000770503291385601</v>
      </c>
      <c r="S255" s="23" t="n">
        <f aca="false">IF(A255="","",SUM(H255:R255))</f>
        <v>0.0459924768518519</v>
      </c>
      <c r="T255" s="17" t="str">
        <f aca="false">IF(A255="","",IF(AND(MIN(H255:R255)&gt;=0,MAX(H255:R255)&lt;=1,S255&lt;=1),"OK","CHECK"))</f>
        <v>OK</v>
      </c>
      <c r="U255" s="17" t="str">
        <f aca="false">IF(A255="","", "LOSS-"&amp;A255&amp;"-L"&amp;TEXT(B255,"00")&amp;"-"&amp;TEXT(C255,"yyyymmdd")&amp;"-"&amp;D255&amp;"-"&amp;E255)</f>
        <v>LOSS-KG01-L22-20251006-AM-ORD-2025-00194</v>
      </c>
      <c r="V255" s="17" t="str">
        <f aca="false">IF(U255="","",IF(COUNTIF($U$5:$U$935,U255)=1,"OK","CHECK"))</f>
        <v>OK</v>
      </c>
      <c r="W255" s="17" t="str">
        <f aca="false">IF(A255="","",IF(AND(T255="OK",V255="OK",G255&gt;=0),"OK","CHECK"))</f>
        <v>OK</v>
      </c>
    </row>
    <row r="256" customFormat="false" ht="18" hidden="false" customHeight="true" outlineLevel="0" collapsed="false">
      <c r="A256" s="18" t="s">
        <v>39</v>
      </c>
      <c r="B256" s="19" t="n">
        <v>22</v>
      </c>
      <c r="C256" s="20" t="n">
        <v>45936</v>
      </c>
      <c r="D256" s="18" t="s">
        <v>43</v>
      </c>
      <c r="E256" s="18" t="s">
        <v>90</v>
      </c>
      <c r="F256" s="18" t="s">
        <v>42</v>
      </c>
      <c r="G256" s="21" t="n">
        <v>19963</v>
      </c>
      <c r="H256" s="22" t="n">
        <v>0.0017065386160419</v>
      </c>
      <c r="I256" s="22" t="n">
        <v>0.00509082113032517</v>
      </c>
      <c r="J256" s="22" t="n">
        <v>0.000775298860062935</v>
      </c>
      <c r="K256" s="22" t="n">
        <v>0.00364423771433259</v>
      </c>
      <c r="L256" s="22" t="n">
        <v>3.41994079039524E-006</v>
      </c>
      <c r="M256" s="22" t="n">
        <v>0.0174598886533272</v>
      </c>
      <c r="N256" s="22" t="n">
        <v>0.0189362803231188</v>
      </c>
      <c r="O256" s="22" t="n">
        <v>0.00168422023018759</v>
      </c>
      <c r="P256" s="22" t="n">
        <v>0.0118680720340719</v>
      </c>
      <c r="Q256" s="22" t="n">
        <v>0.00381085908588953</v>
      </c>
      <c r="R256" s="22" t="n">
        <v>0.00199478879657839</v>
      </c>
      <c r="S256" s="23" t="n">
        <f aca="false">IF(A256="","",SUM(H256:R256))</f>
        <v>0.0669744253847264</v>
      </c>
      <c r="T256" s="17" t="str">
        <f aca="false">IF(A256="","",IF(AND(MIN(H256:R256)&gt;=0,MAX(H256:R256)&lt;=1,S256&lt;=1),"OK","CHECK"))</f>
        <v>OK</v>
      </c>
      <c r="U256" s="17" t="str">
        <f aca="false">IF(A256="","", "LOSS-"&amp;A256&amp;"-L"&amp;TEXT(B256,"00")&amp;"-"&amp;TEXT(C256,"yyyymmdd")&amp;"-"&amp;D256&amp;"-"&amp;E256)</f>
        <v>LOSS-KG01-L22-20251006-PM-ORD-2025-00194</v>
      </c>
      <c r="V256" s="17" t="str">
        <f aca="false">IF(U256="","",IF(COUNTIF($U$5:$U$935,U256)=1,"OK","CHECK"))</f>
        <v>OK</v>
      </c>
      <c r="W256" s="17" t="str">
        <f aca="false">IF(A256="","",IF(AND(T256="OK",V256="OK",G256&gt;=0),"OK","CHECK"))</f>
        <v>OK</v>
      </c>
    </row>
    <row r="257" customFormat="false" ht="18" hidden="false" customHeight="true" outlineLevel="0" collapsed="false">
      <c r="A257" s="18" t="s">
        <v>39</v>
      </c>
      <c r="B257" s="19" t="n">
        <v>22</v>
      </c>
      <c r="C257" s="20" t="n">
        <v>45937</v>
      </c>
      <c r="D257" s="18" t="s">
        <v>40</v>
      </c>
      <c r="E257" s="18" t="s">
        <v>90</v>
      </c>
      <c r="F257" s="18" t="s">
        <v>42</v>
      </c>
      <c r="G257" s="21" t="n">
        <v>11114</v>
      </c>
      <c r="H257" s="22" t="n">
        <v>6.92113902627888E-005</v>
      </c>
      <c r="I257" s="22" t="n">
        <v>0.00126898568245961</v>
      </c>
      <c r="J257" s="22" t="n">
        <v>0.00071021479319712</v>
      </c>
      <c r="K257" s="22" t="n">
        <v>0.000746058778189794</v>
      </c>
      <c r="L257" s="22" t="n">
        <v>0.00496435002778847</v>
      </c>
      <c r="M257" s="22" t="n">
        <v>0.00809373227426711</v>
      </c>
      <c r="N257" s="22" t="n">
        <v>0.0141264076914551</v>
      </c>
      <c r="O257" s="22" t="n">
        <v>0.0102850548623319</v>
      </c>
      <c r="P257" s="22" t="n">
        <v>0.00711036823061735</v>
      </c>
      <c r="Q257" s="22" t="n">
        <v>0.00519692337886829</v>
      </c>
      <c r="R257" s="22" t="n">
        <v>0.00658914045313507</v>
      </c>
      <c r="S257" s="23" t="n">
        <f aca="false">IF(A257="","",SUM(H257:R257))</f>
        <v>0.0591604475625726</v>
      </c>
      <c r="T257" s="17" t="str">
        <f aca="false">IF(A257="","",IF(AND(MIN(H257:R257)&gt;=0,MAX(H257:R257)&lt;=1,S257&lt;=1),"OK","CHECK"))</f>
        <v>OK</v>
      </c>
      <c r="U257" s="17" t="str">
        <f aca="false">IF(A257="","", "LOSS-"&amp;A257&amp;"-L"&amp;TEXT(B257,"00")&amp;"-"&amp;TEXT(C257,"yyyymmdd")&amp;"-"&amp;D257&amp;"-"&amp;E257)</f>
        <v>LOSS-KG01-L22-20251007-AM-ORD-2025-00194</v>
      </c>
      <c r="V257" s="17" t="str">
        <f aca="false">IF(U257="","",IF(COUNTIF($U$5:$U$935,U257)=1,"OK","CHECK"))</f>
        <v>OK</v>
      </c>
      <c r="W257" s="17" t="str">
        <f aca="false">IF(A257="","",IF(AND(T257="OK",V257="OK",G257&gt;=0),"OK","CHECK"))</f>
        <v>OK</v>
      </c>
    </row>
    <row r="258" customFormat="false" ht="18" hidden="false" customHeight="true" outlineLevel="0" collapsed="false">
      <c r="A258" s="18" t="s">
        <v>39</v>
      </c>
      <c r="B258" s="19" t="n">
        <v>22</v>
      </c>
      <c r="C258" s="20" t="n">
        <v>45937</v>
      </c>
      <c r="D258" s="18" t="s">
        <v>43</v>
      </c>
      <c r="E258" s="18" t="s">
        <v>90</v>
      </c>
      <c r="F258" s="18" t="s">
        <v>42</v>
      </c>
      <c r="G258" s="21" t="n">
        <v>9870</v>
      </c>
      <c r="H258" s="22" t="n">
        <v>0.0122321875745341</v>
      </c>
      <c r="I258" s="22" t="n">
        <v>0.00497916212248446</v>
      </c>
      <c r="J258" s="22" t="n">
        <v>0.0173928126991709</v>
      </c>
      <c r="K258" s="22" t="n">
        <v>0.00103218453302681</v>
      </c>
      <c r="L258" s="22" t="n">
        <v>6.48300430457217E-005</v>
      </c>
      <c r="M258" s="22" t="n">
        <v>0.00641365640471005</v>
      </c>
      <c r="N258" s="22" t="n">
        <v>5.75582664623464E-005</v>
      </c>
      <c r="O258" s="22" t="n">
        <v>0.00197963219149975</v>
      </c>
      <c r="P258" s="22" t="n">
        <v>0.000373895191235491</v>
      </c>
      <c r="Q258" s="22" t="n">
        <v>0.00538953937841208</v>
      </c>
      <c r="R258" s="22" t="n">
        <v>0.00950908085956547</v>
      </c>
      <c r="S258" s="23" t="n">
        <f aca="false">IF(A258="","",SUM(H258:R258))</f>
        <v>0.0594245392641472</v>
      </c>
      <c r="T258" s="17" t="str">
        <f aca="false">IF(A258="","",IF(AND(MIN(H258:R258)&gt;=0,MAX(H258:R258)&lt;=1,S258&lt;=1),"OK","CHECK"))</f>
        <v>OK</v>
      </c>
      <c r="U258" s="17" t="str">
        <f aca="false">IF(A258="","", "LOSS-"&amp;A258&amp;"-L"&amp;TEXT(B258,"00")&amp;"-"&amp;TEXT(C258,"yyyymmdd")&amp;"-"&amp;D258&amp;"-"&amp;E258)</f>
        <v>LOSS-KG01-L22-20251007-PM-ORD-2025-00194</v>
      </c>
      <c r="V258" s="17" t="str">
        <f aca="false">IF(U258="","",IF(COUNTIF($U$5:$U$935,U258)=1,"OK","CHECK"))</f>
        <v>OK</v>
      </c>
      <c r="W258" s="17" t="str">
        <f aca="false">IF(A258="","",IF(AND(T258="OK",V258="OK",G258&gt;=0),"OK","CHECK"))</f>
        <v>OK</v>
      </c>
    </row>
    <row r="259" customFormat="false" ht="18" hidden="false" customHeight="true" outlineLevel="0" collapsed="false">
      <c r="A259" s="18" t="s">
        <v>39</v>
      </c>
      <c r="B259" s="19" t="n">
        <v>22</v>
      </c>
      <c r="C259" s="20" t="n">
        <v>45938</v>
      </c>
      <c r="D259" s="18" t="s">
        <v>40</v>
      </c>
      <c r="E259" s="18" t="s">
        <v>90</v>
      </c>
      <c r="F259" s="18" t="s">
        <v>42</v>
      </c>
      <c r="G259" s="21" t="n">
        <v>11678</v>
      </c>
      <c r="H259" s="22" t="n">
        <v>0.0117256307512642</v>
      </c>
      <c r="I259" s="22" t="n">
        <v>0.00187536280919939</v>
      </c>
      <c r="J259" s="22" t="n">
        <v>1.51771989538828E-005</v>
      </c>
      <c r="K259" s="22" t="n">
        <v>1.06738073428342E-005</v>
      </c>
      <c r="L259" s="22" t="n">
        <v>0.020586017270109</v>
      </c>
      <c r="M259" s="22" t="n">
        <v>0.0111222053284765</v>
      </c>
      <c r="N259" s="22" t="n">
        <v>7.24532948868844E-007</v>
      </c>
      <c r="O259" s="22" t="n">
        <v>0.00715426025183822</v>
      </c>
      <c r="P259" s="22" t="n">
        <v>0.000576284899534639</v>
      </c>
      <c r="Q259" s="22" t="n">
        <v>0.0313639841686728</v>
      </c>
      <c r="R259" s="22" t="n">
        <v>4.59521298078187E-005</v>
      </c>
      <c r="S259" s="23" t="n">
        <f aca="false">IF(A259="","",SUM(H259:R259))</f>
        <v>0.0844762731481482</v>
      </c>
      <c r="T259" s="17" t="str">
        <f aca="false">IF(A259="","",IF(AND(MIN(H259:R259)&gt;=0,MAX(H259:R259)&lt;=1,S259&lt;=1),"OK","CHECK"))</f>
        <v>OK</v>
      </c>
      <c r="U259" s="17" t="str">
        <f aca="false">IF(A259="","", "LOSS-"&amp;A259&amp;"-L"&amp;TEXT(B259,"00")&amp;"-"&amp;TEXT(C259,"yyyymmdd")&amp;"-"&amp;D259&amp;"-"&amp;E259)</f>
        <v>LOSS-KG01-L22-20251008-AM-ORD-2025-00194</v>
      </c>
      <c r="V259" s="17" t="str">
        <f aca="false">IF(U259="","",IF(COUNTIF($U$5:$U$935,U259)=1,"OK","CHECK"))</f>
        <v>OK</v>
      </c>
      <c r="W259" s="17" t="str">
        <f aca="false">IF(A259="","",IF(AND(T259="OK",V259="OK",G259&gt;=0),"OK","CHECK"))</f>
        <v>OK</v>
      </c>
    </row>
    <row r="260" customFormat="false" ht="18" hidden="false" customHeight="true" outlineLevel="0" collapsed="false">
      <c r="A260" s="18" t="s">
        <v>39</v>
      </c>
      <c r="B260" s="19" t="n">
        <v>22</v>
      </c>
      <c r="C260" s="20" t="n">
        <v>45938</v>
      </c>
      <c r="D260" s="18" t="s">
        <v>43</v>
      </c>
      <c r="E260" s="18" t="s">
        <v>91</v>
      </c>
      <c r="F260" s="18" t="s">
        <v>45</v>
      </c>
      <c r="G260" s="21" t="n">
        <v>7261</v>
      </c>
      <c r="H260" s="22" t="n">
        <v>0.00752475735330359</v>
      </c>
      <c r="I260" s="22" t="n">
        <v>0.00735774657258592</v>
      </c>
      <c r="J260" s="22" t="n">
        <v>0.00300982636010423</v>
      </c>
      <c r="K260" s="22" t="n">
        <v>7.00123777759122E-006</v>
      </c>
      <c r="L260" s="22" t="n">
        <v>0.00583815966128446</v>
      </c>
      <c r="M260" s="22" t="n">
        <v>0.0182086098754779</v>
      </c>
      <c r="N260" s="22" t="n">
        <v>0.00455552690333164</v>
      </c>
      <c r="O260" s="22" t="n">
        <v>0.00239555073376443</v>
      </c>
      <c r="P260" s="22" t="n">
        <v>0.00266020689244333</v>
      </c>
      <c r="Q260" s="22" t="n">
        <v>0.00316219612369908</v>
      </c>
      <c r="R260" s="22" t="n">
        <v>0.000168238799048322</v>
      </c>
      <c r="S260" s="23" t="n">
        <f aca="false">IF(A260="","",SUM(H260:R260))</f>
        <v>0.0548878205128205</v>
      </c>
      <c r="T260" s="17" t="str">
        <f aca="false">IF(A260="","",IF(AND(MIN(H260:R260)&gt;=0,MAX(H260:R260)&lt;=1,S260&lt;=1),"OK","CHECK"))</f>
        <v>OK</v>
      </c>
      <c r="U260" s="17" t="str">
        <f aca="false">IF(A260="","", "LOSS-"&amp;A260&amp;"-L"&amp;TEXT(B260,"00")&amp;"-"&amp;TEXT(C260,"yyyymmdd")&amp;"-"&amp;D260&amp;"-"&amp;E260)</f>
        <v>LOSS-KG01-L22-20251008-PM-ORD-2025-00195</v>
      </c>
      <c r="V260" s="17" t="str">
        <f aca="false">IF(U260="","",IF(COUNTIF($U$5:$U$935,U260)=1,"OK","CHECK"))</f>
        <v>OK</v>
      </c>
      <c r="W260" s="17" t="str">
        <f aca="false">IF(A260="","",IF(AND(T260="OK",V260="OK",G260&gt;=0),"OK","CHECK"))</f>
        <v>OK</v>
      </c>
    </row>
    <row r="261" customFormat="false" ht="18" hidden="false" customHeight="true" outlineLevel="0" collapsed="false">
      <c r="A261" s="18" t="s">
        <v>39</v>
      </c>
      <c r="B261" s="19" t="n">
        <v>22</v>
      </c>
      <c r="C261" s="20" t="n">
        <v>45939</v>
      </c>
      <c r="D261" s="18" t="s">
        <v>40</v>
      </c>
      <c r="E261" s="18" t="s">
        <v>91</v>
      </c>
      <c r="F261" s="18" t="s">
        <v>42</v>
      </c>
      <c r="G261" s="21" t="n">
        <v>8973</v>
      </c>
      <c r="H261" s="22" t="n">
        <v>0.00573194639080044</v>
      </c>
      <c r="I261" s="22" t="n">
        <v>0.00232952276247525</v>
      </c>
      <c r="J261" s="22" t="n">
        <v>2.11675990674028E-005</v>
      </c>
      <c r="K261" s="22" t="n">
        <v>0.000850858288041193</v>
      </c>
      <c r="L261" s="22" t="n">
        <v>0.0092489619700971</v>
      </c>
      <c r="M261" s="22" t="n">
        <v>0.00232497766502108</v>
      </c>
      <c r="N261" s="22" t="n">
        <v>0.00392626621142668</v>
      </c>
      <c r="O261" s="22" t="n">
        <v>0.0079189041602102</v>
      </c>
      <c r="P261" s="22" t="n">
        <v>0.00678992777710465</v>
      </c>
      <c r="Q261" s="22" t="n">
        <v>0.00839969236464368</v>
      </c>
      <c r="R261" s="22" t="n">
        <v>0.000100842062543278</v>
      </c>
      <c r="S261" s="23" t="n">
        <f aca="false">IF(A261="","",SUM(H261:R261))</f>
        <v>0.047643067251431</v>
      </c>
      <c r="T261" s="17" t="str">
        <f aca="false">IF(A261="","",IF(AND(MIN(H261:R261)&gt;=0,MAX(H261:R261)&lt;=1,S261&lt;=1),"OK","CHECK"))</f>
        <v>OK</v>
      </c>
      <c r="U261" s="17" t="str">
        <f aca="false">IF(A261="","", "LOSS-"&amp;A261&amp;"-L"&amp;TEXT(B261,"00")&amp;"-"&amp;TEXT(C261,"yyyymmdd")&amp;"-"&amp;D261&amp;"-"&amp;E261)</f>
        <v>LOSS-KG01-L22-20251009-AM-ORD-2025-00195</v>
      </c>
      <c r="V261" s="17" t="str">
        <f aca="false">IF(U261="","",IF(COUNTIF($U$5:$U$935,U261)=1,"OK","CHECK"))</f>
        <v>OK</v>
      </c>
      <c r="W261" s="17" t="str">
        <f aca="false">IF(A261="","",IF(AND(T261="OK",V261="OK",G261&gt;=0),"OK","CHECK"))</f>
        <v>OK</v>
      </c>
    </row>
    <row r="262" customFormat="false" ht="18" hidden="false" customHeight="true" outlineLevel="0" collapsed="false">
      <c r="A262" s="18" t="s">
        <v>39</v>
      </c>
      <c r="B262" s="19" t="n">
        <v>22</v>
      </c>
      <c r="C262" s="20" t="n">
        <v>45939</v>
      </c>
      <c r="D262" s="18" t="s">
        <v>43</v>
      </c>
      <c r="E262" s="18" t="s">
        <v>91</v>
      </c>
      <c r="F262" s="18" t="s">
        <v>42</v>
      </c>
      <c r="G262" s="21" t="n">
        <v>9213</v>
      </c>
      <c r="H262" s="22" t="n">
        <v>0.000444448649491075</v>
      </c>
      <c r="I262" s="22" t="n">
        <v>0.00603473632723145</v>
      </c>
      <c r="J262" s="22" t="n">
        <v>0.000170466228087328</v>
      </c>
      <c r="K262" s="22" t="n">
        <v>0.00874260631466834</v>
      </c>
      <c r="L262" s="22" t="n">
        <v>0.00657155725392524</v>
      </c>
      <c r="M262" s="22" t="n">
        <v>0.00464569743386074</v>
      </c>
      <c r="N262" s="22" t="n">
        <v>0.000453729826017457</v>
      </c>
      <c r="O262" s="22" t="n">
        <v>6.86120263221081E-005</v>
      </c>
      <c r="P262" s="22" t="n">
        <v>0.00464383169510177</v>
      </c>
      <c r="Q262" s="22" t="n">
        <v>0.00584364108968949</v>
      </c>
      <c r="R262" s="22" t="n">
        <v>0.00589939286538574</v>
      </c>
      <c r="S262" s="23" t="n">
        <f aca="false">IF(A262="","",SUM(H262:R262))</f>
        <v>0.0435187197097807</v>
      </c>
      <c r="T262" s="17" t="str">
        <f aca="false">IF(A262="","",IF(AND(MIN(H262:R262)&gt;=0,MAX(H262:R262)&lt;=1,S262&lt;=1),"OK","CHECK"))</f>
        <v>OK</v>
      </c>
      <c r="U262" s="17" t="str">
        <f aca="false">IF(A262="","", "LOSS-"&amp;A262&amp;"-L"&amp;TEXT(B262,"00")&amp;"-"&amp;TEXT(C262,"yyyymmdd")&amp;"-"&amp;D262&amp;"-"&amp;E262)</f>
        <v>LOSS-KG01-L22-20251009-PM-ORD-2025-00195</v>
      </c>
      <c r="V262" s="17" t="str">
        <f aca="false">IF(U262="","",IF(COUNTIF($U$5:$U$935,U262)=1,"OK","CHECK"))</f>
        <v>OK</v>
      </c>
      <c r="W262" s="17" t="str">
        <f aca="false">IF(A262="","",IF(AND(T262="OK",V262="OK",G262&gt;=0),"OK","CHECK"))</f>
        <v>OK</v>
      </c>
    </row>
    <row r="263" customFormat="false" ht="18" hidden="false" customHeight="true" outlineLevel="0" collapsed="false">
      <c r="A263" s="18" t="s">
        <v>39</v>
      </c>
      <c r="B263" s="19" t="n">
        <v>22</v>
      </c>
      <c r="C263" s="20" t="n">
        <v>45940</v>
      </c>
      <c r="D263" s="18" t="s">
        <v>40</v>
      </c>
      <c r="E263" s="18" t="s">
        <v>91</v>
      </c>
      <c r="F263" s="18" t="s">
        <v>42</v>
      </c>
      <c r="G263" s="21" t="n">
        <v>10727</v>
      </c>
      <c r="H263" s="22" t="n">
        <v>0.00552374127457057</v>
      </c>
      <c r="I263" s="22" t="n">
        <v>4.66739793872539E-007</v>
      </c>
      <c r="J263" s="22" t="n">
        <v>0.0090544790892398</v>
      </c>
      <c r="K263" s="22" t="n">
        <v>5.2668561597378E-005</v>
      </c>
      <c r="L263" s="22" t="n">
        <v>0.0149148042534647</v>
      </c>
      <c r="M263" s="22" t="n">
        <v>3.54696133368072E-005</v>
      </c>
      <c r="N263" s="22" t="n">
        <v>4.4047969195427E-005</v>
      </c>
      <c r="O263" s="22" t="n">
        <v>0.00176993656665026</v>
      </c>
      <c r="P263" s="22" t="n">
        <v>0.00132951026047872</v>
      </c>
      <c r="Q263" s="22" t="n">
        <v>0.00904607032330518</v>
      </c>
      <c r="R263" s="22" t="n">
        <v>0.0119790997298155</v>
      </c>
      <c r="S263" s="23" t="n">
        <f aca="false">IF(A263="","",SUM(H263:R263))</f>
        <v>0.0537502943814482</v>
      </c>
      <c r="T263" s="17" t="str">
        <f aca="false">IF(A263="","",IF(AND(MIN(H263:R263)&gt;=0,MAX(H263:R263)&lt;=1,S263&lt;=1),"OK","CHECK"))</f>
        <v>OK</v>
      </c>
      <c r="U263" s="17" t="str">
        <f aca="false">IF(A263="","", "LOSS-"&amp;A263&amp;"-L"&amp;TEXT(B263,"00")&amp;"-"&amp;TEXT(C263,"yyyymmdd")&amp;"-"&amp;D263&amp;"-"&amp;E263)</f>
        <v>LOSS-KG01-L22-20251010-AM-ORD-2025-00195</v>
      </c>
      <c r="V263" s="17" t="str">
        <f aca="false">IF(U263="","",IF(COUNTIF($U$5:$U$935,U263)=1,"OK","CHECK"))</f>
        <v>OK</v>
      </c>
      <c r="W263" s="17" t="str">
        <f aca="false">IF(A263="","",IF(AND(T263="OK",V263="OK",G263&gt;=0),"OK","CHECK"))</f>
        <v>OK</v>
      </c>
    </row>
    <row r="264" customFormat="false" ht="18" hidden="false" customHeight="true" outlineLevel="0" collapsed="false">
      <c r="A264" s="18" t="s">
        <v>39</v>
      </c>
      <c r="B264" s="19" t="n">
        <v>22</v>
      </c>
      <c r="C264" s="20" t="n">
        <v>45940</v>
      </c>
      <c r="D264" s="18" t="s">
        <v>43</v>
      </c>
      <c r="E264" s="18" t="s">
        <v>91</v>
      </c>
      <c r="F264" s="18" t="s">
        <v>42</v>
      </c>
      <c r="G264" s="21" t="n">
        <v>12069</v>
      </c>
      <c r="H264" s="22" t="n">
        <v>0.00187007311668871</v>
      </c>
      <c r="I264" s="22" t="n">
        <v>0.00633641432150972</v>
      </c>
      <c r="J264" s="22" t="n">
        <v>0.0111034080418168</v>
      </c>
      <c r="K264" s="22" t="n">
        <v>0.00441893751970407</v>
      </c>
      <c r="L264" s="22" t="n">
        <v>0.000186618396240998</v>
      </c>
      <c r="M264" s="22" t="n">
        <v>0.00132370904291869</v>
      </c>
      <c r="N264" s="22" t="n">
        <v>0.000284339984389075</v>
      </c>
      <c r="O264" s="22" t="n">
        <v>0.00442919981890405</v>
      </c>
      <c r="P264" s="22" t="n">
        <v>0.00938211388558405</v>
      </c>
      <c r="Q264" s="22" t="n">
        <v>0.0104091375160589</v>
      </c>
      <c r="R264" s="22" t="n">
        <v>0.00526566558150147</v>
      </c>
      <c r="S264" s="23" t="n">
        <f aca="false">IF(A264="","",SUM(H264:R264))</f>
        <v>0.0550096172253165</v>
      </c>
      <c r="T264" s="17" t="str">
        <f aca="false">IF(A264="","",IF(AND(MIN(H264:R264)&gt;=0,MAX(H264:R264)&lt;=1,S264&lt;=1),"OK","CHECK"))</f>
        <v>OK</v>
      </c>
      <c r="U264" s="17" t="str">
        <f aca="false">IF(A264="","", "LOSS-"&amp;A264&amp;"-L"&amp;TEXT(B264,"00")&amp;"-"&amp;TEXT(C264,"yyyymmdd")&amp;"-"&amp;D264&amp;"-"&amp;E264)</f>
        <v>LOSS-KG01-L22-20251010-PM-ORD-2025-00195</v>
      </c>
      <c r="V264" s="17" t="str">
        <f aca="false">IF(U264="","",IF(COUNTIF($U$5:$U$935,U264)=1,"OK","CHECK"))</f>
        <v>OK</v>
      </c>
      <c r="W264" s="17" t="str">
        <f aca="false">IF(A264="","",IF(AND(T264="OK",V264="OK",G264&gt;=0),"OK","CHECK"))</f>
        <v>OK</v>
      </c>
    </row>
    <row r="265" customFormat="false" ht="18" hidden="false" customHeight="true" outlineLevel="0" collapsed="false">
      <c r="A265" s="18" t="s">
        <v>39</v>
      </c>
      <c r="B265" s="19" t="n">
        <v>22</v>
      </c>
      <c r="C265" s="20" t="n">
        <v>45941</v>
      </c>
      <c r="D265" s="18" t="s">
        <v>40</v>
      </c>
      <c r="E265" s="18" t="s">
        <v>91</v>
      </c>
      <c r="F265" s="18" t="s">
        <v>42</v>
      </c>
      <c r="G265" s="21" t="n">
        <v>7114</v>
      </c>
      <c r="H265" s="22" t="n">
        <v>0.00642974343655004</v>
      </c>
      <c r="I265" s="22" t="n">
        <v>0.0039199687477592</v>
      </c>
      <c r="J265" s="22" t="n">
        <v>0.000833009047389804</v>
      </c>
      <c r="K265" s="22" t="n">
        <v>0.00328895311017826</v>
      </c>
      <c r="L265" s="22" t="n">
        <v>0.0034586856486667</v>
      </c>
      <c r="M265" s="22" t="n">
        <v>0.00113325964250086</v>
      </c>
      <c r="N265" s="22" t="n">
        <v>0.00859594689311151</v>
      </c>
      <c r="O265" s="22" t="n">
        <v>0.00335506417978679</v>
      </c>
      <c r="P265" s="22" t="n">
        <v>0.000121342883006687</v>
      </c>
      <c r="Q265" s="22" t="n">
        <v>0.00845320542436165</v>
      </c>
      <c r="R265" s="22" t="n">
        <v>0.00728685055930879</v>
      </c>
      <c r="S265" s="23" t="n">
        <f aca="false">IF(A265="","",SUM(H265:R265))</f>
        <v>0.0468760295726203</v>
      </c>
      <c r="T265" s="17" t="str">
        <f aca="false">IF(A265="","",IF(AND(MIN(H265:R265)&gt;=0,MAX(H265:R265)&lt;=1,S265&lt;=1),"OK","CHECK"))</f>
        <v>OK</v>
      </c>
      <c r="U265" s="17" t="str">
        <f aca="false">IF(A265="","", "LOSS-"&amp;A265&amp;"-L"&amp;TEXT(B265,"00")&amp;"-"&amp;TEXT(C265,"yyyymmdd")&amp;"-"&amp;D265&amp;"-"&amp;E265)</f>
        <v>LOSS-KG01-L22-20251011-AM-ORD-2025-00195</v>
      </c>
      <c r="V265" s="17" t="str">
        <f aca="false">IF(U265="","",IF(COUNTIF($U$5:$U$935,U265)=1,"OK","CHECK"))</f>
        <v>OK</v>
      </c>
      <c r="W265" s="17" t="str">
        <f aca="false">IF(A265="","",IF(AND(T265="OK",V265="OK",G265&gt;=0),"OK","CHECK"))</f>
        <v>OK</v>
      </c>
    </row>
    <row r="266" customFormat="false" ht="18" hidden="false" customHeight="true" outlineLevel="0" collapsed="false">
      <c r="A266" s="18" t="s">
        <v>39</v>
      </c>
      <c r="B266" s="19" t="n">
        <v>22</v>
      </c>
      <c r="C266" s="20" t="n">
        <v>45941</v>
      </c>
      <c r="D266" s="18" t="s">
        <v>43</v>
      </c>
      <c r="E266" s="18" t="s">
        <v>91</v>
      </c>
      <c r="F266" s="18" t="s">
        <v>42</v>
      </c>
      <c r="G266" s="21" t="n">
        <v>19108</v>
      </c>
      <c r="H266" s="22" t="n">
        <v>0.0020581228834538</v>
      </c>
      <c r="I266" s="22" t="n">
        <v>0.0115301431898161</v>
      </c>
      <c r="J266" s="22" t="n">
        <v>0.000970237779960238</v>
      </c>
      <c r="K266" s="22" t="n">
        <v>0.00691650715936087</v>
      </c>
      <c r="L266" s="22" t="n">
        <v>0.0120978171385692</v>
      </c>
      <c r="M266" s="22" t="n">
        <v>0.00797671319208287</v>
      </c>
      <c r="N266" s="22" t="n">
        <v>9.32591172401094E-005</v>
      </c>
      <c r="O266" s="22" t="n">
        <v>0.00404032547452944</v>
      </c>
      <c r="P266" s="22" t="n">
        <v>0.000745616709094854</v>
      </c>
      <c r="Q266" s="22" t="n">
        <v>0.00742496205628472</v>
      </c>
      <c r="R266" s="22" t="n">
        <v>0.00361966859680722</v>
      </c>
      <c r="S266" s="23" t="n">
        <f aca="false">IF(A266="","",SUM(H266:R266))</f>
        <v>0.0574733732971994</v>
      </c>
      <c r="T266" s="17" t="str">
        <f aca="false">IF(A266="","",IF(AND(MIN(H266:R266)&gt;=0,MAX(H266:R266)&lt;=1,S266&lt;=1),"OK","CHECK"))</f>
        <v>OK</v>
      </c>
      <c r="U266" s="17" t="str">
        <f aca="false">IF(A266="","", "LOSS-"&amp;A266&amp;"-L"&amp;TEXT(B266,"00")&amp;"-"&amp;TEXT(C266,"yyyymmdd")&amp;"-"&amp;D266&amp;"-"&amp;E266)</f>
        <v>LOSS-KG01-L22-20251011-PM-ORD-2025-00195</v>
      </c>
      <c r="V266" s="17" t="str">
        <f aca="false">IF(U266="","",IF(COUNTIF($U$5:$U$935,U266)=1,"OK","CHECK"))</f>
        <v>OK</v>
      </c>
      <c r="W266" s="17" t="str">
        <f aca="false">IF(A266="","",IF(AND(T266="OK",V266="OK",G266&gt;=0),"OK","CHECK"))</f>
        <v>OK</v>
      </c>
    </row>
    <row r="267" customFormat="false" ht="18" hidden="false" customHeight="true" outlineLevel="0" collapsed="false">
      <c r="A267" s="18" t="s">
        <v>39</v>
      </c>
      <c r="B267" s="19" t="n">
        <v>22</v>
      </c>
      <c r="C267" s="20" t="n">
        <v>45942</v>
      </c>
      <c r="D267" s="18" t="s">
        <v>40</v>
      </c>
      <c r="E267" s="18" t="s">
        <v>91</v>
      </c>
      <c r="F267" s="18" t="s">
        <v>42</v>
      </c>
      <c r="G267" s="21" t="n">
        <v>12410</v>
      </c>
      <c r="H267" s="22" t="n">
        <v>0.00173522999177593</v>
      </c>
      <c r="I267" s="22" t="n">
        <v>0.00278296859647242</v>
      </c>
      <c r="J267" s="22" t="n">
        <v>0.00135645928783776</v>
      </c>
      <c r="K267" s="22" t="n">
        <v>0.00775431878622019</v>
      </c>
      <c r="L267" s="22" t="n">
        <v>0.00678822907697572</v>
      </c>
      <c r="M267" s="22" t="n">
        <v>0.00309102940209964</v>
      </c>
      <c r="N267" s="22" t="n">
        <v>0.00114916966475284</v>
      </c>
      <c r="O267" s="22" t="n">
        <v>0.0104374532318105</v>
      </c>
      <c r="P267" s="22" t="n">
        <v>0.00587482040795116</v>
      </c>
      <c r="Q267" s="22" t="n">
        <v>0.00502534560535966</v>
      </c>
      <c r="R267" s="22" t="n">
        <v>0.00841189233482726</v>
      </c>
      <c r="S267" s="23" t="n">
        <f aca="false">IF(A267="","",SUM(H267:R267))</f>
        <v>0.0544069163860831</v>
      </c>
      <c r="T267" s="17" t="str">
        <f aca="false">IF(A267="","",IF(AND(MIN(H267:R267)&gt;=0,MAX(H267:R267)&lt;=1,S267&lt;=1),"OK","CHECK"))</f>
        <v>OK</v>
      </c>
      <c r="U267" s="17" t="str">
        <f aca="false">IF(A267="","", "LOSS-"&amp;A267&amp;"-L"&amp;TEXT(B267,"00")&amp;"-"&amp;TEXT(C267,"yyyymmdd")&amp;"-"&amp;D267&amp;"-"&amp;E267)</f>
        <v>LOSS-KG01-L22-20251012-AM-ORD-2025-00195</v>
      </c>
      <c r="V267" s="17" t="str">
        <f aca="false">IF(U267="","",IF(COUNTIF($U$5:$U$935,U267)=1,"OK","CHECK"))</f>
        <v>OK</v>
      </c>
      <c r="W267" s="17" t="str">
        <f aca="false">IF(A267="","",IF(AND(T267="OK",V267="OK",G267&gt;=0),"OK","CHECK"))</f>
        <v>OK</v>
      </c>
    </row>
    <row r="268" customFormat="false" ht="18" hidden="false" customHeight="true" outlineLevel="0" collapsed="false">
      <c r="A268" s="18" t="s">
        <v>39</v>
      </c>
      <c r="B268" s="19" t="n">
        <v>22</v>
      </c>
      <c r="C268" s="20" t="n">
        <v>45942</v>
      </c>
      <c r="D268" s="18" t="s">
        <v>43</v>
      </c>
      <c r="E268" s="18" t="s">
        <v>91</v>
      </c>
      <c r="F268" s="18" t="s">
        <v>42</v>
      </c>
      <c r="G268" s="21" t="n">
        <v>6538</v>
      </c>
      <c r="H268" s="22" t="n">
        <v>0.000267521170597648</v>
      </c>
      <c r="I268" s="22" t="n">
        <v>0.000405344183887238</v>
      </c>
      <c r="J268" s="22" t="n">
        <v>0.0201365418392806</v>
      </c>
      <c r="K268" s="22" t="n">
        <v>0.0035624801957465</v>
      </c>
      <c r="L268" s="22" t="n">
        <v>0.00490500509239259</v>
      </c>
      <c r="M268" s="22" t="n">
        <v>0.00922541445906989</v>
      </c>
      <c r="N268" s="22" t="n">
        <v>0.000987674398795015</v>
      </c>
      <c r="O268" s="22" t="n">
        <v>0.00383793710502106</v>
      </c>
      <c r="P268" s="22" t="n">
        <v>0.000112896079130974</v>
      </c>
      <c r="Q268" s="22" t="n">
        <v>0.00428950063165015</v>
      </c>
      <c r="R268" s="22" t="n">
        <v>0.0112854271898935</v>
      </c>
      <c r="S268" s="23" t="n">
        <f aca="false">IF(A268="","",SUM(H268:R268))</f>
        <v>0.0590157423454652</v>
      </c>
      <c r="T268" s="17" t="str">
        <f aca="false">IF(A268="","",IF(AND(MIN(H268:R268)&gt;=0,MAX(H268:R268)&lt;=1,S268&lt;=1),"OK","CHECK"))</f>
        <v>OK</v>
      </c>
      <c r="U268" s="17" t="str">
        <f aca="false">IF(A268="","", "LOSS-"&amp;A268&amp;"-L"&amp;TEXT(B268,"00")&amp;"-"&amp;TEXT(C268,"yyyymmdd")&amp;"-"&amp;D268&amp;"-"&amp;E268)</f>
        <v>LOSS-KG01-L22-20251012-PM-ORD-2025-00195</v>
      </c>
      <c r="V268" s="17" t="str">
        <f aca="false">IF(U268="","",IF(COUNTIF($U$5:$U$935,U268)=1,"OK","CHECK"))</f>
        <v>OK</v>
      </c>
      <c r="W268" s="17" t="str">
        <f aca="false">IF(A268="","",IF(AND(T268="OK",V268="OK",G268&gt;=0),"OK","CHECK"))</f>
        <v>OK</v>
      </c>
    </row>
    <row r="269" customFormat="false" ht="18" hidden="false" customHeight="true" outlineLevel="0" collapsed="false">
      <c r="A269" s="18" t="s">
        <v>39</v>
      </c>
      <c r="B269" s="19" t="n">
        <v>22</v>
      </c>
      <c r="C269" s="20" t="n">
        <v>45943</v>
      </c>
      <c r="D269" s="18" t="s">
        <v>40</v>
      </c>
      <c r="E269" s="18" t="s">
        <v>92</v>
      </c>
      <c r="F269" s="18" t="s">
        <v>45</v>
      </c>
      <c r="G269" s="21" t="n">
        <v>7018</v>
      </c>
      <c r="H269" s="22" t="n">
        <v>0.0144894302793272</v>
      </c>
      <c r="I269" s="22" t="n">
        <v>0.00533279547502167</v>
      </c>
      <c r="J269" s="22" t="n">
        <v>0.000166719655553124</v>
      </c>
      <c r="K269" s="22" t="n">
        <v>0.00340058834484669</v>
      </c>
      <c r="L269" s="22" t="n">
        <v>0.000183828390069741</v>
      </c>
      <c r="M269" s="22" t="n">
        <v>0.000194354841680957</v>
      </c>
      <c r="N269" s="22" t="n">
        <v>4.40375638856453E-006</v>
      </c>
      <c r="O269" s="22" t="n">
        <v>0.00339900535053169</v>
      </c>
      <c r="P269" s="22" t="n">
        <v>0.00113885708653655</v>
      </c>
      <c r="Q269" s="22" t="n">
        <v>0.00362987081820281</v>
      </c>
      <c r="R269" s="22" t="n">
        <v>0.00451066149253101</v>
      </c>
      <c r="S269" s="23" t="n">
        <f aca="false">IF(A269="","",SUM(H269:R269))</f>
        <v>0.03645051549069</v>
      </c>
      <c r="T269" s="17" t="str">
        <f aca="false">IF(A269="","",IF(AND(MIN(H269:R269)&gt;=0,MAX(H269:R269)&lt;=1,S269&lt;=1),"OK","CHECK"))</f>
        <v>OK</v>
      </c>
      <c r="U269" s="17" t="str">
        <f aca="false">IF(A269="","", "LOSS-"&amp;A269&amp;"-L"&amp;TEXT(B269,"00")&amp;"-"&amp;TEXT(C269,"yyyymmdd")&amp;"-"&amp;D269&amp;"-"&amp;E269)</f>
        <v>LOSS-KG01-L22-20251013-AM-ORD-2025-00196</v>
      </c>
      <c r="V269" s="17" t="str">
        <f aca="false">IF(U269="","",IF(COUNTIF($U$5:$U$935,U269)=1,"OK","CHECK"))</f>
        <v>OK</v>
      </c>
      <c r="W269" s="17" t="str">
        <f aca="false">IF(A269="","",IF(AND(T269="OK",V269="OK",G269&gt;=0),"OK","CHECK"))</f>
        <v>OK</v>
      </c>
    </row>
    <row r="270" customFormat="false" ht="18" hidden="false" customHeight="true" outlineLevel="0" collapsed="false">
      <c r="A270" s="18" t="s">
        <v>39</v>
      </c>
      <c r="B270" s="19" t="n">
        <v>22</v>
      </c>
      <c r="C270" s="20" t="n">
        <v>45943</v>
      </c>
      <c r="D270" s="18" t="s">
        <v>43</v>
      </c>
      <c r="E270" s="18" t="s">
        <v>92</v>
      </c>
      <c r="F270" s="18" t="s">
        <v>42</v>
      </c>
      <c r="G270" s="21" t="n">
        <v>8157</v>
      </c>
      <c r="H270" s="22" t="n">
        <v>0.00332128650130012</v>
      </c>
      <c r="I270" s="22" t="n">
        <v>0.000375395750206691</v>
      </c>
      <c r="J270" s="22" t="n">
        <v>0.00811957536025376</v>
      </c>
      <c r="K270" s="22" t="n">
        <v>0.00336806722779492</v>
      </c>
      <c r="L270" s="22" t="n">
        <v>0.00120578466166665</v>
      </c>
      <c r="M270" s="22" t="n">
        <v>0.00422426383216172</v>
      </c>
      <c r="N270" s="22" t="n">
        <v>0.00497710240630811</v>
      </c>
      <c r="O270" s="22" t="n">
        <v>0.00298636436249338</v>
      </c>
      <c r="P270" s="22" t="n">
        <v>0.005222462349712</v>
      </c>
      <c r="Q270" s="22" t="n">
        <v>0.00366619856324752</v>
      </c>
      <c r="R270" s="22" t="n">
        <v>6.47289987964873E-005</v>
      </c>
      <c r="S270" s="23" t="n">
        <f aca="false">IF(A270="","",SUM(H270:R270))</f>
        <v>0.0375312300139414</v>
      </c>
      <c r="T270" s="17" t="str">
        <f aca="false">IF(A270="","",IF(AND(MIN(H270:R270)&gt;=0,MAX(H270:R270)&lt;=1,S270&lt;=1),"OK","CHECK"))</f>
        <v>OK</v>
      </c>
      <c r="U270" s="17" t="str">
        <f aca="false">IF(A270="","", "LOSS-"&amp;A270&amp;"-L"&amp;TEXT(B270,"00")&amp;"-"&amp;TEXT(C270,"yyyymmdd")&amp;"-"&amp;D270&amp;"-"&amp;E270)</f>
        <v>LOSS-KG01-L22-20251013-PM-ORD-2025-00196</v>
      </c>
      <c r="V270" s="17" t="str">
        <f aca="false">IF(U270="","",IF(COUNTIF($U$5:$U$935,U270)=1,"OK","CHECK"))</f>
        <v>OK</v>
      </c>
      <c r="W270" s="17" t="str">
        <f aca="false">IF(A270="","",IF(AND(T270="OK",V270="OK",G270&gt;=0),"OK","CHECK"))</f>
        <v>OK</v>
      </c>
    </row>
    <row r="271" customFormat="false" ht="18" hidden="false" customHeight="true" outlineLevel="0" collapsed="false">
      <c r="A271" s="18" t="s">
        <v>39</v>
      </c>
      <c r="B271" s="19" t="n">
        <v>22</v>
      </c>
      <c r="C271" s="20" t="n">
        <v>45944</v>
      </c>
      <c r="D271" s="18" t="s">
        <v>40</v>
      </c>
      <c r="E271" s="18" t="s">
        <v>92</v>
      </c>
      <c r="F271" s="18" t="s">
        <v>42</v>
      </c>
      <c r="G271" s="21" t="n">
        <v>4706</v>
      </c>
      <c r="H271" s="22" t="n">
        <v>0.00177938196624449</v>
      </c>
      <c r="I271" s="22" t="n">
        <v>0.0104729681225811</v>
      </c>
      <c r="J271" s="22" t="n">
        <v>0.000457353943371538</v>
      </c>
      <c r="K271" s="22" t="n">
        <v>0.000436458230886882</v>
      </c>
      <c r="L271" s="22" t="n">
        <v>0.000379453323049114</v>
      </c>
      <c r="M271" s="22" t="n">
        <v>0.000925847490517695</v>
      </c>
      <c r="N271" s="22" t="n">
        <v>0.00448718064413333</v>
      </c>
      <c r="O271" s="22" t="n">
        <v>0.00327077817499686</v>
      </c>
      <c r="P271" s="22" t="n">
        <v>0.000144969823812453</v>
      </c>
      <c r="Q271" s="22" t="n">
        <v>3.02453859461243E-005</v>
      </c>
      <c r="R271" s="22" t="n">
        <v>0.000753631998528527</v>
      </c>
      <c r="S271" s="23" t="n">
        <f aca="false">IF(A271="","",SUM(H271:R271))</f>
        <v>0.0231382691040681</v>
      </c>
      <c r="T271" s="17" t="str">
        <f aca="false">IF(A271="","",IF(AND(MIN(H271:R271)&gt;=0,MAX(H271:R271)&lt;=1,S271&lt;=1),"OK","CHECK"))</f>
        <v>OK</v>
      </c>
      <c r="U271" s="17" t="str">
        <f aca="false">IF(A271="","", "LOSS-"&amp;A271&amp;"-L"&amp;TEXT(B271,"00")&amp;"-"&amp;TEXT(C271,"yyyymmdd")&amp;"-"&amp;D271&amp;"-"&amp;E271)</f>
        <v>LOSS-KG01-L22-20251014-AM-ORD-2025-00196</v>
      </c>
      <c r="V271" s="17" t="str">
        <f aca="false">IF(U271="","",IF(COUNTIF($U$5:$U$935,U271)=1,"OK","CHECK"))</f>
        <v>OK</v>
      </c>
      <c r="W271" s="17" t="str">
        <f aca="false">IF(A271="","",IF(AND(T271="OK",V271="OK",G271&gt;=0),"OK","CHECK"))</f>
        <v>OK</v>
      </c>
    </row>
    <row r="272" customFormat="false" ht="18" hidden="false" customHeight="true" outlineLevel="0" collapsed="false">
      <c r="A272" s="18" t="s">
        <v>39</v>
      </c>
      <c r="B272" s="19" t="n">
        <v>22</v>
      </c>
      <c r="C272" s="20" t="n">
        <v>45944</v>
      </c>
      <c r="D272" s="18" t="s">
        <v>43</v>
      </c>
      <c r="E272" s="18" t="s">
        <v>92</v>
      </c>
      <c r="F272" s="18" t="s">
        <v>42</v>
      </c>
      <c r="G272" s="21" t="n">
        <v>7586</v>
      </c>
      <c r="H272" s="22" t="n">
        <v>0.000174995989122614</v>
      </c>
      <c r="I272" s="22" t="n">
        <v>0.000188169085183386</v>
      </c>
      <c r="J272" s="22" t="n">
        <v>0.0113615428401548</v>
      </c>
      <c r="K272" s="22" t="n">
        <v>0.00469265170885546</v>
      </c>
      <c r="L272" s="22" t="n">
        <v>0.00080850664563281</v>
      </c>
      <c r="M272" s="22" t="n">
        <v>0.00401580678517657</v>
      </c>
      <c r="N272" s="22" t="n">
        <v>0.00107609334287734</v>
      </c>
      <c r="O272" s="22" t="n">
        <v>0.0110474650757921</v>
      </c>
      <c r="P272" s="22" t="n">
        <v>0.00693945222066747</v>
      </c>
      <c r="Q272" s="22" t="n">
        <v>0.00232112803516631</v>
      </c>
      <c r="R272" s="22" t="n">
        <v>0.00218910373387571</v>
      </c>
      <c r="S272" s="23" t="n">
        <f aca="false">IF(A272="","",SUM(H272:R272))</f>
        <v>0.0448149154625046</v>
      </c>
      <c r="T272" s="17" t="str">
        <f aca="false">IF(A272="","",IF(AND(MIN(H272:R272)&gt;=0,MAX(H272:R272)&lt;=1,S272&lt;=1),"OK","CHECK"))</f>
        <v>OK</v>
      </c>
      <c r="U272" s="17" t="str">
        <f aca="false">IF(A272="","", "LOSS-"&amp;A272&amp;"-L"&amp;TEXT(B272,"00")&amp;"-"&amp;TEXT(C272,"yyyymmdd")&amp;"-"&amp;D272&amp;"-"&amp;E272)</f>
        <v>LOSS-KG01-L22-20251014-PM-ORD-2025-00196</v>
      </c>
      <c r="V272" s="17" t="str">
        <f aca="false">IF(U272="","",IF(COUNTIF($U$5:$U$935,U272)=1,"OK","CHECK"))</f>
        <v>OK</v>
      </c>
      <c r="W272" s="17" t="str">
        <f aca="false">IF(A272="","",IF(AND(T272="OK",V272="OK",G272&gt;=0),"OK","CHECK"))</f>
        <v>OK</v>
      </c>
    </row>
    <row r="273" customFormat="false" ht="18" hidden="false" customHeight="true" outlineLevel="0" collapsed="false">
      <c r="A273" s="18" t="s">
        <v>39</v>
      </c>
      <c r="B273" s="19" t="n">
        <v>22</v>
      </c>
      <c r="C273" s="20" t="n">
        <v>45945</v>
      </c>
      <c r="D273" s="18" t="s">
        <v>40</v>
      </c>
      <c r="E273" s="18" t="s">
        <v>92</v>
      </c>
      <c r="F273" s="18" t="s">
        <v>42</v>
      </c>
      <c r="G273" s="21" t="n">
        <v>10146</v>
      </c>
      <c r="H273" s="22" t="n">
        <v>0.000886210592126454</v>
      </c>
      <c r="I273" s="22" t="n">
        <v>0.0124468511209921</v>
      </c>
      <c r="J273" s="22" t="n">
        <v>0.0087689560418712</v>
      </c>
      <c r="K273" s="22" t="n">
        <v>0.00449411585801774</v>
      </c>
      <c r="L273" s="22" t="n">
        <v>0.000536133345776672</v>
      </c>
      <c r="M273" s="22" t="n">
        <v>0.000759597689996047</v>
      </c>
      <c r="N273" s="22" t="n">
        <v>0.00743488278721525</v>
      </c>
      <c r="O273" s="22" t="n">
        <v>0.00913191077446419</v>
      </c>
      <c r="P273" s="22" t="n">
        <v>0.00152003375234882</v>
      </c>
      <c r="Q273" s="22" t="n">
        <v>1.76920840402077E-007</v>
      </c>
      <c r="R273" s="22" t="n">
        <v>0.000627835940553866</v>
      </c>
      <c r="S273" s="23" t="n">
        <f aca="false">IF(A273="","",SUM(H273:R273))</f>
        <v>0.0466067048242027</v>
      </c>
      <c r="T273" s="17" t="str">
        <f aca="false">IF(A273="","",IF(AND(MIN(H273:R273)&gt;=0,MAX(H273:R273)&lt;=1,S273&lt;=1),"OK","CHECK"))</f>
        <v>OK</v>
      </c>
      <c r="U273" s="17" t="str">
        <f aca="false">IF(A273="","", "LOSS-"&amp;A273&amp;"-L"&amp;TEXT(B273,"00")&amp;"-"&amp;TEXT(C273,"yyyymmdd")&amp;"-"&amp;D273&amp;"-"&amp;E273)</f>
        <v>LOSS-KG01-L22-20251015-AM-ORD-2025-00196</v>
      </c>
      <c r="V273" s="17" t="str">
        <f aca="false">IF(U273="","",IF(COUNTIF($U$5:$U$935,U273)=1,"OK","CHECK"))</f>
        <v>OK</v>
      </c>
      <c r="W273" s="17" t="str">
        <f aca="false">IF(A273="","",IF(AND(T273="OK",V273="OK",G273&gt;=0),"OK","CHECK"))</f>
        <v>OK</v>
      </c>
    </row>
    <row r="274" customFormat="false" ht="18" hidden="false" customHeight="true" outlineLevel="0" collapsed="false">
      <c r="A274" s="18" t="s">
        <v>39</v>
      </c>
      <c r="B274" s="19" t="n">
        <v>22</v>
      </c>
      <c r="C274" s="20" t="n">
        <v>45945</v>
      </c>
      <c r="D274" s="18" t="s">
        <v>43</v>
      </c>
      <c r="E274" s="18" t="s">
        <v>92</v>
      </c>
      <c r="F274" s="18" t="s">
        <v>42</v>
      </c>
      <c r="G274" s="21" t="n">
        <v>10616</v>
      </c>
      <c r="H274" s="22" t="n">
        <v>0.00989511144696881</v>
      </c>
      <c r="I274" s="22" t="n">
        <v>0.00464732620034749</v>
      </c>
      <c r="J274" s="22" t="n">
        <v>0.00655922711312756</v>
      </c>
      <c r="K274" s="22" t="n">
        <v>0.00872792595352488</v>
      </c>
      <c r="L274" s="22" t="n">
        <v>0.00568267877539519</v>
      </c>
      <c r="M274" s="22" t="n">
        <v>0.000347970531212706</v>
      </c>
      <c r="N274" s="22" t="n">
        <v>0.00557590732438974</v>
      </c>
      <c r="O274" s="22" t="n">
        <v>0.000333460252523239</v>
      </c>
      <c r="P274" s="22" t="n">
        <v>0.00132476714894886</v>
      </c>
      <c r="Q274" s="22" t="n">
        <v>0.00248824293892665</v>
      </c>
      <c r="R274" s="22" t="n">
        <v>0.0111180002744595</v>
      </c>
      <c r="S274" s="23" t="n">
        <f aca="false">IF(A274="","",SUM(H274:R274))</f>
        <v>0.0567006179598246</v>
      </c>
      <c r="T274" s="17" t="str">
        <f aca="false">IF(A274="","",IF(AND(MIN(H274:R274)&gt;=0,MAX(H274:R274)&lt;=1,S274&lt;=1),"OK","CHECK"))</f>
        <v>OK</v>
      </c>
      <c r="U274" s="17" t="str">
        <f aca="false">IF(A274="","", "LOSS-"&amp;A274&amp;"-L"&amp;TEXT(B274,"00")&amp;"-"&amp;TEXT(C274,"yyyymmdd")&amp;"-"&amp;D274&amp;"-"&amp;E274)</f>
        <v>LOSS-KG01-L22-20251015-PM-ORD-2025-00196</v>
      </c>
      <c r="V274" s="17" t="str">
        <f aca="false">IF(U274="","",IF(COUNTIF($U$5:$U$935,U274)=1,"OK","CHECK"))</f>
        <v>OK</v>
      </c>
      <c r="W274" s="17" t="str">
        <f aca="false">IF(A274="","",IF(AND(T274="OK",V274="OK",G274&gt;=0),"OK","CHECK"))</f>
        <v>OK</v>
      </c>
    </row>
    <row r="275" customFormat="false" ht="18" hidden="false" customHeight="true" outlineLevel="0" collapsed="false">
      <c r="A275" s="18" t="s">
        <v>39</v>
      </c>
      <c r="B275" s="19" t="n">
        <v>22</v>
      </c>
      <c r="C275" s="20" t="n">
        <v>45946</v>
      </c>
      <c r="D275" s="18" t="s">
        <v>40</v>
      </c>
      <c r="E275" s="18" t="s">
        <v>93</v>
      </c>
      <c r="F275" s="18" t="s">
        <v>45</v>
      </c>
      <c r="G275" s="21" t="n">
        <v>971</v>
      </c>
      <c r="H275" s="22" t="n">
        <v>0.0090398158152363</v>
      </c>
      <c r="I275" s="22" t="n">
        <v>0.00373164691728366</v>
      </c>
      <c r="J275" s="22" t="n">
        <v>8.83928795500465E-006</v>
      </c>
      <c r="K275" s="22" t="n">
        <v>0.0193472288859064</v>
      </c>
      <c r="L275" s="22" t="n">
        <v>0.0158261719247825</v>
      </c>
      <c r="M275" s="22" t="n">
        <v>0.000593970689096487</v>
      </c>
      <c r="N275" s="22" t="n">
        <v>0.0117786452630002</v>
      </c>
      <c r="O275" s="22" t="n">
        <v>1.93081975927488E-006</v>
      </c>
      <c r="P275" s="22" t="n">
        <v>0.00252702716769221</v>
      </c>
      <c r="Q275" s="22" t="n">
        <v>0.00457525814177479</v>
      </c>
      <c r="R275" s="22" t="n">
        <v>2.06430687233752E-008</v>
      </c>
      <c r="S275" s="23" t="n">
        <f aca="false">IF(A275="","",SUM(H275:R275))</f>
        <v>0.0674305555555556</v>
      </c>
      <c r="T275" s="17" t="str">
        <f aca="false">IF(A275="","",IF(AND(MIN(H275:R275)&gt;=0,MAX(H275:R275)&lt;=1,S275&lt;=1),"OK","CHECK"))</f>
        <v>OK</v>
      </c>
      <c r="U275" s="17" t="str">
        <f aca="false">IF(A275="","", "LOSS-"&amp;A275&amp;"-L"&amp;TEXT(B275,"00")&amp;"-"&amp;TEXT(C275,"yyyymmdd")&amp;"-"&amp;D275&amp;"-"&amp;E275)</f>
        <v>LOSS-KG01-L22-20251016-AM-ORD-2025-00197</v>
      </c>
      <c r="V275" s="17" t="str">
        <f aca="false">IF(U275="","",IF(COUNTIF($U$5:$U$935,U275)=1,"OK","CHECK"))</f>
        <v>OK</v>
      </c>
      <c r="W275" s="17" t="str">
        <f aca="false">IF(A275="","",IF(AND(T275="OK",V275="OK",G275&gt;=0),"OK","CHECK"))</f>
        <v>OK</v>
      </c>
    </row>
    <row r="276" customFormat="false" ht="18" hidden="false" customHeight="true" outlineLevel="0" collapsed="false">
      <c r="A276" s="18" t="s">
        <v>39</v>
      </c>
      <c r="B276" s="19" t="n">
        <v>22</v>
      </c>
      <c r="C276" s="20" t="n">
        <v>45946</v>
      </c>
      <c r="D276" s="18" t="s">
        <v>43</v>
      </c>
      <c r="E276" s="18" t="s">
        <v>93</v>
      </c>
      <c r="F276" s="18" t="s">
        <v>42</v>
      </c>
      <c r="G276" s="21" t="n">
        <v>18523</v>
      </c>
      <c r="H276" s="22" t="n">
        <v>0.0124080475542785</v>
      </c>
      <c r="I276" s="22" t="n">
        <v>0.00363401423795426</v>
      </c>
      <c r="J276" s="22" t="n">
        <v>3.32110873270528E-005</v>
      </c>
      <c r="K276" s="22" t="n">
        <v>4.92150302698996E-006</v>
      </c>
      <c r="L276" s="22" t="n">
        <v>0.00752548454909104</v>
      </c>
      <c r="M276" s="22" t="n">
        <v>0.00137475028680897</v>
      </c>
      <c r="N276" s="22" t="n">
        <v>0.000848051974654176</v>
      </c>
      <c r="O276" s="22" t="n">
        <v>0.00411951811251051</v>
      </c>
      <c r="P276" s="22" t="n">
        <v>0.00927561694706751</v>
      </c>
      <c r="Q276" s="22" t="n">
        <v>0.0097802159952909</v>
      </c>
      <c r="R276" s="22" t="n">
        <v>0.000162701701132723</v>
      </c>
      <c r="S276" s="23" t="n">
        <f aca="false">IF(A276="","",SUM(H276:R276))</f>
        <v>0.0491665339491426</v>
      </c>
      <c r="T276" s="17" t="str">
        <f aca="false">IF(A276="","",IF(AND(MIN(H276:R276)&gt;=0,MAX(H276:R276)&lt;=1,S276&lt;=1),"OK","CHECK"))</f>
        <v>OK</v>
      </c>
      <c r="U276" s="17" t="str">
        <f aca="false">IF(A276="","", "LOSS-"&amp;A276&amp;"-L"&amp;TEXT(B276,"00")&amp;"-"&amp;TEXT(C276,"yyyymmdd")&amp;"-"&amp;D276&amp;"-"&amp;E276)</f>
        <v>LOSS-KG01-L22-20251016-PM-ORD-2025-00197</v>
      </c>
      <c r="V276" s="17" t="str">
        <f aca="false">IF(U276="","",IF(COUNTIF($U$5:$U$935,U276)=1,"OK","CHECK"))</f>
        <v>OK</v>
      </c>
      <c r="W276" s="17" t="str">
        <f aca="false">IF(A276="","",IF(AND(T276="OK",V276="OK",G276&gt;=0),"OK","CHECK"))</f>
        <v>OK</v>
      </c>
    </row>
    <row r="277" customFormat="false" ht="18" hidden="false" customHeight="true" outlineLevel="0" collapsed="false">
      <c r="A277" s="18" t="s">
        <v>39</v>
      </c>
      <c r="B277" s="19" t="n">
        <v>22</v>
      </c>
      <c r="C277" s="20" t="n">
        <v>45947</v>
      </c>
      <c r="D277" s="18" t="s">
        <v>40</v>
      </c>
      <c r="E277" s="18" t="s">
        <v>93</v>
      </c>
      <c r="F277" s="18" t="s">
        <v>42</v>
      </c>
      <c r="G277" s="21" t="n">
        <v>16649</v>
      </c>
      <c r="H277" s="22" t="n">
        <v>0.0152484071968827</v>
      </c>
      <c r="I277" s="22" t="n">
        <v>0.00265871924676807</v>
      </c>
      <c r="J277" s="22" t="n">
        <v>0.00568058396884211</v>
      </c>
      <c r="K277" s="22" t="n">
        <v>0.00290335831244966</v>
      </c>
      <c r="L277" s="22" t="n">
        <v>0.00702684378726088</v>
      </c>
      <c r="M277" s="22" t="n">
        <v>0.0103846171777663</v>
      </c>
      <c r="N277" s="22" t="n">
        <v>0.00151673799000041</v>
      </c>
      <c r="O277" s="22" t="n">
        <v>0.00496571736755181</v>
      </c>
      <c r="P277" s="22" t="n">
        <v>0.0161668806172751</v>
      </c>
      <c r="Q277" s="22" t="n">
        <v>0.00213967632028878</v>
      </c>
      <c r="R277" s="22" t="n">
        <v>0.00262810058137613</v>
      </c>
      <c r="S277" s="23" t="n">
        <f aca="false">IF(A277="","",SUM(H277:R277))</f>
        <v>0.071319642566462</v>
      </c>
      <c r="T277" s="17" t="str">
        <f aca="false">IF(A277="","",IF(AND(MIN(H277:R277)&gt;=0,MAX(H277:R277)&lt;=1,S277&lt;=1),"OK","CHECK"))</f>
        <v>OK</v>
      </c>
      <c r="U277" s="17" t="str">
        <f aca="false">IF(A277="","", "LOSS-"&amp;A277&amp;"-L"&amp;TEXT(B277,"00")&amp;"-"&amp;TEXT(C277,"yyyymmdd")&amp;"-"&amp;D277&amp;"-"&amp;E277)</f>
        <v>LOSS-KG01-L22-20251017-AM-ORD-2025-00197</v>
      </c>
      <c r="V277" s="17" t="str">
        <f aca="false">IF(U277="","",IF(COUNTIF($U$5:$U$935,U277)=1,"OK","CHECK"))</f>
        <v>OK</v>
      </c>
      <c r="W277" s="17" t="str">
        <f aca="false">IF(A277="","",IF(AND(T277="OK",V277="OK",G277&gt;=0),"OK","CHECK"))</f>
        <v>OK</v>
      </c>
    </row>
    <row r="278" customFormat="false" ht="18" hidden="false" customHeight="true" outlineLevel="0" collapsed="false">
      <c r="A278" s="18" t="s">
        <v>39</v>
      </c>
      <c r="B278" s="19" t="n">
        <v>22</v>
      </c>
      <c r="C278" s="20" t="n">
        <v>45947</v>
      </c>
      <c r="D278" s="18" t="s">
        <v>43</v>
      </c>
      <c r="E278" s="18" t="s">
        <v>94</v>
      </c>
      <c r="F278" s="18" t="s">
        <v>45</v>
      </c>
      <c r="G278" s="21" t="n">
        <v>4690</v>
      </c>
      <c r="H278" s="22" t="n">
        <v>0.00243733906655119</v>
      </c>
      <c r="I278" s="22" t="n">
        <v>0.0040067619317415</v>
      </c>
      <c r="J278" s="22" t="n">
        <v>0.00680299640378227</v>
      </c>
      <c r="K278" s="22" t="n">
        <v>0.00647012837729783</v>
      </c>
      <c r="L278" s="22" t="n">
        <v>0.00213239203319405</v>
      </c>
      <c r="M278" s="22" t="n">
        <v>0.000662317199023802</v>
      </c>
      <c r="N278" s="22" t="n">
        <v>0.00245127082446236</v>
      </c>
      <c r="O278" s="22" t="n">
        <v>0.00372073429323051</v>
      </c>
      <c r="P278" s="22" t="n">
        <v>0.000198828386390307</v>
      </c>
      <c r="Q278" s="22" t="n">
        <v>0.00153032230380806</v>
      </c>
      <c r="R278" s="22" t="n">
        <v>0.000440954415574627</v>
      </c>
      <c r="S278" s="23" t="n">
        <f aca="false">IF(A278="","",SUM(H278:R278))</f>
        <v>0.0308540452350565</v>
      </c>
      <c r="T278" s="17" t="str">
        <f aca="false">IF(A278="","",IF(AND(MIN(H278:R278)&gt;=0,MAX(H278:R278)&lt;=1,S278&lt;=1),"OK","CHECK"))</f>
        <v>OK</v>
      </c>
      <c r="U278" s="17" t="str">
        <f aca="false">IF(A278="","", "LOSS-"&amp;A278&amp;"-L"&amp;TEXT(B278,"00")&amp;"-"&amp;TEXT(C278,"yyyymmdd")&amp;"-"&amp;D278&amp;"-"&amp;E278)</f>
        <v>LOSS-KG01-L22-20251017-PM-ORD-2025-00198</v>
      </c>
      <c r="V278" s="17" t="str">
        <f aca="false">IF(U278="","",IF(COUNTIF($U$5:$U$935,U278)=1,"OK","CHECK"))</f>
        <v>OK</v>
      </c>
      <c r="W278" s="17" t="str">
        <f aca="false">IF(A278="","",IF(AND(T278="OK",V278="OK",G278&gt;=0),"OK","CHECK"))</f>
        <v>OK</v>
      </c>
    </row>
    <row r="279" customFormat="false" ht="18" hidden="false" customHeight="true" outlineLevel="0" collapsed="false">
      <c r="A279" s="18" t="s">
        <v>39</v>
      </c>
      <c r="B279" s="19" t="n">
        <v>22</v>
      </c>
      <c r="C279" s="20" t="n">
        <v>45948</v>
      </c>
      <c r="D279" s="18" t="s">
        <v>40</v>
      </c>
      <c r="E279" s="18" t="s">
        <v>94</v>
      </c>
      <c r="F279" s="18" t="s">
        <v>42</v>
      </c>
      <c r="G279" s="21" t="n">
        <v>11918</v>
      </c>
      <c r="H279" s="22" t="n">
        <v>0.0236732918380305</v>
      </c>
      <c r="I279" s="22" t="n">
        <v>0.00305646271737365</v>
      </c>
      <c r="J279" s="22" t="n">
        <v>2.28801130047133E-005</v>
      </c>
      <c r="K279" s="22" t="n">
        <v>0.0079917230286045</v>
      </c>
      <c r="L279" s="22" t="n">
        <v>0.0115980840937768</v>
      </c>
      <c r="M279" s="22" t="n">
        <v>0.00444427489490717</v>
      </c>
      <c r="N279" s="22" t="n">
        <v>0.00101962371682737</v>
      </c>
      <c r="O279" s="22" t="n">
        <v>0.000190923607683798</v>
      </c>
      <c r="P279" s="22" t="n">
        <v>0.0203046885957218</v>
      </c>
      <c r="Q279" s="22" t="n">
        <v>0.00341887899096748</v>
      </c>
      <c r="R279" s="22" t="n">
        <v>0.00027906637269707</v>
      </c>
      <c r="S279" s="23" t="n">
        <f aca="false">IF(A279="","",SUM(H279:R279))</f>
        <v>0.0759998979695949</v>
      </c>
      <c r="T279" s="17" t="str">
        <f aca="false">IF(A279="","",IF(AND(MIN(H279:R279)&gt;=0,MAX(H279:R279)&lt;=1,S279&lt;=1),"OK","CHECK"))</f>
        <v>OK</v>
      </c>
      <c r="U279" s="17" t="str">
        <f aca="false">IF(A279="","", "LOSS-"&amp;A279&amp;"-L"&amp;TEXT(B279,"00")&amp;"-"&amp;TEXT(C279,"yyyymmdd")&amp;"-"&amp;D279&amp;"-"&amp;E279)</f>
        <v>LOSS-KG01-L22-20251018-AM-ORD-2025-00198</v>
      </c>
      <c r="V279" s="17" t="str">
        <f aca="false">IF(U279="","",IF(COUNTIF($U$5:$U$935,U279)=1,"OK","CHECK"))</f>
        <v>OK</v>
      </c>
      <c r="W279" s="17" t="str">
        <f aca="false">IF(A279="","",IF(AND(T279="OK",V279="OK",G279&gt;=0),"OK","CHECK"))</f>
        <v>OK</v>
      </c>
    </row>
    <row r="280" customFormat="false" ht="18" hidden="false" customHeight="true" outlineLevel="0" collapsed="false">
      <c r="A280" s="18" t="s">
        <v>39</v>
      </c>
      <c r="B280" s="19" t="n">
        <v>22</v>
      </c>
      <c r="C280" s="20" t="n">
        <v>45948</v>
      </c>
      <c r="D280" s="18" t="s">
        <v>43</v>
      </c>
      <c r="E280" s="18" t="s">
        <v>94</v>
      </c>
      <c r="F280" s="18" t="s">
        <v>42</v>
      </c>
      <c r="G280" s="21" t="n">
        <v>11714</v>
      </c>
      <c r="H280" s="22" t="n">
        <v>0.000722450521427432</v>
      </c>
      <c r="I280" s="22" t="n">
        <v>0.00378384505973084</v>
      </c>
      <c r="J280" s="22" t="n">
        <v>0.00285896003689057</v>
      </c>
      <c r="K280" s="22" t="n">
        <v>0.0080151149969291</v>
      </c>
      <c r="L280" s="22" t="n">
        <v>0.00938586766253133</v>
      </c>
      <c r="M280" s="22" t="n">
        <v>0.00739007008008329</v>
      </c>
      <c r="N280" s="22" t="n">
        <v>0.000294704895456465</v>
      </c>
      <c r="O280" s="22" t="n">
        <v>0.00797890809068565</v>
      </c>
      <c r="P280" s="22" t="n">
        <v>0.00117169193384114</v>
      </c>
      <c r="Q280" s="22" t="n">
        <v>0.001056130527033</v>
      </c>
      <c r="R280" s="22" t="n">
        <v>0.00334192633605264</v>
      </c>
      <c r="S280" s="23" t="n">
        <f aca="false">IF(A280="","",SUM(H280:R280))</f>
        <v>0.0459996701406615</v>
      </c>
      <c r="T280" s="17" t="str">
        <f aca="false">IF(A280="","",IF(AND(MIN(H280:R280)&gt;=0,MAX(H280:R280)&lt;=1,S280&lt;=1),"OK","CHECK"))</f>
        <v>OK</v>
      </c>
      <c r="U280" s="17" t="str">
        <f aca="false">IF(A280="","", "LOSS-"&amp;A280&amp;"-L"&amp;TEXT(B280,"00")&amp;"-"&amp;TEXT(C280,"yyyymmdd")&amp;"-"&amp;D280&amp;"-"&amp;E280)</f>
        <v>LOSS-KG01-L22-20251018-PM-ORD-2025-00198</v>
      </c>
      <c r="V280" s="17" t="str">
        <f aca="false">IF(U280="","",IF(COUNTIF($U$5:$U$935,U280)=1,"OK","CHECK"))</f>
        <v>OK</v>
      </c>
      <c r="W280" s="17" t="str">
        <f aca="false">IF(A280="","",IF(AND(T280="OK",V280="OK",G280&gt;=0),"OK","CHECK"))</f>
        <v>OK</v>
      </c>
    </row>
    <row r="281" customFormat="false" ht="18" hidden="false" customHeight="true" outlineLevel="0" collapsed="false">
      <c r="A281" s="18" t="s">
        <v>39</v>
      </c>
      <c r="B281" s="19" t="n">
        <v>22</v>
      </c>
      <c r="C281" s="20" t="n">
        <v>45949</v>
      </c>
      <c r="D281" s="18" t="s">
        <v>40</v>
      </c>
      <c r="E281" s="18" t="s">
        <v>95</v>
      </c>
      <c r="F281" s="18" t="s">
        <v>45</v>
      </c>
      <c r="G281" s="21" t="n">
        <v>1901</v>
      </c>
      <c r="H281" s="22" t="n">
        <v>0.018184105899891</v>
      </c>
      <c r="I281" s="22" t="n">
        <v>0.00155302687485105</v>
      </c>
      <c r="J281" s="22" t="n">
        <v>0.000739102429980446</v>
      </c>
      <c r="K281" s="22" t="n">
        <v>0.00683463816001159</v>
      </c>
      <c r="L281" s="22" t="n">
        <v>0.0100243044583811</v>
      </c>
      <c r="M281" s="22" t="n">
        <v>0.0141610085339537</v>
      </c>
      <c r="N281" s="22" t="n">
        <v>0.000307694726592164</v>
      </c>
      <c r="O281" s="22" t="n">
        <v>0.0128730459392772</v>
      </c>
      <c r="P281" s="22" t="n">
        <v>0.00653479936602466</v>
      </c>
      <c r="Q281" s="22" t="n">
        <v>0.0127823286493709</v>
      </c>
      <c r="R281" s="22" t="n">
        <v>0.00245039951125473</v>
      </c>
      <c r="S281" s="23" t="n">
        <f aca="false">IF(A281="","",SUM(H281:R281))</f>
        <v>0.0864444545495885</v>
      </c>
      <c r="T281" s="17" t="str">
        <f aca="false">IF(A281="","",IF(AND(MIN(H281:R281)&gt;=0,MAX(H281:R281)&lt;=1,S281&lt;=1),"OK","CHECK"))</f>
        <v>OK</v>
      </c>
      <c r="U281" s="17" t="str">
        <f aca="false">IF(A281="","", "LOSS-"&amp;A281&amp;"-L"&amp;TEXT(B281,"00")&amp;"-"&amp;TEXT(C281,"yyyymmdd")&amp;"-"&amp;D281&amp;"-"&amp;E281)</f>
        <v>LOSS-KG01-L22-20251019-AM-ORD-2025-00199</v>
      </c>
      <c r="V281" s="17" t="str">
        <f aca="false">IF(U281="","",IF(COUNTIF($U$5:$U$935,U281)=1,"OK","CHECK"))</f>
        <v>OK</v>
      </c>
      <c r="W281" s="17" t="str">
        <f aca="false">IF(A281="","",IF(AND(T281="OK",V281="OK",G281&gt;=0),"OK","CHECK"))</f>
        <v>OK</v>
      </c>
    </row>
    <row r="282" customFormat="false" ht="18" hidden="false" customHeight="true" outlineLevel="0" collapsed="false">
      <c r="A282" s="18" t="s">
        <v>39</v>
      </c>
      <c r="B282" s="19" t="n">
        <v>22</v>
      </c>
      <c r="C282" s="20" t="n">
        <v>45949</v>
      </c>
      <c r="D282" s="18" t="s">
        <v>43</v>
      </c>
      <c r="E282" s="18" t="s">
        <v>95</v>
      </c>
      <c r="F282" s="18" t="s">
        <v>42</v>
      </c>
      <c r="G282" s="21" t="n">
        <v>10538</v>
      </c>
      <c r="H282" s="22" t="n">
        <v>0.000322726002962059</v>
      </c>
      <c r="I282" s="22" t="n">
        <v>1.84647580249525E-006</v>
      </c>
      <c r="J282" s="22" t="n">
        <v>0.0228519270055723</v>
      </c>
      <c r="K282" s="22" t="n">
        <v>0.000575378908882261</v>
      </c>
      <c r="L282" s="22" t="n">
        <v>0.0123237004915743</v>
      </c>
      <c r="M282" s="22" t="n">
        <v>0.00727541128823028</v>
      </c>
      <c r="N282" s="22" t="n">
        <v>0.0022319639745534</v>
      </c>
      <c r="O282" s="22" t="n">
        <v>0.00828004424770267</v>
      </c>
      <c r="P282" s="22" t="n">
        <v>0.00070278513694457</v>
      </c>
      <c r="Q282" s="22" t="n">
        <v>0.0062992729136766</v>
      </c>
      <c r="R282" s="22" t="n">
        <v>0.000110976698027517</v>
      </c>
      <c r="S282" s="23" t="n">
        <f aca="false">IF(A282="","",SUM(H282:R282))</f>
        <v>0.0609760331439285</v>
      </c>
      <c r="T282" s="17" t="str">
        <f aca="false">IF(A282="","",IF(AND(MIN(H282:R282)&gt;=0,MAX(H282:R282)&lt;=1,S282&lt;=1),"OK","CHECK"))</f>
        <v>OK</v>
      </c>
      <c r="U282" s="17" t="str">
        <f aca="false">IF(A282="","", "LOSS-"&amp;A282&amp;"-L"&amp;TEXT(B282,"00")&amp;"-"&amp;TEXT(C282,"yyyymmdd")&amp;"-"&amp;D282&amp;"-"&amp;E282)</f>
        <v>LOSS-KG01-L22-20251019-PM-ORD-2025-00199</v>
      </c>
      <c r="V282" s="17" t="str">
        <f aca="false">IF(U282="","",IF(COUNTIF($U$5:$U$935,U282)=1,"OK","CHECK"))</f>
        <v>OK</v>
      </c>
      <c r="W282" s="17" t="str">
        <f aca="false">IF(A282="","",IF(AND(T282="OK",V282="OK",G282&gt;=0),"OK","CHECK"))</f>
        <v>OK</v>
      </c>
    </row>
    <row r="283" customFormat="false" ht="18" hidden="false" customHeight="true" outlineLevel="0" collapsed="false">
      <c r="A283" s="18" t="s">
        <v>39</v>
      </c>
      <c r="B283" s="19" t="n">
        <v>22</v>
      </c>
      <c r="C283" s="20" t="n">
        <v>45957</v>
      </c>
      <c r="D283" s="18" t="s">
        <v>40</v>
      </c>
      <c r="E283" s="18" t="s">
        <v>96</v>
      </c>
      <c r="F283" s="18" t="s">
        <v>45</v>
      </c>
      <c r="G283" s="21" t="n">
        <v>4139</v>
      </c>
      <c r="H283" s="22" t="n">
        <v>0.00110156293015693</v>
      </c>
      <c r="I283" s="22" t="n">
        <v>0.00261222511967746</v>
      </c>
      <c r="J283" s="22" t="n">
        <v>0.000598950382721639</v>
      </c>
      <c r="K283" s="22" t="n">
        <v>0.0086411885970108</v>
      </c>
      <c r="L283" s="22" t="n">
        <v>0.000193220096668346</v>
      </c>
      <c r="M283" s="22" t="n">
        <v>0.00302455781730452</v>
      </c>
      <c r="N283" s="22" t="n">
        <v>3.28585224613548E-007</v>
      </c>
      <c r="O283" s="22" t="n">
        <v>0.00157356931923289</v>
      </c>
      <c r="P283" s="22" t="n">
        <v>0.00882301407710481</v>
      </c>
      <c r="Q283" s="22" t="n">
        <v>3.15796250406154E-005</v>
      </c>
      <c r="R283" s="22" t="n">
        <v>0.000240523006813648</v>
      </c>
      <c r="S283" s="23" t="n">
        <f aca="false">IF(A283="","",SUM(H283:R283))</f>
        <v>0.0268407195569563</v>
      </c>
      <c r="T283" s="17" t="str">
        <f aca="false">IF(A283="","",IF(AND(MIN(H283:R283)&gt;=0,MAX(H283:R283)&lt;=1,S283&lt;=1),"OK","CHECK"))</f>
        <v>OK</v>
      </c>
      <c r="U283" s="17" t="str">
        <f aca="false">IF(A283="","", "LOSS-"&amp;A283&amp;"-L"&amp;TEXT(B283,"00")&amp;"-"&amp;TEXT(C283,"yyyymmdd")&amp;"-"&amp;D283&amp;"-"&amp;E283)</f>
        <v>LOSS-KG01-L22-20251027-AM-ORD-2025-00200</v>
      </c>
      <c r="V283" s="17" t="str">
        <f aca="false">IF(U283="","",IF(COUNTIF($U$5:$U$935,U283)=1,"OK","CHECK"))</f>
        <v>OK</v>
      </c>
      <c r="W283" s="17" t="str">
        <f aca="false">IF(A283="","",IF(AND(T283="OK",V283="OK",G283&gt;=0),"OK","CHECK"))</f>
        <v>OK</v>
      </c>
    </row>
    <row r="284" customFormat="false" ht="18" hidden="false" customHeight="true" outlineLevel="0" collapsed="false">
      <c r="A284" s="18" t="s">
        <v>39</v>
      </c>
      <c r="B284" s="19" t="n">
        <v>22</v>
      </c>
      <c r="C284" s="20" t="n">
        <v>45957</v>
      </c>
      <c r="D284" s="18" t="s">
        <v>43</v>
      </c>
      <c r="E284" s="18" t="s">
        <v>96</v>
      </c>
      <c r="F284" s="18" t="s">
        <v>42</v>
      </c>
      <c r="G284" s="21" t="n">
        <v>11575</v>
      </c>
      <c r="H284" s="22" t="n">
        <v>0.00428924080220707</v>
      </c>
      <c r="I284" s="22" t="n">
        <v>0.00342537350830309</v>
      </c>
      <c r="J284" s="22" t="n">
        <v>0.00139982280914558</v>
      </c>
      <c r="K284" s="22" t="n">
        <v>0.00510368171330313</v>
      </c>
      <c r="L284" s="22" t="n">
        <v>0.00174668474585544</v>
      </c>
      <c r="M284" s="22" t="n">
        <v>0.00505228068032938</v>
      </c>
      <c r="N284" s="22" t="n">
        <v>0.00282550753918906</v>
      </c>
      <c r="O284" s="22" t="n">
        <v>0.000113027966069457</v>
      </c>
      <c r="P284" s="22" t="n">
        <v>0.00298502686647842</v>
      </c>
      <c r="Q284" s="22" t="n">
        <v>0.00103692400593682</v>
      </c>
      <c r="R284" s="22" t="n">
        <v>0.00468390969716206</v>
      </c>
      <c r="S284" s="23" t="n">
        <f aca="false">IF(A284="","",SUM(H284:R284))</f>
        <v>0.0326614803339795</v>
      </c>
      <c r="T284" s="17" t="str">
        <f aca="false">IF(A284="","",IF(AND(MIN(H284:R284)&gt;=0,MAX(H284:R284)&lt;=1,S284&lt;=1),"OK","CHECK"))</f>
        <v>OK</v>
      </c>
      <c r="U284" s="17" t="str">
        <f aca="false">IF(A284="","", "LOSS-"&amp;A284&amp;"-L"&amp;TEXT(B284,"00")&amp;"-"&amp;TEXT(C284,"yyyymmdd")&amp;"-"&amp;D284&amp;"-"&amp;E284)</f>
        <v>LOSS-KG01-L22-20251027-PM-ORD-2025-00200</v>
      </c>
      <c r="V284" s="17" t="str">
        <f aca="false">IF(U284="","",IF(COUNTIF($U$5:$U$935,U284)=1,"OK","CHECK"))</f>
        <v>OK</v>
      </c>
      <c r="W284" s="17" t="str">
        <f aca="false">IF(A284="","",IF(AND(T284="OK",V284="OK",G284&gt;=0),"OK","CHECK"))</f>
        <v>OK</v>
      </c>
    </row>
    <row r="285" customFormat="false" ht="18" hidden="false" customHeight="true" outlineLevel="0" collapsed="false">
      <c r="A285" s="18" t="s">
        <v>39</v>
      </c>
      <c r="B285" s="19" t="n">
        <v>22</v>
      </c>
      <c r="C285" s="20" t="n">
        <v>45958</v>
      </c>
      <c r="D285" s="18" t="s">
        <v>40</v>
      </c>
      <c r="E285" s="18" t="s">
        <v>96</v>
      </c>
      <c r="F285" s="18" t="s">
        <v>42</v>
      </c>
      <c r="G285" s="21" t="n">
        <v>10600</v>
      </c>
      <c r="H285" s="22" t="n">
        <v>0.00138626212492701</v>
      </c>
      <c r="I285" s="22" t="n">
        <v>1.6929837133538E-005</v>
      </c>
      <c r="J285" s="22" t="n">
        <v>0.0142676699661421</v>
      </c>
      <c r="K285" s="22" t="n">
        <v>0.00101414865887174</v>
      </c>
      <c r="L285" s="22" t="n">
        <v>0.00754658661230739</v>
      </c>
      <c r="M285" s="22" t="n">
        <v>0.0024454955574058</v>
      </c>
      <c r="N285" s="22" t="n">
        <v>0.00261122059041765</v>
      </c>
      <c r="O285" s="22" t="n">
        <v>0.0134012033049428</v>
      </c>
      <c r="P285" s="22" t="n">
        <v>0.0130733274817611</v>
      </c>
      <c r="Q285" s="22" t="n">
        <v>0.0138806376796049</v>
      </c>
      <c r="R285" s="22" t="n">
        <v>0.00584326527739779</v>
      </c>
      <c r="S285" s="23" t="n">
        <f aca="false">IF(A285="","",SUM(H285:R285))</f>
        <v>0.0754867470909118</v>
      </c>
      <c r="T285" s="17" t="str">
        <f aca="false">IF(A285="","",IF(AND(MIN(H285:R285)&gt;=0,MAX(H285:R285)&lt;=1,S285&lt;=1),"OK","CHECK"))</f>
        <v>OK</v>
      </c>
      <c r="U285" s="17" t="str">
        <f aca="false">IF(A285="","", "LOSS-"&amp;A285&amp;"-L"&amp;TEXT(B285,"00")&amp;"-"&amp;TEXT(C285,"yyyymmdd")&amp;"-"&amp;D285&amp;"-"&amp;E285)</f>
        <v>LOSS-KG01-L22-20251028-AM-ORD-2025-00200</v>
      </c>
      <c r="V285" s="17" t="str">
        <f aca="false">IF(U285="","",IF(COUNTIF($U$5:$U$935,U285)=1,"OK","CHECK"))</f>
        <v>OK</v>
      </c>
      <c r="W285" s="17" t="str">
        <f aca="false">IF(A285="","",IF(AND(T285="OK",V285="OK",G285&gt;=0),"OK","CHECK"))</f>
        <v>OK</v>
      </c>
    </row>
    <row r="286" customFormat="false" ht="18" hidden="false" customHeight="true" outlineLevel="0" collapsed="false">
      <c r="A286" s="18" t="s">
        <v>39</v>
      </c>
      <c r="B286" s="19" t="n">
        <v>22</v>
      </c>
      <c r="C286" s="20" t="n">
        <v>45958</v>
      </c>
      <c r="D286" s="18" t="s">
        <v>43</v>
      </c>
      <c r="E286" s="18" t="s">
        <v>96</v>
      </c>
      <c r="F286" s="18" t="s">
        <v>42</v>
      </c>
      <c r="G286" s="21" t="n">
        <v>14107</v>
      </c>
      <c r="H286" s="22" t="n">
        <v>0.000786966166355013</v>
      </c>
      <c r="I286" s="22" t="n">
        <v>0.00497686598554813</v>
      </c>
      <c r="J286" s="22" t="n">
        <v>0.0201043600365471</v>
      </c>
      <c r="K286" s="22" t="n">
        <v>0.0169539876958297</v>
      </c>
      <c r="L286" s="22" t="n">
        <v>0.000507551373134628</v>
      </c>
      <c r="M286" s="22" t="n">
        <v>0.0154414221164165</v>
      </c>
      <c r="N286" s="22" t="n">
        <v>0.00163794801967512</v>
      </c>
      <c r="O286" s="22" t="n">
        <v>0.00454137702899773</v>
      </c>
      <c r="P286" s="22" t="n">
        <v>0.001043123579647</v>
      </c>
      <c r="Q286" s="22" t="n">
        <v>0.00243746073058982</v>
      </c>
      <c r="R286" s="22" t="n">
        <v>0.0023165337948246</v>
      </c>
      <c r="S286" s="23" t="n">
        <f aca="false">IF(A286="","",SUM(H286:R286))</f>
        <v>0.0707475965275654</v>
      </c>
      <c r="T286" s="17" t="str">
        <f aca="false">IF(A286="","",IF(AND(MIN(H286:R286)&gt;=0,MAX(H286:R286)&lt;=1,S286&lt;=1),"OK","CHECK"))</f>
        <v>OK</v>
      </c>
      <c r="U286" s="17" t="str">
        <f aca="false">IF(A286="","", "LOSS-"&amp;A286&amp;"-L"&amp;TEXT(B286,"00")&amp;"-"&amp;TEXT(C286,"yyyymmdd")&amp;"-"&amp;D286&amp;"-"&amp;E286)</f>
        <v>LOSS-KG01-L22-20251028-PM-ORD-2025-00200</v>
      </c>
      <c r="V286" s="17" t="str">
        <f aca="false">IF(U286="","",IF(COUNTIF($U$5:$U$935,U286)=1,"OK","CHECK"))</f>
        <v>OK</v>
      </c>
      <c r="W286" s="17" t="str">
        <f aca="false">IF(A286="","",IF(AND(T286="OK",V286="OK",G286&gt;=0),"OK","CHECK"))</f>
        <v>OK</v>
      </c>
    </row>
    <row r="287" customFormat="false" ht="18" hidden="false" customHeight="true" outlineLevel="0" collapsed="false">
      <c r="A287" s="18" t="s">
        <v>39</v>
      </c>
      <c r="B287" s="19" t="n">
        <v>22</v>
      </c>
      <c r="C287" s="20" t="n">
        <v>45959</v>
      </c>
      <c r="D287" s="18" t="s">
        <v>40</v>
      </c>
      <c r="E287" s="18" t="s">
        <v>96</v>
      </c>
      <c r="F287" s="18" t="s">
        <v>42</v>
      </c>
      <c r="G287" s="21" t="n">
        <v>14923</v>
      </c>
      <c r="H287" s="22" t="n">
        <v>0.0157884804192369</v>
      </c>
      <c r="I287" s="22" t="n">
        <v>0.00390627109911192</v>
      </c>
      <c r="J287" s="22" t="n">
        <v>0.000617641629125464</v>
      </c>
      <c r="K287" s="22" t="n">
        <v>0.0112443342566642</v>
      </c>
      <c r="L287" s="22" t="n">
        <v>0.012771679438797</v>
      </c>
      <c r="M287" s="22" t="n">
        <v>0.000169431748264701</v>
      </c>
      <c r="N287" s="22" t="n">
        <v>0.0050931237380169</v>
      </c>
      <c r="O287" s="22" t="n">
        <v>0.00885025060931947</v>
      </c>
      <c r="P287" s="22" t="n">
        <v>0.00466242850644785</v>
      </c>
      <c r="Q287" s="22" t="n">
        <v>0.00862298951752878</v>
      </c>
      <c r="R287" s="22" t="n">
        <v>0.00234836233633821</v>
      </c>
      <c r="S287" s="23" t="n">
        <f aca="false">IF(A287="","",SUM(H287:R287))</f>
        <v>0.0740749932988514</v>
      </c>
      <c r="T287" s="17" t="str">
        <f aca="false">IF(A287="","",IF(AND(MIN(H287:R287)&gt;=0,MAX(H287:R287)&lt;=1,S287&lt;=1),"OK","CHECK"))</f>
        <v>OK</v>
      </c>
      <c r="U287" s="17" t="str">
        <f aca="false">IF(A287="","", "LOSS-"&amp;A287&amp;"-L"&amp;TEXT(B287,"00")&amp;"-"&amp;TEXT(C287,"yyyymmdd")&amp;"-"&amp;D287&amp;"-"&amp;E287)</f>
        <v>LOSS-KG01-L22-20251029-AM-ORD-2025-00200</v>
      </c>
      <c r="V287" s="17" t="str">
        <f aca="false">IF(U287="","",IF(COUNTIF($U$5:$U$935,U287)=1,"OK","CHECK"))</f>
        <v>OK</v>
      </c>
      <c r="W287" s="17" t="str">
        <f aca="false">IF(A287="","",IF(AND(T287="OK",V287="OK",G287&gt;=0),"OK","CHECK"))</f>
        <v>OK</v>
      </c>
    </row>
    <row r="288" customFormat="false" ht="18" hidden="false" customHeight="true" outlineLevel="0" collapsed="false">
      <c r="A288" s="18" t="s">
        <v>39</v>
      </c>
      <c r="B288" s="19" t="n">
        <v>22</v>
      </c>
      <c r="C288" s="20" t="n">
        <v>45959</v>
      </c>
      <c r="D288" s="18" t="s">
        <v>43</v>
      </c>
      <c r="E288" s="18" t="s">
        <v>96</v>
      </c>
      <c r="F288" s="18" t="s">
        <v>42</v>
      </c>
      <c r="G288" s="21" t="n">
        <v>9733</v>
      </c>
      <c r="H288" s="22" t="n">
        <v>0.00177862091429825</v>
      </c>
      <c r="I288" s="22" t="n">
        <v>0.00308604689189321</v>
      </c>
      <c r="J288" s="22" t="n">
        <v>0.0131054517596238</v>
      </c>
      <c r="K288" s="22" t="n">
        <v>0.0030167416397663</v>
      </c>
      <c r="L288" s="22" t="n">
        <v>0.0118065388531192</v>
      </c>
      <c r="M288" s="22" t="n">
        <v>9.89775504154255E-006</v>
      </c>
      <c r="N288" s="22" t="n">
        <v>0.00833549237416431</v>
      </c>
      <c r="O288" s="22" t="n">
        <v>0.000110864032661962</v>
      </c>
      <c r="P288" s="22" t="n">
        <v>0.000280209588055348</v>
      </c>
      <c r="Q288" s="22" t="n">
        <v>0.011659263534388</v>
      </c>
      <c r="R288" s="22" t="n">
        <v>0.0087729302072809</v>
      </c>
      <c r="S288" s="23" t="n">
        <f aca="false">IF(A288="","",SUM(H288:R288))</f>
        <v>0.0619620575502928</v>
      </c>
      <c r="T288" s="17" t="str">
        <f aca="false">IF(A288="","",IF(AND(MIN(H288:R288)&gt;=0,MAX(H288:R288)&lt;=1,S288&lt;=1),"OK","CHECK"))</f>
        <v>OK</v>
      </c>
      <c r="U288" s="17" t="str">
        <f aca="false">IF(A288="","", "LOSS-"&amp;A288&amp;"-L"&amp;TEXT(B288,"00")&amp;"-"&amp;TEXT(C288,"yyyymmdd")&amp;"-"&amp;D288&amp;"-"&amp;E288)</f>
        <v>LOSS-KG01-L22-20251029-PM-ORD-2025-00200</v>
      </c>
      <c r="V288" s="17" t="str">
        <f aca="false">IF(U288="","",IF(COUNTIF($U$5:$U$935,U288)=1,"OK","CHECK"))</f>
        <v>OK</v>
      </c>
      <c r="W288" s="17" t="str">
        <f aca="false">IF(A288="","",IF(AND(T288="OK",V288="OK",G288&gt;=0),"OK","CHECK"))</f>
        <v>OK</v>
      </c>
    </row>
    <row r="289" customFormat="false" ht="18" hidden="false" customHeight="true" outlineLevel="0" collapsed="false">
      <c r="A289" s="18" t="s">
        <v>39</v>
      </c>
      <c r="B289" s="19" t="n">
        <v>22</v>
      </c>
      <c r="C289" s="20" t="n">
        <v>45960</v>
      </c>
      <c r="D289" s="18" t="s">
        <v>40</v>
      </c>
      <c r="E289" s="18" t="s">
        <v>97</v>
      </c>
      <c r="F289" s="18" t="s">
        <v>45</v>
      </c>
      <c r="G289" s="21" t="n">
        <v>2167</v>
      </c>
      <c r="H289" s="22" t="n">
        <v>0.00196156034913725</v>
      </c>
      <c r="I289" s="22" t="n">
        <v>0.000810847977945167</v>
      </c>
      <c r="J289" s="22" t="n">
        <v>0.00224539084541358</v>
      </c>
      <c r="K289" s="22" t="n">
        <v>0.00471697379113492</v>
      </c>
      <c r="L289" s="22" t="n">
        <v>0.00448806678778752</v>
      </c>
      <c r="M289" s="22" t="n">
        <v>1.66938011394904E-005</v>
      </c>
      <c r="N289" s="22" t="n">
        <v>0.00415993675132647</v>
      </c>
      <c r="O289" s="22" t="n">
        <v>9.23765351559882E-005</v>
      </c>
      <c r="P289" s="22" t="n">
        <v>0.00261526253750271</v>
      </c>
      <c r="Q289" s="22" t="n">
        <v>0.00124756835692923</v>
      </c>
      <c r="R289" s="22" t="n">
        <v>0.00339083729563543</v>
      </c>
      <c r="S289" s="23" t="n">
        <f aca="false">IF(A289="","",SUM(H289:R289))</f>
        <v>0.0257455150291078</v>
      </c>
      <c r="T289" s="17" t="str">
        <f aca="false">IF(A289="","",IF(AND(MIN(H289:R289)&gt;=0,MAX(H289:R289)&lt;=1,S289&lt;=1),"OK","CHECK"))</f>
        <v>OK</v>
      </c>
      <c r="U289" s="17" t="str">
        <f aca="false">IF(A289="","", "LOSS-"&amp;A289&amp;"-L"&amp;TEXT(B289,"00")&amp;"-"&amp;TEXT(C289,"yyyymmdd")&amp;"-"&amp;D289&amp;"-"&amp;E289)</f>
        <v>LOSS-KG01-L22-20251030-AM-ORD-2025-00201</v>
      </c>
      <c r="V289" s="17" t="str">
        <f aca="false">IF(U289="","",IF(COUNTIF($U$5:$U$935,U289)=1,"OK","CHECK"))</f>
        <v>OK</v>
      </c>
      <c r="W289" s="17" t="str">
        <f aca="false">IF(A289="","",IF(AND(T289="OK",V289="OK",G289&gt;=0),"OK","CHECK"))</f>
        <v>OK</v>
      </c>
    </row>
    <row r="290" customFormat="false" ht="18" hidden="false" customHeight="true" outlineLevel="0" collapsed="false">
      <c r="A290" s="18" t="s">
        <v>39</v>
      </c>
      <c r="B290" s="19" t="n">
        <v>22</v>
      </c>
      <c r="C290" s="20" t="n">
        <v>45960</v>
      </c>
      <c r="D290" s="18" t="s">
        <v>43</v>
      </c>
      <c r="E290" s="18" t="s">
        <v>97</v>
      </c>
      <c r="F290" s="18" t="s">
        <v>42</v>
      </c>
      <c r="G290" s="21" t="n">
        <v>12933</v>
      </c>
      <c r="H290" s="22" t="n">
        <v>0.00301344084540417</v>
      </c>
      <c r="I290" s="22" t="n">
        <v>0.00790893828796361</v>
      </c>
      <c r="J290" s="22" t="n">
        <v>8.04889912769148E-005</v>
      </c>
      <c r="K290" s="22" t="n">
        <v>0.000819745588274636</v>
      </c>
      <c r="L290" s="22" t="n">
        <v>0.0109218433509073</v>
      </c>
      <c r="M290" s="22" t="n">
        <v>0.00012869267173165</v>
      </c>
      <c r="N290" s="22" t="n">
        <v>0.00396696825732264</v>
      </c>
      <c r="O290" s="22" t="n">
        <v>0.0075869922444277</v>
      </c>
      <c r="P290" s="22" t="n">
        <v>0.00359060429041661</v>
      </c>
      <c r="Q290" s="22" t="n">
        <v>0.00535591267973698</v>
      </c>
      <c r="R290" s="22" t="n">
        <v>0.00838943062723861</v>
      </c>
      <c r="S290" s="23" t="n">
        <f aca="false">IF(A290="","",SUM(H290:R290))</f>
        <v>0.0517630578347008</v>
      </c>
      <c r="T290" s="17" t="str">
        <f aca="false">IF(A290="","",IF(AND(MIN(H290:R290)&gt;=0,MAX(H290:R290)&lt;=1,S290&lt;=1),"OK","CHECK"))</f>
        <v>OK</v>
      </c>
      <c r="U290" s="17" t="str">
        <f aca="false">IF(A290="","", "LOSS-"&amp;A290&amp;"-L"&amp;TEXT(B290,"00")&amp;"-"&amp;TEXT(C290,"yyyymmdd")&amp;"-"&amp;D290&amp;"-"&amp;E290)</f>
        <v>LOSS-KG01-L22-20251030-PM-ORD-2025-00201</v>
      </c>
      <c r="V290" s="17" t="str">
        <f aca="false">IF(U290="","",IF(COUNTIF($U$5:$U$935,U290)=1,"OK","CHECK"))</f>
        <v>OK</v>
      </c>
      <c r="W290" s="17" t="str">
        <f aca="false">IF(A290="","",IF(AND(T290="OK",V290="OK",G290&gt;=0),"OK","CHECK"))</f>
        <v>OK</v>
      </c>
    </row>
    <row r="291" customFormat="false" ht="18" hidden="false" customHeight="true" outlineLevel="0" collapsed="false">
      <c r="A291" s="18" t="s">
        <v>39</v>
      </c>
      <c r="B291" s="19" t="n">
        <v>22</v>
      </c>
      <c r="C291" s="20" t="n">
        <v>45961</v>
      </c>
      <c r="D291" s="18" t="s">
        <v>40</v>
      </c>
      <c r="E291" s="18" t="s">
        <v>97</v>
      </c>
      <c r="F291" s="18" t="s">
        <v>42</v>
      </c>
      <c r="G291" s="21" t="n">
        <v>7586</v>
      </c>
      <c r="H291" s="22" t="n">
        <v>0.000203102665437481</v>
      </c>
      <c r="I291" s="22" t="n">
        <v>0.0047067001463412</v>
      </c>
      <c r="J291" s="22" t="n">
        <v>0.00359343833376621</v>
      </c>
      <c r="K291" s="22" t="n">
        <v>0.00707868093572991</v>
      </c>
      <c r="L291" s="22" t="n">
        <v>0.00677826040544232</v>
      </c>
      <c r="M291" s="22" t="n">
        <v>0.00367042761723322</v>
      </c>
      <c r="N291" s="22" t="n">
        <v>0.00435032476241505</v>
      </c>
      <c r="O291" s="22" t="n">
        <v>0.0128847490608858</v>
      </c>
      <c r="P291" s="22" t="n">
        <v>0.000256223632087977</v>
      </c>
      <c r="Q291" s="22" t="n">
        <v>0.0110323948137895</v>
      </c>
      <c r="R291" s="22" t="n">
        <v>0.00563484993256178</v>
      </c>
      <c r="S291" s="23" t="n">
        <f aca="false">IF(A291="","",SUM(H291:R291))</f>
        <v>0.0601891523056905</v>
      </c>
      <c r="T291" s="17" t="str">
        <f aca="false">IF(A291="","",IF(AND(MIN(H291:R291)&gt;=0,MAX(H291:R291)&lt;=1,S291&lt;=1),"OK","CHECK"))</f>
        <v>OK</v>
      </c>
      <c r="U291" s="17" t="str">
        <f aca="false">IF(A291="","", "LOSS-"&amp;A291&amp;"-L"&amp;TEXT(B291,"00")&amp;"-"&amp;TEXT(C291,"yyyymmdd")&amp;"-"&amp;D291&amp;"-"&amp;E291)</f>
        <v>LOSS-KG01-L22-20251031-AM-ORD-2025-00201</v>
      </c>
      <c r="V291" s="17" t="str">
        <f aca="false">IF(U291="","",IF(COUNTIF($U$5:$U$935,U291)=1,"OK","CHECK"))</f>
        <v>OK</v>
      </c>
      <c r="W291" s="17" t="str">
        <f aca="false">IF(A291="","",IF(AND(T291="OK",V291="OK",G291&gt;=0),"OK","CHECK"))</f>
        <v>OK</v>
      </c>
    </row>
    <row r="292" customFormat="false" ht="18" hidden="false" customHeight="true" outlineLevel="0" collapsed="false">
      <c r="A292" s="18" t="s">
        <v>39</v>
      </c>
      <c r="B292" s="19" t="n">
        <v>22</v>
      </c>
      <c r="C292" s="20" t="n">
        <v>45961</v>
      </c>
      <c r="D292" s="18" t="s">
        <v>43</v>
      </c>
      <c r="E292" s="18" t="s">
        <v>97</v>
      </c>
      <c r="F292" s="18" t="s">
        <v>42</v>
      </c>
      <c r="G292" s="21" t="n">
        <v>13326</v>
      </c>
      <c r="H292" s="22" t="n">
        <v>0.00025287758626501</v>
      </c>
      <c r="I292" s="22" t="n">
        <v>0.00416635584187754</v>
      </c>
      <c r="J292" s="22" t="n">
        <v>0.00545927902272115</v>
      </c>
      <c r="K292" s="22" t="n">
        <v>0.00925870916080293</v>
      </c>
      <c r="L292" s="22" t="n">
        <v>0.00685114264633303</v>
      </c>
      <c r="M292" s="22" t="n">
        <v>0.00410588874304129</v>
      </c>
      <c r="N292" s="22" t="n">
        <v>0.000425206734077436</v>
      </c>
      <c r="O292" s="22" t="n">
        <v>4.75877620936118E-005</v>
      </c>
      <c r="P292" s="22" t="n">
        <v>0.00024718047637105</v>
      </c>
      <c r="Q292" s="22" t="n">
        <v>0.00817281454706675</v>
      </c>
      <c r="R292" s="22" t="n">
        <v>0.0028524377982169</v>
      </c>
      <c r="S292" s="23" t="n">
        <f aca="false">IF(A292="","",SUM(H292:R292))</f>
        <v>0.0418394803188667</v>
      </c>
      <c r="T292" s="17" t="str">
        <f aca="false">IF(A292="","",IF(AND(MIN(H292:R292)&gt;=0,MAX(H292:R292)&lt;=1,S292&lt;=1),"OK","CHECK"))</f>
        <v>OK</v>
      </c>
      <c r="U292" s="17" t="str">
        <f aca="false">IF(A292="","", "LOSS-"&amp;A292&amp;"-L"&amp;TEXT(B292,"00")&amp;"-"&amp;TEXT(C292,"yyyymmdd")&amp;"-"&amp;D292&amp;"-"&amp;E292)</f>
        <v>LOSS-KG01-L22-20251031-PM-ORD-2025-00201</v>
      </c>
      <c r="V292" s="17" t="str">
        <f aca="false">IF(U292="","",IF(COUNTIF($U$5:$U$935,U292)=1,"OK","CHECK"))</f>
        <v>OK</v>
      </c>
      <c r="W292" s="17" t="str">
        <f aca="false">IF(A292="","",IF(AND(T292="OK",V292="OK",G292&gt;=0),"OK","CHECK"))</f>
        <v>OK</v>
      </c>
    </row>
    <row r="293" customFormat="false" ht="18" hidden="false" customHeight="true" outlineLevel="0" collapsed="false">
      <c r="A293" s="18" t="s">
        <v>39</v>
      </c>
      <c r="B293" s="19" t="n">
        <v>22</v>
      </c>
      <c r="C293" s="20" t="n">
        <v>45962</v>
      </c>
      <c r="D293" s="18" t="s">
        <v>40</v>
      </c>
      <c r="E293" s="18" t="s">
        <v>97</v>
      </c>
      <c r="F293" s="18" t="s">
        <v>42</v>
      </c>
      <c r="G293" s="21" t="n">
        <v>6778</v>
      </c>
      <c r="H293" s="22" t="n">
        <v>0.000833680884525337</v>
      </c>
      <c r="I293" s="22" t="n">
        <v>0.000146440071426342</v>
      </c>
      <c r="J293" s="22" t="n">
        <v>8.2935467088148E-006</v>
      </c>
      <c r="K293" s="22" t="n">
        <v>0.00349017266402383</v>
      </c>
      <c r="L293" s="22" t="n">
        <v>0.00208256821513423</v>
      </c>
      <c r="M293" s="22" t="n">
        <v>0.0116989042492076</v>
      </c>
      <c r="N293" s="22" t="n">
        <v>0.00122716586312718</v>
      </c>
      <c r="O293" s="22" t="n">
        <v>0.00319204324886557</v>
      </c>
      <c r="P293" s="22" t="n">
        <v>0.000462087885591699</v>
      </c>
      <c r="Q293" s="22" t="n">
        <v>0.000752922977215573</v>
      </c>
      <c r="R293" s="22" t="n">
        <v>0.00980380977514917</v>
      </c>
      <c r="S293" s="23" t="n">
        <f aca="false">IF(A293="","",SUM(H293:R293))</f>
        <v>0.0336980893809754</v>
      </c>
      <c r="T293" s="17" t="str">
        <f aca="false">IF(A293="","",IF(AND(MIN(H293:R293)&gt;=0,MAX(H293:R293)&lt;=1,S293&lt;=1),"OK","CHECK"))</f>
        <v>OK</v>
      </c>
      <c r="U293" s="17" t="str">
        <f aca="false">IF(A293="","", "LOSS-"&amp;A293&amp;"-L"&amp;TEXT(B293,"00")&amp;"-"&amp;TEXT(C293,"yyyymmdd")&amp;"-"&amp;D293&amp;"-"&amp;E293)</f>
        <v>LOSS-KG01-L22-20251101-AM-ORD-2025-00201</v>
      </c>
      <c r="V293" s="17" t="str">
        <f aca="false">IF(U293="","",IF(COUNTIF($U$5:$U$935,U293)=1,"OK","CHECK"))</f>
        <v>OK</v>
      </c>
      <c r="W293" s="17" t="str">
        <f aca="false">IF(A293="","",IF(AND(T293="OK",V293="OK",G293&gt;=0),"OK","CHECK"))</f>
        <v>OK</v>
      </c>
    </row>
    <row r="294" customFormat="false" ht="18" hidden="false" customHeight="true" outlineLevel="0" collapsed="false">
      <c r="A294" s="18" t="s">
        <v>39</v>
      </c>
      <c r="B294" s="19" t="n">
        <v>22</v>
      </c>
      <c r="C294" s="20" t="n">
        <v>45962</v>
      </c>
      <c r="D294" s="18" t="s">
        <v>43</v>
      </c>
      <c r="E294" s="18" t="s">
        <v>97</v>
      </c>
      <c r="F294" s="18" t="s">
        <v>42</v>
      </c>
      <c r="G294" s="21" t="n">
        <v>16518</v>
      </c>
      <c r="H294" s="22" t="n">
        <v>0.00223060016676402</v>
      </c>
      <c r="I294" s="22" t="n">
        <v>0.0123637242701351</v>
      </c>
      <c r="J294" s="22" t="n">
        <v>0.00634971649725064</v>
      </c>
      <c r="K294" s="22" t="n">
        <v>0.0142636438536338</v>
      </c>
      <c r="L294" s="22" t="n">
        <v>0.000499764461696784</v>
      </c>
      <c r="M294" s="22" t="n">
        <v>0.000704269062784697</v>
      </c>
      <c r="N294" s="22" t="n">
        <v>1.54454378017176E-005</v>
      </c>
      <c r="O294" s="22" t="n">
        <v>0.000661033436551715</v>
      </c>
      <c r="P294" s="22" t="n">
        <v>0.0182562980712906</v>
      </c>
      <c r="Q294" s="22" t="n">
        <v>0.00190745921607233</v>
      </c>
      <c r="R294" s="22" t="n">
        <v>0.00861559265971567</v>
      </c>
      <c r="S294" s="23" t="n">
        <f aca="false">IF(A294="","",SUM(H294:R294))</f>
        <v>0.0658675471336971</v>
      </c>
      <c r="T294" s="17" t="str">
        <f aca="false">IF(A294="","",IF(AND(MIN(H294:R294)&gt;=0,MAX(H294:R294)&lt;=1,S294&lt;=1),"OK","CHECK"))</f>
        <v>OK</v>
      </c>
      <c r="U294" s="17" t="str">
        <f aca="false">IF(A294="","", "LOSS-"&amp;A294&amp;"-L"&amp;TEXT(B294,"00")&amp;"-"&amp;TEXT(C294,"yyyymmdd")&amp;"-"&amp;D294&amp;"-"&amp;E294)</f>
        <v>LOSS-KG01-L22-20251101-PM-ORD-2025-00201</v>
      </c>
      <c r="V294" s="17" t="str">
        <f aca="false">IF(U294="","",IF(COUNTIF($U$5:$U$935,U294)=1,"OK","CHECK"))</f>
        <v>OK</v>
      </c>
      <c r="W294" s="17" t="str">
        <f aca="false">IF(A294="","",IF(AND(T294="OK",V294="OK",G294&gt;=0),"OK","CHECK"))</f>
        <v>OK</v>
      </c>
    </row>
    <row r="295" customFormat="false" ht="18" hidden="false" customHeight="true" outlineLevel="0" collapsed="false">
      <c r="A295" s="18" t="s">
        <v>39</v>
      </c>
      <c r="B295" s="19" t="n">
        <v>22</v>
      </c>
      <c r="C295" s="20" t="n">
        <v>45963</v>
      </c>
      <c r="D295" s="18" t="s">
        <v>40</v>
      </c>
      <c r="E295" s="18" t="s">
        <v>97</v>
      </c>
      <c r="F295" s="18" t="s">
        <v>42</v>
      </c>
      <c r="G295" s="21" t="n">
        <v>4967</v>
      </c>
      <c r="H295" s="22" t="n">
        <v>0.00605708145555035</v>
      </c>
      <c r="I295" s="22" t="n">
        <v>0.000496719754383137</v>
      </c>
      <c r="J295" s="22" t="n">
        <v>0.00285663260070936</v>
      </c>
      <c r="K295" s="22" t="n">
        <v>0.00103674615886974</v>
      </c>
      <c r="L295" s="22" t="n">
        <v>0.000123793886369351</v>
      </c>
      <c r="M295" s="22" t="n">
        <v>0.0042895370724184</v>
      </c>
      <c r="N295" s="22" t="n">
        <v>0.00166979543403581</v>
      </c>
      <c r="O295" s="22" t="n">
        <v>0.000937057446698034</v>
      </c>
      <c r="P295" s="22" t="n">
        <v>0.00184204178020904</v>
      </c>
      <c r="Q295" s="22" t="n">
        <v>0.00791682358868423</v>
      </c>
      <c r="R295" s="22" t="n">
        <v>0.00266376697073422</v>
      </c>
      <c r="S295" s="23" t="n">
        <f aca="false">IF(A295="","",SUM(H295:R295))</f>
        <v>0.0298899961486617</v>
      </c>
      <c r="T295" s="17" t="str">
        <f aca="false">IF(A295="","",IF(AND(MIN(H295:R295)&gt;=0,MAX(H295:R295)&lt;=1,S295&lt;=1),"OK","CHECK"))</f>
        <v>OK</v>
      </c>
      <c r="U295" s="17" t="str">
        <f aca="false">IF(A295="","", "LOSS-"&amp;A295&amp;"-L"&amp;TEXT(B295,"00")&amp;"-"&amp;TEXT(C295,"yyyymmdd")&amp;"-"&amp;D295&amp;"-"&amp;E295)</f>
        <v>LOSS-KG01-L22-20251102-AM-ORD-2025-00201</v>
      </c>
      <c r="V295" s="17" t="str">
        <f aca="false">IF(U295="","",IF(COUNTIF($U$5:$U$935,U295)=1,"OK","CHECK"))</f>
        <v>OK</v>
      </c>
      <c r="W295" s="17" t="str">
        <f aca="false">IF(A295="","",IF(AND(T295="OK",V295="OK",G295&gt;=0),"OK","CHECK"))</f>
        <v>OK</v>
      </c>
    </row>
    <row r="296" customFormat="false" ht="18" hidden="false" customHeight="true" outlineLevel="0" collapsed="false">
      <c r="A296" s="18" t="s">
        <v>39</v>
      </c>
      <c r="B296" s="19" t="n">
        <v>22</v>
      </c>
      <c r="C296" s="20" t="n">
        <v>45963</v>
      </c>
      <c r="D296" s="18" t="s">
        <v>43</v>
      </c>
      <c r="E296" s="18" t="s">
        <v>97</v>
      </c>
      <c r="F296" s="18" t="s">
        <v>42</v>
      </c>
      <c r="G296" s="21" t="n">
        <v>9421</v>
      </c>
      <c r="H296" s="22" t="n">
        <v>0.0177374720049285</v>
      </c>
      <c r="I296" s="22" t="n">
        <v>0.000588414893415355</v>
      </c>
      <c r="J296" s="22" t="n">
        <v>0.00215303568448909</v>
      </c>
      <c r="K296" s="22" t="n">
        <v>0.000386777378510638</v>
      </c>
      <c r="L296" s="22" t="n">
        <v>0.00406481610771662</v>
      </c>
      <c r="M296" s="22" t="n">
        <v>0.00903326710040677</v>
      </c>
      <c r="N296" s="22" t="n">
        <v>3.11367222328376E-005</v>
      </c>
      <c r="O296" s="22" t="n">
        <v>0.01133898856472</v>
      </c>
      <c r="P296" s="22" t="n">
        <v>0.0115762324617176</v>
      </c>
      <c r="Q296" s="22" t="n">
        <v>0.00529525257948895</v>
      </c>
      <c r="R296" s="22" t="n">
        <v>0.0221033837074138</v>
      </c>
      <c r="S296" s="23" t="n">
        <f aca="false">IF(A296="","",SUM(H296:R296))</f>
        <v>0.0843087772050402</v>
      </c>
      <c r="T296" s="17" t="str">
        <f aca="false">IF(A296="","",IF(AND(MIN(H296:R296)&gt;=0,MAX(H296:R296)&lt;=1,S296&lt;=1),"OK","CHECK"))</f>
        <v>OK</v>
      </c>
      <c r="U296" s="17" t="str">
        <f aca="false">IF(A296="","", "LOSS-"&amp;A296&amp;"-L"&amp;TEXT(B296,"00")&amp;"-"&amp;TEXT(C296,"yyyymmdd")&amp;"-"&amp;D296&amp;"-"&amp;E296)</f>
        <v>LOSS-KG01-L22-20251102-PM-ORD-2025-00201</v>
      </c>
      <c r="V296" s="17" t="str">
        <f aca="false">IF(U296="","",IF(COUNTIF($U$5:$U$935,U296)=1,"OK","CHECK"))</f>
        <v>OK</v>
      </c>
      <c r="W296" s="17" t="str">
        <f aca="false">IF(A296="","",IF(AND(T296="OK",V296="OK",G296&gt;=0),"OK","CHECK"))</f>
        <v>OK</v>
      </c>
    </row>
    <row r="297" customFormat="false" ht="18" hidden="false" customHeight="true" outlineLevel="0" collapsed="false">
      <c r="A297" s="18" t="s">
        <v>39</v>
      </c>
      <c r="B297" s="19" t="n">
        <v>22</v>
      </c>
      <c r="C297" s="20" t="n">
        <v>45964</v>
      </c>
      <c r="D297" s="18" t="s">
        <v>40</v>
      </c>
      <c r="E297" s="18" t="s">
        <v>98</v>
      </c>
      <c r="F297" s="18" t="s">
        <v>45</v>
      </c>
      <c r="G297" s="21" t="n">
        <v>2287</v>
      </c>
      <c r="H297" s="22" t="n">
        <v>0.00217834591616472</v>
      </c>
      <c r="I297" s="22" t="n">
        <v>0.00033594089083254</v>
      </c>
      <c r="J297" s="22" t="n">
        <v>0.0134801111499722</v>
      </c>
      <c r="K297" s="22" t="n">
        <v>0.00363691767006566</v>
      </c>
      <c r="L297" s="22" t="n">
        <v>1.43990630246148E-006</v>
      </c>
      <c r="M297" s="22" t="n">
        <v>0.00043389056821595</v>
      </c>
      <c r="N297" s="22" t="n">
        <v>0.00433897297220728</v>
      </c>
      <c r="O297" s="22" t="n">
        <v>0.0128341563536472</v>
      </c>
      <c r="P297" s="22" t="n">
        <v>0.000769126964437132</v>
      </c>
      <c r="Q297" s="22" t="n">
        <v>0.0141020324540836</v>
      </c>
      <c r="R297" s="22" t="n">
        <v>0.00477253735902095</v>
      </c>
      <c r="S297" s="23" t="n">
        <f aca="false">IF(A297="","",SUM(H297:R297))</f>
        <v>0.0568834722049497</v>
      </c>
      <c r="T297" s="17" t="str">
        <f aca="false">IF(A297="","",IF(AND(MIN(H297:R297)&gt;=0,MAX(H297:R297)&lt;=1,S297&lt;=1),"OK","CHECK"))</f>
        <v>OK</v>
      </c>
      <c r="U297" s="17" t="str">
        <f aca="false">IF(A297="","", "LOSS-"&amp;A297&amp;"-L"&amp;TEXT(B297,"00")&amp;"-"&amp;TEXT(C297,"yyyymmdd")&amp;"-"&amp;D297&amp;"-"&amp;E297)</f>
        <v>LOSS-KG01-L22-20251103-AM-ORD-2025-00202</v>
      </c>
      <c r="V297" s="17" t="str">
        <f aca="false">IF(U297="","",IF(COUNTIF($U$5:$U$935,U297)=1,"OK","CHECK"))</f>
        <v>OK</v>
      </c>
      <c r="W297" s="17" t="str">
        <f aca="false">IF(A297="","",IF(AND(T297="OK",V297="OK",G297&gt;=0),"OK","CHECK"))</f>
        <v>OK</v>
      </c>
    </row>
    <row r="298" customFormat="false" ht="18" hidden="false" customHeight="true" outlineLevel="0" collapsed="false">
      <c r="A298" s="18" t="s">
        <v>39</v>
      </c>
      <c r="B298" s="19" t="n">
        <v>22</v>
      </c>
      <c r="C298" s="20" t="n">
        <v>45964</v>
      </c>
      <c r="D298" s="18" t="s">
        <v>43</v>
      </c>
      <c r="E298" s="18" t="s">
        <v>98</v>
      </c>
      <c r="F298" s="18" t="s">
        <v>42</v>
      </c>
      <c r="G298" s="21" t="n">
        <v>11349</v>
      </c>
      <c r="H298" s="22" t="n">
        <v>0.00202939234376076</v>
      </c>
      <c r="I298" s="22" t="n">
        <v>0.00023476327760737</v>
      </c>
      <c r="J298" s="22" t="n">
        <v>0.000176734835359975</v>
      </c>
      <c r="K298" s="22" t="n">
        <v>0.00331722025403404</v>
      </c>
      <c r="L298" s="22" t="n">
        <v>0.00244511654091538</v>
      </c>
      <c r="M298" s="22" t="n">
        <v>0.00162776369379292</v>
      </c>
      <c r="N298" s="22" t="n">
        <v>0.00568461747389099</v>
      </c>
      <c r="O298" s="22" t="n">
        <v>0.00015120100588346</v>
      </c>
      <c r="P298" s="22" t="n">
        <v>0.00475062694936662</v>
      </c>
      <c r="Q298" s="22" t="n">
        <v>0.00334266191167151</v>
      </c>
      <c r="R298" s="22" t="n">
        <v>0.00657516936919559</v>
      </c>
      <c r="S298" s="23" t="n">
        <f aca="false">IF(A298="","",SUM(H298:R298))</f>
        <v>0.0303352676554786</v>
      </c>
      <c r="T298" s="17" t="str">
        <f aca="false">IF(A298="","",IF(AND(MIN(H298:R298)&gt;=0,MAX(H298:R298)&lt;=1,S298&lt;=1),"OK","CHECK"))</f>
        <v>OK</v>
      </c>
      <c r="U298" s="17" t="str">
        <f aca="false">IF(A298="","", "LOSS-"&amp;A298&amp;"-L"&amp;TEXT(B298,"00")&amp;"-"&amp;TEXT(C298,"yyyymmdd")&amp;"-"&amp;D298&amp;"-"&amp;E298)</f>
        <v>LOSS-KG01-L22-20251103-PM-ORD-2025-00202</v>
      </c>
      <c r="V298" s="17" t="str">
        <f aca="false">IF(U298="","",IF(COUNTIF($U$5:$U$935,U298)=1,"OK","CHECK"))</f>
        <v>OK</v>
      </c>
      <c r="W298" s="17" t="str">
        <f aca="false">IF(A298="","",IF(AND(T298="OK",V298="OK",G298&gt;=0),"OK","CHECK"))</f>
        <v>OK</v>
      </c>
    </row>
    <row r="299" customFormat="false" ht="18" hidden="false" customHeight="true" outlineLevel="0" collapsed="false">
      <c r="A299" s="18" t="s">
        <v>39</v>
      </c>
      <c r="B299" s="19" t="n">
        <v>22</v>
      </c>
      <c r="C299" s="20" t="n">
        <v>45965</v>
      </c>
      <c r="D299" s="18" t="s">
        <v>40</v>
      </c>
      <c r="E299" s="18" t="s">
        <v>98</v>
      </c>
      <c r="F299" s="18" t="s">
        <v>42</v>
      </c>
      <c r="G299" s="21" t="n">
        <v>6886</v>
      </c>
      <c r="H299" s="22" t="n">
        <v>5.80826595910364E-005</v>
      </c>
      <c r="I299" s="22" t="n">
        <v>0.00879447319455333</v>
      </c>
      <c r="J299" s="22" t="n">
        <v>0.00292133506712259</v>
      </c>
      <c r="K299" s="22" t="n">
        <v>0.0115664509104796</v>
      </c>
      <c r="L299" s="22" t="n">
        <v>0.00458213064027364</v>
      </c>
      <c r="M299" s="22" t="n">
        <v>0.000406162161310881</v>
      </c>
      <c r="N299" s="22" t="n">
        <v>0.00626655615685593</v>
      </c>
      <c r="O299" s="22" t="n">
        <v>0.00320871422170183</v>
      </c>
      <c r="P299" s="22" t="n">
        <v>0.00541994326089204</v>
      </c>
      <c r="Q299" s="22" t="n">
        <v>0.000838892241541859</v>
      </c>
      <c r="R299" s="22" t="n">
        <v>0.00607815788591611</v>
      </c>
      <c r="S299" s="23" t="n">
        <f aca="false">IF(A299="","",SUM(H299:R299))</f>
        <v>0.0501408984002389</v>
      </c>
      <c r="T299" s="17" t="str">
        <f aca="false">IF(A299="","",IF(AND(MIN(H299:R299)&gt;=0,MAX(H299:R299)&lt;=1,S299&lt;=1),"OK","CHECK"))</f>
        <v>OK</v>
      </c>
      <c r="U299" s="17" t="str">
        <f aca="false">IF(A299="","", "LOSS-"&amp;A299&amp;"-L"&amp;TEXT(B299,"00")&amp;"-"&amp;TEXT(C299,"yyyymmdd")&amp;"-"&amp;D299&amp;"-"&amp;E299)</f>
        <v>LOSS-KG01-L22-20251104-AM-ORD-2025-00202</v>
      </c>
      <c r="V299" s="17" t="str">
        <f aca="false">IF(U299="","",IF(COUNTIF($U$5:$U$935,U299)=1,"OK","CHECK"))</f>
        <v>OK</v>
      </c>
      <c r="W299" s="17" t="str">
        <f aca="false">IF(A299="","",IF(AND(T299="OK",V299="OK",G299&gt;=0),"OK","CHECK"))</f>
        <v>OK</v>
      </c>
    </row>
    <row r="300" customFormat="false" ht="18" hidden="false" customHeight="true" outlineLevel="0" collapsed="false">
      <c r="A300" s="18" t="s">
        <v>39</v>
      </c>
      <c r="B300" s="19" t="n">
        <v>22</v>
      </c>
      <c r="C300" s="20" t="n">
        <v>45965</v>
      </c>
      <c r="D300" s="18" t="s">
        <v>43</v>
      </c>
      <c r="E300" s="18" t="s">
        <v>98</v>
      </c>
      <c r="F300" s="18" t="s">
        <v>42</v>
      </c>
      <c r="G300" s="21" t="n">
        <v>9856</v>
      </c>
      <c r="H300" s="22" t="n">
        <v>0.00721178666510532</v>
      </c>
      <c r="I300" s="22" t="n">
        <v>0.0070140852471365</v>
      </c>
      <c r="J300" s="22" t="n">
        <v>0.00710541383704069</v>
      </c>
      <c r="K300" s="22" t="n">
        <v>0.0143241075169848</v>
      </c>
      <c r="L300" s="22" t="n">
        <v>9.49593833300823E-005</v>
      </c>
      <c r="M300" s="22" t="n">
        <v>1.81266430384418E-005</v>
      </c>
      <c r="N300" s="22" t="n">
        <v>0.0111710293881559</v>
      </c>
      <c r="O300" s="22" t="n">
        <v>0.00111660261581044</v>
      </c>
      <c r="P300" s="22" t="n">
        <v>0.00920480317280799</v>
      </c>
      <c r="Q300" s="22" t="n">
        <v>0.00518783862084918</v>
      </c>
      <c r="R300" s="22" t="n">
        <v>0.00959803053547165</v>
      </c>
      <c r="S300" s="23" t="n">
        <f aca="false">IF(A300="","",SUM(H300:R300))</f>
        <v>0.072046783625731</v>
      </c>
      <c r="T300" s="17" t="str">
        <f aca="false">IF(A300="","",IF(AND(MIN(H300:R300)&gt;=0,MAX(H300:R300)&lt;=1,S300&lt;=1),"OK","CHECK"))</f>
        <v>OK</v>
      </c>
      <c r="U300" s="17" t="str">
        <f aca="false">IF(A300="","", "LOSS-"&amp;A300&amp;"-L"&amp;TEXT(B300,"00")&amp;"-"&amp;TEXT(C300,"yyyymmdd")&amp;"-"&amp;D300&amp;"-"&amp;E300)</f>
        <v>LOSS-KG01-L22-20251104-PM-ORD-2025-00202</v>
      </c>
      <c r="V300" s="17" t="str">
        <f aca="false">IF(U300="","",IF(COUNTIF($U$5:$U$935,U300)=1,"OK","CHECK"))</f>
        <v>OK</v>
      </c>
      <c r="W300" s="17" t="str">
        <f aca="false">IF(A300="","",IF(AND(T300="OK",V300="OK",G300&gt;=0),"OK","CHECK"))</f>
        <v>OK</v>
      </c>
    </row>
    <row r="301" customFormat="false" ht="18" hidden="false" customHeight="true" outlineLevel="0" collapsed="false">
      <c r="A301" s="18" t="s">
        <v>39</v>
      </c>
      <c r="B301" s="19" t="n">
        <v>22</v>
      </c>
      <c r="C301" s="20" t="n">
        <v>45966</v>
      </c>
      <c r="D301" s="18" t="s">
        <v>40</v>
      </c>
      <c r="E301" s="18" t="s">
        <v>98</v>
      </c>
      <c r="F301" s="18" t="s">
        <v>42</v>
      </c>
      <c r="G301" s="21" t="n">
        <v>7609</v>
      </c>
      <c r="H301" s="22" t="n">
        <v>0.00117791958430735</v>
      </c>
      <c r="I301" s="22" t="n">
        <v>0.000602796793071867</v>
      </c>
      <c r="J301" s="22" t="n">
        <v>0.0066970725013231</v>
      </c>
      <c r="K301" s="22" t="n">
        <v>0.0094608897713671</v>
      </c>
      <c r="L301" s="22" t="n">
        <v>0.00711760981649068</v>
      </c>
      <c r="M301" s="22" t="n">
        <v>0.000124992099461107</v>
      </c>
      <c r="N301" s="22" t="n">
        <v>0.00872267887108276</v>
      </c>
      <c r="O301" s="22" t="n">
        <v>0.00596206421605537</v>
      </c>
      <c r="P301" s="22" t="n">
        <v>0.00165878638226724</v>
      </c>
      <c r="Q301" s="22" t="n">
        <v>0.0106524694100134</v>
      </c>
      <c r="R301" s="22" t="n">
        <v>0.00956654333218003</v>
      </c>
      <c r="S301" s="23" t="n">
        <f aca="false">IF(A301="","",SUM(H301:R301))</f>
        <v>0.06174382277762</v>
      </c>
      <c r="T301" s="17" t="str">
        <f aca="false">IF(A301="","",IF(AND(MIN(H301:R301)&gt;=0,MAX(H301:R301)&lt;=1,S301&lt;=1),"OK","CHECK"))</f>
        <v>OK</v>
      </c>
      <c r="U301" s="17" t="str">
        <f aca="false">IF(A301="","", "LOSS-"&amp;A301&amp;"-L"&amp;TEXT(B301,"00")&amp;"-"&amp;TEXT(C301,"yyyymmdd")&amp;"-"&amp;D301&amp;"-"&amp;E301)</f>
        <v>LOSS-KG01-L22-20251105-AM-ORD-2025-00202</v>
      </c>
      <c r="V301" s="17" t="str">
        <f aca="false">IF(U301="","",IF(COUNTIF($U$5:$U$935,U301)=1,"OK","CHECK"))</f>
        <v>OK</v>
      </c>
      <c r="W301" s="17" t="str">
        <f aca="false">IF(A301="","",IF(AND(T301="OK",V301="OK",G301&gt;=0),"OK","CHECK"))</f>
        <v>OK</v>
      </c>
    </row>
    <row r="302" customFormat="false" ht="18" hidden="false" customHeight="true" outlineLevel="0" collapsed="false">
      <c r="A302" s="18" t="s">
        <v>39</v>
      </c>
      <c r="B302" s="19" t="n">
        <v>22</v>
      </c>
      <c r="C302" s="20" t="n">
        <v>45966</v>
      </c>
      <c r="D302" s="18" t="s">
        <v>43</v>
      </c>
      <c r="E302" s="18" t="s">
        <v>98</v>
      </c>
      <c r="F302" s="18" t="s">
        <v>42</v>
      </c>
      <c r="G302" s="21" t="n">
        <v>3526</v>
      </c>
      <c r="H302" s="22" t="n">
        <v>5.52883443629546E-005</v>
      </c>
      <c r="I302" s="22" t="n">
        <v>0.000904561159214288</v>
      </c>
      <c r="J302" s="22" t="n">
        <v>2.01858017063509E-005</v>
      </c>
      <c r="K302" s="22" t="n">
        <v>0.00810822250648581</v>
      </c>
      <c r="L302" s="22" t="n">
        <v>0.00281057947267843</v>
      </c>
      <c r="M302" s="22" t="n">
        <v>0.00202008408861384</v>
      </c>
      <c r="N302" s="22" t="n">
        <v>0.00574568588120899</v>
      </c>
      <c r="O302" s="22" t="n">
        <v>1.25120321863216E-005</v>
      </c>
      <c r="P302" s="22" t="n">
        <v>0.000436830104265965</v>
      </c>
      <c r="Q302" s="22" t="n">
        <v>0.000167107272734741</v>
      </c>
      <c r="R302" s="22" t="n">
        <v>0.00291310730073146</v>
      </c>
      <c r="S302" s="23" t="n">
        <f aca="false">IF(A302="","",SUM(H302:R302))</f>
        <v>0.0231941639641892</v>
      </c>
      <c r="T302" s="17" t="str">
        <f aca="false">IF(A302="","",IF(AND(MIN(H302:R302)&gt;=0,MAX(H302:R302)&lt;=1,S302&lt;=1),"OK","CHECK"))</f>
        <v>OK</v>
      </c>
      <c r="U302" s="17" t="str">
        <f aca="false">IF(A302="","", "LOSS-"&amp;A302&amp;"-L"&amp;TEXT(B302,"00")&amp;"-"&amp;TEXT(C302,"yyyymmdd")&amp;"-"&amp;D302&amp;"-"&amp;E302)</f>
        <v>LOSS-KG01-L22-20251105-PM-ORD-2025-00202</v>
      </c>
      <c r="V302" s="17" t="str">
        <f aca="false">IF(U302="","",IF(COUNTIF($U$5:$U$935,U302)=1,"OK","CHECK"))</f>
        <v>OK</v>
      </c>
      <c r="W302" s="17" t="str">
        <f aca="false">IF(A302="","",IF(AND(T302="OK",V302="OK",G302&gt;=0),"OK","CHECK"))</f>
        <v>OK</v>
      </c>
    </row>
    <row r="303" customFormat="false" ht="18" hidden="false" customHeight="true" outlineLevel="0" collapsed="false">
      <c r="A303" s="18" t="s">
        <v>39</v>
      </c>
      <c r="B303" s="19" t="n">
        <v>22</v>
      </c>
      <c r="C303" s="20" t="n">
        <v>45967</v>
      </c>
      <c r="D303" s="18" t="s">
        <v>40</v>
      </c>
      <c r="E303" s="18" t="s">
        <v>98</v>
      </c>
      <c r="F303" s="18" t="s">
        <v>42</v>
      </c>
      <c r="G303" s="21" t="n">
        <v>5864</v>
      </c>
      <c r="H303" s="22" t="n">
        <v>0.000209112059026572</v>
      </c>
      <c r="I303" s="22" t="n">
        <v>0.00478718790416612</v>
      </c>
      <c r="J303" s="22" t="n">
        <v>0.00364873942352586</v>
      </c>
      <c r="K303" s="22" t="n">
        <v>0.000451360366233287</v>
      </c>
      <c r="L303" s="22" t="n">
        <v>0.00284189039081534</v>
      </c>
      <c r="M303" s="22" t="n">
        <v>0.00543010850642864</v>
      </c>
      <c r="N303" s="22" t="n">
        <v>0.000599158712035348</v>
      </c>
      <c r="O303" s="22" t="n">
        <v>0.00649008031442327</v>
      </c>
      <c r="P303" s="22" t="n">
        <v>0.00222007511082961</v>
      </c>
      <c r="Q303" s="22" t="n">
        <v>0.00329155030376826</v>
      </c>
      <c r="R303" s="22" t="n">
        <v>0.00735395444505891</v>
      </c>
      <c r="S303" s="23" t="n">
        <f aca="false">IF(A303="","",SUM(H303:R303))</f>
        <v>0.0373232175363112</v>
      </c>
      <c r="T303" s="17" t="str">
        <f aca="false">IF(A303="","",IF(AND(MIN(H303:R303)&gt;=0,MAX(H303:R303)&lt;=1,S303&lt;=1),"OK","CHECK"))</f>
        <v>OK</v>
      </c>
      <c r="U303" s="17" t="str">
        <f aca="false">IF(A303="","", "LOSS-"&amp;A303&amp;"-L"&amp;TEXT(B303,"00")&amp;"-"&amp;TEXT(C303,"yyyymmdd")&amp;"-"&amp;D303&amp;"-"&amp;E303)</f>
        <v>LOSS-KG01-L22-20251106-AM-ORD-2025-00202</v>
      </c>
      <c r="V303" s="17" t="str">
        <f aca="false">IF(U303="","",IF(COUNTIF($U$5:$U$935,U303)=1,"OK","CHECK"))</f>
        <v>OK</v>
      </c>
      <c r="W303" s="17" t="str">
        <f aca="false">IF(A303="","",IF(AND(T303="OK",V303="OK",G303&gt;=0),"OK","CHECK"))</f>
        <v>OK</v>
      </c>
    </row>
    <row r="304" customFormat="false" ht="18" hidden="false" customHeight="true" outlineLevel="0" collapsed="false">
      <c r="A304" s="18" t="s">
        <v>39</v>
      </c>
      <c r="B304" s="19" t="n">
        <v>22</v>
      </c>
      <c r="C304" s="20" t="n">
        <v>45967</v>
      </c>
      <c r="D304" s="18" t="s">
        <v>43</v>
      </c>
      <c r="E304" s="18" t="s">
        <v>98</v>
      </c>
      <c r="F304" s="18" t="s">
        <v>42</v>
      </c>
      <c r="G304" s="21" t="n">
        <v>4311</v>
      </c>
      <c r="H304" s="22" t="n">
        <v>0.000103042977699193</v>
      </c>
      <c r="I304" s="22" t="n">
        <v>8.18486204315107E-006</v>
      </c>
      <c r="J304" s="22" t="n">
        <v>0.0128300237768044</v>
      </c>
      <c r="K304" s="22" t="n">
        <v>0.000128896778181591</v>
      </c>
      <c r="L304" s="22" t="n">
        <v>1.53864212301955E-005</v>
      </c>
      <c r="M304" s="22" t="n">
        <v>0.000275154250942787</v>
      </c>
      <c r="N304" s="22" t="n">
        <v>3.81841705895221E-007</v>
      </c>
      <c r="O304" s="22" t="n">
        <v>0.00835124688351061</v>
      </c>
      <c r="P304" s="22" t="n">
        <v>0.0044976371873579</v>
      </c>
      <c r="Q304" s="22" t="n">
        <v>0.0104077731276782</v>
      </c>
      <c r="R304" s="22" t="n">
        <v>0.00161662693754601</v>
      </c>
      <c r="S304" s="23" t="n">
        <f aca="false">IF(A304="","",SUM(H304:R304))</f>
        <v>0.0382343550446999</v>
      </c>
      <c r="T304" s="17" t="str">
        <f aca="false">IF(A304="","",IF(AND(MIN(H304:R304)&gt;=0,MAX(H304:R304)&lt;=1,S304&lt;=1),"OK","CHECK"))</f>
        <v>OK</v>
      </c>
      <c r="U304" s="17" t="str">
        <f aca="false">IF(A304="","", "LOSS-"&amp;A304&amp;"-L"&amp;TEXT(B304,"00")&amp;"-"&amp;TEXT(C304,"yyyymmdd")&amp;"-"&amp;D304&amp;"-"&amp;E304)</f>
        <v>LOSS-KG01-L22-20251106-PM-ORD-2025-00202</v>
      </c>
      <c r="V304" s="17" t="str">
        <f aca="false">IF(U304="","",IF(COUNTIF($U$5:$U$935,U304)=1,"OK","CHECK"))</f>
        <v>OK</v>
      </c>
      <c r="W304" s="17" t="str">
        <f aca="false">IF(A304="","",IF(AND(T304="OK",V304="OK",G304&gt;=0),"OK","CHECK"))</f>
        <v>OK</v>
      </c>
    </row>
    <row r="305" customFormat="false" ht="18" hidden="false" customHeight="true" outlineLevel="0" collapsed="false">
      <c r="A305" s="18" t="s">
        <v>39</v>
      </c>
      <c r="B305" s="19" t="n">
        <v>22</v>
      </c>
      <c r="C305" s="20" t="n">
        <v>45968</v>
      </c>
      <c r="D305" s="18" t="s">
        <v>40</v>
      </c>
      <c r="E305" s="18" t="s">
        <v>98</v>
      </c>
      <c r="F305" s="18" t="s">
        <v>42</v>
      </c>
      <c r="G305" s="21" t="n">
        <v>11586</v>
      </c>
      <c r="H305" s="22" t="n">
        <v>0.00649081914166449</v>
      </c>
      <c r="I305" s="22" t="n">
        <v>0.0127870211115924</v>
      </c>
      <c r="J305" s="22" t="n">
        <v>0.0073938701554906</v>
      </c>
      <c r="K305" s="22" t="n">
        <v>0.00388859601567559</v>
      </c>
      <c r="L305" s="22" t="n">
        <v>0.000503968826472652</v>
      </c>
      <c r="M305" s="22" t="n">
        <v>0.000600069394791588</v>
      </c>
      <c r="N305" s="22" t="n">
        <v>0.0095474271556781</v>
      </c>
      <c r="O305" s="22" t="n">
        <v>0.00349692810123581</v>
      </c>
      <c r="P305" s="22" t="n">
        <v>0.00177155174699906</v>
      </c>
      <c r="Q305" s="22" t="n">
        <v>0.0112854822270634</v>
      </c>
      <c r="R305" s="22" t="n">
        <v>0.0101530871285771</v>
      </c>
      <c r="S305" s="23" t="n">
        <f aca="false">IF(A305="","",SUM(H305:R305))</f>
        <v>0.0679188210052408</v>
      </c>
      <c r="T305" s="17" t="str">
        <f aca="false">IF(A305="","",IF(AND(MIN(H305:R305)&gt;=0,MAX(H305:R305)&lt;=1,S305&lt;=1),"OK","CHECK"))</f>
        <v>OK</v>
      </c>
      <c r="U305" s="17" t="str">
        <f aca="false">IF(A305="","", "LOSS-"&amp;A305&amp;"-L"&amp;TEXT(B305,"00")&amp;"-"&amp;TEXT(C305,"yyyymmdd")&amp;"-"&amp;D305&amp;"-"&amp;E305)</f>
        <v>LOSS-KG01-L22-20251107-AM-ORD-2025-00202</v>
      </c>
      <c r="V305" s="17" t="str">
        <f aca="false">IF(U305="","",IF(COUNTIF($U$5:$U$935,U305)=1,"OK","CHECK"))</f>
        <v>OK</v>
      </c>
      <c r="W305" s="17" t="str">
        <f aca="false">IF(A305="","",IF(AND(T305="OK",V305="OK",G305&gt;=0),"OK","CHECK"))</f>
        <v>OK</v>
      </c>
    </row>
    <row r="306" customFormat="false" ht="18" hidden="false" customHeight="true" outlineLevel="0" collapsed="false">
      <c r="A306" s="18" t="s">
        <v>39</v>
      </c>
      <c r="B306" s="19" t="n">
        <v>22</v>
      </c>
      <c r="C306" s="20" t="n">
        <v>45968</v>
      </c>
      <c r="D306" s="18" t="s">
        <v>43</v>
      </c>
      <c r="E306" s="18" t="s">
        <v>98</v>
      </c>
      <c r="F306" s="18" t="s">
        <v>42</v>
      </c>
      <c r="G306" s="21" t="n">
        <v>3812</v>
      </c>
      <c r="H306" s="22" t="n">
        <v>0.00546276714393844</v>
      </c>
      <c r="I306" s="22" t="n">
        <v>0.00163753077904551</v>
      </c>
      <c r="J306" s="22" t="n">
        <v>0.00332594962244375</v>
      </c>
      <c r="K306" s="22" t="n">
        <v>0.00649384076733047</v>
      </c>
      <c r="L306" s="22" t="n">
        <v>0.0027539680879212</v>
      </c>
      <c r="M306" s="22" t="n">
        <v>0.000137538391096267</v>
      </c>
      <c r="N306" s="22" t="n">
        <v>0.00227456034391693</v>
      </c>
      <c r="O306" s="22" t="n">
        <v>8.65756965506463E-005</v>
      </c>
      <c r="P306" s="22" t="n">
        <v>0.00211447125784344</v>
      </c>
      <c r="Q306" s="22" t="n">
        <v>2.25300459831917E-005</v>
      </c>
      <c r="R306" s="22" t="n">
        <v>0.00248401505241419</v>
      </c>
      <c r="S306" s="23" t="n">
        <f aca="false">IF(A306="","",SUM(H306:R306))</f>
        <v>0.026793747188484</v>
      </c>
      <c r="T306" s="17" t="str">
        <f aca="false">IF(A306="","",IF(AND(MIN(H306:R306)&gt;=0,MAX(H306:R306)&lt;=1,S306&lt;=1),"OK","CHECK"))</f>
        <v>OK</v>
      </c>
      <c r="U306" s="17" t="str">
        <f aca="false">IF(A306="","", "LOSS-"&amp;A306&amp;"-L"&amp;TEXT(B306,"00")&amp;"-"&amp;TEXT(C306,"yyyymmdd")&amp;"-"&amp;D306&amp;"-"&amp;E306)</f>
        <v>LOSS-KG01-L22-20251107-PM-ORD-2025-00202</v>
      </c>
      <c r="V306" s="17" t="str">
        <f aca="false">IF(U306="","",IF(COUNTIF($U$5:$U$935,U306)=1,"OK","CHECK"))</f>
        <v>OK</v>
      </c>
      <c r="W306" s="17" t="str">
        <f aca="false">IF(A306="","",IF(AND(T306="OK",V306="OK",G306&gt;=0),"OK","CHECK"))</f>
        <v>OK</v>
      </c>
    </row>
    <row r="307" customFormat="false" ht="18" hidden="false" customHeight="true" outlineLevel="0" collapsed="false">
      <c r="A307" s="18" t="s">
        <v>39</v>
      </c>
      <c r="B307" s="19" t="n">
        <v>22</v>
      </c>
      <c r="C307" s="20" t="n">
        <v>45969</v>
      </c>
      <c r="D307" s="18" t="s">
        <v>40</v>
      </c>
      <c r="E307" s="18" t="s">
        <v>99</v>
      </c>
      <c r="F307" s="18" t="s">
        <v>45</v>
      </c>
      <c r="G307" s="21" t="n">
        <v>2033</v>
      </c>
      <c r="H307" s="22" t="n">
        <v>8.33426825369139E-006</v>
      </c>
      <c r="I307" s="22" t="n">
        <v>0.0110636188261334</v>
      </c>
      <c r="J307" s="22" t="n">
        <v>0.00137831993676001</v>
      </c>
      <c r="K307" s="22" t="n">
        <v>0.0112481369047624</v>
      </c>
      <c r="L307" s="22" t="n">
        <v>0.00250001450407886</v>
      </c>
      <c r="M307" s="22" t="n">
        <v>0.00210087472922288</v>
      </c>
      <c r="N307" s="22" t="n">
        <v>0.0124835416769323</v>
      </c>
      <c r="O307" s="22" t="n">
        <v>0.000408719135166889</v>
      </c>
      <c r="P307" s="22" t="n">
        <v>0.00136099706838418</v>
      </c>
      <c r="Q307" s="22" t="n">
        <v>0.00468420346807964</v>
      </c>
      <c r="R307" s="22" t="n">
        <v>0.000955724962846874</v>
      </c>
      <c r="S307" s="23" t="n">
        <f aca="false">IF(A307="","",SUM(H307:R307))</f>
        <v>0.0481924854806211</v>
      </c>
      <c r="T307" s="17" t="str">
        <f aca="false">IF(A307="","",IF(AND(MIN(H307:R307)&gt;=0,MAX(H307:R307)&lt;=1,S307&lt;=1),"OK","CHECK"))</f>
        <v>OK</v>
      </c>
      <c r="U307" s="17" t="str">
        <f aca="false">IF(A307="","", "LOSS-"&amp;A307&amp;"-L"&amp;TEXT(B307,"00")&amp;"-"&amp;TEXT(C307,"yyyymmdd")&amp;"-"&amp;D307&amp;"-"&amp;E307)</f>
        <v>LOSS-KG01-L22-20251108-AM-ORD-2025-00203</v>
      </c>
      <c r="V307" s="17" t="str">
        <f aca="false">IF(U307="","",IF(COUNTIF($U$5:$U$935,U307)=1,"OK","CHECK"))</f>
        <v>OK</v>
      </c>
      <c r="W307" s="17" t="str">
        <f aca="false">IF(A307="","",IF(AND(T307="OK",V307="OK",G307&gt;=0),"OK","CHECK"))</f>
        <v>OK</v>
      </c>
    </row>
    <row r="308" customFormat="false" ht="18" hidden="false" customHeight="true" outlineLevel="0" collapsed="false">
      <c r="A308" s="18" t="s">
        <v>39</v>
      </c>
      <c r="B308" s="19" t="n">
        <v>22</v>
      </c>
      <c r="C308" s="20" t="n">
        <v>45969</v>
      </c>
      <c r="D308" s="18" t="s">
        <v>43</v>
      </c>
      <c r="E308" s="18" t="s">
        <v>99</v>
      </c>
      <c r="F308" s="18" t="s">
        <v>42</v>
      </c>
      <c r="G308" s="21" t="n">
        <v>21235</v>
      </c>
      <c r="H308" s="22" t="n">
        <v>0.00364616043414125</v>
      </c>
      <c r="I308" s="22" t="n">
        <v>0.00508174867755313</v>
      </c>
      <c r="J308" s="22" t="n">
        <v>0.00132603316119124</v>
      </c>
      <c r="K308" s="22" t="n">
        <v>0.00520549568425243</v>
      </c>
      <c r="L308" s="22" t="n">
        <v>0.00405388664402318</v>
      </c>
      <c r="M308" s="22" t="n">
        <v>0.010817385047962</v>
      </c>
      <c r="N308" s="22" t="n">
        <v>0.00461931216233024</v>
      </c>
      <c r="O308" s="22" t="n">
        <v>0.0119396225450593</v>
      </c>
      <c r="P308" s="22" t="n">
        <v>0.0131945137916841</v>
      </c>
      <c r="Q308" s="22" t="n">
        <v>0.00580382218884076</v>
      </c>
      <c r="R308" s="22" t="n">
        <v>1.41678617612196E-005</v>
      </c>
      <c r="S308" s="23" t="n">
        <f aca="false">IF(A308="","",SUM(H308:R308))</f>
        <v>0.0657021481987988</v>
      </c>
      <c r="T308" s="17" t="str">
        <f aca="false">IF(A308="","",IF(AND(MIN(H308:R308)&gt;=0,MAX(H308:R308)&lt;=1,S308&lt;=1),"OK","CHECK"))</f>
        <v>OK</v>
      </c>
      <c r="U308" s="17" t="str">
        <f aca="false">IF(A308="","", "LOSS-"&amp;A308&amp;"-L"&amp;TEXT(B308,"00")&amp;"-"&amp;TEXT(C308,"yyyymmdd")&amp;"-"&amp;D308&amp;"-"&amp;E308)</f>
        <v>LOSS-KG01-L22-20251108-PM-ORD-2025-00203</v>
      </c>
      <c r="V308" s="17" t="str">
        <f aca="false">IF(U308="","",IF(COUNTIF($U$5:$U$935,U308)=1,"OK","CHECK"))</f>
        <v>OK</v>
      </c>
      <c r="W308" s="17" t="str">
        <f aca="false">IF(A308="","",IF(AND(T308="OK",V308="OK",G308&gt;=0),"OK","CHECK"))</f>
        <v>OK</v>
      </c>
    </row>
    <row r="309" customFormat="false" ht="18" hidden="false" customHeight="true" outlineLevel="0" collapsed="false">
      <c r="A309" s="18" t="s">
        <v>39</v>
      </c>
      <c r="B309" s="19" t="n">
        <v>22</v>
      </c>
      <c r="C309" s="20" t="n">
        <v>45970</v>
      </c>
      <c r="D309" s="18" t="s">
        <v>40</v>
      </c>
      <c r="E309" s="18" t="s">
        <v>99</v>
      </c>
      <c r="F309" s="18" t="s">
        <v>42</v>
      </c>
      <c r="G309" s="21" t="n">
        <v>12973</v>
      </c>
      <c r="H309" s="22" t="n">
        <v>0.00330790195331284</v>
      </c>
      <c r="I309" s="22" t="n">
        <v>0.000748909502779018</v>
      </c>
      <c r="J309" s="22" t="n">
        <v>0.0146894377266703</v>
      </c>
      <c r="K309" s="22" t="n">
        <v>6.57063389430897E-005</v>
      </c>
      <c r="L309" s="22" t="n">
        <v>0.000776971278773506</v>
      </c>
      <c r="M309" s="22" t="n">
        <v>0.0124263411626946</v>
      </c>
      <c r="N309" s="22" t="n">
        <v>0.00202371986125087</v>
      </c>
      <c r="O309" s="22" t="n">
        <v>0.0106841278979313</v>
      </c>
      <c r="P309" s="22" t="n">
        <v>0.0155040719846626</v>
      </c>
      <c r="Q309" s="22" t="n">
        <v>7.23644445765004E-005</v>
      </c>
      <c r="R309" s="22" t="n">
        <v>0.00453756788678898</v>
      </c>
      <c r="S309" s="23" t="n">
        <f aca="false">IF(A309="","",SUM(H309:R309))</f>
        <v>0.0648371200383836</v>
      </c>
      <c r="T309" s="17" t="str">
        <f aca="false">IF(A309="","",IF(AND(MIN(H309:R309)&gt;=0,MAX(H309:R309)&lt;=1,S309&lt;=1),"OK","CHECK"))</f>
        <v>OK</v>
      </c>
      <c r="U309" s="17" t="str">
        <f aca="false">IF(A309="","", "LOSS-"&amp;A309&amp;"-L"&amp;TEXT(B309,"00")&amp;"-"&amp;TEXT(C309,"yyyymmdd")&amp;"-"&amp;D309&amp;"-"&amp;E309)</f>
        <v>LOSS-KG01-L22-20251109-AM-ORD-2025-00203</v>
      </c>
      <c r="V309" s="17" t="str">
        <f aca="false">IF(U309="","",IF(COUNTIF($U$5:$U$935,U309)=1,"OK","CHECK"))</f>
        <v>OK</v>
      </c>
      <c r="W309" s="17" t="str">
        <f aca="false">IF(A309="","",IF(AND(T309="OK",V309="OK",G309&gt;=0),"OK","CHECK"))</f>
        <v>OK</v>
      </c>
    </row>
    <row r="310" customFormat="false" ht="18" hidden="false" customHeight="true" outlineLevel="0" collapsed="false">
      <c r="A310" s="18" t="s">
        <v>39</v>
      </c>
      <c r="B310" s="19" t="n">
        <v>22</v>
      </c>
      <c r="C310" s="20" t="n">
        <v>45970</v>
      </c>
      <c r="D310" s="18" t="s">
        <v>43</v>
      </c>
      <c r="E310" s="18" t="s">
        <v>99</v>
      </c>
      <c r="F310" s="18" t="s">
        <v>42</v>
      </c>
      <c r="G310" s="21" t="n">
        <v>10977</v>
      </c>
      <c r="H310" s="22" t="n">
        <v>0.0068513323696381</v>
      </c>
      <c r="I310" s="22" t="n">
        <v>0.00335587608296011</v>
      </c>
      <c r="J310" s="22" t="n">
        <v>0.00392763664855225</v>
      </c>
      <c r="K310" s="22" t="n">
        <v>0.00735945652098768</v>
      </c>
      <c r="L310" s="22" t="n">
        <v>0.00688241424972979</v>
      </c>
      <c r="M310" s="22" t="n">
        <v>0.00126250654474016</v>
      </c>
      <c r="N310" s="22" t="n">
        <v>5.28546069022719E-005</v>
      </c>
      <c r="O310" s="22" t="n">
        <v>0.00182876199927989</v>
      </c>
      <c r="P310" s="22" t="n">
        <v>0.00576896823380876</v>
      </c>
      <c r="Q310" s="22" t="n">
        <v>0.00911675958743279</v>
      </c>
      <c r="R310" s="22" t="n">
        <v>0.00831427064350558</v>
      </c>
      <c r="S310" s="23" t="n">
        <f aca="false">IF(A310="","",SUM(H310:R310))</f>
        <v>0.0547208374875374</v>
      </c>
      <c r="T310" s="17" t="str">
        <f aca="false">IF(A310="","",IF(AND(MIN(H310:R310)&gt;=0,MAX(H310:R310)&lt;=1,S310&lt;=1),"OK","CHECK"))</f>
        <v>OK</v>
      </c>
      <c r="U310" s="17" t="str">
        <f aca="false">IF(A310="","", "LOSS-"&amp;A310&amp;"-L"&amp;TEXT(B310,"00")&amp;"-"&amp;TEXT(C310,"yyyymmdd")&amp;"-"&amp;D310&amp;"-"&amp;E310)</f>
        <v>LOSS-KG01-L22-20251109-PM-ORD-2025-00203</v>
      </c>
      <c r="V310" s="17" t="str">
        <f aca="false">IF(U310="","",IF(COUNTIF($U$5:$U$935,U310)=1,"OK","CHECK"))</f>
        <v>OK</v>
      </c>
      <c r="W310" s="17" t="str">
        <f aca="false">IF(A310="","",IF(AND(T310="OK",V310="OK",G310&gt;=0),"OK","CHECK"))</f>
        <v>OK</v>
      </c>
    </row>
    <row r="311" customFormat="false" ht="18" hidden="false" customHeight="true" outlineLevel="0" collapsed="false">
      <c r="A311" s="18" t="s">
        <v>39</v>
      </c>
      <c r="B311" s="19" t="n">
        <v>22</v>
      </c>
      <c r="C311" s="20" t="n">
        <v>45971</v>
      </c>
      <c r="D311" s="18" t="s">
        <v>40</v>
      </c>
      <c r="E311" s="18" t="s">
        <v>99</v>
      </c>
      <c r="F311" s="18" t="s">
        <v>42</v>
      </c>
      <c r="G311" s="21" t="n">
        <v>5893</v>
      </c>
      <c r="H311" s="22" t="n">
        <v>0.00309100166434042</v>
      </c>
      <c r="I311" s="22" t="n">
        <v>0.000226018815084329</v>
      </c>
      <c r="J311" s="22" t="n">
        <v>0.00705529815584868</v>
      </c>
      <c r="K311" s="22" t="n">
        <v>0.000146022736220298</v>
      </c>
      <c r="L311" s="22" t="n">
        <v>0.00332544967271646</v>
      </c>
      <c r="M311" s="22" t="n">
        <v>0.000684152885020088</v>
      </c>
      <c r="N311" s="22" t="n">
        <v>0.0016543143116347</v>
      </c>
      <c r="O311" s="22" t="n">
        <v>0.00307579824897819</v>
      </c>
      <c r="P311" s="22" t="n">
        <v>0.00823658434117655</v>
      </c>
      <c r="Q311" s="22" t="n">
        <v>0.0103584978267762</v>
      </c>
      <c r="R311" s="22" t="n">
        <v>0.000699486034725164</v>
      </c>
      <c r="S311" s="23" t="n">
        <f aca="false">IF(A311="","",SUM(H311:R311))</f>
        <v>0.0385526246925211</v>
      </c>
      <c r="T311" s="17" t="str">
        <f aca="false">IF(A311="","",IF(AND(MIN(H311:R311)&gt;=0,MAX(H311:R311)&lt;=1,S311&lt;=1),"OK","CHECK"))</f>
        <v>OK</v>
      </c>
      <c r="U311" s="17" t="str">
        <f aca="false">IF(A311="","", "LOSS-"&amp;A311&amp;"-L"&amp;TEXT(B311,"00")&amp;"-"&amp;TEXT(C311,"yyyymmdd")&amp;"-"&amp;D311&amp;"-"&amp;E311)</f>
        <v>LOSS-KG01-L22-20251110-AM-ORD-2025-00203</v>
      </c>
      <c r="V311" s="17" t="str">
        <f aca="false">IF(U311="","",IF(COUNTIF($U$5:$U$935,U311)=1,"OK","CHECK"))</f>
        <v>OK</v>
      </c>
      <c r="W311" s="17" t="str">
        <f aca="false">IF(A311="","",IF(AND(T311="OK",V311="OK",G311&gt;=0),"OK","CHECK"))</f>
        <v>OK</v>
      </c>
    </row>
    <row r="312" customFormat="false" ht="18" hidden="false" customHeight="true" outlineLevel="0" collapsed="false">
      <c r="A312" s="18" t="s">
        <v>39</v>
      </c>
      <c r="B312" s="19" t="n">
        <v>22</v>
      </c>
      <c r="C312" s="20" t="n">
        <v>45971</v>
      </c>
      <c r="D312" s="18" t="s">
        <v>43</v>
      </c>
      <c r="E312" s="18" t="s">
        <v>99</v>
      </c>
      <c r="F312" s="18" t="s">
        <v>42</v>
      </c>
      <c r="G312" s="21" t="n">
        <v>7057</v>
      </c>
      <c r="H312" s="22" t="n">
        <v>0.0122480371305195</v>
      </c>
      <c r="I312" s="22" t="n">
        <v>9.80898992390613E-006</v>
      </c>
      <c r="J312" s="22" t="n">
        <v>0.00863283722725819</v>
      </c>
      <c r="K312" s="22" t="n">
        <v>0.000543527224806034</v>
      </c>
      <c r="L312" s="22" t="n">
        <v>0.00522327290243939</v>
      </c>
      <c r="M312" s="22" t="n">
        <v>0.00203284950024658</v>
      </c>
      <c r="N312" s="22" t="n">
        <v>0.00659986413265167</v>
      </c>
      <c r="O312" s="22" t="n">
        <v>4.62431924281863E-006</v>
      </c>
      <c r="P312" s="22" t="n">
        <v>0.00328354929955279</v>
      </c>
      <c r="Q312" s="22" t="n">
        <v>0.00211660160310137</v>
      </c>
      <c r="R312" s="22" t="n">
        <v>0.0020097616809445</v>
      </c>
      <c r="S312" s="23" t="n">
        <f aca="false">IF(A312="","",SUM(H312:R312))</f>
        <v>0.0427047340106868</v>
      </c>
      <c r="T312" s="17" t="str">
        <f aca="false">IF(A312="","",IF(AND(MIN(H312:R312)&gt;=0,MAX(H312:R312)&lt;=1,S312&lt;=1),"OK","CHECK"))</f>
        <v>OK</v>
      </c>
      <c r="U312" s="17" t="str">
        <f aca="false">IF(A312="","", "LOSS-"&amp;A312&amp;"-L"&amp;TEXT(B312,"00")&amp;"-"&amp;TEXT(C312,"yyyymmdd")&amp;"-"&amp;D312&amp;"-"&amp;E312)</f>
        <v>LOSS-KG01-L22-20251110-PM-ORD-2025-00203</v>
      </c>
      <c r="V312" s="17" t="str">
        <f aca="false">IF(U312="","",IF(COUNTIF($U$5:$U$935,U312)=1,"OK","CHECK"))</f>
        <v>OK</v>
      </c>
      <c r="W312" s="17" t="str">
        <f aca="false">IF(A312="","",IF(AND(T312="OK",V312="OK",G312&gt;=0),"OK","CHECK"))</f>
        <v>OK</v>
      </c>
    </row>
    <row r="313" customFormat="false" ht="18" hidden="false" customHeight="true" outlineLevel="0" collapsed="false">
      <c r="A313" s="18" t="s">
        <v>39</v>
      </c>
      <c r="B313" s="19" t="n">
        <v>22</v>
      </c>
      <c r="C313" s="20" t="n">
        <v>45972</v>
      </c>
      <c r="D313" s="18" t="s">
        <v>40</v>
      </c>
      <c r="E313" s="18" t="s">
        <v>99</v>
      </c>
      <c r="F313" s="18" t="s">
        <v>42</v>
      </c>
      <c r="G313" s="21" t="n">
        <v>17780</v>
      </c>
      <c r="H313" s="22" t="n">
        <v>0.000335182995128807</v>
      </c>
      <c r="I313" s="22" t="n">
        <v>0.0105115900294408</v>
      </c>
      <c r="J313" s="22" t="n">
        <v>0.00645387185032376</v>
      </c>
      <c r="K313" s="22" t="n">
        <v>0.000285498191004089</v>
      </c>
      <c r="L313" s="22" t="n">
        <v>0.000297524792048616</v>
      </c>
      <c r="M313" s="22" t="n">
        <v>0.00810002242057982</v>
      </c>
      <c r="N313" s="22" t="n">
        <v>0.0174469516426438</v>
      </c>
      <c r="O313" s="22" t="n">
        <v>0.00264471381615509</v>
      </c>
      <c r="P313" s="22" t="n">
        <v>0.00251605582383477</v>
      </c>
      <c r="Q313" s="22" t="n">
        <v>0.0180120934948098</v>
      </c>
      <c r="R313" s="22" t="n">
        <v>0.00121224055488729</v>
      </c>
      <c r="S313" s="23" t="n">
        <f aca="false">IF(A313="","",SUM(H313:R313))</f>
        <v>0.0678157456108566</v>
      </c>
      <c r="T313" s="17" t="str">
        <f aca="false">IF(A313="","",IF(AND(MIN(H313:R313)&gt;=0,MAX(H313:R313)&lt;=1,S313&lt;=1),"OK","CHECK"))</f>
        <v>OK</v>
      </c>
      <c r="U313" s="17" t="str">
        <f aca="false">IF(A313="","", "LOSS-"&amp;A313&amp;"-L"&amp;TEXT(B313,"00")&amp;"-"&amp;TEXT(C313,"yyyymmdd")&amp;"-"&amp;D313&amp;"-"&amp;E313)</f>
        <v>LOSS-KG01-L22-20251111-AM-ORD-2025-00203</v>
      </c>
      <c r="V313" s="17" t="str">
        <f aca="false">IF(U313="","",IF(COUNTIF($U$5:$U$935,U313)=1,"OK","CHECK"))</f>
        <v>OK</v>
      </c>
      <c r="W313" s="17" t="str">
        <f aca="false">IF(A313="","",IF(AND(T313="OK",V313="OK",G313&gt;=0),"OK","CHECK"))</f>
        <v>OK</v>
      </c>
    </row>
    <row r="314" customFormat="false" ht="18" hidden="false" customHeight="true" outlineLevel="0" collapsed="false">
      <c r="A314" s="18" t="s">
        <v>39</v>
      </c>
      <c r="B314" s="19" t="n">
        <v>22</v>
      </c>
      <c r="C314" s="20" t="n">
        <v>45972</v>
      </c>
      <c r="D314" s="18" t="s">
        <v>43</v>
      </c>
      <c r="E314" s="18" t="s">
        <v>99</v>
      </c>
      <c r="F314" s="18" t="s">
        <v>42</v>
      </c>
      <c r="G314" s="21" t="n">
        <v>9928</v>
      </c>
      <c r="H314" s="22" t="n">
        <v>0.000193915861158191</v>
      </c>
      <c r="I314" s="22" t="n">
        <v>2.3143356196769E-006</v>
      </c>
      <c r="J314" s="22" t="n">
        <v>0.00390986943441394</v>
      </c>
      <c r="K314" s="22" t="n">
        <v>0.0129782807658656</v>
      </c>
      <c r="L314" s="22" t="n">
        <v>0.0149507259141914</v>
      </c>
      <c r="M314" s="22" t="n">
        <v>0.00658880311031459</v>
      </c>
      <c r="N314" s="22" t="n">
        <v>4.80253683025743E-005</v>
      </c>
      <c r="O314" s="22" t="n">
        <v>0.0147306157301783</v>
      </c>
      <c r="P314" s="22" t="n">
        <v>0.0174746066769569</v>
      </c>
      <c r="Q314" s="22" t="n">
        <v>0.00143131364152423</v>
      </c>
      <c r="R314" s="22" t="n">
        <v>7.41480007864206E-005</v>
      </c>
      <c r="S314" s="23" t="n">
        <f aca="false">IF(A314="","",SUM(H314:R314))</f>
        <v>0.0723826188393118</v>
      </c>
      <c r="T314" s="17" t="str">
        <f aca="false">IF(A314="","",IF(AND(MIN(H314:R314)&gt;=0,MAX(H314:R314)&lt;=1,S314&lt;=1),"OK","CHECK"))</f>
        <v>OK</v>
      </c>
      <c r="U314" s="17" t="str">
        <f aca="false">IF(A314="","", "LOSS-"&amp;A314&amp;"-L"&amp;TEXT(B314,"00")&amp;"-"&amp;TEXT(C314,"yyyymmdd")&amp;"-"&amp;D314&amp;"-"&amp;E314)</f>
        <v>LOSS-KG01-L22-20251111-PM-ORD-2025-00203</v>
      </c>
      <c r="V314" s="17" t="str">
        <f aca="false">IF(U314="","",IF(COUNTIF($U$5:$U$935,U314)=1,"OK","CHECK"))</f>
        <v>OK</v>
      </c>
      <c r="W314" s="17" t="str">
        <f aca="false">IF(A314="","",IF(AND(T314="OK",V314="OK",G314&gt;=0),"OK","CHECK"))</f>
        <v>OK</v>
      </c>
    </row>
    <row r="315" customFormat="false" ht="18" hidden="false" customHeight="true" outlineLevel="0" collapsed="false">
      <c r="A315" s="18" t="s">
        <v>39</v>
      </c>
      <c r="B315" s="19" t="n">
        <v>22</v>
      </c>
      <c r="C315" s="20" t="n">
        <v>45973</v>
      </c>
      <c r="D315" s="18" t="s">
        <v>40</v>
      </c>
      <c r="E315" s="18" t="s">
        <v>99</v>
      </c>
      <c r="F315" s="18" t="s">
        <v>42</v>
      </c>
      <c r="G315" s="21" t="n">
        <v>5839</v>
      </c>
      <c r="H315" s="22" t="n">
        <v>2.45264175746505E-005</v>
      </c>
      <c r="I315" s="22" t="n">
        <v>0.00146964967716145</v>
      </c>
      <c r="J315" s="22" t="n">
        <v>0.000610233286177559</v>
      </c>
      <c r="K315" s="22" t="n">
        <v>0.000754000071480139</v>
      </c>
      <c r="L315" s="22" t="n">
        <v>0.00277304525697786</v>
      </c>
      <c r="M315" s="22" t="n">
        <v>0.00605840551788973</v>
      </c>
      <c r="N315" s="22" t="n">
        <v>0.00761206194786986</v>
      </c>
      <c r="O315" s="22" t="n">
        <v>0.000128573857590982</v>
      </c>
      <c r="P315" s="22" t="n">
        <v>0.00120930047146751</v>
      </c>
      <c r="Q315" s="22" t="n">
        <v>0.00330418883068722</v>
      </c>
      <c r="R315" s="22" t="n">
        <v>0.00329422186022678</v>
      </c>
      <c r="S315" s="23" t="n">
        <f aca="false">IF(A315="","",SUM(H315:R315))</f>
        <v>0.0272382071951037</v>
      </c>
      <c r="T315" s="17" t="str">
        <f aca="false">IF(A315="","",IF(AND(MIN(H315:R315)&gt;=0,MAX(H315:R315)&lt;=1,S315&lt;=1),"OK","CHECK"))</f>
        <v>OK</v>
      </c>
      <c r="U315" s="17" t="str">
        <f aca="false">IF(A315="","", "LOSS-"&amp;A315&amp;"-L"&amp;TEXT(B315,"00")&amp;"-"&amp;TEXT(C315,"yyyymmdd")&amp;"-"&amp;D315&amp;"-"&amp;E315)</f>
        <v>LOSS-KG01-L22-20251112-AM-ORD-2025-00203</v>
      </c>
      <c r="V315" s="17" t="str">
        <f aca="false">IF(U315="","",IF(COUNTIF($U$5:$U$935,U315)=1,"OK","CHECK"))</f>
        <v>OK</v>
      </c>
      <c r="W315" s="17" t="str">
        <f aca="false">IF(A315="","",IF(AND(T315="OK",V315="OK",G315&gt;=0),"OK","CHECK"))</f>
        <v>OK</v>
      </c>
    </row>
    <row r="316" customFormat="false" ht="18" hidden="false" customHeight="true" outlineLevel="0" collapsed="false">
      <c r="A316" s="18" t="s">
        <v>39</v>
      </c>
      <c r="B316" s="19" t="n">
        <v>22</v>
      </c>
      <c r="C316" s="20" t="n">
        <v>45973</v>
      </c>
      <c r="D316" s="18" t="s">
        <v>43</v>
      </c>
      <c r="E316" s="18" t="s">
        <v>99</v>
      </c>
      <c r="F316" s="18" t="s">
        <v>42</v>
      </c>
      <c r="G316" s="21" t="n">
        <v>11774</v>
      </c>
      <c r="H316" s="22" t="n">
        <v>9.41069678627576E-005</v>
      </c>
      <c r="I316" s="22" t="n">
        <v>0.0142047976238509</v>
      </c>
      <c r="J316" s="22" t="n">
        <v>0.000683651359380193</v>
      </c>
      <c r="K316" s="22" t="n">
        <v>0.00802378468543019</v>
      </c>
      <c r="L316" s="22" t="n">
        <v>0.0106738610723716</v>
      </c>
      <c r="M316" s="22" t="n">
        <v>0.0129984405791656</v>
      </c>
      <c r="N316" s="22" t="n">
        <v>0.0118968082855398</v>
      </c>
      <c r="O316" s="22" t="n">
        <v>0.00317362692537609</v>
      </c>
      <c r="P316" s="22" t="n">
        <v>0.00147831098614531</v>
      </c>
      <c r="Q316" s="22" t="n">
        <v>0.00217200957300337</v>
      </c>
      <c r="R316" s="22" t="n">
        <v>0.00490489161417754</v>
      </c>
      <c r="S316" s="23" t="n">
        <f aca="false">IF(A316="","",SUM(H316:R316))</f>
        <v>0.0703042896723033</v>
      </c>
      <c r="T316" s="17" t="str">
        <f aca="false">IF(A316="","",IF(AND(MIN(H316:R316)&gt;=0,MAX(H316:R316)&lt;=1,S316&lt;=1),"OK","CHECK"))</f>
        <v>OK</v>
      </c>
      <c r="U316" s="17" t="str">
        <f aca="false">IF(A316="","", "LOSS-"&amp;A316&amp;"-L"&amp;TEXT(B316,"00")&amp;"-"&amp;TEXT(C316,"yyyymmdd")&amp;"-"&amp;D316&amp;"-"&amp;E316)</f>
        <v>LOSS-KG01-L22-20251112-PM-ORD-2025-00203</v>
      </c>
      <c r="V316" s="17" t="str">
        <f aca="false">IF(U316="","",IF(COUNTIF($U$5:$U$935,U316)=1,"OK","CHECK"))</f>
        <v>OK</v>
      </c>
      <c r="W316" s="17" t="str">
        <f aca="false">IF(A316="","",IF(AND(T316="OK",V316="OK",G316&gt;=0),"OK","CHECK"))</f>
        <v>OK</v>
      </c>
    </row>
    <row r="317" customFormat="false" ht="18" hidden="false" customHeight="true" outlineLevel="0" collapsed="false">
      <c r="A317" s="18" t="s">
        <v>39</v>
      </c>
      <c r="B317" s="19" t="n">
        <v>22</v>
      </c>
      <c r="C317" s="20" t="n">
        <v>45974</v>
      </c>
      <c r="D317" s="18" t="s">
        <v>40</v>
      </c>
      <c r="E317" s="18" t="s">
        <v>100</v>
      </c>
      <c r="F317" s="18" t="s">
        <v>45</v>
      </c>
      <c r="G317" s="21" t="n">
        <v>1678</v>
      </c>
      <c r="H317" s="22" t="n">
        <v>0.0109959701941696</v>
      </c>
      <c r="I317" s="22" t="n">
        <v>0.00086843029288301</v>
      </c>
      <c r="J317" s="22" t="n">
        <v>0.0116119465285839</v>
      </c>
      <c r="K317" s="22" t="n">
        <v>0.00148054041040033</v>
      </c>
      <c r="L317" s="22" t="n">
        <v>0.00426864766672622</v>
      </c>
      <c r="M317" s="22" t="n">
        <v>0.000158650854479013</v>
      </c>
      <c r="N317" s="22" t="n">
        <v>0.00174972179867316</v>
      </c>
      <c r="O317" s="22" t="n">
        <v>0.00245785068518485</v>
      </c>
      <c r="P317" s="22" t="n">
        <v>0.0131578604055873</v>
      </c>
      <c r="Q317" s="22" t="n">
        <v>0.00344244256002679</v>
      </c>
      <c r="R317" s="22" t="n">
        <v>8.96118623053436E-005</v>
      </c>
      <c r="S317" s="23" t="n">
        <f aca="false">IF(A317="","",SUM(H317:R317))</f>
        <v>0.0502816732590195</v>
      </c>
      <c r="T317" s="17" t="str">
        <f aca="false">IF(A317="","",IF(AND(MIN(H317:R317)&gt;=0,MAX(H317:R317)&lt;=1,S317&lt;=1),"OK","CHECK"))</f>
        <v>OK</v>
      </c>
      <c r="U317" s="17" t="str">
        <f aca="false">IF(A317="","", "LOSS-"&amp;A317&amp;"-L"&amp;TEXT(B317,"00")&amp;"-"&amp;TEXT(C317,"yyyymmdd")&amp;"-"&amp;D317&amp;"-"&amp;E317)</f>
        <v>LOSS-KG01-L22-20251113-AM-ORD-2025-00204</v>
      </c>
      <c r="V317" s="17" t="str">
        <f aca="false">IF(U317="","",IF(COUNTIF($U$5:$U$935,U317)=1,"OK","CHECK"))</f>
        <v>OK</v>
      </c>
      <c r="W317" s="17" t="str">
        <f aca="false">IF(A317="","",IF(AND(T317="OK",V317="OK",G317&gt;=0),"OK","CHECK"))</f>
        <v>OK</v>
      </c>
    </row>
    <row r="318" customFormat="false" ht="18" hidden="false" customHeight="true" outlineLevel="0" collapsed="false">
      <c r="A318" s="18" t="s">
        <v>39</v>
      </c>
      <c r="B318" s="19" t="n">
        <v>22</v>
      </c>
      <c r="C318" s="20" t="n">
        <v>45974</v>
      </c>
      <c r="D318" s="18" t="s">
        <v>43</v>
      </c>
      <c r="E318" s="18" t="s">
        <v>100</v>
      </c>
      <c r="F318" s="18" t="s">
        <v>42</v>
      </c>
      <c r="G318" s="21" t="n">
        <v>11725</v>
      </c>
      <c r="H318" s="22" t="n">
        <v>0.0132765583987977</v>
      </c>
      <c r="I318" s="22" t="n">
        <v>0.0113000444139021</v>
      </c>
      <c r="J318" s="22" t="n">
        <v>0.00433227472368427</v>
      </c>
      <c r="K318" s="22" t="n">
        <v>0.00148414208675296</v>
      </c>
      <c r="L318" s="22" t="n">
        <v>0.00488028625007271</v>
      </c>
      <c r="M318" s="22" t="n">
        <v>0.000240479559087492</v>
      </c>
      <c r="N318" s="22" t="n">
        <v>0.00838722035730984</v>
      </c>
      <c r="O318" s="22" t="n">
        <v>0.00990912536328346</v>
      </c>
      <c r="P318" s="22" t="n">
        <v>2.05331433948786E-005</v>
      </c>
      <c r="Q318" s="22" t="n">
        <v>0.000882213292541005</v>
      </c>
      <c r="R318" s="22" t="n">
        <v>0.00309386792837763</v>
      </c>
      <c r="S318" s="23" t="n">
        <f aca="false">IF(A318="","",SUM(H318:R318))</f>
        <v>0.0578067455172041</v>
      </c>
      <c r="T318" s="17" t="str">
        <f aca="false">IF(A318="","",IF(AND(MIN(H318:R318)&gt;=0,MAX(H318:R318)&lt;=1,S318&lt;=1),"OK","CHECK"))</f>
        <v>OK</v>
      </c>
      <c r="U318" s="17" t="str">
        <f aca="false">IF(A318="","", "LOSS-"&amp;A318&amp;"-L"&amp;TEXT(B318,"00")&amp;"-"&amp;TEXT(C318,"yyyymmdd")&amp;"-"&amp;D318&amp;"-"&amp;E318)</f>
        <v>LOSS-KG01-L22-20251113-PM-ORD-2025-00204</v>
      </c>
      <c r="V318" s="17" t="str">
        <f aca="false">IF(U318="","",IF(COUNTIF($U$5:$U$935,U318)=1,"OK","CHECK"))</f>
        <v>OK</v>
      </c>
      <c r="W318" s="17" t="str">
        <f aca="false">IF(A318="","",IF(AND(T318="OK",V318="OK",G318&gt;=0),"OK","CHECK"))</f>
        <v>OK</v>
      </c>
    </row>
    <row r="319" customFormat="false" ht="18" hidden="false" customHeight="true" outlineLevel="0" collapsed="false">
      <c r="A319" s="18" t="s">
        <v>39</v>
      </c>
      <c r="B319" s="19" t="n">
        <v>22</v>
      </c>
      <c r="C319" s="20" t="n">
        <v>45975</v>
      </c>
      <c r="D319" s="18" t="s">
        <v>40</v>
      </c>
      <c r="E319" s="18" t="s">
        <v>100</v>
      </c>
      <c r="F319" s="18" t="s">
        <v>42</v>
      </c>
      <c r="G319" s="21" t="n">
        <v>12057</v>
      </c>
      <c r="H319" s="22" t="n">
        <v>0.00492293292254852</v>
      </c>
      <c r="I319" s="22" t="n">
        <v>0.00765677261845054</v>
      </c>
      <c r="J319" s="22" t="n">
        <v>3.82081511738228E-006</v>
      </c>
      <c r="K319" s="22" t="n">
        <v>0.00589616106321968</v>
      </c>
      <c r="L319" s="22" t="n">
        <v>0.000615894704622168</v>
      </c>
      <c r="M319" s="22" t="n">
        <v>0.00291694542477487</v>
      </c>
      <c r="N319" s="22" t="n">
        <v>0.000760774538193925</v>
      </c>
      <c r="O319" s="22" t="n">
        <v>0.00785164081844213</v>
      </c>
      <c r="P319" s="22" t="n">
        <v>3.00648586894415E-005</v>
      </c>
      <c r="Q319" s="22" t="n">
        <v>0.00615628275711044</v>
      </c>
      <c r="R319" s="22" t="n">
        <v>0.00124261681376336</v>
      </c>
      <c r="S319" s="23" t="n">
        <f aca="false">IF(A319="","",SUM(H319:R319))</f>
        <v>0.0380539073349325</v>
      </c>
      <c r="T319" s="17" t="str">
        <f aca="false">IF(A319="","",IF(AND(MIN(H319:R319)&gt;=0,MAX(H319:R319)&lt;=1,S319&lt;=1),"OK","CHECK"))</f>
        <v>OK</v>
      </c>
      <c r="U319" s="17" t="str">
        <f aca="false">IF(A319="","", "LOSS-"&amp;A319&amp;"-L"&amp;TEXT(B319,"00")&amp;"-"&amp;TEXT(C319,"yyyymmdd")&amp;"-"&amp;D319&amp;"-"&amp;E319)</f>
        <v>LOSS-KG01-L22-20251114-AM-ORD-2025-00204</v>
      </c>
      <c r="V319" s="17" t="str">
        <f aca="false">IF(U319="","",IF(COUNTIF($U$5:$U$935,U319)=1,"OK","CHECK"))</f>
        <v>OK</v>
      </c>
      <c r="W319" s="17" t="str">
        <f aca="false">IF(A319="","",IF(AND(T319="OK",V319="OK",G319&gt;=0),"OK","CHECK"))</f>
        <v>OK</v>
      </c>
    </row>
    <row r="320" customFormat="false" ht="18" hidden="false" customHeight="true" outlineLevel="0" collapsed="false">
      <c r="A320" s="18" t="s">
        <v>39</v>
      </c>
      <c r="B320" s="19" t="n">
        <v>22</v>
      </c>
      <c r="C320" s="20" t="n">
        <v>45975</v>
      </c>
      <c r="D320" s="18" t="s">
        <v>43</v>
      </c>
      <c r="E320" s="18" t="s">
        <v>100</v>
      </c>
      <c r="F320" s="18" t="s">
        <v>42</v>
      </c>
      <c r="G320" s="21" t="n">
        <v>15567</v>
      </c>
      <c r="H320" s="22" t="n">
        <v>4.59311538237003E-006</v>
      </c>
      <c r="I320" s="22" t="n">
        <v>0.00189242157421874</v>
      </c>
      <c r="J320" s="22" t="n">
        <v>0.00254893839273256</v>
      </c>
      <c r="K320" s="22" t="n">
        <v>0.000651310408456745</v>
      </c>
      <c r="L320" s="22" t="n">
        <v>0.00186029686666159</v>
      </c>
      <c r="M320" s="22" t="n">
        <v>0.00563047285146811</v>
      </c>
      <c r="N320" s="22" t="n">
        <v>0.00366590211996268</v>
      </c>
      <c r="O320" s="22" t="n">
        <v>0.00563861123303171</v>
      </c>
      <c r="P320" s="22" t="n">
        <v>1.26710531633754E-005</v>
      </c>
      <c r="Q320" s="22" t="n">
        <v>0.00752661442267063</v>
      </c>
      <c r="R320" s="22" t="n">
        <v>0.0113564211968566</v>
      </c>
      <c r="S320" s="23" t="n">
        <f aca="false">IF(A320="","",SUM(H320:R320))</f>
        <v>0.0407882532346051</v>
      </c>
      <c r="T320" s="17" t="str">
        <f aca="false">IF(A320="","",IF(AND(MIN(H320:R320)&gt;=0,MAX(H320:R320)&lt;=1,S320&lt;=1),"OK","CHECK"))</f>
        <v>OK</v>
      </c>
      <c r="U320" s="17" t="str">
        <f aca="false">IF(A320="","", "LOSS-"&amp;A320&amp;"-L"&amp;TEXT(B320,"00")&amp;"-"&amp;TEXT(C320,"yyyymmdd")&amp;"-"&amp;D320&amp;"-"&amp;E320)</f>
        <v>LOSS-KG01-L22-20251114-PM-ORD-2025-00204</v>
      </c>
      <c r="V320" s="17" t="str">
        <f aca="false">IF(U320="","",IF(COUNTIF($U$5:$U$935,U320)=1,"OK","CHECK"))</f>
        <v>OK</v>
      </c>
      <c r="W320" s="17" t="str">
        <f aca="false">IF(A320="","",IF(AND(T320="OK",V320="OK",G320&gt;=0),"OK","CHECK"))</f>
        <v>OK</v>
      </c>
    </row>
    <row r="321" customFormat="false" ht="18" hidden="false" customHeight="true" outlineLevel="0" collapsed="false">
      <c r="A321" s="18" t="s">
        <v>39</v>
      </c>
      <c r="B321" s="19" t="n">
        <v>22</v>
      </c>
      <c r="C321" s="20" t="n">
        <v>45976</v>
      </c>
      <c r="D321" s="18" t="s">
        <v>40</v>
      </c>
      <c r="E321" s="18" t="s">
        <v>100</v>
      </c>
      <c r="F321" s="18" t="s">
        <v>42</v>
      </c>
      <c r="G321" s="21" t="n">
        <v>5395</v>
      </c>
      <c r="H321" s="22" t="n">
        <v>0.00296579116025425</v>
      </c>
      <c r="I321" s="22" t="n">
        <v>0.00203844728157608</v>
      </c>
      <c r="J321" s="22" t="n">
        <v>0.000404807850140974</v>
      </c>
      <c r="K321" s="22" t="n">
        <v>0.0024560216204742</v>
      </c>
      <c r="L321" s="22" t="n">
        <v>0.000246815925465121</v>
      </c>
      <c r="M321" s="22" t="n">
        <v>0.00203218550731011</v>
      </c>
      <c r="N321" s="22" t="n">
        <v>0.000167918732447397</v>
      </c>
      <c r="O321" s="22" t="n">
        <v>2.67772817296234E-006</v>
      </c>
      <c r="P321" s="22" t="n">
        <v>0.00188635639708959</v>
      </c>
      <c r="Q321" s="22" t="n">
        <v>0.00138334708203564</v>
      </c>
      <c r="R321" s="22" t="n">
        <v>0.00268400613908192</v>
      </c>
      <c r="S321" s="23" t="n">
        <f aca="false">IF(A321="","",SUM(H321:R321))</f>
        <v>0.0162683754240482</v>
      </c>
      <c r="T321" s="17" t="str">
        <f aca="false">IF(A321="","",IF(AND(MIN(H321:R321)&gt;=0,MAX(H321:R321)&lt;=1,S321&lt;=1),"OK","CHECK"))</f>
        <v>OK</v>
      </c>
      <c r="U321" s="17" t="str">
        <f aca="false">IF(A321="","", "LOSS-"&amp;A321&amp;"-L"&amp;TEXT(B321,"00")&amp;"-"&amp;TEXT(C321,"yyyymmdd")&amp;"-"&amp;D321&amp;"-"&amp;E321)</f>
        <v>LOSS-KG01-L22-20251115-AM-ORD-2025-00204</v>
      </c>
      <c r="V321" s="17" t="str">
        <f aca="false">IF(U321="","",IF(COUNTIF($U$5:$U$935,U321)=1,"OK","CHECK"))</f>
        <v>OK</v>
      </c>
      <c r="W321" s="17" t="str">
        <f aca="false">IF(A321="","",IF(AND(T321="OK",V321="OK",G321&gt;=0),"OK","CHECK"))</f>
        <v>OK</v>
      </c>
    </row>
    <row r="322" customFormat="false" ht="18" hidden="false" customHeight="true" outlineLevel="0" collapsed="false">
      <c r="A322" s="18" t="s">
        <v>39</v>
      </c>
      <c r="B322" s="19" t="n">
        <v>22</v>
      </c>
      <c r="C322" s="20" t="n">
        <v>45976</v>
      </c>
      <c r="D322" s="18" t="s">
        <v>43</v>
      </c>
      <c r="E322" s="18" t="s">
        <v>101</v>
      </c>
      <c r="F322" s="18" t="s">
        <v>45</v>
      </c>
      <c r="G322" s="21" t="n">
        <v>5517</v>
      </c>
      <c r="H322" s="22" t="n">
        <v>0.0038400570341419</v>
      </c>
      <c r="I322" s="22" t="n">
        <v>0.0054059237533214</v>
      </c>
      <c r="J322" s="22" t="n">
        <v>0.00354929681242078</v>
      </c>
      <c r="K322" s="22" t="n">
        <v>0.00408712434546739</v>
      </c>
      <c r="L322" s="22" t="n">
        <v>0.0019193584607486</v>
      </c>
      <c r="M322" s="22" t="n">
        <v>0.00568787185646404</v>
      </c>
      <c r="N322" s="22" t="n">
        <v>0.00545150184140588</v>
      </c>
      <c r="O322" s="22" t="n">
        <v>0.000517932639108441</v>
      </c>
      <c r="P322" s="22" t="n">
        <v>0.00615596045738655</v>
      </c>
      <c r="Q322" s="22" t="n">
        <v>0.00179293269191967</v>
      </c>
      <c r="R322" s="22" t="n">
        <v>0.00112625723409332</v>
      </c>
      <c r="S322" s="23" t="n">
        <f aca="false">IF(A322="","",SUM(H322:R322))</f>
        <v>0.039534217126478</v>
      </c>
      <c r="T322" s="17" t="str">
        <f aca="false">IF(A322="","",IF(AND(MIN(H322:R322)&gt;=0,MAX(H322:R322)&lt;=1,S322&lt;=1),"OK","CHECK"))</f>
        <v>OK</v>
      </c>
      <c r="U322" s="17" t="str">
        <f aca="false">IF(A322="","", "LOSS-"&amp;A322&amp;"-L"&amp;TEXT(B322,"00")&amp;"-"&amp;TEXT(C322,"yyyymmdd")&amp;"-"&amp;D322&amp;"-"&amp;E322)</f>
        <v>LOSS-KG01-L22-20251115-PM-ORD-2025-00205</v>
      </c>
      <c r="V322" s="17" t="str">
        <f aca="false">IF(U322="","",IF(COUNTIF($U$5:$U$935,U322)=1,"OK","CHECK"))</f>
        <v>OK</v>
      </c>
      <c r="W322" s="17" t="str">
        <f aca="false">IF(A322="","",IF(AND(T322="OK",V322="OK",G322&gt;=0),"OK","CHECK"))</f>
        <v>OK</v>
      </c>
    </row>
    <row r="323" customFormat="false" ht="18" hidden="false" customHeight="true" outlineLevel="0" collapsed="false">
      <c r="A323" s="18" t="s">
        <v>39</v>
      </c>
      <c r="B323" s="19" t="n">
        <v>22</v>
      </c>
      <c r="C323" s="20" t="n">
        <v>45977</v>
      </c>
      <c r="D323" s="18" t="s">
        <v>40</v>
      </c>
      <c r="E323" s="18" t="s">
        <v>101</v>
      </c>
      <c r="F323" s="18" t="s">
        <v>42</v>
      </c>
      <c r="G323" s="21" t="n">
        <v>19214</v>
      </c>
      <c r="H323" s="22" t="n">
        <v>0.00732505235745604</v>
      </c>
      <c r="I323" s="22" t="n">
        <v>0.00837439835124403</v>
      </c>
      <c r="J323" s="22" t="n">
        <v>0.00095801003122057</v>
      </c>
      <c r="K323" s="22" t="n">
        <v>0.0130588632285867</v>
      </c>
      <c r="L323" s="22" t="n">
        <v>0.00309270790597263</v>
      </c>
      <c r="M323" s="22" t="n">
        <v>0.0139523374099462</v>
      </c>
      <c r="N323" s="22" t="n">
        <v>0.000803653069944276</v>
      </c>
      <c r="O323" s="22" t="n">
        <v>0.0116676584574532</v>
      </c>
      <c r="P323" s="22" t="n">
        <v>0.00111576366807421</v>
      </c>
      <c r="Q323" s="22" t="n">
        <v>0.0065980855188862</v>
      </c>
      <c r="R323" s="22" t="n">
        <v>0.00106618477541546</v>
      </c>
      <c r="S323" s="23" t="n">
        <f aca="false">IF(A323="","",SUM(H323:R323))</f>
        <v>0.0680127147741995</v>
      </c>
      <c r="T323" s="17" t="str">
        <f aca="false">IF(A323="","",IF(AND(MIN(H323:R323)&gt;=0,MAX(H323:R323)&lt;=1,S323&lt;=1),"OK","CHECK"))</f>
        <v>OK</v>
      </c>
      <c r="U323" s="17" t="str">
        <f aca="false">IF(A323="","", "LOSS-"&amp;A323&amp;"-L"&amp;TEXT(B323,"00")&amp;"-"&amp;TEXT(C323,"yyyymmdd")&amp;"-"&amp;D323&amp;"-"&amp;E323)</f>
        <v>LOSS-KG01-L22-20251116-AM-ORD-2025-00205</v>
      </c>
      <c r="V323" s="17" t="str">
        <f aca="false">IF(U323="","",IF(COUNTIF($U$5:$U$935,U323)=1,"OK","CHECK"))</f>
        <v>OK</v>
      </c>
      <c r="W323" s="17" t="str">
        <f aca="false">IF(A323="","",IF(AND(T323="OK",V323="OK",G323&gt;=0),"OK","CHECK"))</f>
        <v>OK</v>
      </c>
    </row>
    <row r="324" customFormat="false" ht="18" hidden="false" customHeight="true" outlineLevel="0" collapsed="false">
      <c r="A324" s="18" t="s">
        <v>39</v>
      </c>
      <c r="B324" s="19" t="n">
        <v>22</v>
      </c>
      <c r="C324" s="20" t="n">
        <v>45977</v>
      </c>
      <c r="D324" s="18" t="s">
        <v>43</v>
      </c>
      <c r="E324" s="18" t="s">
        <v>101</v>
      </c>
      <c r="F324" s="18" t="s">
        <v>61</v>
      </c>
      <c r="G324" s="21" t="n">
        <v>7413</v>
      </c>
      <c r="H324" s="22" t="n">
        <v>0.0098646012239667</v>
      </c>
      <c r="I324" s="22" t="n">
        <v>0.00588312370599057</v>
      </c>
      <c r="J324" s="22" t="n">
        <v>0.000865339790248592</v>
      </c>
      <c r="K324" s="22" t="n">
        <v>0.00322489125414841</v>
      </c>
      <c r="L324" s="22" t="n">
        <v>1.47377599020388E-005</v>
      </c>
      <c r="M324" s="22" t="n">
        <v>0.000743829515318419</v>
      </c>
      <c r="N324" s="22" t="n">
        <v>0.00071417648893762</v>
      </c>
      <c r="O324" s="22" t="n">
        <v>0.000620552690800366</v>
      </c>
      <c r="P324" s="22" t="n">
        <v>0.00421681852410765</v>
      </c>
      <c r="Q324" s="22" t="n">
        <v>0.00588655222863238</v>
      </c>
      <c r="R324" s="22" t="n">
        <v>1.50551562870451E-006</v>
      </c>
      <c r="S324" s="23" t="n">
        <f aca="false">IF(A324="","",SUM(H324:R324))</f>
        <v>0.0320361286976815</v>
      </c>
      <c r="T324" s="17" t="str">
        <f aca="false">IF(A324="","",IF(AND(MIN(H324:R324)&gt;=0,MAX(H324:R324)&lt;=1,S324&lt;=1),"OK","CHECK"))</f>
        <v>OK</v>
      </c>
      <c r="U324" s="17" t="str">
        <f aca="false">IF(A324="","", "LOSS-"&amp;A324&amp;"-L"&amp;TEXT(B324,"00")&amp;"-"&amp;TEXT(C324,"yyyymmdd")&amp;"-"&amp;D324&amp;"-"&amp;E324)</f>
        <v>LOSS-KG01-L22-20251116-PM-ORD-2025-00205</v>
      </c>
      <c r="V324" s="17" t="str">
        <f aca="false">IF(U324="","",IF(COUNTIF($U$5:$U$935,U324)=1,"OK","CHECK"))</f>
        <v>OK</v>
      </c>
      <c r="W324" s="17" t="str">
        <f aca="false">IF(A324="","",IF(AND(T324="OK",V324="OK",G324&gt;=0),"OK","CHECK"))</f>
        <v>OK</v>
      </c>
    </row>
    <row r="325" customFormat="false" ht="18" hidden="false" customHeight="true" outlineLevel="0" collapsed="false">
      <c r="A325" s="18" t="s">
        <v>39</v>
      </c>
      <c r="B325" s="19" t="n">
        <v>22</v>
      </c>
      <c r="C325" s="20" t="n">
        <v>45978</v>
      </c>
      <c r="D325" s="18" t="s">
        <v>40</v>
      </c>
      <c r="E325" s="18" t="s">
        <v>101</v>
      </c>
      <c r="F325" s="18" t="s">
        <v>42</v>
      </c>
      <c r="G325" s="21" t="n">
        <v>5762</v>
      </c>
      <c r="H325" s="22" t="n">
        <v>0.00160311780457347</v>
      </c>
      <c r="I325" s="22" t="n">
        <v>0.00743180861716983</v>
      </c>
      <c r="J325" s="22" t="n">
        <v>0.0118959111979413</v>
      </c>
      <c r="K325" s="22" t="n">
        <v>0.0122281217147813</v>
      </c>
      <c r="L325" s="22" t="n">
        <v>0.00335256313610629</v>
      </c>
      <c r="M325" s="22" t="n">
        <v>5.07461829692123E-006</v>
      </c>
      <c r="N325" s="22" t="n">
        <v>1.33937241096695E-006</v>
      </c>
      <c r="O325" s="22" t="n">
        <v>2.33065046736134E-005</v>
      </c>
      <c r="P325" s="22" t="n">
        <v>0.00219030903001397</v>
      </c>
      <c r="Q325" s="22" t="n">
        <v>0.00692272223499211</v>
      </c>
      <c r="R325" s="22" t="n">
        <v>0.0052733293786955</v>
      </c>
      <c r="S325" s="23" t="n">
        <f aca="false">IF(A325="","",SUM(H325:R325))</f>
        <v>0.0509276036096553</v>
      </c>
      <c r="T325" s="17" t="str">
        <f aca="false">IF(A325="","",IF(AND(MIN(H325:R325)&gt;=0,MAX(H325:R325)&lt;=1,S325&lt;=1),"OK","CHECK"))</f>
        <v>OK</v>
      </c>
      <c r="U325" s="17" t="str">
        <f aca="false">IF(A325="","", "LOSS-"&amp;A325&amp;"-L"&amp;TEXT(B325,"00")&amp;"-"&amp;TEXT(C325,"yyyymmdd")&amp;"-"&amp;D325&amp;"-"&amp;E325)</f>
        <v>LOSS-KG01-L22-20251117-AM-ORD-2025-00205</v>
      </c>
      <c r="V325" s="17" t="str">
        <f aca="false">IF(U325="","",IF(COUNTIF($U$5:$U$935,U325)=1,"OK","CHECK"))</f>
        <v>OK</v>
      </c>
      <c r="W325" s="17" t="str">
        <f aca="false">IF(A325="","",IF(AND(T325="OK",V325="OK",G325&gt;=0),"OK","CHECK"))</f>
        <v>OK</v>
      </c>
    </row>
    <row r="326" customFormat="false" ht="18" hidden="false" customHeight="true" outlineLevel="0" collapsed="false">
      <c r="A326" s="18" t="s">
        <v>39</v>
      </c>
      <c r="B326" s="19" t="n">
        <v>22</v>
      </c>
      <c r="C326" s="20" t="n">
        <v>45978</v>
      </c>
      <c r="D326" s="18" t="s">
        <v>43</v>
      </c>
      <c r="E326" s="18" t="s">
        <v>101</v>
      </c>
      <c r="F326" s="18" t="s">
        <v>42</v>
      </c>
      <c r="G326" s="21" t="n">
        <v>10506</v>
      </c>
      <c r="H326" s="22" t="n">
        <v>0.00276206845140141</v>
      </c>
      <c r="I326" s="22" t="n">
        <v>0.00555682660498111</v>
      </c>
      <c r="J326" s="22" t="n">
        <v>0.000104679348761738</v>
      </c>
      <c r="K326" s="22" t="n">
        <v>0.0133119700791331</v>
      </c>
      <c r="L326" s="22" t="n">
        <v>0.00503064296170348</v>
      </c>
      <c r="M326" s="22" t="n">
        <v>0.0150337608166876</v>
      </c>
      <c r="N326" s="22" t="n">
        <v>0.00320912859909454</v>
      </c>
      <c r="O326" s="22" t="n">
        <v>0.00110122840519384</v>
      </c>
      <c r="P326" s="22" t="n">
        <v>0.0102393477211816</v>
      </c>
      <c r="Q326" s="22" t="n">
        <v>0.00111436087136828</v>
      </c>
      <c r="R326" s="22" t="n">
        <v>0.00405228743335438</v>
      </c>
      <c r="S326" s="23" t="n">
        <f aca="false">IF(A326="","",SUM(H326:R326))</f>
        <v>0.0615163012928611</v>
      </c>
      <c r="T326" s="17" t="str">
        <f aca="false">IF(A326="","",IF(AND(MIN(H326:R326)&gt;=0,MAX(H326:R326)&lt;=1,S326&lt;=1),"OK","CHECK"))</f>
        <v>OK</v>
      </c>
      <c r="U326" s="17" t="str">
        <f aca="false">IF(A326="","", "LOSS-"&amp;A326&amp;"-L"&amp;TEXT(B326,"00")&amp;"-"&amp;TEXT(C326,"yyyymmdd")&amp;"-"&amp;D326&amp;"-"&amp;E326)</f>
        <v>LOSS-KG01-L22-20251117-PM-ORD-2025-00205</v>
      </c>
      <c r="V326" s="17" t="str">
        <f aca="false">IF(U326="","",IF(COUNTIF($U$5:$U$935,U326)=1,"OK","CHECK"))</f>
        <v>OK</v>
      </c>
      <c r="W326" s="17" t="str">
        <f aca="false">IF(A326="","",IF(AND(T326="OK",V326="OK",G326&gt;=0),"OK","CHECK"))</f>
        <v>OK</v>
      </c>
    </row>
    <row r="327" customFormat="false" ht="18" hidden="false" customHeight="true" outlineLevel="0" collapsed="false">
      <c r="A327" s="18" t="s">
        <v>39</v>
      </c>
      <c r="B327" s="19" t="n">
        <v>22</v>
      </c>
      <c r="C327" s="20" t="n">
        <v>45979</v>
      </c>
      <c r="D327" s="18" t="s">
        <v>40</v>
      </c>
      <c r="E327" s="18" t="s">
        <v>101</v>
      </c>
      <c r="F327" s="18" t="s">
        <v>42</v>
      </c>
      <c r="G327" s="21" t="n">
        <v>7862</v>
      </c>
      <c r="H327" s="22" t="n">
        <v>0.000774758692853471</v>
      </c>
      <c r="I327" s="22" t="n">
        <v>0.0004561218041182</v>
      </c>
      <c r="J327" s="22" t="n">
        <v>0.0113707228250809</v>
      </c>
      <c r="K327" s="22" t="n">
        <v>0.00644602557525667</v>
      </c>
      <c r="L327" s="22" t="n">
        <v>0.00081096706215655</v>
      </c>
      <c r="M327" s="22" t="n">
        <v>0.00641898524977421</v>
      </c>
      <c r="N327" s="22" t="n">
        <v>0.000508574012784585</v>
      </c>
      <c r="O327" s="22" t="n">
        <v>0.00384634266299116</v>
      </c>
      <c r="P327" s="22" t="n">
        <v>0.0029042109954319</v>
      </c>
      <c r="Q327" s="22" t="n">
        <v>0.0015085082218499</v>
      </c>
      <c r="R327" s="22" t="n">
        <v>0.00458779192124438</v>
      </c>
      <c r="S327" s="23" t="n">
        <f aca="false">IF(A327="","",SUM(H327:R327))</f>
        <v>0.0396330090235419</v>
      </c>
      <c r="T327" s="17" t="str">
        <f aca="false">IF(A327="","",IF(AND(MIN(H327:R327)&gt;=0,MAX(H327:R327)&lt;=1,S327&lt;=1),"OK","CHECK"))</f>
        <v>OK</v>
      </c>
      <c r="U327" s="17" t="str">
        <f aca="false">IF(A327="","", "LOSS-"&amp;A327&amp;"-L"&amp;TEXT(B327,"00")&amp;"-"&amp;TEXT(C327,"yyyymmdd")&amp;"-"&amp;D327&amp;"-"&amp;E327)</f>
        <v>LOSS-KG01-L22-20251118-AM-ORD-2025-00205</v>
      </c>
      <c r="V327" s="17" t="str">
        <f aca="false">IF(U327="","",IF(COUNTIF($U$5:$U$935,U327)=1,"OK","CHECK"))</f>
        <v>OK</v>
      </c>
      <c r="W327" s="17" t="str">
        <f aca="false">IF(A327="","",IF(AND(T327="OK",V327="OK",G327&gt;=0),"OK","CHECK"))</f>
        <v>OK</v>
      </c>
    </row>
    <row r="328" customFormat="false" ht="18" hidden="false" customHeight="true" outlineLevel="0" collapsed="false">
      <c r="A328" s="18" t="s">
        <v>39</v>
      </c>
      <c r="B328" s="19" t="n">
        <v>22</v>
      </c>
      <c r="C328" s="20" t="n">
        <v>45979</v>
      </c>
      <c r="D328" s="18" t="s">
        <v>43</v>
      </c>
      <c r="E328" s="18" t="s">
        <v>101</v>
      </c>
      <c r="F328" s="18" t="s">
        <v>42</v>
      </c>
      <c r="G328" s="21" t="n">
        <v>12304</v>
      </c>
      <c r="H328" s="22" t="n">
        <v>0.00101062049141029</v>
      </c>
      <c r="I328" s="22" t="n">
        <v>0.0176158369016522</v>
      </c>
      <c r="J328" s="22" t="n">
        <v>0.0191380529926816</v>
      </c>
      <c r="K328" s="22" t="n">
        <v>0.0184995170631962</v>
      </c>
      <c r="L328" s="22" t="n">
        <v>5.052791228954E-006</v>
      </c>
      <c r="M328" s="22" t="n">
        <v>0.0138848779997651</v>
      </c>
      <c r="N328" s="22" t="n">
        <v>0.0140323912501167</v>
      </c>
      <c r="O328" s="22" t="n">
        <v>0.00568063425868847</v>
      </c>
      <c r="P328" s="22" t="n">
        <v>3.89185838654962E-005</v>
      </c>
      <c r="Q328" s="22" t="n">
        <v>0.00107130773449631</v>
      </c>
      <c r="R328" s="22" t="n">
        <v>0.000231768502050353</v>
      </c>
      <c r="S328" s="23" t="n">
        <f aca="false">IF(A328="","",SUM(H328:R328))</f>
        <v>0.0912089785691517</v>
      </c>
      <c r="T328" s="17" t="str">
        <f aca="false">IF(A328="","",IF(AND(MIN(H328:R328)&gt;=0,MAX(H328:R328)&lt;=1,S328&lt;=1),"OK","CHECK"))</f>
        <v>OK</v>
      </c>
      <c r="U328" s="17" t="str">
        <f aca="false">IF(A328="","", "LOSS-"&amp;A328&amp;"-L"&amp;TEXT(B328,"00")&amp;"-"&amp;TEXT(C328,"yyyymmdd")&amp;"-"&amp;D328&amp;"-"&amp;E328)</f>
        <v>LOSS-KG01-L22-20251118-PM-ORD-2025-00205</v>
      </c>
      <c r="V328" s="17" t="str">
        <f aca="false">IF(U328="","",IF(COUNTIF($U$5:$U$935,U328)=1,"OK","CHECK"))</f>
        <v>OK</v>
      </c>
      <c r="W328" s="17" t="str">
        <f aca="false">IF(A328="","",IF(AND(T328="OK",V328="OK",G328&gt;=0),"OK","CHECK"))</f>
        <v>OK</v>
      </c>
    </row>
    <row r="329" customFormat="false" ht="18" hidden="false" customHeight="true" outlineLevel="0" collapsed="false">
      <c r="A329" s="18" t="s">
        <v>39</v>
      </c>
      <c r="B329" s="19" t="n">
        <v>22</v>
      </c>
      <c r="C329" s="20" t="n">
        <v>45980</v>
      </c>
      <c r="D329" s="18" t="s">
        <v>40</v>
      </c>
      <c r="E329" s="18" t="s">
        <v>102</v>
      </c>
      <c r="F329" s="18" t="s">
        <v>45</v>
      </c>
      <c r="G329" s="21" t="n">
        <v>10409</v>
      </c>
      <c r="H329" s="22" t="n">
        <v>0.0113248531284843</v>
      </c>
      <c r="I329" s="22" t="n">
        <v>0.000564523518816117</v>
      </c>
      <c r="J329" s="22" t="n">
        <v>0.000264343329720777</v>
      </c>
      <c r="K329" s="22" t="n">
        <v>0.00183468610767891</v>
      </c>
      <c r="L329" s="22" t="n">
        <v>0.014336069052273</v>
      </c>
      <c r="M329" s="22" t="n">
        <v>0.0302953848271619</v>
      </c>
      <c r="N329" s="22" t="n">
        <v>0.0204379792260692</v>
      </c>
      <c r="O329" s="22" t="n">
        <v>0.00022461376716112</v>
      </c>
      <c r="P329" s="22" t="n">
        <v>0.00801513453878325</v>
      </c>
      <c r="Q329" s="22" t="n">
        <v>0.00353146467213248</v>
      </c>
      <c r="R329" s="22" t="n">
        <v>2.68736735917095E-005</v>
      </c>
      <c r="S329" s="23" t="n">
        <f aca="false">IF(A329="","",SUM(H329:R329))</f>
        <v>0.0908559258418728</v>
      </c>
      <c r="T329" s="17" t="str">
        <f aca="false">IF(A329="","",IF(AND(MIN(H329:R329)&gt;=0,MAX(H329:R329)&lt;=1,S329&lt;=1),"OK","CHECK"))</f>
        <v>OK</v>
      </c>
      <c r="U329" s="17" t="str">
        <f aca="false">IF(A329="","", "LOSS-"&amp;A329&amp;"-L"&amp;TEXT(B329,"00")&amp;"-"&amp;TEXT(C329,"yyyymmdd")&amp;"-"&amp;D329&amp;"-"&amp;E329)</f>
        <v>LOSS-KG01-L22-20251119-AM-ORD-2025-00206</v>
      </c>
      <c r="V329" s="17" t="str">
        <f aca="false">IF(U329="","",IF(COUNTIF($U$5:$U$935,U329)=1,"OK","CHECK"))</f>
        <v>OK</v>
      </c>
      <c r="W329" s="17" t="str">
        <f aca="false">IF(A329="","",IF(AND(T329="OK",V329="OK",G329&gt;=0),"OK","CHECK"))</f>
        <v>OK</v>
      </c>
    </row>
    <row r="330" customFormat="false" ht="18" hidden="false" customHeight="true" outlineLevel="0" collapsed="false">
      <c r="A330" s="18" t="s">
        <v>39</v>
      </c>
      <c r="B330" s="19" t="n">
        <v>22</v>
      </c>
      <c r="C330" s="20" t="n">
        <v>45980</v>
      </c>
      <c r="D330" s="18" t="s">
        <v>43</v>
      </c>
      <c r="E330" s="18" t="s">
        <v>102</v>
      </c>
      <c r="F330" s="18" t="s">
        <v>42</v>
      </c>
      <c r="G330" s="21" t="n">
        <v>10691</v>
      </c>
      <c r="H330" s="22" t="n">
        <v>0.00402626103809271</v>
      </c>
      <c r="I330" s="22" t="n">
        <v>0.00141863018251303</v>
      </c>
      <c r="J330" s="22" t="n">
        <v>0.010391288706801</v>
      </c>
      <c r="K330" s="22" t="n">
        <v>0.00880109577381652</v>
      </c>
      <c r="L330" s="22" t="n">
        <v>0.00153453114104106</v>
      </c>
      <c r="M330" s="22" t="n">
        <v>0.00970769254571882</v>
      </c>
      <c r="N330" s="22" t="n">
        <v>0.000945046146868692</v>
      </c>
      <c r="O330" s="22" t="n">
        <v>1.06094949643817E-005</v>
      </c>
      <c r="P330" s="22" t="n">
        <v>0.00148245012759595</v>
      </c>
      <c r="Q330" s="22" t="n">
        <v>0.000924651046729874</v>
      </c>
      <c r="R330" s="22" t="n">
        <v>0.000246105237546979</v>
      </c>
      <c r="S330" s="23" t="n">
        <f aca="false">IF(A330="","",SUM(H330:R330))</f>
        <v>0.039488361441689</v>
      </c>
      <c r="T330" s="17" t="str">
        <f aca="false">IF(A330="","",IF(AND(MIN(H330:R330)&gt;=0,MAX(H330:R330)&lt;=1,S330&lt;=1),"OK","CHECK"))</f>
        <v>OK</v>
      </c>
      <c r="U330" s="17" t="str">
        <f aca="false">IF(A330="","", "LOSS-"&amp;A330&amp;"-L"&amp;TEXT(B330,"00")&amp;"-"&amp;TEXT(C330,"yyyymmdd")&amp;"-"&amp;D330&amp;"-"&amp;E330)</f>
        <v>LOSS-KG01-L22-20251119-PM-ORD-2025-00206</v>
      </c>
      <c r="V330" s="17" t="str">
        <f aca="false">IF(U330="","",IF(COUNTIF($U$5:$U$935,U330)=1,"OK","CHECK"))</f>
        <v>OK</v>
      </c>
      <c r="W330" s="17" t="str">
        <f aca="false">IF(A330="","",IF(AND(T330="OK",V330="OK",G330&gt;=0),"OK","CHECK"))</f>
        <v>OK</v>
      </c>
    </row>
    <row r="331" customFormat="false" ht="18" hidden="false" customHeight="true" outlineLevel="0" collapsed="false">
      <c r="A331" s="18" t="s">
        <v>39</v>
      </c>
      <c r="B331" s="19" t="n">
        <v>22</v>
      </c>
      <c r="C331" s="20" t="n">
        <v>45981</v>
      </c>
      <c r="D331" s="18" t="s">
        <v>40</v>
      </c>
      <c r="E331" s="18" t="s">
        <v>102</v>
      </c>
      <c r="F331" s="18" t="s">
        <v>42</v>
      </c>
      <c r="G331" s="21" t="n">
        <v>12683</v>
      </c>
      <c r="H331" s="22" t="n">
        <v>0.00585826133310337</v>
      </c>
      <c r="I331" s="22" t="n">
        <v>0.00018913467117763</v>
      </c>
      <c r="J331" s="22" t="n">
        <v>0.000749543323748341</v>
      </c>
      <c r="K331" s="22" t="n">
        <v>0.00164301570537873</v>
      </c>
      <c r="L331" s="22" t="n">
        <v>0.00858626138987221</v>
      </c>
      <c r="M331" s="22" t="n">
        <v>0.00922822591113277</v>
      </c>
      <c r="N331" s="22" t="n">
        <v>0.0102872943309956</v>
      </c>
      <c r="O331" s="22" t="n">
        <v>0.00851616366304459</v>
      </c>
      <c r="P331" s="22" t="n">
        <v>0.0148067483823121</v>
      </c>
      <c r="Q331" s="22" t="n">
        <v>0.00240530711411547</v>
      </c>
      <c r="R331" s="22" t="n">
        <v>0.00569022078691617</v>
      </c>
      <c r="S331" s="23" t="n">
        <f aca="false">IF(A331="","",SUM(H331:R331))</f>
        <v>0.067960176611797</v>
      </c>
      <c r="T331" s="17" t="str">
        <f aca="false">IF(A331="","",IF(AND(MIN(H331:R331)&gt;=0,MAX(H331:R331)&lt;=1,S331&lt;=1),"OK","CHECK"))</f>
        <v>OK</v>
      </c>
      <c r="U331" s="17" t="str">
        <f aca="false">IF(A331="","", "LOSS-"&amp;A331&amp;"-L"&amp;TEXT(B331,"00")&amp;"-"&amp;TEXT(C331,"yyyymmdd")&amp;"-"&amp;D331&amp;"-"&amp;E331)</f>
        <v>LOSS-KG01-L22-20251120-AM-ORD-2025-00206</v>
      </c>
      <c r="V331" s="17" t="str">
        <f aca="false">IF(U331="","",IF(COUNTIF($U$5:$U$935,U331)=1,"OK","CHECK"))</f>
        <v>OK</v>
      </c>
      <c r="W331" s="17" t="str">
        <f aca="false">IF(A331="","",IF(AND(T331="OK",V331="OK",G331&gt;=0),"OK","CHECK"))</f>
        <v>OK</v>
      </c>
    </row>
    <row r="332" customFormat="false" ht="18" hidden="false" customHeight="true" outlineLevel="0" collapsed="false">
      <c r="A332" s="18" t="s">
        <v>39</v>
      </c>
      <c r="B332" s="19" t="n">
        <v>22</v>
      </c>
      <c r="C332" s="20" t="n">
        <v>45981</v>
      </c>
      <c r="D332" s="18" t="s">
        <v>43</v>
      </c>
      <c r="E332" s="18" t="s">
        <v>102</v>
      </c>
      <c r="F332" s="18" t="s">
        <v>42</v>
      </c>
      <c r="G332" s="21" t="n">
        <v>8072</v>
      </c>
      <c r="H332" s="22" t="n">
        <v>0.00283735079441973</v>
      </c>
      <c r="I332" s="22" t="n">
        <v>0.000148019435479978</v>
      </c>
      <c r="J332" s="22" t="n">
        <v>0.00382217827797253</v>
      </c>
      <c r="K332" s="22" t="n">
        <v>0.00276998258454968</v>
      </c>
      <c r="L332" s="22" t="n">
        <v>0.00599616680795403</v>
      </c>
      <c r="M332" s="22" t="n">
        <v>0.00603950729254616</v>
      </c>
      <c r="N332" s="22" t="n">
        <v>0.00647152807966084</v>
      </c>
      <c r="O332" s="22" t="n">
        <v>0.00210096650692546</v>
      </c>
      <c r="P332" s="22" t="n">
        <v>0.0065433800433492</v>
      </c>
      <c r="Q332" s="22" t="n">
        <v>0.00261115144345204</v>
      </c>
      <c r="R332" s="22" t="n">
        <v>0.00354028550978946</v>
      </c>
      <c r="S332" s="23" t="n">
        <f aca="false">IF(A332="","",SUM(H332:R332))</f>
        <v>0.0428805167760991</v>
      </c>
      <c r="T332" s="17" t="str">
        <f aca="false">IF(A332="","",IF(AND(MIN(H332:R332)&gt;=0,MAX(H332:R332)&lt;=1,S332&lt;=1),"OK","CHECK"))</f>
        <v>OK</v>
      </c>
      <c r="U332" s="17" t="str">
        <f aca="false">IF(A332="","", "LOSS-"&amp;A332&amp;"-L"&amp;TEXT(B332,"00")&amp;"-"&amp;TEXT(C332,"yyyymmdd")&amp;"-"&amp;D332&amp;"-"&amp;E332)</f>
        <v>LOSS-KG01-L22-20251120-PM-ORD-2025-00206</v>
      </c>
      <c r="V332" s="17" t="str">
        <f aca="false">IF(U332="","",IF(COUNTIF($U$5:$U$935,U332)=1,"OK","CHECK"))</f>
        <v>OK</v>
      </c>
      <c r="W332" s="17" t="str">
        <f aca="false">IF(A332="","",IF(AND(T332="OK",V332="OK",G332&gt;=0),"OK","CHECK"))</f>
        <v>OK</v>
      </c>
    </row>
    <row r="333" customFormat="false" ht="18" hidden="false" customHeight="true" outlineLevel="0" collapsed="false">
      <c r="A333" s="18" t="s">
        <v>39</v>
      </c>
      <c r="B333" s="19" t="n">
        <v>22</v>
      </c>
      <c r="C333" s="20" t="n">
        <v>45982</v>
      </c>
      <c r="D333" s="18" t="s">
        <v>40</v>
      </c>
      <c r="E333" s="18" t="s">
        <v>102</v>
      </c>
      <c r="F333" s="18" t="s">
        <v>42</v>
      </c>
      <c r="G333" s="21" t="n">
        <v>17924</v>
      </c>
      <c r="H333" s="22" t="n">
        <v>0.00559442526724699</v>
      </c>
      <c r="I333" s="22" t="n">
        <v>0.00028309967086215</v>
      </c>
      <c r="J333" s="22" t="n">
        <v>0.014862568650067</v>
      </c>
      <c r="K333" s="22" t="n">
        <v>0.0122704359183487</v>
      </c>
      <c r="L333" s="22" t="n">
        <v>0.00709829182306411</v>
      </c>
      <c r="M333" s="22" t="n">
        <v>0.00836877617773077</v>
      </c>
      <c r="N333" s="22" t="n">
        <v>0.00521432687780278</v>
      </c>
      <c r="O333" s="22" t="n">
        <v>0.00193456287989357</v>
      </c>
      <c r="P333" s="22" t="n">
        <v>0.000732495269166767</v>
      </c>
      <c r="Q333" s="22" t="n">
        <v>0.00637285892440918</v>
      </c>
      <c r="R333" s="22" t="n">
        <v>0.015985769432932</v>
      </c>
      <c r="S333" s="23" t="n">
        <f aca="false">IF(A333="","",SUM(H333:R333))</f>
        <v>0.078717610891524</v>
      </c>
      <c r="T333" s="17" t="str">
        <f aca="false">IF(A333="","",IF(AND(MIN(H333:R333)&gt;=0,MAX(H333:R333)&lt;=1,S333&lt;=1),"OK","CHECK"))</f>
        <v>OK</v>
      </c>
      <c r="U333" s="17" t="str">
        <f aca="false">IF(A333="","", "LOSS-"&amp;A333&amp;"-L"&amp;TEXT(B333,"00")&amp;"-"&amp;TEXT(C333,"yyyymmdd")&amp;"-"&amp;D333&amp;"-"&amp;E333)</f>
        <v>LOSS-KG01-L22-20251121-AM-ORD-2025-00206</v>
      </c>
      <c r="V333" s="17" t="str">
        <f aca="false">IF(U333="","",IF(COUNTIF($U$5:$U$935,U333)=1,"OK","CHECK"))</f>
        <v>OK</v>
      </c>
      <c r="W333" s="17" t="str">
        <f aca="false">IF(A333="","",IF(AND(T333="OK",V333="OK",G333&gt;=0),"OK","CHECK"))</f>
        <v>OK</v>
      </c>
    </row>
    <row r="334" customFormat="false" ht="18" hidden="false" customHeight="true" outlineLevel="0" collapsed="false">
      <c r="A334" s="18" t="s">
        <v>39</v>
      </c>
      <c r="B334" s="19" t="n">
        <v>22</v>
      </c>
      <c r="C334" s="20" t="n">
        <v>45982</v>
      </c>
      <c r="D334" s="18" t="s">
        <v>43</v>
      </c>
      <c r="E334" s="18" t="s">
        <v>102</v>
      </c>
      <c r="F334" s="18" t="s">
        <v>42</v>
      </c>
      <c r="G334" s="21" t="n">
        <v>7736</v>
      </c>
      <c r="H334" s="22" t="n">
        <v>0.00144985381973477</v>
      </c>
      <c r="I334" s="22" t="n">
        <v>0.00856773037975275</v>
      </c>
      <c r="J334" s="22" t="n">
        <v>0.0128226227017699</v>
      </c>
      <c r="K334" s="22" t="n">
        <v>0.000715448947392087</v>
      </c>
      <c r="L334" s="22" t="n">
        <v>0.00133008804878414</v>
      </c>
      <c r="M334" s="22" t="n">
        <v>0.0126897436297073</v>
      </c>
      <c r="N334" s="22" t="n">
        <v>0.00644649852501807</v>
      </c>
      <c r="O334" s="22" t="n">
        <v>0.00265766596163834</v>
      </c>
      <c r="P334" s="22" t="n">
        <v>0.0123067048019932</v>
      </c>
      <c r="Q334" s="22" t="n">
        <v>0.00225515447098512</v>
      </c>
      <c r="R334" s="22" t="n">
        <v>8.52264098249811E-005</v>
      </c>
      <c r="S334" s="23" t="n">
        <f aca="false">IF(A334="","",SUM(H334:R334))</f>
        <v>0.0613267376966007</v>
      </c>
      <c r="T334" s="17" t="str">
        <f aca="false">IF(A334="","",IF(AND(MIN(H334:R334)&gt;=0,MAX(H334:R334)&lt;=1,S334&lt;=1),"OK","CHECK"))</f>
        <v>OK</v>
      </c>
      <c r="U334" s="17" t="str">
        <f aca="false">IF(A334="","", "LOSS-"&amp;A334&amp;"-L"&amp;TEXT(B334,"00")&amp;"-"&amp;TEXT(C334,"yyyymmdd")&amp;"-"&amp;D334&amp;"-"&amp;E334)</f>
        <v>LOSS-KG01-L22-20251121-PM-ORD-2025-00206</v>
      </c>
      <c r="V334" s="17" t="str">
        <f aca="false">IF(U334="","",IF(COUNTIF($U$5:$U$935,U334)=1,"OK","CHECK"))</f>
        <v>OK</v>
      </c>
      <c r="W334" s="17" t="str">
        <f aca="false">IF(A334="","",IF(AND(T334="OK",V334="OK",G334&gt;=0),"OK","CHECK"))</f>
        <v>OK</v>
      </c>
    </row>
    <row r="335" customFormat="false" ht="18" hidden="false" customHeight="true" outlineLevel="0" collapsed="false">
      <c r="A335" s="18" t="s">
        <v>39</v>
      </c>
      <c r="B335" s="19" t="n">
        <v>22</v>
      </c>
      <c r="C335" s="20" t="n">
        <v>45983</v>
      </c>
      <c r="D335" s="18" t="s">
        <v>40</v>
      </c>
      <c r="E335" s="18" t="s">
        <v>102</v>
      </c>
      <c r="F335" s="18" t="s">
        <v>42</v>
      </c>
      <c r="G335" s="21" t="n">
        <v>4355</v>
      </c>
      <c r="H335" s="22" t="n">
        <v>0.00182236709242516</v>
      </c>
      <c r="I335" s="22" t="n">
        <v>3.39027748121439E-005</v>
      </c>
      <c r="J335" s="22" t="n">
        <v>0.000761518634097609</v>
      </c>
      <c r="K335" s="22" t="n">
        <v>0.00135993781268816</v>
      </c>
      <c r="L335" s="22" t="n">
        <v>0.00030784129582621</v>
      </c>
      <c r="M335" s="22" t="n">
        <v>0.00358700676184716</v>
      </c>
      <c r="N335" s="22" t="n">
        <v>0.000306275602169201</v>
      </c>
      <c r="O335" s="22" t="n">
        <v>0.00397579567602274</v>
      </c>
      <c r="P335" s="22" t="n">
        <v>0.00564886131118975</v>
      </c>
      <c r="Q335" s="22" t="n">
        <v>0.00497172957948744</v>
      </c>
      <c r="R335" s="22" t="n">
        <v>0.000348084297502161</v>
      </c>
      <c r="S335" s="23" t="n">
        <f aca="false">IF(A335="","",SUM(H335:R335))</f>
        <v>0.0231233208380677</v>
      </c>
      <c r="T335" s="17" t="str">
        <f aca="false">IF(A335="","",IF(AND(MIN(H335:R335)&gt;=0,MAX(H335:R335)&lt;=1,S335&lt;=1),"OK","CHECK"))</f>
        <v>OK</v>
      </c>
      <c r="U335" s="17" t="str">
        <f aca="false">IF(A335="","", "LOSS-"&amp;A335&amp;"-L"&amp;TEXT(B335,"00")&amp;"-"&amp;TEXT(C335,"yyyymmdd")&amp;"-"&amp;D335&amp;"-"&amp;E335)</f>
        <v>LOSS-KG01-L22-20251122-AM-ORD-2025-00206</v>
      </c>
      <c r="V335" s="17" t="str">
        <f aca="false">IF(U335="","",IF(COUNTIF($U$5:$U$935,U335)=1,"OK","CHECK"))</f>
        <v>OK</v>
      </c>
      <c r="W335" s="17" t="str">
        <f aca="false">IF(A335="","",IF(AND(T335="OK",V335="OK",G335&gt;=0),"OK","CHECK"))</f>
        <v>OK</v>
      </c>
    </row>
    <row r="336" customFormat="false" ht="18" hidden="false" customHeight="true" outlineLevel="0" collapsed="false">
      <c r="A336" s="18" t="s">
        <v>39</v>
      </c>
      <c r="B336" s="19" t="n">
        <v>22</v>
      </c>
      <c r="C336" s="20" t="n">
        <v>45983</v>
      </c>
      <c r="D336" s="18" t="s">
        <v>43</v>
      </c>
      <c r="E336" s="18" t="s">
        <v>102</v>
      </c>
      <c r="F336" s="18" t="s">
        <v>42</v>
      </c>
      <c r="G336" s="21" t="n">
        <v>12809</v>
      </c>
      <c r="H336" s="22" t="n">
        <v>0.0118460645298053</v>
      </c>
      <c r="I336" s="22" t="n">
        <v>0.00651100009594867</v>
      </c>
      <c r="J336" s="22" t="n">
        <v>0.00635351312416339</v>
      </c>
      <c r="K336" s="22" t="n">
        <v>0.00525395367305918</v>
      </c>
      <c r="L336" s="22" t="n">
        <v>0.00907530804113676</v>
      </c>
      <c r="M336" s="22" t="n">
        <v>0.00167169277293763</v>
      </c>
      <c r="N336" s="22" t="n">
        <v>0.000199384589080069</v>
      </c>
      <c r="O336" s="22" t="n">
        <v>0.00239101607716562</v>
      </c>
      <c r="P336" s="22" t="n">
        <v>0.00365443136055228</v>
      </c>
      <c r="Q336" s="22" t="n">
        <v>0.000315538170061147</v>
      </c>
      <c r="R336" s="22" t="n">
        <v>0.00349943825609505</v>
      </c>
      <c r="S336" s="23" t="n">
        <f aca="false">IF(A336="","",SUM(H336:R336))</f>
        <v>0.0507713406900051</v>
      </c>
      <c r="T336" s="17" t="str">
        <f aca="false">IF(A336="","",IF(AND(MIN(H336:R336)&gt;=0,MAX(H336:R336)&lt;=1,S336&lt;=1),"OK","CHECK"))</f>
        <v>OK</v>
      </c>
      <c r="U336" s="17" t="str">
        <f aca="false">IF(A336="","", "LOSS-"&amp;A336&amp;"-L"&amp;TEXT(B336,"00")&amp;"-"&amp;TEXT(C336,"yyyymmdd")&amp;"-"&amp;D336&amp;"-"&amp;E336)</f>
        <v>LOSS-KG01-L22-20251122-PM-ORD-2025-00206</v>
      </c>
      <c r="V336" s="17" t="str">
        <f aca="false">IF(U336="","",IF(COUNTIF($U$5:$U$935,U336)=1,"OK","CHECK"))</f>
        <v>OK</v>
      </c>
      <c r="W336" s="17" t="str">
        <f aca="false">IF(A336="","",IF(AND(T336="OK",V336="OK",G336&gt;=0),"OK","CHECK"))</f>
        <v>OK</v>
      </c>
    </row>
    <row r="337" customFormat="false" ht="18" hidden="false" customHeight="true" outlineLevel="0" collapsed="false">
      <c r="A337" s="18" t="s">
        <v>39</v>
      </c>
      <c r="B337" s="19" t="n">
        <v>22</v>
      </c>
      <c r="C337" s="20" t="n">
        <v>45984</v>
      </c>
      <c r="D337" s="18" t="s">
        <v>40</v>
      </c>
      <c r="E337" s="18" t="s">
        <v>102</v>
      </c>
      <c r="F337" s="18" t="s">
        <v>42</v>
      </c>
      <c r="G337" s="21" t="n">
        <v>12347</v>
      </c>
      <c r="H337" s="22" t="n">
        <v>0.0173002018921582</v>
      </c>
      <c r="I337" s="22" t="n">
        <v>0.000873880157721147</v>
      </c>
      <c r="J337" s="22" t="n">
        <v>0.000720779811485148</v>
      </c>
      <c r="K337" s="22" t="n">
        <v>0.00459101193336048</v>
      </c>
      <c r="L337" s="22" t="n">
        <v>0.000619305888145717</v>
      </c>
      <c r="M337" s="22" t="n">
        <v>0.0039022582682591</v>
      </c>
      <c r="N337" s="22" t="n">
        <v>0.0130486527106883</v>
      </c>
      <c r="O337" s="22" t="n">
        <v>0.0112686017104805</v>
      </c>
      <c r="P337" s="22" t="n">
        <v>0.00491588691151398</v>
      </c>
      <c r="Q337" s="22" t="n">
        <v>0.000227126270112864</v>
      </c>
      <c r="R337" s="22" t="n">
        <v>0.016833035828705</v>
      </c>
      <c r="S337" s="23" t="n">
        <f aca="false">IF(A337="","",SUM(H337:R337))</f>
        <v>0.0743007413826304</v>
      </c>
      <c r="T337" s="17" t="str">
        <f aca="false">IF(A337="","",IF(AND(MIN(H337:R337)&gt;=0,MAX(H337:R337)&lt;=1,S337&lt;=1),"OK","CHECK"))</f>
        <v>OK</v>
      </c>
      <c r="U337" s="17" t="str">
        <f aca="false">IF(A337="","", "LOSS-"&amp;A337&amp;"-L"&amp;TEXT(B337,"00")&amp;"-"&amp;TEXT(C337,"yyyymmdd")&amp;"-"&amp;D337&amp;"-"&amp;E337)</f>
        <v>LOSS-KG01-L22-20251123-AM-ORD-2025-00206</v>
      </c>
      <c r="V337" s="17" t="str">
        <f aca="false">IF(U337="","",IF(COUNTIF($U$5:$U$935,U337)=1,"OK","CHECK"))</f>
        <v>OK</v>
      </c>
      <c r="W337" s="17" t="str">
        <f aca="false">IF(A337="","",IF(AND(T337="OK",V337="OK",G337&gt;=0),"OK","CHECK"))</f>
        <v>OK</v>
      </c>
    </row>
    <row r="338" customFormat="false" ht="18" hidden="false" customHeight="true" outlineLevel="0" collapsed="false">
      <c r="A338" s="18" t="s">
        <v>39</v>
      </c>
      <c r="B338" s="19" t="n">
        <v>22</v>
      </c>
      <c r="C338" s="20" t="n">
        <v>45984</v>
      </c>
      <c r="D338" s="18" t="s">
        <v>43</v>
      </c>
      <c r="E338" s="18" t="s">
        <v>103</v>
      </c>
      <c r="F338" s="18" t="s">
        <v>45</v>
      </c>
      <c r="G338" s="21" t="n">
        <v>18282</v>
      </c>
      <c r="H338" s="22" t="n">
        <v>0.0282744385467945</v>
      </c>
      <c r="I338" s="22" t="n">
        <v>2.3288833265528E-005</v>
      </c>
      <c r="J338" s="22" t="n">
        <v>0.00113320198550932</v>
      </c>
      <c r="K338" s="22" t="n">
        <v>0.000216785337333873</v>
      </c>
      <c r="L338" s="22" t="n">
        <v>0.0107807775562083</v>
      </c>
      <c r="M338" s="22" t="n">
        <v>0.0113927582730586</v>
      </c>
      <c r="N338" s="22" t="n">
        <v>0.00612531063630892</v>
      </c>
      <c r="O338" s="22" t="n">
        <v>0.00725390842613257</v>
      </c>
      <c r="P338" s="22" t="n">
        <v>0.000660555398101444</v>
      </c>
      <c r="Q338" s="22" t="n">
        <v>0.0197508551682482</v>
      </c>
      <c r="R338" s="22" t="n">
        <v>0.00237033282125166</v>
      </c>
      <c r="S338" s="23" t="n">
        <f aca="false">IF(A338="","",SUM(H338:R338))</f>
        <v>0.0879822129822129</v>
      </c>
      <c r="T338" s="17" t="str">
        <f aca="false">IF(A338="","",IF(AND(MIN(H338:R338)&gt;=0,MAX(H338:R338)&lt;=1,S338&lt;=1),"OK","CHECK"))</f>
        <v>OK</v>
      </c>
      <c r="U338" s="17" t="str">
        <f aca="false">IF(A338="","", "LOSS-"&amp;A338&amp;"-L"&amp;TEXT(B338,"00")&amp;"-"&amp;TEXT(C338,"yyyymmdd")&amp;"-"&amp;D338&amp;"-"&amp;E338)</f>
        <v>LOSS-KG01-L22-20251123-PM-ORD-2025-00207</v>
      </c>
      <c r="V338" s="17" t="str">
        <f aca="false">IF(U338="","",IF(COUNTIF($U$5:$U$935,U338)=1,"OK","CHECK"))</f>
        <v>OK</v>
      </c>
      <c r="W338" s="17" t="str">
        <f aca="false">IF(A338="","",IF(AND(T338="OK",V338="OK",G338&gt;=0),"OK","CHECK"))</f>
        <v>OK</v>
      </c>
    </row>
    <row r="339" customFormat="false" ht="18" hidden="false" customHeight="true" outlineLevel="0" collapsed="false">
      <c r="A339" s="18" t="s">
        <v>39</v>
      </c>
      <c r="B339" s="19" t="n">
        <v>22</v>
      </c>
      <c r="C339" s="20" t="n">
        <v>45985</v>
      </c>
      <c r="D339" s="18" t="s">
        <v>40</v>
      </c>
      <c r="E339" s="18" t="s">
        <v>103</v>
      </c>
      <c r="F339" s="18" t="s">
        <v>42</v>
      </c>
      <c r="G339" s="21" t="n">
        <v>18959</v>
      </c>
      <c r="H339" s="22" t="n">
        <v>0.00169004677128949</v>
      </c>
      <c r="I339" s="22" t="n">
        <v>0.0022272453574015</v>
      </c>
      <c r="J339" s="22" t="n">
        <v>0.0133539858298806</v>
      </c>
      <c r="K339" s="22" t="n">
        <v>0.00222502650032215</v>
      </c>
      <c r="L339" s="22" t="n">
        <v>0.00727597292477361</v>
      </c>
      <c r="M339" s="22" t="n">
        <v>0.000228040882619925</v>
      </c>
      <c r="N339" s="22" t="n">
        <v>0.0102398341632027</v>
      </c>
      <c r="O339" s="22" t="n">
        <v>0.000106796373714969</v>
      </c>
      <c r="P339" s="22" t="n">
        <v>0.0166441324143194</v>
      </c>
      <c r="Q339" s="22" t="n">
        <v>0.0177164094463282</v>
      </c>
      <c r="R339" s="22" t="n">
        <v>0.0162827816284243</v>
      </c>
      <c r="S339" s="23" t="n">
        <f aca="false">IF(A339="","",SUM(H339:R339))</f>
        <v>0.0879902722922768</v>
      </c>
      <c r="T339" s="17" t="str">
        <f aca="false">IF(A339="","",IF(AND(MIN(H339:R339)&gt;=0,MAX(H339:R339)&lt;=1,S339&lt;=1),"OK","CHECK"))</f>
        <v>OK</v>
      </c>
      <c r="U339" s="17" t="str">
        <f aca="false">IF(A339="","", "LOSS-"&amp;A339&amp;"-L"&amp;TEXT(B339,"00")&amp;"-"&amp;TEXT(C339,"yyyymmdd")&amp;"-"&amp;D339&amp;"-"&amp;E339)</f>
        <v>LOSS-KG01-L22-20251124-AM-ORD-2025-00207</v>
      </c>
      <c r="V339" s="17" t="str">
        <f aca="false">IF(U339="","",IF(COUNTIF($U$5:$U$935,U339)=1,"OK","CHECK"))</f>
        <v>OK</v>
      </c>
      <c r="W339" s="17" t="str">
        <f aca="false">IF(A339="","",IF(AND(T339="OK",V339="OK",G339&gt;=0),"OK","CHECK"))</f>
        <v>OK</v>
      </c>
    </row>
    <row r="340" customFormat="false" ht="18" hidden="false" customHeight="true" outlineLevel="0" collapsed="false">
      <c r="A340" s="18" t="s">
        <v>39</v>
      </c>
      <c r="B340" s="19" t="n">
        <v>22</v>
      </c>
      <c r="C340" s="20" t="n">
        <v>45985</v>
      </c>
      <c r="D340" s="18" t="s">
        <v>43</v>
      </c>
      <c r="E340" s="18" t="s">
        <v>103</v>
      </c>
      <c r="F340" s="18" t="s">
        <v>42</v>
      </c>
      <c r="G340" s="21" t="n">
        <v>11849</v>
      </c>
      <c r="H340" s="22" t="n">
        <v>0.00481889164444541</v>
      </c>
      <c r="I340" s="22" t="n">
        <v>0.00664356926262384</v>
      </c>
      <c r="J340" s="22" t="n">
        <v>0.00229866247136186</v>
      </c>
      <c r="K340" s="22" t="n">
        <v>0.0069513399351831</v>
      </c>
      <c r="L340" s="22" t="n">
        <v>0.00593549408172021</v>
      </c>
      <c r="M340" s="22" t="n">
        <v>0.00651407312135406</v>
      </c>
      <c r="N340" s="22" t="n">
        <v>0.0063422862431022</v>
      </c>
      <c r="O340" s="22" t="n">
        <v>0.00420894257854346</v>
      </c>
      <c r="P340" s="22" t="n">
        <v>0.00814441288312746</v>
      </c>
      <c r="Q340" s="22" t="n">
        <v>0.0031419064971355</v>
      </c>
      <c r="R340" s="22" t="n">
        <v>0.000280718373927065</v>
      </c>
      <c r="S340" s="23" t="n">
        <f aca="false">IF(A340="","",SUM(H340:R340))</f>
        <v>0.0552802970925242</v>
      </c>
      <c r="T340" s="17" t="str">
        <f aca="false">IF(A340="","",IF(AND(MIN(H340:R340)&gt;=0,MAX(H340:R340)&lt;=1,S340&lt;=1),"OK","CHECK"))</f>
        <v>OK</v>
      </c>
      <c r="U340" s="17" t="str">
        <f aca="false">IF(A340="","", "LOSS-"&amp;A340&amp;"-L"&amp;TEXT(B340,"00")&amp;"-"&amp;TEXT(C340,"yyyymmdd")&amp;"-"&amp;D340&amp;"-"&amp;E340)</f>
        <v>LOSS-KG01-L22-20251124-PM-ORD-2025-00207</v>
      </c>
      <c r="V340" s="17" t="str">
        <f aca="false">IF(U340="","",IF(COUNTIF($U$5:$U$935,U340)=1,"OK","CHECK"))</f>
        <v>OK</v>
      </c>
      <c r="W340" s="17" t="str">
        <f aca="false">IF(A340="","",IF(AND(T340="OK",V340="OK",G340&gt;=0),"OK","CHECK"))</f>
        <v>OK</v>
      </c>
    </row>
    <row r="341" customFormat="false" ht="18" hidden="false" customHeight="true" outlineLevel="0" collapsed="false">
      <c r="A341" s="18" t="s">
        <v>39</v>
      </c>
      <c r="B341" s="19" t="n">
        <v>22</v>
      </c>
      <c r="C341" s="20" t="n">
        <v>45986</v>
      </c>
      <c r="D341" s="18" t="s">
        <v>40</v>
      </c>
      <c r="E341" s="18" t="s">
        <v>103</v>
      </c>
      <c r="F341" s="18" t="s">
        <v>42</v>
      </c>
      <c r="G341" s="21" t="n">
        <v>12897</v>
      </c>
      <c r="H341" s="22" t="n">
        <v>1.90478351698623E-006</v>
      </c>
      <c r="I341" s="22" t="n">
        <v>0.0110572849556229</v>
      </c>
      <c r="J341" s="22" t="n">
        <v>0.0142780354832985</v>
      </c>
      <c r="K341" s="22" t="n">
        <v>0.00646658508820365</v>
      </c>
      <c r="L341" s="22" t="n">
        <v>0.00322814758860593</v>
      </c>
      <c r="M341" s="22" t="n">
        <v>0.000981863076889253</v>
      </c>
      <c r="N341" s="22" t="n">
        <v>0.0164128500701961</v>
      </c>
      <c r="O341" s="22" t="n">
        <v>0.00245249985457376</v>
      </c>
      <c r="P341" s="22" t="n">
        <v>0.0187860076421048</v>
      </c>
      <c r="Q341" s="22" t="n">
        <v>0.00169601818640553</v>
      </c>
      <c r="R341" s="22" t="n">
        <v>0.00765031172814047</v>
      </c>
      <c r="S341" s="23" t="n">
        <f aca="false">IF(A341="","",SUM(H341:R341))</f>
        <v>0.0830115084575579</v>
      </c>
      <c r="T341" s="17" t="str">
        <f aca="false">IF(A341="","",IF(AND(MIN(H341:R341)&gt;=0,MAX(H341:R341)&lt;=1,S341&lt;=1),"OK","CHECK"))</f>
        <v>OK</v>
      </c>
      <c r="U341" s="17" t="str">
        <f aca="false">IF(A341="","", "LOSS-"&amp;A341&amp;"-L"&amp;TEXT(B341,"00")&amp;"-"&amp;TEXT(C341,"yyyymmdd")&amp;"-"&amp;D341&amp;"-"&amp;E341)</f>
        <v>LOSS-KG01-L22-20251125-AM-ORD-2025-00207</v>
      </c>
      <c r="V341" s="17" t="str">
        <f aca="false">IF(U341="","",IF(COUNTIF($U$5:$U$935,U341)=1,"OK","CHECK"))</f>
        <v>OK</v>
      </c>
      <c r="W341" s="17" t="str">
        <f aca="false">IF(A341="","",IF(AND(T341="OK",V341="OK",G341&gt;=0),"OK","CHECK"))</f>
        <v>OK</v>
      </c>
    </row>
    <row r="342" customFormat="false" ht="18" hidden="false" customHeight="true" outlineLevel="0" collapsed="false">
      <c r="A342" s="18" t="s">
        <v>39</v>
      </c>
      <c r="B342" s="19" t="n">
        <v>22</v>
      </c>
      <c r="C342" s="20" t="n">
        <v>45986</v>
      </c>
      <c r="D342" s="18" t="s">
        <v>43</v>
      </c>
      <c r="E342" s="18" t="s">
        <v>103</v>
      </c>
      <c r="F342" s="18" t="s">
        <v>42</v>
      </c>
      <c r="G342" s="21" t="n">
        <v>11534</v>
      </c>
      <c r="H342" s="22" t="n">
        <v>4.09012799869747E-005</v>
      </c>
      <c r="I342" s="22" t="n">
        <v>0.00470086987163909</v>
      </c>
      <c r="J342" s="22" t="n">
        <v>0.00483836173458632</v>
      </c>
      <c r="K342" s="22" t="n">
        <v>0.00453081576254197</v>
      </c>
      <c r="L342" s="22" t="n">
        <v>0.0151076232028868</v>
      </c>
      <c r="M342" s="22" t="n">
        <v>0.00142735711302995</v>
      </c>
      <c r="N342" s="22" t="n">
        <v>0.0025874685923319</v>
      </c>
      <c r="O342" s="22" t="n">
        <v>0.0100599442074015</v>
      </c>
      <c r="P342" s="22" t="n">
        <v>0.0159482582007859</v>
      </c>
      <c r="Q342" s="22" t="n">
        <v>3.08461442168501E-005</v>
      </c>
      <c r="R342" s="22" t="n">
        <v>0.015666480030205</v>
      </c>
      <c r="S342" s="23" t="n">
        <f aca="false">IF(A342="","",SUM(H342:R342))</f>
        <v>0.0749389261396123</v>
      </c>
      <c r="T342" s="17" t="str">
        <f aca="false">IF(A342="","",IF(AND(MIN(H342:R342)&gt;=0,MAX(H342:R342)&lt;=1,S342&lt;=1),"OK","CHECK"))</f>
        <v>OK</v>
      </c>
      <c r="U342" s="17" t="str">
        <f aca="false">IF(A342="","", "LOSS-"&amp;A342&amp;"-L"&amp;TEXT(B342,"00")&amp;"-"&amp;TEXT(C342,"yyyymmdd")&amp;"-"&amp;D342&amp;"-"&amp;E342)</f>
        <v>LOSS-KG01-L22-20251125-PM-ORD-2025-00207</v>
      </c>
      <c r="V342" s="17" t="str">
        <f aca="false">IF(U342="","",IF(COUNTIF($U$5:$U$935,U342)=1,"OK","CHECK"))</f>
        <v>OK</v>
      </c>
      <c r="W342" s="17" t="str">
        <f aca="false">IF(A342="","",IF(AND(T342="OK",V342="OK",G342&gt;=0),"OK","CHECK"))</f>
        <v>OK</v>
      </c>
    </row>
    <row r="343" customFormat="false" ht="18" hidden="false" customHeight="true" outlineLevel="0" collapsed="false">
      <c r="A343" s="18" t="s">
        <v>39</v>
      </c>
      <c r="B343" s="19" t="n">
        <v>22</v>
      </c>
      <c r="C343" s="20" t="n">
        <v>45987</v>
      </c>
      <c r="D343" s="18" t="s">
        <v>40</v>
      </c>
      <c r="E343" s="18" t="s">
        <v>103</v>
      </c>
      <c r="F343" s="18" t="s">
        <v>42</v>
      </c>
      <c r="G343" s="21" t="n">
        <v>20236</v>
      </c>
      <c r="H343" s="22" t="n">
        <v>0.0226006907563543</v>
      </c>
      <c r="I343" s="22" t="n">
        <v>0.0155104033495629</v>
      </c>
      <c r="J343" s="22" t="n">
        <v>0.0053805736079168</v>
      </c>
      <c r="K343" s="22" t="n">
        <v>0.00224748128528221</v>
      </c>
      <c r="L343" s="22" t="n">
        <v>0.022457462770148</v>
      </c>
      <c r="M343" s="22" t="n">
        <v>0.00286867457586447</v>
      </c>
      <c r="N343" s="22" t="n">
        <v>0.00350211127924847</v>
      </c>
      <c r="O343" s="22" t="n">
        <v>0.000795953728133885</v>
      </c>
      <c r="P343" s="22" t="n">
        <v>0.00240501691426808</v>
      </c>
      <c r="Q343" s="22" t="n">
        <v>0.00687407518249362</v>
      </c>
      <c r="R343" s="22" t="n">
        <v>0.0014517087343517</v>
      </c>
      <c r="S343" s="23" t="n">
        <f aca="false">IF(A343="","",SUM(H343:R343))</f>
        <v>0.0860941521836244</v>
      </c>
      <c r="T343" s="17" t="str">
        <f aca="false">IF(A343="","",IF(AND(MIN(H343:R343)&gt;=0,MAX(H343:R343)&lt;=1,S343&lt;=1),"OK","CHECK"))</f>
        <v>OK</v>
      </c>
      <c r="U343" s="17" t="str">
        <f aca="false">IF(A343="","", "LOSS-"&amp;A343&amp;"-L"&amp;TEXT(B343,"00")&amp;"-"&amp;TEXT(C343,"yyyymmdd")&amp;"-"&amp;D343&amp;"-"&amp;E343)</f>
        <v>LOSS-KG01-L22-20251126-AM-ORD-2025-00207</v>
      </c>
      <c r="V343" s="17" t="str">
        <f aca="false">IF(U343="","",IF(COUNTIF($U$5:$U$935,U343)=1,"OK","CHECK"))</f>
        <v>OK</v>
      </c>
      <c r="W343" s="17" t="str">
        <f aca="false">IF(A343="","",IF(AND(T343="OK",V343="OK",G343&gt;=0),"OK","CHECK"))</f>
        <v>OK</v>
      </c>
    </row>
    <row r="344" customFormat="false" ht="18" hidden="false" customHeight="true" outlineLevel="0" collapsed="false">
      <c r="A344" s="18" t="s">
        <v>39</v>
      </c>
      <c r="B344" s="19" t="n">
        <v>22</v>
      </c>
      <c r="C344" s="20" t="n">
        <v>45987</v>
      </c>
      <c r="D344" s="18" t="s">
        <v>43</v>
      </c>
      <c r="E344" s="18" t="s">
        <v>103</v>
      </c>
      <c r="F344" s="18" t="s">
        <v>42</v>
      </c>
      <c r="G344" s="21" t="n">
        <v>12041</v>
      </c>
      <c r="H344" s="22" t="n">
        <v>0.000822189251776599</v>
      </c>
      <c r="I344" s="22" t="n">
        <v>0.0252971733036843</v>
      </c>
      <c r="J344" s="22" t="n">
        <v>0.00193013821914905</v>
      </c>
      <c r="K344" s="22" t="n">
        <v>0.0105375696099105</v>
      </c>
      <c r="L344" s="22" t="n">
        <v>0.000322954488409465</v>
      </c>
      <c r="M344" s="22" t="n">
        <v>0.00153924627210705</v>
      </c>
      <c r="N344" s="22" t="n">
        <v>0.00222639920725273</v>
      </c>
      <c r="O344" s="22" t="n">
        <v>0.000264165873567067</v>
      </c>
      <c r="P344" s="22" t="n">
        <v>0.00874352622249522</v>
      </c>
      <c r="Q344" s="22" t="n">
        <v>0.00742115784316553</v>
      </c>
      <c r="R344" s="22" t="n">
        <v>0.000817647078496054</v>
      </c>
      <c r="S344" s="23" t="n">
        <f aca="false">IF(A344="","",SUM(H344:R344))</f>
        <v>0.0599221673700136</v>
      </c>
      <c r="T344" s="17" t="str">
        <f aca="false">IF(A344="","",IF(AND(MIN(H344:R344)&gt;=0,MAX(H344:R344)&lt;=1,S344&lt;=1),"OK","CHECK"))</f>
        <v>OK</v>
      </c>
      <c r="U344" s="17" t="str">
        <f aca="false">IF(A344="","", "LOSS-"&amp;A344&amp;"-L"&amp;TEXT(B344,"00")&amp;"-"&amp;TEXT(C344,"yyyymmdd")&amp;"-"&amp;D344&amp;"-"&amp;E344)</f>
        <v>LOSS-KG01-L22-20251126-PM-ORD-2025-00207</v>
      </c>
      <c r="V344" s="17" t="str">
        <f aca="false">IF(U344="","",IF(COUNTIF($U$5:$U$935,U344)=1,"OK","CHECK"))</f>
        <v>OK</v>
      </c>
      <c r="W344" s="17" t="str">
        <f aca="false">IF(A344="","",IF(AND(T344="OK",V344="OK",G344&gt;=0),"OK","CHECK"))</f>
        <v>OK</v>
      </c>
    </row>
    <row r="345" customFormat="false" ht="18" hidden="false" customHeight="true" outlineLevel="0" collapsed="false">
      <c r="A345" s="18" t="s">
        <v>39</v>
      </c>
      <c r="B345" s="19" t="n">
        <v>22</v>
      </c>
      <c r="C345" s="20" t="n">
        <v>45988</v>
      </c>
      <c r="D345" s="18" t="s">
        <v>40</v>
      </c>
      <c r="E345" s="18" t="s">
        <v>103</v>
      </c>
      <c r="F345" s="18" t="s">
        <v>42</v>
      </c>
      <c r="G345" s="21" t="n">
        <v>11719</v>
      </c>
      <c r="H345" s="22" t="n">
        <v>0.00413427897081416</v>
      </c>
      <c r="I345" s="22" t="n">
        <v>1.82387371556914E-005</v>
      </c>
      <c r="J345" s="22" t="n">
        <v>0.00915877956761071</v>
      </c>
      <c r="K345" s="22" t="n">
        <v>0.00334085545984624</v>
      </c>
      <c r="L345" s="22" t="n">
        <v>0.00043963154073339</v>
      </c>
      <c r="M345" s="22" t="n">
        <v>0.00275371850857357</v>
      </c>
      <c r="N345" s="22" t="n">
        <v>0.00780896003352766</v>
      </c>
      <c r="O345" s="22" t="n">
        <v>0.00157671468128349</v>
      </c>
      <c r="P345" s="22" t="n">
        <v>0.000917120739023517</v>
      </c>
      <c r="Q345" s="22" t="n">
        <v>0.0103737410055422</v>
      </c>
      <c r="R345" s="22" t="n">
        <v>0.00210025571860991</v>
      </c>
      <c r="S345" s="23" t="n">
        <f aca="false">IF(A345="","",SUM(H345:R345))</f>
        <v>0.0426222949627205</v>
      </c>
      <c r="T345" s="17" t="str">
        <f aca="false">IF(A345="","",IF(AND(MIN(H345:R345)&gt;=0,MAX(H345:R345)&lt;=1,S345&lt;=1),"OK","CHECK"))</f>
        <v>OK</v>
      </c>
      <c r="U345" s="17" t="str">
        <f aca="false">IF(A345="","", "LOSS-"&amp;A345&amp;"-L"&amp;TEXT(B345,"00")&amp;"-"&amp;TEXT(C345,"yyyymmdd")&amp;"-"&amp;D345&amp;"-"&amp;E345)</f>
        <v>LOSS-KG01-L22-20251127-AM-ORD-2025-00207</v>
      </c>
      <c r="V345" s="17" t="str">
        <f aca="false">IF(U345="","",IF(COUNTIF($U$5:$U$935,U345)=1,"OK","CHECK"))</f>
        <v>OK</v>
      </c>
      <c r="W345" s="17" t="str">
        <f aca="false">IF(A345="","",IF(AND(T345="OK",V345="OK",G345&gt;=0),"OK","CHECK"))</f>
        <v>OK</v>
      </c>
    </row>
    <row r="346" customFormat="false" ht="18" hidden="false" customHeight="true" outlineLevel="0" collapsed="false">
      <c r="A346" s="18" t="s">
        <v>39</v>
      </c>
      <c r="B346" s="19" t="n">
        <v>22</v>
      </c>
      <c r="C346" s="20" t="n">
        <v>45988</v>
      </c>
      <c r="D346" s="18" t="s">
        <v>43</v>
      </c>
      <c r="E346" s="18" t="s">
        <v>103</v>
      </c>
      <c r="F346" s="18" t="s">
        <v>42</v>
      </c>
      <c r="G346" s="21" t="n">
        <v>7600</v>
      </c>
      <c r="H346" s="22" t="n">
        <v>0.00291599258732116</v>
      </c>
      <c r="I346" s="22" t="n">
        <v>0.000234628513311298</v>
      </c>
      <c r="J346" s="22" t="n">
        <v>0.00303551343496376</v>
      </c>
      <c r="K346" s="22" t="n">
        <v>0.0124190817339611</v>
      </c>
      <c r="L346" s="22" t="n">
        <v>0.0075603002556802</v>
      </c>
      <c r="M346" s="22" t="n">
        <v>0.0124512591403579</v>
      </c>
      <c r="N346" s="22" t="n">
        <v>0.000212002523667961</v>
      </c>
      <c r="O346" s="22" t="n">
        <v>0.0116437990803218</v>
      </c>
      <c r="P346" s="22" t="n">
        <v>0.00358552398967043</v>
      </c>
      <c r="Q346" s="22" t="n">
        <v>0.000111195347587796</v>
      </c>
      <c r="R346" s="22" t="n">
        <v>0.000275864221296136</v>
      </c>
      <c r="S346" s="23" t="n">
        <f aca="false">IF(A346="","",SUM(H346:R346))</f>
        <v>0.0544451608281395</v>
      </c>
      <c r="T346" s="17" t="str">
        <f aca="false">IF(A346="","",IF(AND(MIN(H346:R346)&gt;=0,MAX(H346:R346)&lt;=1,S346&lt;=1),"OK","CHECK"))</f>
        <v>OK</v>
      </c>
      <c r="U346" s="17" t="str">
        <f aca="false">IF(A346="","", "LOSS-"&amp;A346&amp;"-L"&amp;TEXT(B346,"00")&amp;"-"&amp;TEXT(C346,"yyyymmdd")&amp;"-"&amp;D346&amp;"-"&amp;E346)</f>
        <v>LOSS-KG01-L22-20251127-PM-ORD-2025-00207</v>
      </c>
      <c r="V346" s="17" t="str">
        <f aca="false">IF(U346="","",IF(COUNTIF($U$5:$U$935,U346)=1,"OK","CHECK"))</f>
        <v>OK</v>
      </c>
      <c r="W346" s="17" t="str">
        <f aca="false">IF(A346="","",IF(AND(T346="OK",V346="OK",G346&gt;=0),"OK","CHECK"))</f>
        <v>OK</v>
      </c>
    </row>
    <row r="347" customFormat="false" ht="18" hidden="false" customHeight="true" outlineLevel="0" collapsed="false">
      <c r="A347" s="18" t="s">
        <v>39</v>
      </c>
      <c r="B347" s="19" t="n">
        <v>22</v>
      </c>
      <c r="C347" s="20" t="n">
        <v>45989</v>
      </c>
      <c r="D347" s="18" t="s">
        <v>40</v>
      </c>
      <c r="E347" s="18" t="s">
        <v>104</v>
      </c>
      <c r="F347" s="18" t="s">
        <v>45</v>
      </c>
      <c r="G347" s="21" t="n">
        <v>5621</v>
      </c>
      <c r="H347" s="22" t="n">
        <v>0.00091237808821024</v>
      </c>
      <c r="I347" s="22" t="n">
        <v>0.00526202975711259</v>
      </c>
      <c r="J347" s="22" t="n">
        <v>0.0110360962480857</v>
      </c>
      <c r="K347" s="22" t="n">
        <v>0.00759966908454007</v>
      </c>
      <c r="L347" s="22" t="n">
        <v>0.00651838855540327</v>
      </c>
      <c r="M347" s="22" t="n">
        <v>0.000582241462646559</v>
      </c>
      <c r="N347" s="22" t="n">
        <v>6.50483403664295E-005</v>
      </c>
      <c r="O347" s="22" t="n">
        <v>0.00028904078201814</v>
      </c>
      <c r="P347" s="22" t="n">
        <v>0.00132322530509442</v>
      </c>
      <c r="Q347" s="22" t="n">
        <v>0.00241967013420341</v>
      </c>
      <c r="R347" s="22" t="n">
        <v>0.00636592410710927</v>
      </c>
      <c r="S347" s="23" t="n">
        <f aca="false">IF(A347="","",SUM(H347:R347))</f>
        <v>0.0423737118647901</v>
      </c>
      <c r="T347" s="17" t="str">
        <f aca="false">IF(A347="","",IF(AND(MIN(H347:R347)&gt;=0,MAX(H347:R347)&lt;=1,S347&lt;=1),"OK","CHECK"))</f>
        <v>OK</v>
      </c>
      <c r="U347" s="17" t="str">
        <f aca="false">IF(A347="","", "LOSS-"&amp;A347&amp;"-L"&amp;TEXT(B347,"00")&amp;"-"&amp;TEXT(C347,"yyyymmdd")&amp;"-"&amp;D347&amp;"-"&amp;E347)</f>
        <v>LOSS-KG01-L22-20251128-AM-ORD-2025-00208</v>
      </c>
      <c r="V347" s="17" t="str">
        <f aca="false">IF(U347="","",IF(COUNTIF($U$5:$U$935,U347)=1,"OK","CHECK"))</f>
        <v>OK</v>
      </c>
      <c r="W347" s="17" t="str">
        <f aca="false">IF(A347="","",IF(AND(T347="OK",V347="OK",G347&gt;=0),"OK","CHECK"))</f>
        <v>OK</v>
      </c>
    </row>
    <row r="348" customFormat="false" ht="18" hidden="false" customHeight="true" outlineLevel="0" collapsed="false">
      <c r="A348" s="18" t="s">
        <v>39</v>
      </c>
      <c r="B348" s="19" t="n">
        <v>22</v>
      </c>
      <c r="C348" s="20" t="n">
        <v>45989</v>
      </c>
      <c r="D348" s="18" t="s">
        <v>43</v>
      </c>
      <c r="E348" s="18" t="s">
        <v>104</v>
      </c>
      <c r="F348" s="18" t="s">
        <v>42</v>
      </c>
      <c r="G348" s="21" t="n">
        <v>11339</v>
      </c>
      <c r="H348" s="22" t="n">
        <v>0.0077367674132932</v>
      </c>
      <c r="I348" s="22" t="n">
        <v>9.40193714390729E-005</v>
      </c>
      <c r="J348" s="22" t="n">
        <v>0.00810613350262427</v>
      </c>
      <c r="K348" s="22" t="n">
        <v>0.0136367448553648</v>
      </c>
      <c r="L348" s="22" t="n">
        <v>2.52000509337708E-005</v>
      </c>
      <c r="M348" s="22" t="n">
        <v>0.000172790056124416</v>
      </c>
      <c r="N348" s="22" t="n">
        <v>0.00851572562770612</v>
      </c>
      <c r="O348" s="22" t="n">
        <v>0.00465463692393674</v>
      </c>
      <c r="P348" s="22" t="n">
        <v>0.000620931285747339</v>
      </c>
      <c r="Q348" s="22" t="n">
        <v>0.00533640910729158</v>
      </c>
      <c r="R348" s="22" t="n">
        <v>0.0120178107876917</v>
      </c>
      <c r="S348" s="23" t="n">
        <f aca="false">IF(A348="","",SUM(H348:R348))</f>
        <v>0.060917168982153</v>
      </c>
      <c r="T348" s="17" t="str">
        <f aca="false">IF(A348="","",IF(AND(MIN(H348:R348)&gt;=0,MAX(H348:R348)&lt;=1,S348&lt;=1),"OK","CHECK"))</f>
        <v>OK</v>
      </c>
      <c r="U348" s="17" t="str">
        <f aca="false">IF(A348="","", "LOSS-"&amp;A348&amp;"-L"&amp;TEXT(B348,"00")&amp;"-"&amp;TEXT(C348,"yyyymmdd")&amp;"-"&amp;D348&amp;"-"&amp;E348)</f>
        <v>LOSS-KG01-L22-20251128-PM-ORD-2025-00208</v>
      </c>
      <c r="V348" s="17" t="str">
        <f aca="false">IF(U348="","",IF(COUNTIF($U$5:$U$935,U348)=1,"OK","CHECK"))</f>
        <v>OK</v>
      </c>
      <c r="W348" s="17" t="str">
        <f aca="false">IF(A348="","",IF(AND(T348="OK",V348="OK",G348&gt;=0),"OK","CHECK"))</f>
        <v>OK</v>
      </c>
    </row>
    <row r="349" customFormat="false" ht="18" hidden="false" customHeight="true" outlineLevel="0" collapsed="false">
      <c r="A349" s="18" t="s">
        <v>39</v>
      </c>
      <c r="B349" s="19" t="n">
        <v>22</v>
      </c>
      <c r="C349" s="20" t="n">
        <v>45990</v>
      </c>
      <c r="D349" s="18" t="s">
        <v>40</v>
      </c>
      <c r="E349" s="18" t="s">
        <v>104</v>
      </c>
      <c r="F349" s="18" t="s">
        <v>42</v>
      </c>
      <c r="G349" s="21" t="n">
        <v>11355</v>
      </c>
      <c r="H349" s="22" t="n">
        <v>0.00706973196395814</v>
      </c>
      <c r="I349" s="22" t="n">
        <v>0.0162495623600283</v>
      </c>
      <c r="J349" s="22" t="n">
        <v>0.00709695505451795</v>
      </c>
      <c r="K349" s="22" t="n">
        <v>0.00109070608830951</v>
      </c>
      <c r="L349" s="22" t="n">
        <v>0.00620077859827257</v>
      </c>
      <c r="M349" s="22" t="n">
        <v>0.0137179595420435</v>
      </c>
      <c r="N349" s="22" t="n">
        <v>0.000874610097538392</v>
      </c>
      <c r="O349" s="22" t="n">
        <v>0.000690601520019535</v>
      </c>
      <c r="P349" s="22" t="n">
        <v>0.00398612722623528</v>
      </c>
      <c r="Q349" s="22" t="n">
        <v>0.00423391956164759</v>
      </c>
      <c r="R349" s="22" t="n">
        <v>0.000631411231661708</v>
      </c>
      <c r="S349" s="23" t="n">
        <f aca="false">IF(A349="","",SUM(H349:R349))</f>
        <v>0.0618423632442325</v>
      </c>
      <c r="T349" s="17" t="str">
        <f aca="false">IF(A349="","",IF(AND(MIN(H349:R349)&gt;=0,MAX(H349:R349)&lt;=1,S349&lt;=1),"OK","CHECK"))</f>
        <v>OK</v>
      </c>
      <c r="U349" s="17" t="str">
        <f aca="false">IF(A349="","", "LOSS-"&amp;A349&amp;"-L"&amp;TEXT(B349,"00")&amp;"-"&amp;TEXT(C349,"yyyymmdd")&amp;"-"&amp;D349&amp;"-"&amp;E349)</f>
        <v>LOSS-KG01-L22-20251129-AM-ORD-2025-00208</v>
      </c>
      <c r="V349" s="17" t="str">
        <f aca="false">IF(U349="","",IF(COUNTIF($U$5:$U$935,U349)=1,"OK","CHECK"))</f>
        <v>OK</v>
      </c>
      <c r="W349" s="17" t="str">
        <f aca="false">IF(A349="","",IF(AND(T349="OK",V349="OK",G349&gt;=0),"OK","CHECK"))</f>
        <v>OK</v>
      </c>
    </row>
    <row r="350" customFormat="false" ht="18" hidden="false" customHeight="true" outlineLevel="0" collapsed="false">
      <c r="A350" s="18" t="s">
        <v>39</v>
      </c>
      <c r="B350" s="19" t="n">
        <v>22</v>
      </c>
      <c r="C350" s="20" t="n">
        <v>45990</v>
      </c>
      <c r="D350" s="18" t="s">
        <v>43</v>
      </c>
      <c r="E350" s="18" t="s">
        <v>104</v>
      </c>
      <c r="F350" s="18" t="s">
        <v>42</v>
      </c>
      <c r="G350" s="21" t="n">
        <v>6049</v>
      </c>
      <c r="H350" s="22" t="n">
        <v>0.00192026815166914</v>
      </c>
      <c r="I350" s="22" t="n">
        <v>0.000135177687855047</v>
      </c>
      <c r="J350" s="22" t="n">
        <v>0.00313591225991161</v>
      </c>
      <c r="K350" s="22" t="n">
        <v>6.12476280588996E-005</v>
      </c>
      <c r="L350" s="22" t="n">
        <v>0.00207463698450398</v>
      </c>
      <c r="M350" s="22" t="n">
        <v>0.00407140800706342</v>
      </c>
      <c r="N350" s="22" t="n">
        <v>0.00035704422978279</v>
      </c>
      <c r="O350" s="22" t="n">
        <v>0.00146806271426845</v>
      </c>
      <c r="P350" s="22" t="n">
        <v>0.00187388891517777</v>
      </c>
      <c r="Q350" s="22" t="n">
        <v>0.00290749184022392</v>
      </c>
      <c r="R350" s="22" t="n">
        <v>0.00392312798327723</v>
      </c>
      <c r="S350" s="23" t="n">
        <f aca="false">IF(A350="","",SUM(H350:R350))</f>
        <v>0.0219282664017923</v>
      </c>
      <c r="T350" s="17" t="str">
        <f aca="false">IF(A350="","",IF(AND(MIN(H350:R350)&gt;=0,MAX(H350:R350)&lt;=1,S350&lt;=1),"OK","CHECK"))</f>
        <v>OK</v>
      </c>
      <c r="U350" s="17" t="str">
        <f aca="false">IF(A350="","", "LOSS-"&amp;A350&amp;"-L"&amp;TEXT(B350,"00")&amp;"-"&amp;TEXT(C350,"yyyymmdd")&amp;"-"&amp;D350&amp;"-"&amp;E350)</f>
        <v>LOSS-KG01-L22-20251129-PM-ORD-2025-00208</v>
      </c>
      <c r="V350" s="17" t="str">
        <f aca="false">IF(U350="","",IF(COUNTIF($U$5:$U$935,U350)=1,"OK","CHECK"))</f>
        <v>OK</v>
      </c>
      <c r="W350" s="17" t="str">
        <f aca="false">IF(A350="","",IF(AND(T350="OK",V350="OK",G350&gt;=0),"OK","CHECK"))</f>
        <v>OK</v>
      </c>
    </row>
    <row r="351" customFormat="false" ht="18" hidden="false" customHeight="true" outlineLevel="0" collapsed="false">
      <c r="A351" s="18" t="s">
        <v>39</v>
      </c>
      <c r="B351" s="19" t="n">
        <v>22</v>
      </c>
      <c r="C351" s="20" t="n">
        <v>45991</v>
      </c>
      <c r="D351" s="18" t="s">
        <v>40</v>
      </c>
      <c r="E351" s="18" t="s">
        <v>104</v>
      </c>
      <c r="F351" s="18" t="s">
        <v>42</v>
      </c>
      <c r="G351" s="21" t="n">
        <v>5890</v>
      </c>
      <c r="H351" s="22" t="n">
        <v>8.90660161528659E-006</v>
      </c>
      <c r="I351" s="22" t="n">
        <v>0.002798448828719</v>
      </c>
      <c r="J351" s="22" t="n">
        <v>0.00222443824329647</v>
      </c>
      <c r="K351" s="22" t="n">
        <v>0.0023542830963755</v>
      </c>
      <c r="L351" s="22" t="n">
        <v>0.000325722868076359</v>
      </c>
      <c r="M351" s="22" t="n">
        <v>0.000718914010317395</v>
      </c>
      <c r="N351" s="22" t="n">
        <v>0.00166368381859568</v>
      </c>
      <c r="O351" s="22" t="n">
        <v>0.0053847501043549</v>
      </c>
      <c r="P351" s="22" t="n">
        <v>0.00455662728421951</v>
      </c>
      <c r="Q351" s="22" t="n">
        <v>0.00417866277253999</v>
      </c>
      <c r="R351" s="22" t="n">
        <v>0.0045270838670346</v>
      </c>
      <c r="S351" s="23" t="n">
        <f aca="false">IF(A351="","",SUM(H351:R351))</f>
        <v>0.0287415214951447</v>
      </c>
      <c r="T351" s="17" t="str">
        <f aca="false">IF(A351="","",IF(AND(MIN(H351:R351)&gt;=0,MAX(H351:R351)&lt;=1,S351&lt;=1),"OK","CHECK"))</f>
        <v>OK</v>
      </c>
      <c r="U351" s="17" t="str">
        <f aca="false">IF(A351="","", "LOSS-"&amp;A351&amp;"-L"&amp;TEXT(B351,"00")&amp;"-"&amp;TEXT(C351,"yyyymmdd")&amp;"-"&amp;D351&amp;"-"&amp;E351)</f>
        <v>LOSS-KG01-L22-20251130-AM-ORD-2025-00208</v>
      </c>
      <c r="V351" s="17" t="str">
        <f aca="false">IF(U351="","",IF(COUNTIF($U$5:$U$935,U351)=1,"OK","CHECK"))</f>
        <v>OK</v>
      </c>
      <c r="W351" s="17" t="str">
        <f aca="false">IF(A351="","",IF(AND(T351="OK",V351="OK",G351&gt;=0),"OK","CHECK"))</f>
        <v>OK</v>
      </c>
    </row>
    <row r="352" customFormat="false" ht="18" hidden="false" customHeight="true" outlineLevel="0" collapsed="false">
      <c r="A352" s="18" t="s">
        <v>39</v>
      </c>
      <c r="B352" s="19" t="n">
        <v>22</v>
      </c>
      <c r="C352" s="20" t="n">
        <v>45991</v>
      </c>
      <c r="D352" s="18" t="s">
        <v>43</v>
      </c>
      <c r="E352" s="18" t="s">
        <v>105</v>
      </c>
      <c r="F352" s="18" t="s">
        <v>45</v>
      </c>
      <c r="G352" s="21" t="n">
        <v>7104</v>
      </c>
      <c r="H352" s="22" t="n">
        <v>0.00709516056028555</v>
      </c>
      <c r="I352" s="22" t="n">
        <v>0.00382143361677866</v>
      </c>
      <c r="J352" s="22" t="n">
        <v>0.00631189518071627</v>
      </c>
      <c r="K352" s="22" t="n">
        <v>0.00568347256740724</v>
      </c>
      <c r="L352" s="22" t="n">
        <v>0.00469571055050601</v>
      </c>
      <c r="M352" s="22" t="n">
        <v>0.00138775366208789</v>
      </c>
      <c r="N352" s="22" t="n">
        <v>0.000762172751762851</v>
      </c>
      <c r="O352" s="22" t="n">
        <v>0.0147441668249567</v>
      </c>
      <c r="P352" s="22" t="n">
        <v>0.0127893886669104</v>
      </c>
      <c r="Q352" s="22" t="n">
        <v>0.00928015914388686</v>
      </c>
      <c r="R352" s="22" t="n">
        <v>0.00279962177146163</v>
      </c>
      <c r="S352" s="23" t="n">
        <f aca="false">IF(A352="","",SUM(H352:R352))</f>
        <v>0.0693709352967601</v>
      </c>
      <c r="T352" s="17" t="str">
        <f aca="false">IF(A352="","",IF(AND(MIN(H352:R352)&gt;=0,MAX(H352:R352)&lt;=1,S352&lt;=1),"OK","CHECK"))</f>
        <v>OK</v>
      </c>
      <c r="U352" s="17" t="str">
        <f aca="false">IF(A352="","", "LOSS-"&amp;A352&amp;"-L"&amp;TEXT(B352,"00")&amp;"-"&amp;TEXT(C352,"yyyymmdd")&amp;"-"&amp;D352&amp;"-"&amp;E352)</f>
        <v>LOSS-KG01-L22-20251130-PM-ORD-2025-00209</v>
      </c>
      <c r="V352" s="17" t="str">
        <f aca="false">IF(U352="","",IF(COUNTIF($U$5:$U$935,U352)=1,"OK","CHECK"))</f>
        <v>OK</v>
      </c>
      <c r="W352" s="17" t="str">
        <f aca="false">IF(A352="","",IF(AND(T352="OK",V352="OK",G352&gt;=0),"OK","CHECK"))</f>
        <v>OK</v>
      </c>
    </row>
    <row r="353" customFormat="false" ht="18" hidden="false" customHeight="true" outlineLevel="0" collapsed="false">
      <c r="A353" s="18" t="s">
        <v>39</v>
      </c>
      <c r="B353" s="19" t="n">
        <v>22</v>
      </c>
      <c r="C353" s="20" t="n">
        <v>45992</v>
      </c>
      <c r="D353" s="18" t="s">
        <v>40</v>
      </c>
      <c r="E353" s="18" t="s">
        <v>105</v>
      </c>
      <c r="F353" s="18" t="s">
        <v>42</v>
      </c>
      <c r="G353" s="21" t="n">
        <v>20360</v>
      </c>
      <c r="H353" s="22" t="n">
        <v>0.00321813597961337</v>
      </c>
      <c r="I353" s="22" t="n">
        <v>0.000985007794816572</v>
      </c>
      <c r="J353" s="22" t="n">
        <v>0.00290506535107505</v>
      </c>
      <c r="K353" s="22" t="n">
        <v>0.000499617699584437</v>
      </c>
      <c r="L353" s="22" t="n">
        <v>0.0147182382607835</v>
      </c>
      <c r="M353" s="22" t="n">
        <v>0.00702340094330302</v>
      </c>
      <c r="N353" s="22" t="n">
        <v>0.00194428270209475</v>
      </c>
      <c r="O353" s="22" t="n">
        <v>0.00255043608938954</v>
      </c>
      <c r="P353" s="22" t="n">
        <v>0.000263916128941542</v>
      </c>
      <c r="Q353" s="22" t="n">
        <v>0.0125244715238777</v>
      </c>
      <c r="R353" s="22" t="n">
        <v>0.0113589167912591</v>
      </c>
      <c r="S353" s="23" t="n">
        <f aca="false">IF(A353="","",SUM(H353:R353))</f>
        <v>0.0579914892647386</v>
      </c>
      <c r="T353" s="17" t="str">
        <f aca="false">IF(A353="","",IF(AND(MIN(H353:R353)&gt;=0,MAX(H353:R353)&lt;=1,S353&lt;=1),"OK","CHECK"))</f>
        <v>OK</v>
      </c>
      <c r="U353" s="17" t="str">
        <f aca="false">IF(A353="","", "LOSS-"&amp;A353&amp;"-L"&amp;TEXT(B353,"00")&amp;"-"&amp;TEXT(C353,"yyyymmdd")&amp;"-"&amp;D353&amp;"-"&amp;E353)</f>
        <v>LOSS-KG01-L22-20251201-AM-ORD-2025-00209</v>
      </c>
      <c r="V353" s="17" t="str">
        <f aca="false">IF(U353="","",IF(COUNTIF($U$5:$U$935,U353)=1,"OK","CHECK"))</f>
        <v>OK</v>
      </c>
      <c r="W353" s="17" t="str">
        <f aca="false">IF(A353="","",IF(AND(T353="OK",V353="OK",G353&gt;=0),"OK","CHECK"))</f>
        <v>OK</v>
      </c>
    </row>
    <row r="354" customFormat="false" ht="18" hidden="false" customHeight="true" outlineLevel="0" collapsed="false">
      <c r="A354" s="18" t="s">
        <v>39</v>
      </c>
      <c r="B354" s="19" t="n">
        <v>22</v>
      </c>
      <c r="C354" s="20" t="n">
        <v>45992</v>
      </c>
      <c r="D354" s="18" t="s">
        <v>43</v>
      </c>
      <c r="E354" s="18" t="s">
        <v>105</v>
      </c>
      <c r="F354" s="18" t="s">
        <v>42</v>
      </c>
      <c r="G354" s="21" t="n">
        <v>19645</v>
      </c>
      <c r="H354" s="22" t="n">
        <v>0.0127458331653071</v>
      </c>
      <c r="I354" s="22" t="n">
        <v>0.00616829841205425</v>
      </c>
      <c r="J354" s="22" t="n">
        <v>0.00806353525901295</v>
      </c>
      <c r="K354" s="22" t="n">
        <v>1.43220431934425E-005</v>
      </c>
      <c r="L354" s="22" t="n">
        <v>0.00122561556851028</v>
      </c>
      <c r="M354" s="22" t="n">
        <v>0.000790018420523393</v>
      </c>
      <c r="N354" s="22" t="n">
        <v>0.0123645608605595</v>
      </c>
      <c r="O354" s="22" t="n">
        <v>0.00285621204609928</v>
      </c>
      <c r="P354" s="22" t="n">
        <v>0.00539761233830855</v>
      </c>
      <c r="Q354" s="22" t="n">
        <v>0.00178341624652522</v>
      </c>
      <c r="R354" s="22" t="n">
        <v>0.00777902056105841</v>
      </c>
      <c r="S354" s="23" t="n">
        <f aca="false">IF(A354="","",SUM(H354:R354))</f>
        <v>0.0591884449211524</v>
      </c>
      <c r="T354" s="17" t="str">
        <f aca="false">IF(A354="","",IF(AND(MIN(H354:R354)&gt;=0,MAX(H354:R354)&lt;=1,S354&lt;=1),"OK","CHECK"))</f>
        <v>OK</v>
      </c>
      <c r="U354" s="17" t="str">
        <f aca="false">IF(A354="","", "LOSS-"&amp;A354&amp;"-L"&amp;TEXT(B354,"00")&amp;"-"&amp;TEXT(C354,"yyyymmdd")&amp;"-"&amp;D354&amp;"-"&amp;E354)</f>
        <v>LOSS-KG01-L22-20251201-PM-ORD-2025-00209</v>
      </c>
      <c r="V354" s="17" t="str">
        <f aca="false">IF(U354="","",IF(COUNTIF($U$5:$U$935,U354)=1,"OK","CHECK"))</f>
        <v>OK</v>
      </c>
      <c r="W354" s="17" t="str">
        <f aca="false">IF(A354="","",IF(AND(T354="OK",V354="OK",G354&gt;=0),"OK","CHECK"))</f>
        <v>OK</v>
      </c>
    </row>
    <row r="355" customFormat="false" ht="18" hidden="false" customHeight="true" outlineLevel="0" collapsed="false">
      <c r="A355" s="18" t="s">
        <v>39</v>
      </c>
      <c r="B355" s="19" t="n">
        <v>22</v>
      </c>
      <c r="C355" s="20" t="n">
        <v>45993</v>
      </c>
      <c r="D355" s="18" t="s">
        <v>40</v>
      </c>
      <c r="E355" s="18" t="s">
        <v>105</v>
      </c>
      <c r="F355" s="18" t="s">
        <v>42</v>
      </c>
      <c r="G355" s="21" t="n">
        <v>9906</v>
      </c>
      <c r="H355" s="22" t="n">
        <v>0.00522806083028145</v>
      </c>
      <c r="I355" s="22" t="n">
        <v>0.0202349820069056</v>
      </c>
      <c r="J355" s="22" t="n">
        <v>0.00558930782886832</v>
      </c>
      <c r="K355" s="22" t="n">
        <v>0.00210113034076942</v>
      </c>
      <c r="L355" s="22" t="n">
        <v>9.22760307163322E-005</v>
      </c>
      <c r="M355" s="22" t="n">
        <v>0.00728720694125279</v>
      </c>
      <c r="N355" s="22" t="n">
        <v>0.00148202567235428</v>
      </c>
      <c r="O355" s="22" t="n">
        <v>0.0125155714269095</v>
      </c>
      <c r="P355" s="22" t="n">
        <v>6.4364446362002E-005</v>
      </c>
      <c r="Q355" s="22" t="n">
        <v>0.00619474839356543</v>
      </c>
      <c r="R355" s="22" t="n">
        <v>0.001514172114909</v>
      </c>
      <c r="S355" s="23" t="n">
        <f aca="false">IF(A355="","",SUM(H355:R355))</f>
        <v>0.0623038460328941</v>
      </c>
      <c r="T355" s="17" t="str">
        <f aca="false">IF(A355="","",IF(AND(MIN(H355:R355)&gt;=0,MAX(H355:R355)&lt;=1,S355&lt;=1),"OK","CHECK"))</f>
        <v>OK</v>
      </c>
      <c r="U355" s="17" t="str">
        <f aca="false">IF(A355="","", "LOSS-"&amp;A355&amp;"-L"&amp;TEXT(B355,"00")&amp;"-"&amp;TEXT(C355,"yyyymmdd")&amp;"-"&amp;D355&amp;"-"&amp;E355)</f>
        <v>LOSS-KG01-L22-20251202-AM-ORD-2025-00209</v>
      </c>
      <c r="V355" s="17" t="str">
        <f aca="false">IF(U355="","",IF(COUNTIF($U$5:$U$935,U355)=1,"OK","CHECK"))</f>
        <v>OK</v>
      </c>
      <c r="W355" s="17" t="str">
        <f aca="false">IF(A355="","",IF(AND(T355="OK",V355="OK",G355&gt;=0),"OK","CHECK"))</f>
        <v>OK</v>
      </c>
    </row>
    <row r="356" customFormat="false" ht="18" hidden="false" customHeight="true" outlineLevel="0" collapsed="false">
      <c r="A356" s="18" t="s">
        <v>39</v>
      </c>
      <c r="B356" s="19" t="n">
        <v>22</v>
      </c>
      <c r="C356" s="20" t="n">
        <v>45993</v>
      </c>
      <c r="D356" s="18" t="s">
        <v>43</v>
      </c>
      <c r="E356" s="18" t="s">
        <v>106</v>
      </c>
      <c r="F356" s="18" t="s">
        <v>45</v>
      </c>
      <c r="G356" s="21" t="n">
        <v>1774</v>
      </c>
      <c r="H356" s="22" t="n">
        <v>0.0143506319683695</v>
      </c>
      <c r="I356" s="22" t="n">
        <v>0.005377600384468</v>
      </c>
      <c r="J356" s="22" t="n">
        <v>0.011374384483892</v>
      </c>
      <c r="K356" s="22" t="n">
        <v>0.000227777984572572</v>
      </c>
      <c r="L356" s="22" t="n">
        <v>0.0175476063209338</v>
      </c>
      <c r="M356" s="22" t="n">
        <v>0.00698178811146131</v>
      </c>
      <c r="N356" s="22" t="n">
        <v>0.000312511377495408</v>
      </c>
      <c r="O356" s="22" t="n">
        <v>0.00545319313593969</v>
      </c>
      <c r="P356" s="22" t="n">
        <v>0.0169020579466986</v>
      </c>
      <c r="Q356" s="22" t="n">
        <v>8.3470050052934E-006</v>
      </c>
      <c r="R356" s="22" t="n">
        <v>0.00269120750827003</v>
      </c>
      <c r="S356" s="23" t="n">
        <f aca="false">IF(A356="","",SUM(H356:R356))</f>
        <v>0.0812271062271062</v>
      </c>
      <c r="T356" s="17" t="str">
        <f aca="false">IF(A356="","",IF(AND(MIN(H356:R356)&gt;=0,MAX(H356:R356)&lt;=1,S356&lt;=1),"OK","CHECK"))</f>
        <v>OK</v>
      </c>
      <c r="U356" s="17" t="str">
        <f aca="false">IF(A356="","", "LOSS-"&amp;A356&amp;"-L"&amp;TEXT(B356,"00")&amp;"-"&amp;TEXT(C356,"yyyymmdd")&amp;"-"&amp;D356&amp;"-"&amp;E356)</f>
        <v>LOSS-KG01-L22-20251202-PM-ORD-2025-00210</v>
      </c>
      <c r="V356" s="17" t="str">
        <f aca="false">IF(U356="","",IF(COUNTIF($U$5:$U$935,U356)=1,"OK","CHECK"))</f>
        <v>OK</v>
      </c>
      <c r="W356" s="17" t="str">
        <f aca="false">IF(A356="","",IF(AND(T356="OK",V356="OK",G356&gt;=0),"OK","CHECK"))</f>
        <v>OK</v>
      </c>
    </row>
    <row r="357" customFormat="false" ht="18" hidden="false" customHeight="true" outlineLevel="0" collapsed="false">
      <c r="A357" s="18" t="s">
        <v>39</v>
      </c>
      <c r="B357" s="19" t="n">
        <v>22</v>
      </c>
      <c r="C357" s="20" t="n">
        <v>45994</v>
      </c>
      <c r="D357" s="18" t="s">
        <v>40</v>
      </c>
      <c r="E357" s="18" t="s">
        <v>106</v>
      </c>
      <c r="F357" s="18" t="s">
        <v>42</v>
      </c>
      <c r="G357" s="21" t="n">
        <v>14942</v>
      </c>
      <c r="H357" s="22" t="n">
        <v>0.0124246336105064</v>
      </c>
      <c r="I357" s="22" t="n">
        <v>0.0022659552006395</v>
      </c>
      <c r="J357" s="22" t="n">
        <v>0.00253760625622653</v>
      </c>
      <c r="K357" s="22" t="n">
        <v>0.0119697193781859</v>
      </c>
      <c r="L357" s="22" t="n">
        <v>8.21631954054791E-005</v>
      </c>
      <c r="M357" s="22" t="n">
        <v>4.94094956556216E-005</v>
      </c>
      <c r="N357" s="22" t="n">
        <v>0.000903576419204834</v>
      </c>
      <c r="O357" s="22" t="n">
        <v>0.00584906386385248</v>
      </c>
      <c r="P357" s="22" t="n">
        <v>0.0198004842274052</v>
      </c>
      <c r="Q357" s="22" t="n">
        <v>0.0143302666701834</v>
      </c>
      <c r="R357" s="22" t="n">
        <v>0.00319126202602742</v>
      </c>
      <c r="S357" s="23" t="n">
        <f aca="false">IF(A357="","",SUM(H357:R357))</f>
        <v>0.0734041403432928</v>
      </c>
      <c r="T357" s="17" t="str">
        <f aca="false">IF(A357="","",IF(AND(MIN(H357:R357)&gt;=0,MAX(H357:R357)&lt;=1,S357&lt;=1),"OK","CHECK"))</f>
        <v>OK</v>
      </c>
      <c r="U357" s="17" t="str">
        <f aca="false">IF(A357="","", "LOSS-"&amp;A357&amp;"-L"&amp;TEXT(B357,"00")&amp;"-"&amp;TEXT(C357,"yyyymmdd")&amp;"-"&amp;D357&amp;"-"&amp;E357)</f>
        <v>LOSS-KG01-L22-20251203-AM-ORD-2025-00210</v>
      </c>
      <c r="V357" s="17" t="str">
        <f aca="false">IF(U357="","",IF(COUNTIF($U$5:$U$935,U357)=1,"OK","CHECK"))</f>
        <v>OK</v>
      </c>
      <c r="W357" s="17" t="str">
        <f aca="false">IF(A357="","",IF(AND(T357="OK",V357="OK",G357&gt;=0),"OK","CHECK"))</f>
        <v>OK</v>
      </c>
    </row>
    <row r="358" customFormat="false" ht="18" hidden="false" customHeight="true" outlineLevel="0" collapsed="false">
      <c r="A358" s="18" t="s">
        <v>39</v>
      </c>
      <c r="B358" s="19" t="n">
        <v>22</v>
      </c>
      <c r="C358" s="20" t="n">
        <v>45994</v>
      </c>
      <c r="D358" s="18" t="s">
        <v>43</v>
      </c>
      <c r="E358" s="18" t="s">
        <v>106</v>
      </c>
      <c r="F358" s="18" t="s">
        <v>42</v>
      </c>
      <c r="G358" s="21" t="n">
        <v>8128</v>
      </c>
      <c r="H358" s="22" t="n">
        <v>0.0106671266980873</v>
      </c>
      <c r="I358" s="22" t="n">
        <v>0.00174330384522658</v>
      </c>
      <c r="J358" s="22" t="n">
        <v>0.000539318443683785</v>
      </c>
      <c r="K358" s="22" t="n">
        <v>0.00289387710550975</v>
      </c>
      <c r="L358" s="22" t="n">
        <v>0.00353790983663634</v>
      </c>
      <c r="M358" s="22" t="n">
        <v>0.00632978992158715</v>
      </c>
      <c r="N358" s="22" t="n">
        <v>0.00128050238778052</v>
      </c>
      <c r="O358" s="22" t="n">
        <v>3.85213092573628E-006</v>
      </c>
      <c r="P358" s="22" t="n">
        <v>0.0147987293329138</v>
      </c>
      <c r="Q358" s="22" t="n">
        <v>0.0118045589155335</v>
      </c>
      <c r="R358" s="22" t="n">
        <v>0.00573989366455917</v>
      </c>
      <c r="S358" s="23" t="n">
        <f aca="false">IF(A358="","",SUM(H358:R358))</f>
        <v>0.0593388622824436</v>
      </c>
      <c r="T358" s="17" t="str">
        <f aca="false">IF(A358="","",IF(AND(MIN(H358:R358)&gt;=0,MAX(H358:R358)&lt;=1,S358&lt;=1),"OK","CHECK"))</f>
        <v>OK</v>
      </c>
      <c r="U358" s="17" t="str">
        <f aca="false">IF(A358="","", "LOSS-"&amp;A358&amp;"-L"&amp;TEXT(B358,"00")&amp;"-"&amp;TEXT(C358,"yyyymmdd")&amp;"-"&amp;D358&amp;"-"&amp;E358)</f>
        <v>LOSS-KG01-L22-20251203-PM-ORD-2025-00210</v>
      </c>
      <c r="V358" s="17" t="str">
        <f aca="false">IF(U358="","",IF(COUNTIF($U$5:$U$935,U358)=1,"OK","CHECK"))</f>
        <v>OK</v>
      </c>
      <c r="W358" s="17" t="str">
        <f aca="false">IF(A358="","",IF(AND(T358="OK",V358="OK",G358&gt;=0),"OK","CHECK"))</f>
        <v>OK</v>
      </c>
    </row>
    <row r="359" customFormat="false" ht="18" hidden="false" customHeight="true" outlineLevel="0" collapsed="false">
      <c r="A359" s="18" t="s">
        <v>39</v>
      </c>
      <c r="B359" s="19" t="n">
        <v>22</v>
      </c>
      <c r="C359" s="20" t="n">
        <v>45995</v>
      </c>
      <c r="D359" s="18" t="s">
        <v>40</v>
      </c>
      <c r="E359" s="18" t="s">
        <v>106</v>
      </c>
      <c r="F359" s="18" t="s">
        <v>42</v>
      </c>
      <c r="G359" s="21" t="n">
        <v>7051</v>
      </c>
      <c r="H359" s="22" t="n">
        <v>0.00326155397741399</v>
      </c>
      <c r="I359" s="22" t="n">
        <v>0.00812108225312141</v>
      </c>
      <c r="J359" s="22" t="n">
        <v>2.31878237209602E-005</v>
      </c>
      <c r="K359" s="22" t="n">
        <v>0.00103927881874585</v>
      </c>
      <c r="L359" s="22" t="n">
        <v>7.6226399120449E-006</v>
      </c>
      <c r="M359" s="22" t="n">
        <v>0.00517257647503285</v>
      </c>
      <c r="N359" s="22" t="n">
        <v>0.00613972836192131</v>
      </c>
      <c r="O359" s="22" t="n">
        <v>1.47962646534613E-005</v>
      </c>
      <c r="P359" s="22" t="n">
        <v>0.00729303684574451</v>
      </c>
      <c r="Q359" s="22" t="n">
        <v>0.0085715728634449</v>
      </c>
      <c r="R359" s="22" t="n">
        <v>0.00185156179304954</v>
      </c>
      <c r="S359" s="23" t="n">
        <f aca="false">IF(A359="","",SUM(H359:R359))</f>
        <v>0.0414959981167608</v>
      </c>
      <c r="T359" s="17" t="str">
        <f aca="false">IF(A359="","",IF(AND(MIN(H359:R359)&gt;=0,MAX(H359:R359)&lt;=1,S359&lt;=1),"OK","CHECK"))</f>
        <v>OK</v>
      </c>
      <c r="U359" s="17" t="str">
        <f aca="false">IF(A359="","", "LOSS-"&amp;A359&amp;"-L"&amp;TEXT(B359,"00")&amp;"-"&amp;TEXT(C359,"yyyymmdd")&amp;"-"&amp;D359&amp;"-"&amp;E359)</f>
        <v>LOSS-KG01-L22-20251204-AM-ORD-2025-00210</v>
      </c>
      <c r="V359" s="17" t="str">
        <f aca="false">IF(U359="","",IF(COUNTIF($U$5:$U$935,U359)=1,"OK","CHECK"))</f>
        <v>OK</v>
      </c>
      <c r="W359" s="17" t="str">
        <f aca="false">IF(A359="","",IF(AND(T359="OK",V359="OK",G359&gt;=0),"OK","CHECK"))</f>
        <v>OK</v>
      </c>
    </row>
    <row r="360" customFormat="false" ht="18" hidden="false" customHeight="true" outlineLevel="0" collapsed="false">
      <c r="A360" s="18" t="s">
        <v>39</v>
      </c>
      <c r="B360" s="19" t="n">
        <v>22</v>
      </c>
      <c r="C360" s="20" t="n">
        <v>45995</v>
      </c>
      <c r="D360" s="18" t="s">
        <v>43</v>
      </c>
      <c r="E360" s="18" t="s">
        <v>107</v>
      </c>
      <c r="F360" s="18" t="s">
        <v>45</v>
      </c>
      <c r="G360" s="21" t="n">
        <v>12993</v>
      </c>
      <c r="H360" s="22" t="n">
        <v>0.00214054421565422</v>
      </c>
      <c r="I360" s="22" t="n">
        <v>0.00892474566444834</v>
      </c>
      <c r="J360" s="22" t="n">
        <v>0.0102423471160582</v>
      </c>
      <c r="K360" s="22" t="n">
        <v>0.00990314673246154</v>
      </c>
      <c r="L360" s="22" t="n">
        <v>7.80558432459854E-005</v>
      </c>
      <c r="M360" s="22" t="n">
        <v>0.00339245495579679</v>
      </c>
      <c r="N360" s="22" t="n">
        <v>0.00659614256192645</v>
      </c>
      <c r="O360" s="22" t="n">
        <v>0.00715409955487978</v>
      </c>
      <c r="P360" s="22" t="n">
        <v>5.41383858429043E-006</v>
      </c>
      <c r="Q360" s="22" t="n">
        <v>0.00735098949561351</v>
      </c>
      <c r="R360" s="22" t="n">
        <v>0.00391101518623475</v>
      </c>
      <c r="S360" s="23" t="n">
        <f aca="false">IF(A360="","",SUM(H360:R360))</f>
        <v>0.0596989551649039</v>
      </c>
      <c r="T360" s="17" t="str">
        <f aca="false">IF(A360="","",IF(AND(MIN(H360:R360)&gt;=0,MAX(H360:R360)&lt;=1,S360&lt;=1),"OK","CHECK"))</f>
        <v>OK</v>
      </c>
      <c r="U360" s="17" t="str">
        <f aca="false">IF(A360="","", "LOSS-"&amp;A360&amp;"-L"&amp;TEXT(B360,"00")&amp;"-"&amp;TEXT(C360,"yyyymmdd")&amp;"-"&amp;D360&amp;"-"&amp;E360)</f>
        <v>LOSS-KG01-L22-20251204-PM-ORD-2025-00211</v>
      </c>
      <c r="V360" s="17" t="str">
        <f aca="false">IF(U360="","",IF(COUNTIF($U$5:$U$935,U360)=1,"OK","CHECK"))</f>
        <v>OK</v>
      </c>
      <c r="W360" s="17" t="str">
        <f aca="false">IF(A360="","",IF(AND(T360="OK",V360="OK",G360&gt;=0),"OK","CHECK"))</f>
        <v>OK</v>
      </c>
    </row>
    <row r="361" customFormat="false" ht="18" hidden="false" customHeight="true" outlineLevel="0" collapsed="false">
      <c r="A361" s="18" t="s">
        <v>39</v>
      </c>
      <c r="B361" s="19" t="n">
        <v>22</v>
      </c>
      <c r="C361" s="20" t="n">
        <v>45996</v>
      </c>
      <c r="D361" s="18" t="s">
        <v>40</v>
      </c>
      <c r="E361" s="18" t="s">
        <v>107</v>
      </c>
      <c r="F361" s="18" t="s">
        <v>42</v>
      </c>
      <c r="G361" s="21" t="n">
        <v>12525</v>
      </c>
      <c r="H361" s="22" t="n">
        <v>0.010245974101982</v>
      </c>
      <c r="I361" s="22" t="n">
        <v>0.000110781776547906</v>
      </c>
      <c r="J361" s="22" t="n">
        <v>0.0041974941313533</v>
      </c>
      <c r="K361" s="22" t="n">
        <v>0.00185598721608918</v>
      </c>
      <c r="L361" s="22" t="n">
        <v>0.0083876680097169</v>
      </c>
      <c r="M361" s="22" t="n">
        <v>0.00895857610963156</v>
      </c>
      <c r="N361" s="22" t="n">
        <v>0.00747193357125791</v>
      </c>
      <c r="O361" s="22" t="n">
        <v>0.00219298757309996</v>
      </c>
      <c r="P361" s="22" t="n">
        <v>0.0067063895171367</v>
      </c>
      <c r="Q361" s="22" t="n">
        <v>0.00110765088985473</v>
      </c>
      <c r="R361" s="22" t="n">
        <v>0.00255501267949974</v>
      </c>
      <c r="S361" s="23" t="n">
        <f aca="false">IF(A361="","",SUM(H361:R361))</f>
        <v>0.0537904555761699</v>
      </c>
      <c r="T361" s="17" t="str">
        <f aca="false">IF(A361="","",IF(AND(MIN(H361:R361)&gt;=0,MAX(H361:R361)&lt;=1,S361&lt;=1),"OK","CHECK"))</f>
        <v>OK</v>
      </c>
      <c r="U361" s="17" t="str">
        <f aca="false">IF(A361="","", "LOSS-"&amp;A361&amp;"-L"&amp;TEXT(B361,"00")&amp;"-"&amp;TEXT(C361,"yyyymmdd")&amp;"-"&amp;D361&amp;"-"&amp;E361)</f>
        <v>LOSS-KG01-L22-20251205-AM-ORD-2025-00211</v>
      </c>
      <c r="V361" s="17" t="str">
        <f aca="false">IF(U361="","",IF(COUNTIF($U$5:$U$935,U361)=1,"OK","CHECK"))</f>
        <v>OK</v>
      </c>
      <c r="W361" s="17" t="str">
        <f aca="false">IF(A361="","",IF(AND(T361="OK",V361="OK",G361&gt;=0),"OK","CHECK"))</f>
        <v>OK</v>
      </c>
    </row>
    <row r="362" customFormat="false" ht="18" hidden="false" customHeight="true" outlineLevel="0" collapsed="false">
      <c r="A362" s="18" t="s">
        <v>39</v>
      </c>
      <c r="B362" s="19" t="n">
        <v>22</v>
      </c>
      <c r="C362" s="20" t="n">
        <v>45996</v>
      </c>
      <c r="D362" s="18" t="s">
        <v>43</v>
      </c>
      <c r="E362" s="18" t="s">
        <v>107</v>
      </c>
      <c r="F362" s="18" t="s">
        <v>42</v>
      </c>
      <c r="G362" s="21" t="n">
        <v>7857</v>
      </c>
      <c r="H362" s="22" t="n">
        <v>0.000249613720146345</v>
      </c>
      <c r="I362" s="22" t="n">
        <v>0.0236016259774113</v>
      </c>
      <c r="J362" s="22" t="n">
        <v>0.00834079584821132</v>
      </c>
      <c r="K362" s="22" t="n">
        <v>0.00356266819092372</v>
      </c>
      <c r="L362" s="22" t="n">
        <v>0.00463506093230502</v>
      </c>
      <c r="M362" s="22" t="n">
        <v>0.00124095004455216</v>
      </c>
      <c r="N362" s="22" t="n">
        <v>0.00414780670999625</v>
      </c>
      <c r="O362" s="22" t="n">
        <v>0.00194935152588694</v>
      </c>
      <c r="P362" s="22" t="n">
        <v>0.00203230358776587</v>
      </c>
      <c r="Q362" s="22" t="n">
        <v>0.0124114039316693</v>
      </c>
      <c r="R362" s="22" t="n">
        <v>0.00644730828416667</v>
      </c>
      <c r="S362" s="23" t="n">
        <f aca="false">IF(A362="","",SUM(H362:R362))</f>
        <v>0.0686188887530349</v>
      </c>
      <c r="T362" s="17" t="str">
        <f aca="false">IF(A362="","",IF(AND(MIN(H362:R362)&gt;=0,MAX(H362:R362)&lt;=1,S362&lt;=1),"OK","CHECK"))</f>
        <v>OK</v>
      </c>
      <c r="U362" s="17" t="str">
        <f aca="false">IF(A362="","", "LOSS-"&amp;A362&amp;"-L"&amp;TEXT(B362,"00")&amp;"-"&amp;TEXT(C362,"yyyymmdd")&amp;"-"&amp;D362&amp;"-"&amp;E362)</f>
        <v>LOSS-KG01-L22-20251205-PM-ORD-2025-00211</v>
      </c>
      <c r="V362" s="17" t="str">
        <f aca="false">IF(U362="","",IF(COUNTIF($U$5:$U$935,U362)=1,"OK","CHECK"))</f>
        <v>OK</v>
      </c>
      <c r="W362" s="17" t="str">
        <f aca="false">IF(A362="","",IF(AND(T362="OK",V362="OK",G362&gt;=0),"OK","CHECK"))</f>
        <v>OK</v>
      </c>
    </row>
    <row r="363" customFormat="false" ht="18" hidden="false" customHeight="true" outlineLevel="0" collapsed="false">
      <c r="A363" s="18" t="s">
        <v>39</v>
      </c>
      <c r="B363" s="19" t="n">
        <v>22</v>
      </c>
      <c r="C363" s="20" t="n">
        <v>45997</v>
      </c>
      <c r="D363" s="18" t="s">
        <v>40</v>
      </c>
      <c r="E363" s="18" t="s">
        <v>107</v>
      </c>
      <c r="F363" s="18" t="s">
        <v>42</v>
      </c>
      <c r="G363" s="21" t="n">
        <v>14899</v>
      </c>
      <c r="H363" s="22" t="n">
        <v>0.00214942510901246</v>
      </c>
      <c r="I363" s="22" t="n">
        <v>0.0144977554592626</v>
      </c>
      <c r="J363" s="22" t="n">
        <v>0.00778040501172793</v>
      </c>
      <c r="K363" s="22" t="n">
        <v>0.013305962598393</v>
      </c>
      <c r="L363" s="22" t="n">
        <v>0.008550185665292</v>
      </c>
      <c r="M363" s="22" t="n">
        <v>0.00750529541012933</v>
      </c>
      <c r="N363" s="22" t="n">
        <v>0.00300651833436991</v>
      </c>
      <c r="O363" s="22" t="n">
        <v>0.00490842518289889</v>
      </c>
      <c r="P363" s="22" t="n">
        <v>9.10715454690878E-006</v>
      </c>
      <c r="Q363" s="22" t="n">
        <v>0.00874194725438702</v>
      </c>
      <c r="R363" s="22" t="n">
        <v>0.00293797686425514</v>
      </c>
      <c r="S363" s="23" t="n">
        <f aca="false">IF(A363="","",SUM(H363:R363))</f>
        <v>0.0733930040442752</v>
      </c>
      <c r="T363" s="17" t="str">
        <f aca="false">IF(A363="","",IF(AND(MIN(H363:R363)&gt;=0,MAX(H363:R363)&lt;=1,S363&lt;=1),"OK","CHECK"))</f>
        <v>OK</v>
      </c>
      <c r="U363" s="17" t="str">
        <f aca="false">IF(A363="","", "LOSS-"&amp;A363&amp;"-L"&amp;TEXT(B363,"00")&amp;"-"&amp;TEXT(C363,"yyyymmdd")&amp;"-"&amp;D363&amp;"-"&amp;E363)</f>
        <v>LOSS-KG01-L22-20251206-AM-ORD-2025-00211</v>
      </c>
      <c r="V363" s="17" t="str">
        <f aca="false">IF(U363="","",IF(COUNTIF($U$5:$U$935,U363)=1,"OK","CHECK"))</f>
        <v>OK</v>
      </c>
      <c r="W363" s="17" t="str">
        <f aca="false">IF(A363="","",IF(AND(T363="OK",V363="OK",G363&gt;=0),"OK","CHECK"))</f>
        <v>OK</v>
      </c>
    </row>
    <row r="364" customFormat="false" ht="18" hidden="false" customHeight="true" outlineLevel="0" collapsed="false">
      <c r="A364" s="18" t="s">
        <v>39</v>
      </c>
      <c r="B364" s="19" t="n">
        <v>22</v>
      </c>
      <c r="C364" s="20" t="n">
        <v>45997</v>
      </c>
      <c r="D364" s="18" t="s">
        <v>43</v>
      </c>
      <c r="E364" s="18" t="s">
        <v>107</v>
      </c>
      <c r="F364" s="18" t="s">
        <v>42</v>
      </c>
      <c r="G364" s="21" t="n">
        <v>22068</v>
      </c>
      <c r="H364" s="22" t="n">
        <v>0.00780315197008356</v>
      </c>
      <c r="I364" s="22" t="n">
        <v>0.000407406720412615</v>
      </c>
      <c r="J364" s="22" t="n">
        <v>0.00331143647223202</v>
      </c>
      <c r="K364" s="22" t="n">
        <v>0.000709463764660928</v>
      </c>
      <c r="L364" s="22" t="n">
        <v>0.0136190981528652</v>
      </c>
      <c r="M364" s="22" t="n">
        <v>0.000240080795305143</v>
      </c>
      <c r="N364" s="22" t="n">
        <v>0.0107977774131123</v>
      </c>
      <c r="O364" s="22" t="n">
        <v>0.00148041344614903</v>
      </c>
      <c r="P364" s="22" t="n">
        <v>0.0304630844981612</v>
      </c>
      <c r="Q364" s="22" t="n">
        <v>0.0120863481851064</v>
      </c>
      <c r="R364" s="22" t="n">
        <v>0.000241542633281971</v>
      </c>
      <c r="S364" s="23" t="n">
        <f aca="false">IF(A364="","",SUM(H364:R364))</f>
        <v>0.0811598040513704</v>
      </c>
      <c r="T364" s="17" t="str">
        <f aca="false">IF(A364="","",IF(AND(MIN(H364:R364)&gt;=0,MAX(H364:R364)&lt;=1,S364&lt;=1),"OK","CHECK"))</f>
        <v>OK</v>
      </c>
      <c r="U364" s="17" t="str">
        <f aca="false">IF(A364="","", "LOSS-"&amp;A364&amp;"-L"&amp;TEXT(B364,"00")&amp;"-"&amp;TEXT(C364,"yyyymmdd")&amp;"-"&amp;D364&amp;"-"&amp;E364)</f>
        <v>LOSS-KG01-L22-20251206-PM-ORD-2025-00211</v>
      </c>
      <c r="V364" s="17" t="str">
        <f aca="false">IF(U364="","",IF(COUNTIF($U$5:$U$935,U364)=1,"OK","CHECK"))</f>
        <v>OK</v>
      </c>
      <c r="W364" s="17" t="str">
        <f aca="false">IF(A364="","",IF(AND(T364="OK",V364="OK",G364&gt;=0),"OK","CHECK"))</f>
        <v>OK</v>
      </c>
    </row>
    <row r="365" customFormat="false" ht="18" hidden="false" customHeight="true" outlineLevel="0" collapsed="false">
      <c r="A365" s="18" t="s">
        <v>39</v>
      </c>
      <c r="B365" s="19" t="n">
        <v>22</v>
      </c>
      <c r="C365" s="20" t="n">
        <v>45998</v>
      </c>
      <c r="D365" s="18" t="s">
        <v>40</v>
      </c>
      <c r="E365" s="18" t="s">
        <v>108</v>
      </c>
      <c r="F365" s="18" t="s">
        <v>45</v>
      </c>
      <c r="G365" s="21" t="n">
        <v>1618</v>
      </c>
      <c r="H365" s="22" t="n">
        <v>0.00131561525850023</v>
      </c>
      <c r="I365" s="22" t="n">
        <v>0.0056840706746529</v>
      </c>
      <c r="J365" s="22" t="n">
        <v>0.00221704911198293</v>
      </c>
      <c r="K365" s="22" t="n">
        <v>0.00570551778601167</v>
      </c>
      <c r="L365" s="22" t="n">
        <v>0.00468155465664701</v>
      </c>
      <c r="M365" s="22" t="n">
        <v>2.8107029775375E-005</v>
      </c>
      <c r="N365" s="22" t="n">
        <v>0.0019702801948365</v>
      </c>
      <c r="O365" s="22" t="n">
        <v>0.0013727603029618</v>
      </c>
      <c r="P365" s="22" t="n">
        <v>0.0044377379082946</v>
      </c>
      <c r="Q365" s="22" t="n">
        <v>0.00563335786294388</v>
      </c>
      <c r="R365" s="22" t="n">
        <v>1.07873615563886E-005</v>
      </c>
      <c r="S365" s="23" t="n">
        <f aca="false">IF(A365="","",SUM(H365:R365))</f>
        <v>0.0330568381481633</v>
      </c>
      <c r="T365" s="17" t="str">
        <f aca="false">IF(A365="","",IF(AND(MIN(H365:R365)&gt;=0,MAX(H365:R365)&lt;=1,S365&lt;=1),"OK","CHECK"))</f>
        <v>OK</v>
      </c>
      <c r="U365" s="17" t="str">
        <f aca="false">IF(A365="","", "LOSS-"&amp;A365&amp;"-L"&amp;TEXT(B365,"00")&amp;"-"&amp;TEXT(C365,"yyyymmdd")&amp;"-"&amp;D365&amp;"-"&amp;E365)</f>
        <v>LOSS-KG01-L22-20251207-AM-ORD-2025-00212</v>
      </c>
      <c r="V365" s="17" t="str">
        <f aca="false">IF(U365="","",IF(COUNTIF($U$5:$U$935,U365)=1,"OK","CHECK"))</f>
        <v>OK</v>
      </c>
      <c r="W365" s="17" t="str">
        <f aca="false">IF(A365="","",IF(AND(T365="OK",V365="OK",G365&gt;=0),"OK","CHECK"))</f>
        <v>OK</v>
      </c>
    </row>
    <row r="366" customFormat="false" ht="18" hidden="false" customHeight="true" outlineLevel="0" collapsed="false">
      <c r="A366" s="18" t="s">
        <v>39</v>
      </c>
      <c r="B366" s="19" t="n">
        <v>22</v>
      </c>
      <c r="C366" s="20" t="n">
        <v>45998</v>
      </c>
      <c r="D366" s="18" t="s">
        <v>43</v>
      </c>
      <c r="E366" s="18" t="s">
        <v>108</v>
      </c>
      <c r="F366" s="18" t="s">
        <v>42</v>
      </c>
      <c r="G366" s="21" t="n">
        <v>13339</v>
      </c>
      <c r="H366" s="22" t="n">
        <v>0.0114759501953827</v>
      </c>
      <c r="I366" s="22" t="n">
        <v>0.00866593456836406</v>
      </c>
      <c r="J366" s="22" t="n">
        <v>0.0183576114014498</v>
      </c>
      <c r="K366" s="22" t="n">
        <v>0.00173817021890451</v>
      </c>
      <c r="L366" s="22" t="n">
        <v>0.00105822245875983</v>
      </c>
      <c r="M366" s="22" t="n">
        <v>0.00764642663340407</v>
      </c>
      <c r="N366" s="22" t="n">
        <v>0.00577411862627835</v>
      </c>
      <c r="O366" s="22" t="n">
        <v>0.00603910551087724</v>
      </c>
      <c r="P366" s="22" t="n">
        <v>0.022254652589058</v>
      </c>
      <c r="Q366" s="22" t="n">
        <v>0.00134343715165402</v>
      </c>
      <c r="R366" s="22" t="n">
        <v>0.00514583387721468</v>
      </c>
      <c r="S366" s="23" t="n">
        <f aca="false">IF(A366="","",SUM(H366:R366))</f>
        <v>0.0894994632313473</v>
      </c>
      <c r="T366" s="17" t="str">
        <f aca="false">IF(A366="","",IF(AND(MIN(H366:R366)&gt;=0,MAX(H366:R366)&lt;=1,S366&lt;=1),"OK","CHECK"))</f>
        <v>OK</v>
      </c>
      <c r="U366" s="17" t="str">
        <f aca="false">IF(A366="","", "LOSS-"&amp;A366&amp;"-L"&amp;TEXT(B366,"00")&amp;"-"&amp;TEXT(C366,"yyyymmdd")&amp;"-"&amp;D366&amp;"-"&amp;E366)</f>
        <v>LOSS-KG01-L22-20251207-PM-ORD-2025-00212</v>
      </c>
      <c r="V366" s="17" t="str">
        <f aca="false">IF(U366="","",IF(COUNTIF($U$5:$U$935,U366)=1,"OK","CHECK"))</f>
        <v>OK</v>
      </c>
      <c r="W366" s="17" t="str">
        <f aca="false">IF(A366="","",IF(AND(T366="OK",V366="OK",G366&gt;=0),"OK","CHECK"))</f>
        <v>OK</v>
      </c>
    </row>
    <row r="367" customFormat="false" ht="18" hidden="false" customHeight="true" outlineLevel="0" collapsed="false">
      <c r="A367" s="18" t="s">
        <v>39</v>
      </c>
      <c r="B367" s="19" t="n">
        <v>22</v>
      </c>
      <c r="C367" s="20" t="n">
        <v>45999</v>
      </c>
      <c r="D367" s="18" t="s">
        <v>40</v>
      </c>
      <c r="E367" s="18" t="s">
        <v>108</v>
      </c>
      <c r="F367" s="18" t="s">
        <v>42</v>
      </c>
      <c r="G367" s="21" t="n">
        <v>9227</v>
      </c>
      <c r="H367" s="22" t="n">
        <v>0.00434158767859968</v>
      </c>
      <c r="I367" s="22" t="n">
        <v>0.00572855589583394</v>
      </c>
      <c r="J367" s="22" t="n">
        <v>0.0101825024128583</v>
      </c>
      <c r="K367" s="22" t="n">
        <v>0.0100011741950218</v>
      </c>
      <c r="L367" s="22" t="n">
        <v>0.0157941923210531</v>
      </c>
      <c r="M367" s="22" t="n">
        <v>0.00337265829023859</v>
      </c>
      <c r="N367" s="22" t="n">
        <v>0.000111792873064014</v>
      </c>
      <c r="O367" s="22" t="n">
        <v>0.000301507548533244</v>
      </c>
      <c r="P367" s="22" t="n">
        <v>3.45464439595032E-006</v>
      </c>
      <c r="Q367" s="22" t="n">
        <v>0.00503113218624792</v>
      </c>
      <c r="R367" s="22" t="n">
        <v>0.000274633769032018</v>
      </c>
      <c r="S367" s="23" t="n">
        <f aca="false">IF(A367="","",SUM(H367:R367))</f>
        <v>0.0551431918148786</v>
      </c>
      <c r="T367" s="17" t="str">
        <f aca="false">IF(A367="","",IF(AND(MIN(H367:R367)&gt;=0,MAX(H367:R367)&lt;=1,S367&lt;=1),"OK","CHECK"))</f>
        <v>OK</v>
      </c>
      <c r="U367" s="17" t="str">
        <f aca="false">IF(A367="","", "LOSS-"&amp;A367&amp;"-L"&amp;TEXT(B367,"00")&amp;"-"&amp;TEXT(C367,"yyyymmdd")&amp;"-"&amp;D367&amp;"-"&amp;E367)</f>
        <v>LOSS-KG01-L22-20251208-AM-ORD-2025-00212</v>
      </c>
      <c r="V367" s="17" t="str">
        <f aca="false">IF(U367="","",IF(COUNTIF($U$5:$U$935,U367)=1,"OK","CHECK"))</f>
        <v>OK</v>
      </c>
      <c r="W367" s="17" t="str">
        <f aca="false">IF(A367="","",IF(AND(T367="OK",V367="OK",G367&gt;=0),"OK","CHECK"))</f>
        <v>OK</v>
      </c>
    </row>
    <row r="368" customFormat="false" ht="18" hidden="false" customHeight="true" outlineLevel="0" collapsed="false">
      <c r="A368" s="18" t="s">
        <v>39</v>
      </c>
      <c r="B368" s="19" t="n">
        <v>22</v>
      </c>
      <c r="C368" s="20" t="n">
        <v>45999</v>
      </c>
      <c r="D368" s="18" t="s">
        <v>43</v>
      </c>
      <c r="E368" s="18" t="s">
        <v>108</v>
      </c>
      <c r="F368" s="18" t="s">
        <v>42</v>
      </c>
      <c r="G368" s="21" t="n">
        <v>10723</v>
      </c>
      <c r="H368" s="22" t="n">
        <v>0.000661455013244251</v>
      </c>
      <c r="I368" s="22" t="n">
        <v>0.0128450733755519</v>
      </c>
      <c r="J368" s="22" t="n">
        <v>0.000219380953897468</v>
      </c>
      <c r="K368" s="22" t="n">
        <v>0.0133146100140468</v>
      </c>
      <c r="L368" s="22" t="n">
        <v>0.0041637310784639</v>
      </c>
      <c r="M368" s="22" t="n">
        <v>0.00665772718723114</v>
      </c>
      <c r="N368" s="22" t="n">
        <v>0.00467290613284448</v>
      </c>
      <c r="O368" s="22" t="n">
        <v>0.00033217661551163</v>
      </c>
      <c r="P368" s="22" t="n">
        <v>0.0129773224553726</v>
      </c>
      <c r="Q368" s="22" t="n">
        <v>0.00296897967190436</v>
      </c>
      <c r="R368" s="22" t="n">
        <v>1.45556707047095E-006</v>
      </c>
      <c r="S368" s="23" t="n">
        <f aca="false">IF(A368="","",SUM(H368:R368))</f>
        <v>0.058814818065139</v>
      </c>
      <c r="T368" s="17" t="str">
        <f aca="false">IF(A368="","",IF(AND(MIN(H368:R368)&gt;=0,MAX(H368:R368)&lt;=1,S368&lt;=1),"OK","CHECK"))</f>
        <v>OK</v>
      </c>
      <c r="U368" s="17" t="str">
        <f aca="false">IF(A368="","", "LOSS-"&amp;A368&amp;"-L"&amp;TEXT(B368,"00")&amp;"-"&amp;TEXT(C368,"yyyymmdd")&amp;"-"&amp;D368&amp;"-"&amp;E368)</f>
        <v>LOSS-KG01-L22-20251208-PM-ORD-2025-00212</v>
      </c>
      <c r="V368" s="17" t="str">
        <f aca="false">IF(U368="","",IF(COUNTIF($U$5:$U$935,U368)=1,"OK","CHECK"))</f>
        <v>OK</v>
      </c>
      <c r="W368" s="17" t="str">
        <f aca="false">IF(A368="","",IF(AND(T368="OK",V368="OK",G368&gt;=0),"OK","CHECK"))</f>
        <v>OK</v>
      </c>
    </row>
    <row r="369" customFormat="false" ht="18" hidden="false" customHeight="true" outlineLevel="0" collapsed="false">
      <c r="A369" s="18" t="s">
        <v>39</v>
      </c>
      <c r="B369" s="19" t="n">
        <v>22</v>
      </c>
      <c r="C369" s="20" t="n">
        <v>46000</v>
      </c>
      <c r="D369" s="18" t="s">
        <v>40</v>
      </c>
      <c r="E369" s="18" t="s">
        <v>108</v>
      </c>
      <c r="F369" s="18" t="s">
        <v>42</v>
      </c>
      <c r="G369" s="21" t="n">
        <v>15252</v>
      </c>
      <c r="H369" s="22" t="n">
        <v>0.000251865958929931</v>
      </c>
      <c r="I369" s="22" t="n">
        <v>0.0180623401166041</v>
      </c>
      <c r="J369" s="22" t="n">
        <v>0.0094422298093742</v>
      </c>
      <c r="K369" s="22" t="n">
        <v>0.0141145462739157</v>
      </c>
      <c r="L369" s="22" t="n">
        <v>0.0013389422223294</v>
      </c>
      <c r="M369" s="22" t="n">
        <v>0.00189335076286376</v>
      </c>
      <c r="N369" s="22" t="n">
        <v>0.0144149879531953</v>
      </c>
      <c r="O369" s="22" t="n">
        <v>0.00579087894121989</v>
      </c>
      <c r="P369" s="22" t="n">
        <v>0.000501660850422287</v>
      </c>
      <c r="Q369" s="22" t="n">
        <v>0.00153413481663967</v>
      </c>
      <c r="R369" s="22" t="n">
        <v>0.00854849700485483</v>
      </c>
      <c r="S369" s="23" t="n">
        <f aca="false">IF(A369="","",SUM(H369:R369))</f>
        <v>0.0758934347103491</v>
      </c>
      <c r="T369" s="17" t="str">
        <f aca="false">IF(A369="","",IF(AND(MIN(H369:R369)&gt;=0,MAX(H369:R369)&lt;=1,S369&lt;=1),"OK","CHECK"))</f>
        <v>OK</v>
      </c>
      <c r="U369" s="17" t="str">
        <f aca="false">IF(A369="","", "LOSS-"&amp;A369&amp;"-L"&amp;TEXT(B369,"00")&amp;"-"&amp;TEXT(C369,"yyyymmdd")&amp;"-"&amp;D369&amp;"-"&amp;E369)</f>
        <v>LOSS-KG01-L22-20251209-AM-ORD-2025-00212</v>
      </c>
      <c r="V369" s="17" t="str">
        <f aca="false">IF(U369="","",IF(COUNTIF($U$5:$U$935,U369)=1,"OK","CHECK"))</f>
        <v>OK</v>
      </c>
      <c r="W369" s="17" t="str">
        <f aca="false">IF(A369="","",IF(AND(T369="OK",V369="OK",G369&gt;=0),"OK","CHECK"))</f>
        <v>OK</v>
      </c>
    </row>
    <row r="370" customFormat="false" ht="18" hidden="false" customHeight="true" outlineLevel="0" collapsed="false">
      <c r="A370" s="18" t="s">
        <v>39</v>
      </c>
      <c r="B370" s="19" t="n">
        <v>22</v>
      </c>
      <c r="C370" s="20" t="n">
        <v>46000</v>
      </c>
      <c r="D370" s="18" t="s">
        <v>43</v>
      </c>
      <c r="E370" s="18" t="s">
        <v>108</v>
      </c>
      <c r="F370" s="18" t="s">
        <v>42</v>
      </c>
      <c r="G370" s="21" t="n">
        <v>4011</v>
      </c>
      <c r="H370" s="22" t="n">
        <v>0.00467733870585759</v>
      </c>
      <c r="I370" s="22" t="n">
        <v>0.0065771675521859</v>
      </c>
      <c r="J370" s="22" t="n">
        <v>0.00100025309443638</v>
      </c>
      <c r="K370" s="22" t="n">
        <v>0.00265208476058751</v>
      </c>
      <c r="L370" s="22" t="n">
        <v>0.00161754251949537</v>
      </c>
      <c r="M370" s="22" t="n">
        <v>0.000321926426404223</v>
      </c>
      <c r="N370" s="22" t="n">
        <v>0.000791158188657127</v>
      </c>
      <c r="O370" s="22" t="n">
        <v>0.00404702852798239</v>
      </c>
      <c r="P370" s="22" t="n">
        <v>0.00720195787656204</v>
      </c>
      <c r="Q370" s="22" t="n">
        <v>0.00624765394731743</v>
      </c>
      <c r="R370" s="22" t="n">
        <v>0.000195757157670754</v>
      </c>
      <c r="S370" s="23" t="n">
        <f aca="false">IF(A370="","",SUM(H370:R370))</f>
        <v>0.0353298687571567</v>
      </c>
      <c r="T370" s="17" t="str">
        <f aca="false">IF(A370="","",IF(AND(MIN(H370:R370)&gt;=0,MAX(H370:R370)&lt;=1,S370&lt;=1),"OK","CHECK"))</f>
        <v>OK</v>
      </c>
      <c r="U370" s="17" t="str">
        <f aca="false">IF(A370="","", "LOSS-"&amp;A370&amp;"-L"&amp;TEXT(B370,"00")&amp;"-"&amp;TEXT(C370,"yyyymmdd")&amp;"-"&amp;D370&amp;"-"&amp;E370)</f>
        <v>LOSS-KG01-L22-20251209-PM-ORD-2025-00212</v>
      </c>
      <c r="V370" s="17" t="str">
        <f aca="false">IF(U370="","",IF(COUNTIF($U$5:$U$935,U370)=1,"OK","CHECK"))</f>
        <v>OK</v>
      </c>
      <c r="W370" s="17" t="str">
        <f aca="false">IF(A370="","",IF(AND(T370="OK",V370="OK",G370&gt;=0),"OK","CHECK"))</f>
        <v>OK</v>
      </c>
    </row>
    <row r="371" customFormat="false" ht="18" hidden="false" customHeight="true" outlineLevel="0" collapsed="false">
      <c r="A371" s="18" t="s">
        <v>39</v>
      </c>
      <c r="B371" s="19" t="n">
        <v>22</v>
      </c>
      <c r="C371" s="20" t="n">
        <v>46001</v>
      </c>
      <c r="D371" s="18" t="s">
        <v>40</v>
      </c>
      <c r="E371" s="18" t="s">
        <v>108</v>
      </c>
      <c r="F371" s="18" t="s">
        <v>42</v>
      </c>
      <c r="G371" s="21" t="n">
        <v>6788</v>
      </c>
      <c r="H371" s="22" t="n">
        <v>0.0111275815930348</v>
      </c>
      <c r="I371" s="22" t="n">
        <v>0.00488662470198491</v>
      </c>
      <c r="J371" s="22" t="n">
        <v>0.00219629911869269</v>
      </c>
      <c r="K371" s="22" t="n">
        <v>0.000699021851265573</v>
      </c>
      <c r="L371" s="22" t="n">
        <v>0.00481722494054466</v>
      </c>
      <c r="M371" s="22" t="n">
        <v>0.0214713662807424</v>
      </c>
      <c r="N371" s="22" t="n">
        <v>6.83034332606893E-007</v>
      </c>
      <c r="O371" s="22" t="n">
        <v>0.0107078269851917</v>
      </c>
      <c r="P371" s="22" t="n">
        <v>0.000864098667997173</v>
      </c>
      <c r="Q371" s="22" t="n">
        <v>0.000191663050973041</v>
      </c>
      <c r="R371" s="22" t="n">
        <v>0.00457662921243218</v>
      </c>
      <c r="S371" s="23" t="n">
        <f aca="false">IF(A371="","",SUM(H371:R371))</f>
        <v>0.0615390194371917</v>
      </c>
      <c r="T371" s="17" t="str">
        <f aca="false">IF(A371="","",IF(AND(MIN(H371:R371)&gt;=0,MAX(H371:R371)&lt;=1,S371&lt;=1),"OK","CHECK"))</f>
        <v>OK</v>
      </c>
      <c r="U371" s="17" t="str">
        <f aca="false">IF(A371="","", "LOSS-"&amp;A371&amp;"-L"&amp;TEXT(B371,"00")&amp;"-"&amp;TEXT(C371,"yyyymmdd")&amp;"-"&amp;D371&amp;"-"&amp;E371)</f>
        <v>LOSS-KG01-L22-20251210-AM-ORD-2025-00212</v>
      </c>
      <c r="V371" s="17" t="str">
        <f aca="false">IF(U371="","",IF(COUNTIF($U$5:$U$935,U371)=1,"OK","CHECK"))</f>
        <v>OK</v>
      </c>
      <c r="W371" s="17" t="str">
        <f aca="false">IF(A371="","",IF(AND(T371="OK",V371="OK",G371&gt;=0),"OK","CHECK"))</f>
        <v>OK</v>
      </c>
    </row>
    <row r="372" customFormat="false" ht="18" hidden="false" customHeight="true" outlineLevel="0" collapsed="false">
      <c r="A372" s="18" t="s">
        <v>39</v>
      </c>
      <c r="B372" s="19" t="n">
        <v>22</v>
      </c>
      <c r="C372" s="20" t="n">
        <v>46001</v>
      </c>
      <c r="D372" s="18" t="s">
        <v>43</v>
      </c>
      <c r="E372" s="18" t="s">
        <v>108</v>
      </c>
      <c r="F372" s="18" t="s">
        <v>42</v>
      </c>
      <c r="G372" s="21" t="n">
        <v>5432</v>
      </c>
      <c r="H372" s="22" t="n">
        <v>8.95241487097791E-005</v>
      </c>
      <c r="I372" s="22" t="n">
        <v>0.00389788320523192</v>
      </c>
      <c r="J372" s="22" t="n">
        <v>0.00352649944541016</v>
      </c>
      <c r="K372" s="22" t="n">
        <v>4.44933831228777E-005</v>
      </c>
      <c r="L372" s="22" t="n">
        <v>0.00404100978217994</v>
      </c>
      <c r="M372" s="22" t="n">
        <v>0.00778691732357255</v>
      </c>
      <c r="N372" s="22" t="n">
        <v>0.00118751112187953</v>
      </c>
      <c r="O372" s="22" t="n">
        <v>1.99232212428256E-006</v>
      </c>
      <c r="P372" s="22" t="n">
        <v>0.000370341663478479</v>
      </c>
      <c r="Q372" s="22" t="n">
        <v>0.000805966174341222</v>
      </c>
      <c r="R372" s="22" t="n">
        <v>0.0082914445365177</v>
      </c>
      <c r="S372" s="23" t="n">
        <f aca="false">IF(A372="","",SUM(H372:R372))</f>
        <v>0.0300435831065684</v>
      </c>
      <c r="T372" s="17" t="str">
        <f aca="false">IF(A372="","",IF(AND(MIN(H372:R372)&gt;=0,MAX(H372:R372)&lt;=1,S372&lt;=1),"OK","CHECK"))</f>
        <v>OK</v>
      </c>
      <c r="U372" s="17" t="str">
        <f aca="false">IF(A372="","", "LOSS-"&amp;A372&amp;"-L"&amp;TEXT(B372,"00")&amp;"-"&amp;TEXT(C372,"yyyymmdd")&amp;"-"&amp;D372&amp;"-"&amp;E372)</f>
        <v>LOSS-KG01-L22-20251210-PM-ORD-2025-00212</v>
      </c>
      <c r="V372" s="17" t="str">
        <f aca="false">IF(U372="","",IF(COUNTIF($U$5:$U$935,U372)=1,"OK","CHECK"))</f>
        <v>OK</v>
      </c>
      <c r="W372" s="17" t="str">
        <f aca="false">IF(A372="","",IF(AND(T372="OK",V372="OK",G372&gt;=0),"OK","CHECK"))</f>
        <v>OK</v>
      </c>
    </row>
    <row r="373" customFormat="false" ht="18" hidden="false" customHeight="true" outlineLevel="0" collapsed="false">
      <c r="A373" s="18" t="s">
        <v>39</v>
      </c>
      <c r="B373" s="19" t="n">
        <v>22</v>
      </c>
      <c r="C373" s="20" t="n">
        <v>46002</v>
      </c>
      <c r="D373" s="18" t="s">
        <v>40</v>
      </c>
      <c r="E373" s="18" t="s">
        <v>108</v>
      </c>
      <c r="F373" s="18" t="s">
        <v>42</v>
      </c>
      <c r="G373" s="21" t="n">
        <v>13957</v>
      </c>
      <c r="H373" s="22" t="n">
        <v>0.00330315895177792</v>
      </c>
      <c r="I373" s="22" t="n">
        <v>0.00967414383773037</v>
      </c>
      <c r="J373" s="22" t="n">
        <v>0.00245332370136831</v>
      </c>
      <c r="K373" s="22" t="n">
        <v>0.0106991844378596</v>
      </c>
      <c r="L373" s="22" t="n">
        <v>0.0158764224314311</v>
      </c>
      <c r="M373" s="22" t="n">
        <v>0.00572627442356343</v>
      </c>
      <c r="N373" s="22" t="n">
        <v>0.00748687224029098</v>
      </c>
      <c r="O373" s="22" t="n">
        <v>0.000746449615110018</v>
      </c>
      <c r="P373" s="22" t="n">
        <v>0.00638782819880994</v>
      </c>
      <c r="Q373" s="22" t="n">
        <v>0.00019286215176369</v>
      </c>
      <c r="R373" s="22" t="n">
        <v>0.000852027344575833</v>
      </c>
      <c r="S373" s="23" t="n">
        <f aca="false">IF(A373="","",SUM(H373:R373))</f>
        <v>0.0633985473342812</v>
      </c>
      <c r="T373" s="17" t="str">
        <f aca="false">IF(A373="","",IF(AND(MIN(H373:R373)&gt;=0,MAX(H373:R373)&lt;=1,S373&lt;=1),"OK","CHECK"))</f>
        <v>OK</v>
      </c>
      <c r="U373" s="17" t="str">
        <f aca="false">IF(A373="","", "LOSS-"&amp;A373&amp;"-L"&amp;TEXT(B373,"00")&amp;"-"&amp;TEXT(C373,"yyyymmdd")&amp;"-"&amp;D373&amp;"-"&amp;E373)</f>
        <v>LOSS-KG01-L22-20251211-AM-ORD-2025-00212</v>
      </c>
      <c r="V373" s="17" t="str">
        <f aca="false">IF(U373="","",IF(COUNTIF($U$5:$U$935,U373)=1,"OK","CHECK"))</f>
        <v>OK</v>
      </c>
      <c r="W373" s="17" t="str">
        <f aca="false">IF(A373="","",IF(AND(T373="OK",V373="OK",G373&gt;=0),"OK","CHECK"))</f>
        <v>OK</v>
      </c>
    </row>
    <row r="374" customFormat="false" ht="18" hidden="false" customHeight="true" outlineLevel="0" collapsed="false">
      <c r="A374" s="18" t="s">
        <v>39</v>
      </c>
      <c r="B374" s="19" t="n">
        <v>22</v>
      </c>
      <c r="C374" s="20" t="n">
        <v>46002</v>
      </c>
      <c r="D374" s="18" t="s">
        <v>43</v>
      </c>
      <c r="E374" s="18" t="s">
        <v>109</v>
      </c>
      <c r="F374" s="18" t="s">
        <v>45</v>
      </c>
      <c r="G374" s="21" t="n">
        <v>7622</v>
      </c>
      <c r="H374" s="22" t="n">
        <v>0.000652259399412645</v>
      </c>
      <c r="I374" s="22" t="n">
        <v>0.00651671435429684</v>
      </c>
      <c r="J374" s="22" t="n">
        <v>0.000329287971720459</v>
      </c>
      <c r="K374" s="22" t="n">
        <v>0.00559582686042964</v>
      </c>
      <c r="L374" s="22" t="n">
        <v>0.00852874746447861</v>
      </c>
      <c r="M374" s="22" t="n">
        <v>0.00300795170644002</v>
      </c>
      <c r="N374" s="22" t="n">
        <v>0.00679704664589088</v>
      </c>
      <c r="O374" s="22" t="n">
        <v>0.0149382634573577</v>
      </c>
      <c r="P374" s="22" t="n">
        <v>0.00750209521310217</v>
      </c>
      <c r="Q374" s="22" t="n">
        <v>0.0191664248787583</v>
      </c>
      <c r="R374" s="22" t="n">
        <v>0.0111491682199704</v>
      </c>
      <c r="S374" s="23" t="n">
        <f aca="false">IF(A374="","",SUM(H374:R374))</f>
        <v>0.0841837861718577</v>
      </c>
      <c r="T374" s="17" t="str">
        <f aca="false">IF(A374="","",IF(AND(MIN(H374:R374)&gt;=0,MAX(H374:R374)&lt;=1,S374&lt;=1),"OK","CHECK"))</f>
        <v>OK</v>
      </c>
      <c r="U374" s="17" t="str">
        <f aca="false">IF(A374="","", "LOSS-"&amp;A374&amp;"-L"&amp;TEXT(B374,"00")&amp;"-"&amp;TEXT(C374,"yyyymmdd")&amp;"-"&amp;D374&amp;"-"&amp;E374)</f>
        <v>LOSS-KG01-L22-20251211-PM-ORD-2025-00213</v>
      </c>
      <c r="V374" s="17" t="str">
        <f aca="false">IF(U374="","",IF(COUNTIF($U$5:$U$935,U374)=1,"OK","CHECK"))</f>
        <v>OK</v>
      </c>
      <c r="W374" s="17" t="str">
        <f aca="false">IF(A374="","",IF(AND(T374="OK",V374="OK",G374&gt;=0),"OK","CHECK"))</f>
        <v>OK</v>
      </c>
    </row>
    <row r="375" customFormat="false" ht="18" hidden="false" customHeight="true" outlineLevel="0" collapsed="false">
      <c r="A375" s="18" t="s">
        <v>39</v>
      </c>
      <c r="B375" s="19" t="n">
        <v>22</v>
      </c>
      <c r="C375" s="20" t="n">
        <v>46003</v>
      </c>
      <c r="D375" s="18" t="s">
        <v>40</v>
      </c>
      <c r="E375" s="18" t="s">
        <v>109</v>
      </c>
      <c r="F375" s="18" t="s">
        <v>42</v>
      </c>
      <c r="G375" s="21" t="n">
        <v>8742</v>
      </c>
      <c r="H375" s="22" t="n">
        <v>0.00594180203807985</v>
      </c>
      <c r="I375" s="22" t="n">
        <v>0.0129498012117597</v>
      </c>
      <c r="J375" s="22" t="n">
        <v>0.00068624965351309</v>
      </c>
      <c r="K375" s="22" t="n">
        <v>1.11736201778921E-007</v>
      </c>
      <c r="L375" s="22" t="n">
        <v>0.000841897047012448</v>
      </c>
      <c r="M375" s="22" t="n">
        <v>0.000733845706768563</v>
      </c>
      <c r="N375" s="22" t="n">
        <v>0.0135350120570501</v>
      </c>
      <c r="O375" s="22" t="n">
        <v>0.00592322578962347</v>
      </c>
      <c r="P375" s="22" t="n">
        <v>0.000321817921942091</v>
      </c>
      <c r="Q375" s="22" t="n">
        <v>0.00354120535835051</v>
      </c>
      <c r="R375" s="22" t="n">
        <v>9.54667809246055E-010</v>
      </c>
      <c r="S375" s="23" t="n">
        <f aca="false">IF(A375="","",SUM(H375:R375))</f>
        <v>0.0444749694749694</v>
      </c>
      <c r="T375" s="17" t="str">
        <f aca="false">IF(A375="","",IF(AND(MIN(H375:R375)&gt;=0,MAX(H375:R375)&lt;=1,S375&lt;=1),"OK","CHECK"))</f>
        <v>OK</v>
      </c>
      <c r="U375" s="17" t="str">
        <f aca="false">IF(A375="","", "LOSS-"&amp;A375&amp;"-L"&amp;TEXT(B375,"00")&amp;"-"&amp;TEXT(C375,"yyyymmdd")&amp;"-"&amp;D375&amp;"-"&amp;E375)</f>
        <v>LOSS-KG01-L22-20251212-AM-ORD-2025-00213</v>
      </c>
      <c r="V375" s="17" t="str">
        <f aca="false">IF(U375="","",IF(COUNTIF($U$5:$U$935,U375)=1,"OK","CHECK"))</f>
        <v>OK</v>
      </c>
      <c r="W375" s="17" t="str">
        <f aca="false">IF(A375="","",IF(AND(T375="OK",V375="OK",G375&gt;=0),"OK","CHECK"))</f>
        <v>OK</v>
      </c>
    </row>
    <row r="376" customFormat="false" ht="18" hidden="false" customHeight="true" outlineLevel="0" collapsed="false">
      <c r="A376" s="18" t="s">
        <v>39</v>
      </c>
      <c r="B376" s="19" t="n">
        <v>22</v>
      </c>
      <c r="C376" s="20" t="n">
        <v>46003</v>
      </c>
      <c r="D376" s="18" t="s">
        <v>43</v>
      </c>
      <c r="E376" s="18" t="s">
        <v>109</v>
      </c>
      <c r="F376" s="18" t="s">
        <v>42</v>
      </c>
      <c r="G376" s="21" t="n">
        <v>11173</v>
      </c>
      <c r="H376" s="22" t="n">
        <v>0.000140360945843944</v>
      </c>
      <c r="I376" s="22" t="n">
        <v>0.0218187314058876</v>
      </c>
      <c r="J376" s="22" t="n">
        <v>0.000435220771652415</v>
      </c>
      <c r="K376" s="22" t="n">
        <v>0.0151156478929549</v>
      </c>
      <c r="L376" s="22" t="n">
        <v>0.00419791988470457</v>
      </c>
      <c r="M376" s="22" t="n">
        <v>0.00516106226263121</v>
      </c>
      <c r="N376" s="22" t="n">
        <v>0.00212346771745664</v>
      </c>
      <c r="O376" s="22" t="n">
        <v>0.0133987144375576</v>
      </c>
      <c r="P376" s="22" t="n">
        <v>0.00134475335933855</v>
      </c>
      <c r="Q376" s="22" t="n">
        <v>0.00358721614868618</v>
      </c>
      <c r="R376" s="22" t="n">
        <v>0.0138937402390711</v>
      </c>
      <c r="S376" s="23" t="n">
        <f aca="false">IF(A376="","",SUM(H376:R376))</f>
        <v>0.0812168350657847</v>
      </c>
      <c r="T376" s="17" t="str">
        <f aca="false">IF(A376="","",IF(AND(MIN(H376:R376)&gt;=0,MAX(H376:R376)&lt;=1,S376&lt;=1),"OK","CHECK"))</f>
        <v>OK</v>
      </c>
      <c r="U376" s="17" t="str">
        <f aca="false">IF(A376="","", "LOSS-"&amp;A376&amp;"-L"&amp;TEXT(B376,"00")&amp;"-"&amp;TEXT(C376,"yyyymmdd")&amp;"-"&amp;D376&amp;"-"&amp;E376)</f>
        <v>LOSS-KG01-L22-20251212-PM-ORD-2025-00213</v>
      </c>
      <c r="V376" s="17" t="str">
        <f aca="false">IF(U376="","",IF(COUNTIF($U$5:$U$935,U376)=1,"OK","CHECK"))</f>
        <v>OK</v>
      </c>
      <c r="W376" s="17" t="str">
        <f aca="false">IF(A376="","",IF(AND(T376="OK",V376="OK",G376&gt;=0),"OK","CHECK"))</f>
        <v>OK</v>
      </c>
    </row>
    <row r="377" customFormat="false" ht="18" hidden="false" customHeight="true" outlineLevel="0" collapsed="false">
      <c r="A377" s="18" t="s">
        <v>39</v>
      </c>
      <c r="B377" s="19" t="n">
        <v>22</v>
      </c>
      <c r="C377" s="20" t="n">
        <v>46004</v>
      </c>
      <c r="D377" s="18" t="s">
        <v>40</v>
      </c>
      <c r="E377" s="18" t="s">
        <v>109</v>
      </c>
      <c r="F377" s="18" t="s">
        <v>42</v>
      </c>
      <c r="G377" s="21" t="n">
        <v>10199</v>
      </c>
      <c r="H377" s="22" t="n">
        <v>0.00927455215413236</v>
      </c>
      <c r="I377" s="22" t="n">
        <v>0.00234325153206324</v>
      </c>
      <c r="J377" s="22" t="n">
        <v>0.0130780678401539</v>
      </c>
      <c r="K377" s="22" t="n">
        <v>0.00186820388534488</v>
      </c>
      <c r="L377" s="22" t="n">
        <v>0.000113708367140372</v>
      </c>
      <c r="M377" s="22" t="n">
        <v>0.00681459805309325</v>
      </c>
      <c r="N377" s="22" t="n">
        <v>0.000850749443065461</v>
      </c>
      <c r="O377" s="22" t="n">
        <v>0.000513106170983337</v>
      </c>
      <c r="P377" s="22" t="n">
        <v>0.00746871476099592</v>
      </c>
      <c r="Q377" s="22" t="n">
        <v>0.00143433113675203</v>
      </c>
      <c r="R377" s="22" t="n">
        <v>0.00037962069235159</v>
      </c>
      <c r="S377" s="23" t="n">
        <f aca="false">IF(A377="","",SUM(H377:R377))</f>
        <v>0.0441389040360763</v>
      </c>
      <c r="T377" s="17" t="str">
        <f aca="false">IF(A377="","",IF(AND(MIN(H377:R377)&gt;=0,MAX(H377:R377)&lt;=1,S377&lt;=1),"OK","CHECK"))</f>
        <v>OK</v>
      </c>
      <c r="U377" s="17" t="str">
        <f aca="false">IF(A377="","", "LOSS-"&amp;A377&amp;"-L"&amp;TEXT(B377,"00")&amp;"-"&amp;TEXT(C377,"yyyymmdd")&amp;"-"&amp;D377&amp;"-"&amp;E377)</f>
        <v>LOSS-KG01-L22-20251213-AM-ORD-2025-00213</v>
      </c>
      <c r="V377" s="17" t="str">
        <f aca="false">IF(U377="","",IF(COUNTIF($U$5:$U$935,U377)=1,"OK","CHECK"))</f>
        <v>OK</v>
      </c>
      <c r="W377" s="17" t="str">
        <f aca="false">IF(A377="","",IF(AND(T377="OK",V377="OK",G377&gt;=0),"OK","CHECK"))</f>
        <v>OK</v>
      </c>
    </row>
    <row r="378" customFormat="false" ht="18" hidden="false" customHeight="true" outlineLevel="0" collapsed="false">
      <c r="A378" s="18" t="s">
        <v>39</v>
      </c>
      <c r="B378" s="19" t="n">
        <v>22</v>
      </c>
      <c r="C378" s="20" t="n">
        <v>46004</v>
      </c>
      <c r="D378" s="18" t="s">
        <v>43</v>
      </c>
      <c r="E378" s="18" t="s">
        <v>109</v>
      </c>
      <c r="F378" s="18" t="s">
        <v>42</v>
      </c>
      <c r="G378" s="21" t="n">
        <v>9201</v>
      </c>
      <c r="H378" s="22" t="n">
        <v>0.00164583455235366</v>
      </c>
      <c r="I378" s="22" t="n">
        <v>0.00167915263383035</v>
      </c>
      <c r="J378" s="22" t="n">
        <v>0.00415943396457366</v>
      </c>
      <c r="K378" s="22" t="n">
        <v>0.000540369440589377</v>
      </c>
      <c r="L378" s="22" t="n">
        <v>0.000124461904556655</v>
      </c>
      <c r="M378" s="22" t="n">
        <v>0.00696939995676497</v>
      </c>
      <c r="N378" s="22" t="n">
        <v>0.0036606471842889</v>
      </c>
      <c r="O378" s="22" t="n">
        <v>0.00027279758162871</v>
      </c>
      <c r="P378" s="22" t="n">
        <v>0.00645824607870396</v>
      </c>
      <c r="Q378" s="22" t="n">
        <v>0.00629869154844827</v>
      </c>
      <c r="R378" s="22" t="n">
        <v>0.00511400503483647</v>
      </c>
      <c r="S378" s="23" t="n">
        <f aca="false">IF(A378="","",SUM(H378:R378))</f>
        <v>0.036923039880575</v>
      </c>
      <c r="T378" s="17" t="str">
        <f aca="false">IF(A378="","",IF(AND(MIN(H378:R378)&gt;=0,MAX(H378:R378)&lt;=1,S378&lt;=1),"OK","CHECK"))</f>
        <v>OK</v>
      </c>
      <c r="U378" s="17" t="str">
        <f aca="false">IF(A378="","", "LOSS-"&amp;A378&amp;"-L"&amp;TEXT(B378,"00")&amp;"-"&amp;TEXT(C378,"yyyymmdd")&amp;"-"&amp;D378&amp;"-"&amp;E378)</f>
        <v>LOSS-KG01-L22-20251213-PM-ORD-2025-00213</v>
      </c>
      <c r="V378" s="17" t="str">
        <f aca="false">IF(U378="","",IF(COUNTIF($U$5:$U$935,U378)=1,"OK","CHECK"))</f>
        <v>OK</v>
      </c>
      <c r="W378" s="17" t="str">
        <f aca="false">IF(A378="","",IF(AND(T378="OK",V378="OK",G378&gt;=0),"OK","CHECK"))</f>
        <v>OK</v>
      </c>
    </row>
    <row r="379" customFormat="false" ht="18" hidden="false" customHeight="true" outlineLevel="0" collapsed="false">
      <c r="A379" s="18" t="s">
        <v>39</v>
      </c>
      <c r="B379" s="19" t="n">
        <v>22</v>
      </c>
      <c r="C379" s="20" t="n">
        <v>46005</v>
      </c>
      <c r="D379" s="18" t="s">
        <v>40</v>
      </c>
      <c r="E379" s="18" t="s">
        <v>109</v>
      </c>
      <c r="F379" s="18" t="s">
        <v>42</v>
      </c>
      <c r="G379" s="21" t="n">
        <v>9538</v>
      </c>
      <c r="H379" s="22" t="n">
        <v>0.0015420647919786</v>
      </c>
      <c r="I379" s="22" t="n">
        <v>0.00231666352319493</v>
      </c>
      <c r="J379" s="22" t="n">
        <v>0.00490349365018689</v>
      </c>
      <c r="K379" s="22" t="n">
        <v>0.00989172704380359</v>
      </c>
      <c r="L379" s="22" t="n">
        <v>0.0109174045878525</v>
      </c>
      <c r="M379" s="22" t="n">
        <v>0.000469856944627377</v>
      </c>
      <c r="N379" s="22" t="n">
        <v>0.00180381828210806</v>
      </c>
      <c r="O379" s="22" t="n">
        <v>0.0112179641251944</v>
      </c>
      <c r="P379" s="22" t="n">
        <v>0.0127644003025971</v>
      </c>
      <c r="Q379" s="22" t="n">
        <v>0.000494034248749939</v>
      </c>
      <c r="R379" s="22" t="n">
        <v>0.00167866979490023</v>
      </c>
      <c r="S379" s="23" t="n">
        <f aca="false">IF(A379="","",SUM(H379:R379))</f>
        <v>0.0580000972951936</v>
      </c>
      <c r="T379" s="17" t="str">
        <f aca="false">IF(A379="","",IF(AND(MIN(H379:R379)&gt;=0,MAX(H379:R379)&lt;=1,S379&lt;=1),"OK","CHECK"))</f>
        <v>OK</v>
      </c>
      <c r="U379" s="17" t="str">
        <f aca="false">IF(A379="","", "LOSS-"&amp;A379&amp;"-L"&amp;TEXT(B379,"00")&amp;"-"&amp;TEXT(C379,"yyyymmdd")&amp;"-"&amp;D379&amp;"-"&amp;E379)</f>
        <v>LOSS-KG01-L22-20251214-AM-ORD-2025-00213</v>
      </c>
      <c r="V379" s="17" t="str">
        <f aca="false">IF(U379="","",IF(COUNTIF($U$5:$U$935,U379)=1,"OK","CHECK"))</f>
        <v>OK</v>
      </c>
      <c r="W379" s="17" t="str">
        <f aca="false">IF(A379="","",IF(AND(T379="OK",V379="OK",G379&gt;=0),"OK","CHECK"))</f>
        <v>OK</v>
      </c>
    </row>
    <row r="380" customFormat="false" ht="18" hidden="false" customHeight="true" outlineLevel="0" collapsed="false">
      <c r="A380" s="18" t="s">
        <v>39</v>
      </c>
      <c r="B380" s="19" t="n">
        <v>22</v>
      </c>
      <c r="C380" s="20" t="n">
        <v>46005</v>
      </c>
      <c r="D380" s="18" t="s">
        <v>43</v>
      </c>
      <c r="E380" s="18" t="s">
        <v>109</v>
      </c>
      <c r="F380" s="18" t="s">
        <v>42</v>
      </c>
      <c r="G380" s="21" t="n">
        <v>10559</v>
      </c>
      <c r="H380" s="22" t="n">
        <v>0.000637218416847047</v>
      </c>
      <c r="I380" s="22" t="n">
        <v>0.00576487466472457</v>
      </c>
      <c r="J380" s="22" t="n">
        <v>0.00180991439931092</v>
      </c>
      <c r="K380" s="22" t="n">
        <v>0.013924866150062</v>
      </c>
      <c r="L380" s="22" t="n">
        <v>0.0140709503330692</v>
      </c>
      <c r="M380" s="22" t="n">
        <v>0.00424125591620791</v>
      </c>
      <c r="N380" s="22" t="n">
        <v>2.83292276325024E-006</v>
      </c>
      <c r="O380" s="22" t="n">
        <v>0.00125063118182919</v>
      </c>
      <c r="P380" s="22" t="n">
        <v>0.00702775721682844</v>
      </c>
      <c r="Q380" s="22" t="n">
        <v>0.0069078736299223</v>
      </c>
      <c r="R380" s="22" t="n">
        <v>0.0026614784293287</v>
      </c>
      <c r="S380" s="23" t="n">
        <f aca="false">IF(A380="","",SUM(H380:R380))</f>
        <v>0.0582996532608935</v>
      </c>
      <c r="T380" s="17" t="str">
        <f aca="false">IF(A380="","",IF(AND(MIN(H380:R380)&gt;=0,MAX(H380:R380)&lt;=1,S380&lt;=1),"OK","CHECK"))</f>
        <v>OK</v>
      </c>
      <c r="U380" s="17" t="str">
        <f aca="false">IF(A380="","", "LOSS-"&amp;A380&amp;"-L"&amp;TEXT(B380,"00")&amp;"-"&amp;TEXT(C380,"yyyymmdd")&amp;"-"&amp;D380&amp;"-"&amp;E380)</f>
        <v>LOSS-KG01-L22-20251214-PM-ORD-2025-00213</v>
      </c>
      <c r="V380" s="17" t="str">
        <f aca="false">IF(U380="","",IF(COUNTIF($U$5:$U$935,U380)=1,"OK","CHECK"))</f>
        <v>OK</v>
      </c>
      <c r="W380" s="17" t="str">
        <f aca="false">IF(A380="","",IF(AND(T380="OK",V380="OK",G380&gt;=0),"OK","CHECK"))</f>
        <v>OK</v>
      </c>
    </row>
    <row r="381" customFormat="false" ht="18" hidden="false" customHeight="true" outlineLevel="0" collapsed="false">
      <c r="A381" s="18" t="s">
        <v>39</v>
      </c>
      <c r="B381" s="19" t="n">
        <v>22</v>
      </c>
      <c r="C381" s="20" t="n">
        <v>46006</v>
      </c>
      <c r="D381" s="18" t="s">
        <v>40</v>
      </c>
      <c r="E381" s="18" t="s">
        <v>109</v>
      </c>
      <c r="F381" s="18" t="s">
        <v>42</v>
      </c>
      <c r="G381" s="21" t="n">
        <v>10525</v>
      </c>
      <c r="H381" s="22" t="n">
        <v>0.0193748827790663</v>
      </c>
      <c r="I381" s="22" t="n">
        <v>0.00969216125355087</v>
      </c>
      <c r="J381" s="22" t="n">
        <v>0.0014689298394579</v>
      </c>
      <c r="K381" s="22" t="n">
        <v>6.39957330648724E-005</v>
      </c>
      <c r="L381" s="22" t="n">
        <v>0.0063975810075289</v>
      </c>
      <c r="M381" s="22" t="n">
        <v>1.80905958179402E-005</v>
      </c>
      <c r="N381" s="22" t="n">
        <v>0.0100747353001187</v>
      </c>
      <c r="O381" s="22" t="n">
        <v>0.004331507769126</v>
      </c>
      <c r="P381" s="22" t="n">
        <v>0.0072128643898332</v>
      </c>
      <c r="Q381" s="22" t="n">
        <v>0.00403626785812355</v>
      </c>
      <c r="R381" s="22" t="n">
        <v>0.000590069942149315</v>
      </c>
      <c r="S381" s="23" t="n">
        <f aca="false">IF(A381="","",SUM(H381:R381))</f>
        <v>0.0632610864678376</v>
      </c>
      <c r="T381" s="17" t="str">
        <f aca="false">IF(A381="","",IF(AND(MIN(H381:R381)&gt;=0,MAX(H381:R381)&lt;=1,S381&lt;=1),"OK","CHECK"))</f>
        <v>OK</v>
      </c>
      <c r="U381" s="17" t="str">
        <f aca="false">IF(A381="","", "LOSS-"&amp;A381&amp;"-L"&amp;TEXT(B381,"00")&amp;"-"&amp;TEXT(C381,"yyyymmdd")&amp;"-"&amp;D381&amp;"-"&amp;E381)</f>
        <v>LOSS-KG01-L22-20251215-AM-ORD-2025-00213</v>
      </c>
      <c r="V381" s="17" t="str">
        <f aca="false">IF(U381="","",IF(COUNTIF($U$5:$U$935,U381)=1,"OK","CHECK"))</f>
        <v>OK</v>
      </c>
      <c r="W381" s="17" t="str">
        <f aca="false">IF(A381="","",IF(AND(T381="OK",V381="OK",G381&gt;=0),"OK","CHECK"))</f>
        <v>OK</v>
      </c>
    </row>
    <row r="382" customFormat="false" ht="18" hidden="false" customHeight="true" outlineLevel="0" collapsed="false">
      <c r="A382" s="18" t="s">
        <v>39</v>
      </c>
      <c r="B382" s="19" t="n">
        <v>22</v>
      </c>
      <c r="C382" s="20" t="n">
        <v>46006</v>
      </c>
      <c r="D382" s="18" t="s">
        <v>43</v>
      </c>
      <c r="E382" s="18" t="s">
        <v>109</v>
      </c>
      <c r="F382" s="18" t="s">
        <v>42</v>
      </c>
      <c r="G382" s="21" t="n">
        <v>11030</v>
      </c>
      <c r="H382" s="22" t="n">
        <v>0.0112624417425995</v>
      </c>
      <c r="I382" s="22" t="n">
        <v>0.00839708891068684</v>
      </c>
      <c r="J382" s="22" t="n">
        <v>0.00596091211662052</v>
      </c>
      <c r="K382" s="22" t="n">
        <v>0.000216126951676769</v>
      </c>
      <c r="L382" s="22" t="n">
        <v>0.00273459257799102</v>
      </c>
      <c r="M382" s="22" t="n">
        <v>0.00752302384420157</v>
      </c>
      <c r="N382" s="22" t="n">
        <v>0.0101892291611981</v>
      </c>
      <c r="O382" s="22" t="n">
        <v>0.00997125944287727</v>
      </c>
      <c r="P382" s="22" t="n">
        <v>0.000626725683454103</v>
      </c>
      <c r="Q382" s="22" t="n">
        <v>0.014500574516031</v>
      </c>
      <c r="R382" s="22" t="n">
        <v>0.000137373532796169</v>
      </c>
      <c r="S382" s="23" t="n">
        <f aca="false">IF(A382="","",SUM(H382:R382))</f>
        <v>0.0715193484801329</v>
      </c>
      <c r="T382" s="17" t="str">
        <f aca="false">IF(A382="","",IF(AND(MIN(H382:R382)&gt;=0,MAX(H382:R382)&lt;=1,S382&lt;=1),"OK","CHECK"))</f>
        <v>OK</v>
      </c>
      <c r="U382" s="17" t="str">
        <f aca="false">IF(A382="","", "LOSS-"&amp;A382&amp;"-L"&amp;TEXT(B382,"00")&amp;"-"&amp;TEXT(C382,"yyyymmdd")&amp;"-"&amp;D382&amp;"-"&amp;E382)</f>
        <v>LOSS-KG01-L22-20251215-PM-ORD-2025-00213</v>
      </c>
      <c r="V382" s="17" t="str">
        <f aca="false">IF(U382="","",IF(COUNTIF($U$5:$U$935,U382)=1,"OK","CHECK"))</f>
        <v>OK</v>
      </c>
      <c r="W382" s="17" t="str">
        <f aca="false">IF(A382="","",IF(AND(T382="OK",V382="OK",G382&gt;=0),"OK","CHECK"))</f>
        <v>OK</v>
      </c>
    </row>
    <row r="383" customFormat="false" ht="18" hidden="false" customHeight="true" outlineLevel="0" collapsed="false">
      <c r="A383" s="18" t="s">
        <v>39</v>
      </c>
      <c r="B383" s="19" t="n">
        <v>22</v>
      </c>
      <c r="C383" s="20" t="n">
        <v>46007</v>
      </c>
      <c r="D383" s="18" t="s">
        <v>40</v>
      </c>
      <c r="E383" s="18" t="s">
        <v>110</v>
      </c>
      <c r="F383" s="18" t="s">
        <v>45</v>
      </c>
      <c r="G383" s="21" t="n">
        <v>3059</v>
      </c>
      <c r="H383" s="22" t="n">
        <v>0.00613945390374837</v>
      </c>
      <c r="I383" s="22" t="n">
        <v>0.000125873375403122</v>
      </c>
      <c r="J383" s="22" t="n">
        <v>0.00173491752485987</v>
      </c>
      <c r="K383" s="22" t="n">
        <v>0.00445625246762661</v>
      </c>
      <c r="L383" s="22" t="n">
        <v>0.000871452949246625</v>
      </c>
      <c r="M383" s="22" t="n">
        <v>0.00649522292225228</v>
      </c>
      <c r="N383" s="22" t="n">
        <v>0.000679497982882963</v>
      </c>
      <c r="O383" s="22" t="n">
        <v>0.00641499932974236</v>
      </c>
      <c r="P383" s="22" t="n">
        <v>0.00378750020949882</v>
      </c>
      <c r="Q383" s="22" t="n">
        <v>0.00479954402555483</v>
      </c>
      <c r="R383" s="22" t="n">
        <v>0.000976662991024565</v>
      </c>
      <c r="S383" s="23" t="n">
        <f aca="false">IF(A383="","",SUM(H383:R383))</f>
        <v>0.0364813776818404</v>
      </c>
      <c r="T383" s="17" t="str">
        <f aca="false">IF(A383="","",IF(AND(MIN(H383:R383)&gt;=0,MAX(H383:R383)&lt;=1,S383&lt;=1),"OK","CHECK"))</f>
        <v>OK</v>
      </c>
      <c r="U383" s="17" t="str">
        <f aca="false">IF(A383="","", "LOSS-"&amp;A383&amp;"-L"&amp;TEXT(B383,"00")&amp;"-"&amp;TEXT(C383,"yyyymmdd")&amp;"-"&amp;D383&amp;"-"&amp;E383)</f>
        <v>LOSS-KG01-L22-20251216-AM-ORD-2025-00214</v>
      </c>
      <c r="V383" s="17" t="str">
        <f aca="false">IF(U383="","",IF(COUNTIF($U$5:$U$935,U383)=1,"OK","CHECK"))</f>
        <v>OK</v>
      </c>
      <c r="W383" s="17" t="str">
        <f aca="false">IF(A383="","",IF(AND(T383="OK",V383="OK",G383&gt;=0),"OK","CHECK"))</f>
        <v>OK</v>
      </c>
    </row>
    <row r="384" customFormat="false" ht="18" hidden="false" customHeight="true" outlineLevel="0" collapsed="false">
      <c r="A384" s="18" t="s">
        <v>39</v>
      </c>
      <c r="B384" s="19" t="n">
        <v>22</v>
      </c>
      <c r="C384" s="20" t="n">
        <v>46007</v>
      </c>
      <c r="D384" s="18" t="s">
        <v>43</v>
      </c>
      <c r="E384" s="18" t="s">
        <v>110</v>
      </c>
      <c r="F384" s="18" t="s">
        <v>61</v>
      </c>
      <c r="G384" s="21" t="n">
        <v>12764</v>
      </c>
      <c r="H384" s="22" t="n">
        <v>0.00585266942896619</v>
      </c>
      <c r="I384" s="22" t="n">
        <v>0.0104903569138464</v>
      </c>
      <c r="J384" s="22" t="n">
        <v>0.0104453962953884</v>
      </c>
      <c r="K384" s="22" t="n">
        <v>0.00037110554480329</v>
      </c>
      <c r="L384" s="22" t="n">
        <v>0.0126072124383622</v>
      </c>
      <c r="M384" s="22" t="n">
        <v>0.00675872250652011</v>
      </c>
      <c r="N384" s="22" t="n">
        <v>0.00173859340060154</v>
      </c>
      <c r="O384" s="22" t="n">
        <v>2.60280241450934E-006</v>
      </c>
      <c r="P384" s="22" t="n">
        <v>0.00572283279796935</v>
      </c>
      <c r="Q384" s="22" t="n">
        <v>0.00224700609240568</v>
      </c>
      <c r="R384" s="22" t="n">
        <v>0.00577855369276419</v>
      </c>
      <c r="S384" s="23" t="n">
        <f aca="false">IF(A384="","",SUM(H384:R384))</f>
        <v>0.0620150519140419</v>
      </c>
      <c r="T384" s="17" t="str">
        <f aca="false">IF(A384="","",IF(AND(MIN(H384:R384)&gt;=0,MAX(H384:R384)&lt;=1,S384&lt;=1),"OK","CHECK"))</f>
        <v>OK</v>
      </c>
      <c r="U384" s="17" t="str">
        <f aca="false">IF(A384="","", "LOSS-"&amp;A384&amp;"-L"&amp;TEXT(B384,"00")&amp;"-"&amp;TEXT(C384,"yyyymmdd")&amp;"-"&amp;D384&amp;"-"&amp;E384)</f>
        <v>LOSS-KG01-L22-20251216-PM-ORD-2025-00214</v>
      </c>
      <c r="V384" s="17" t="str">
        <f aca="false">IF(U384="","",IF(COUNTIF($U$5:$U$935,U384)=1,"OK","CHECK"))</f>
        <v>OK</v>
      </c>
      <c r="W384" s="17" t="str">
        <f aca="false">IF(A384="","",IF(AND(T384="OK",V384="OK",G384&gt;=0),"OK","CHECK"))</f>
        <v>OK</v>
      </c>
    </row>
    <row r="385" customFormat="false" ht="18" hidden="false" customHeight="true" outlineLevel="0" collapsed="false">
      <c r="A385" s="18" t="s">
        <v>39</v>
      </c>
      <c r="B385" s="19" t="n">
        <v>22</v>
      </c>
      <c r="C385" s="20" t="n">
        <v>46008</v>
      </c>
      <c r="D385" s="18" t="s">
        <v>40</v>
      </c>
      <c r="E385" s="18" t="s">
        <v>110</v>
      </c>
      <c r="F385" s="18" t="s">
        <v>61</v>
      </c>
      <c r="G385" s="21" t="n">
        <v>18770</v>
      </c>
      <c r="H385" s="22" t="n">
        <v>0.000123952427093638</v>
      </c>
      <c r="I385" s="22" t="n">
        <v>0.00122062836526604</v>
      </c>
      <c r="J385" s="22" t="n">
        <v>0.0190039095222521</v>
      </c>
      <c r="K385" s="22" t="n">
        <v>0.000713518703528063</v>
      </c>
      <c r="L385" s="22" t="n">
        <v>0.00233118385139864</v>
      </c>
      <c r="M385" s="22" t="n">
        <v>0.000976666854988599</v>
      </c>
      <c r="N385" s="22" t="n">
        <v>6.4956667774889E-005</v>
      </c>
      <c r="O385" s="22" t="n">
        <v>0.0121423233571561</v>
      </c>
      <c r="P385" s="22" t="n">
        <v>0.0155532242506178</v>
      </c>
      <c r="Q385" s="22" t="n">
        <v>0.00549186413582069</v>
      </c>
      <c r="R385" s="22" t="n">
        <v>0.0132341640393229</v>
      </c>
      <c r="S385" s="23" t="n">
        <f aca="false">IF(A385="","",SUM(H385:R385))</f>
        <v>0.0708563921752195</v>
      </c>
      <c r="T385" s="17" t="str">
        <f aca="false">IF(A385="","",IF(AND(MIN(H385:R385)&gt;=0,MAX(H385:R385)&lt;=1,S385&lt;=1),"OK","CHECK"))</f>
        <v>OK</v>
      </c>
      <c r="U385" s="17" t="str">
        <f aca="false">IF(A385="","", "LOSS-"&amp;A385&amp;"-L"&amp;TEXT(B385,"00")&amp;"-"&amp;TEXT(C385,"yyyymmdd")&amp;"-"&amp;D385&amp;"-"&amp;E385)</f>
        <v>LOSS-KG01-L22-20251217-AM-ORD-2025-00214</v>
      </c>
      <c r="V385" s="17" t="str">
        <f aca="false">IF(U385="","",IF(COUNTIF($U$5:$U$935,U385)=1,"OK","CHECK"))</f>
        <v>OK</v>
      </c>
      <c r="W385" s="17" t="str">
        <f aca="false">IF(A385="","",IF(AND(T385="OK",V385="OK",G385&gt;=0),"OK","CHECK"))</f>
        <v>OK</v>
      </c>
    </row>
    <row r="386" customFormat="false" ht="18" hidden="false" customHeight="true" outlineLevel="0" collapsed="false">
      <c r="A386" s="18" t="s">
        <v>39</v>
      </c>
      <c r="B386" s="19" t="n">
        <v>22</v>
      </c>
      <c r="C386" s="20" t="n">
        <v>46008</v>
      </c>
      <c r="D386" s="18" t="s">
        <v>43</v>
      </c>
      <c r="E386" s="18" t="s">
        <v>110</v>
      </c>
      <c r="F386" s="18" t="s">
        <v>42</v>
      </c>
      <c r="G386" s="21" t="n">
        <v>17801</v>
      </c>
      <c r="H386" s="22" t="n">
        <v>0.0117352027888193</v>
      </c>
      <c r="I386" s="22" t="n">
        <v>0.0146555033019819</v>
      </c>
      <c r="J386" s="22" t="n">
        <v>0.00160220702019447</v>
      </c>
      <c r="K386" s="22" t="n">
        <v>0.00519974132611286</v>
      </c>
      <c r="L386" s="22" t="n">
        <v>0.000229297295317286</v>
      </c>
      <c r="M386" s="22" t="n">
        <v>0.00359733112303508</v>
      </c>
      <c r="N386" s="22" t="n">
        <v>0.011568066401759</v>
      </c>
      <c r="O386" s="22" t="n">
        <v>0.000122658229410725</v>
      </c>
      <c r="P386" s="22" t="n">
        <v>0.0143205326939929</v>
      </c>
      <c r="Q386" s="22" t="n">
        <v>0.000128617744954344</v>
      </c>
      <c r="R386" s="22" t="n">
        <v>0.0139455079440966</v>
      </c>
      <c r="S386" s="23" t="n">
        <f aca="false">IF(A386="","",SUM(H386:R386))</f>
        <v>0.0771046658696745</v>
      </c>
      <c r="T386" s="17" t="str">
        <f aca="false">IF(A386="","",IF(AND(MIN(H386:R386)&gt;=0,MAX(H386:R386)&lt;=1,S386&lt;=1),"OK","CHECK"))</f>
        <v>OK</v>
      </c>
      <c r="U386" s="17" t="str">
        <f aca="false">IF(A386="","", "LOSS-"&amp;A386&amp;"-L"&amp;TEXT(B386,"00")&amp;"-"&amp;TEXT(C386,"yyyymmdd")&amp;"-"&amp;D386&amp;"-"&amp;E386)</f>
        <v>LOSS-KG01-L22-20251217-PM-ORD-2025-00214</v>
      </c>
      <c r="V386" s="17" t="str">
        <f aca="false">IF(U386="","",IF(COUNTIF($U$5:$U$935,U386)=1,"OK","CHECK"))</f>
        <v>OK</v>
      </c>
      <c r="W386" s="17" t="str">
        <f aca="false">IF(A386="","",IF(AND(T386="OK",V386="OK",G386&gt;=0),"OK","CHECK"))</f>
        <v>OK</v>
      </c>
    </row>
    <row r="387" customFormat="false" ht="18" hidden="false" customHeight="true" outlineLevel="0" collapsed="false">
      <c r="A387" s="18" t="s">
        <v>39</v>
      </c>
      <c r="B387" s="19" t="n">
        <v>22</v>
      </c>
      <c r="C387" s="20" t="n">
        <v>46009</v>
      </c>
      <c r="D387" s="18" t="s">
        <v>40</v>
      </c>
      <c r="E387" s="18" t="s">
        <v>110</v>
      </c>
      <c r="F387" s="18" t="s">
        <v>42</v>
      </c>
      <c r="G387" s="21" t="n">
        <v>4046</v>
      </c>
      <c r="H387" s="22" t="n">
        <v>0.00039188524914653</v>
      </c>
      <c r="I387" s="22" t="n">
        <v>8.78685583620557E-005</v>
      </c>
      <c r="J387" s="22" t="n">
        <v>0.00118609517868483</v>
      </c>
      <c r="K387" s="22" t="n">
        <v>0.00462002058239377</v>
      </c>
      <c r="L387" s="22" t="n">
        <v>4.75706598375414E-006</v>
      </c>
      <c r="M387" s="22" t="n">
        <v>0.000337385436388126</v>
      </c>
      <c r="N387" s="22" t="n">
        <v>1.2820996263137E-006</v>
      </c>
      <c r="O387" s="22" t="n">
        <v>0.00478846009759132</v>
      </c>
      <c r="P387" s="22" t="n">
        <v>0.00249346427373975</v>
      </c>
      <c r="Q387" s="22" t="n">
        <v>0.00905366053202448</v>
      </c>
      <c r="R387" s="22" t="n">
        <v>0.010468163944453</v>
      </c>
      <c r="S387" s="23" t="n">
        <f aca="false">IF(A387="","",SUM(H387:R387))</f>
        <v>0.0334330430183939</v>
      </c>
      <c r="T387" s="17" t="str">
        <f aca="false">IF(A387="","",IF(AND(MIN(H387:R387)&gt;=0,MAX(H387:R387)&lt;=1,S387&lt;=1),"OK","CHECK"))</f>
        <v>OK</v>
      </c>
      <c r="U387" s="17" t="str">
        <f aca="false">IF(A387="","", "LOSS-"&amp;A387&amp;"-L"&amp;TEXT(B387,"00")&amp;"-"&amp;TEXT(C387,"yyyymmdd")&amp;"-"&amp;D387&amp;"-"&amp;E387)</f>
        <v>LOSS-KG01-L22-20251218-AM-ORD-2025-00214</v>
      </c>
      <c r="V387" s="17" t="str">
        <f aca="false">IF(U387="","",IF(COUNTIF($U$5:$U$935,U387)=1,"OK","CHECK"))</f>
        <v>OK</v>
      </c>
      <c r="W387" s="17" t="str">
        <f aca="false">IF(A387="","",IF(AND(T387="OK",V387="OK",G387&gt;=0),"OK","CHECK"))</f>
        <v>OK</v>
      </c>
    </row>
    <row r="388" customFormat="false" ht="18" hidden="false" customHeight="true" outlineLevel="0" collapsed="false">
      <c r="A388" s="18" t="s">
        <v>39</v>
      </c>
      <c r="B388" s="19" t="n">
        <v>22</v>
      </c>
      <c r="C388" s="20" t="n">
        <v>46009</v>
      </c>
      <c r="D388" s="18" t="s">
        <v>43</v>
      </c>
      <c r="E388" s="18" t="s">
        <v>110</v>
      </c>
      <c r="F388" s="18" t="s">
        <v>42</v>
      </c>
      <c r="G388" s="21" t="n">
        <v>22725</v>
      </c>
      <c r="H388" s="22" t="n">
        <v>0.00199705779291331</v>
      </c>
      <c r="I388" s="22" t="n">
        <v>0.00977367656333968</v>
      </c>
      <c r="J388" s="22" t="n">
        <v>0.0187331612418252</v>
      </c>
      <c r="K388" s="22" t="n">
        <v>0.0157586713189604</v>
      </c>
      <c r="L388" s="22" t="n">
        <v>0.0117765825257837</v>
      </c>
      <c r="M388" s="22" t="n">
        <v>0.0114853972959318</v>
      </c>
      <c r="N388" s="22" t="n">
        <v>0.0020323116586696</v>
      </c>
      <c r="O388" s="22" t="n">
        <v>0.00303314326029374</v>
      </c>
      <c r="P388" s="22" t="n">
        <v>0.0017373957266749</v>
      </c>
      <c r="Q388" s="22" t="n">
        <v>0.00164058121197076</v>
      </c>
      <c r="R388" s="22" t="n">
        <v>0.00673072138574678</v>
      </c>
      <c r="S388" s="23" t="n">
        <f aca="false">IF(A388="","",SUM(H388:R388))</f>
        <v>0.0846986999821099</v>
      </c>
      <c r="T388" s="17" t="str">
        <f aca="false">IF(A388="","",IF(AND(MIN(H388:R388)&gt;=0,MAX(H388:R388)&lt;=1,S388&lt;=1),"OK","CHECK"))</f>
        <v>OK</v>
      </c>
      <c r="U388" s="17" t="str">
        <f aca="false">IF(A388="","", "LOSS-"&amp;A388&amp;"-L"&amp;TEXT(B388,"00")&amp;"-"&amp;TEXT(C388,"yyyymmdd")&amp;"-"&amp;D388&amp;"-"&amp;E388)</f>
        <v>LOSS-KG01-L22-20251218-PM-ORD-2025-00214</v>
      </c>
      <c r="V388" s="17" t="str">
        <f aca="false">IF(U388="","",IF(COUNTIF($U$5:$U$935,U388)=1,"OK","CHECK"))</f>
        <v>OK</v>
      </c>
      <c r="W388" s="17" t="str">
        <f aca="false">IF(A388="","",IF(AND(T388="OK",V388="OK",G388&gt;=0),"OK","CHECK"))</f>
        <v>OK</v>
      </c>
    </row>
    <row r="389" customFormat="false" ht="18" hidden="false" customHeight="true" outlineLevel="0" collapsed="false">
      <c r="A389" s="18" t="s">
        <v>39</v>
      </c>
      <c r="B389" s="19" t="n">
        <v>22</v>
      </c>
      <c r="C389" s="20" t="n">
        <v>46010</v>
      </c>
      <c r="D389" s="18" t="s">
        <v>40</v>
      </c>
      <c r="E389" s="18" t="s">
        <v>110</v>
      </c>
      <c r="F389" s="18" t="s">
        <v>42</v>
      </c>
      <c r="G389" s="21" t="n">
        <v>5657</v>
      </c>
      <c r="H389" s="22" t="n">
        <v>0.00145126416212313</v>
      </c>
      <c r="I389" s="22" t="n">
        <v>0.00590800933523651</v>
      </c>
      <c r="J389" s="22" t="n">
        <v>0.000630186115068648</v>
      </c>
      <c r="K389" s="22" t="n">
        <v>0.00033609964542767</v>
      </c>
      <c r="L389" s="22" t="n">
        <v>0.00812071209326255</v>
      </c>
      <c r="M389" s="22" t="n">
        <v>0.000569597578530056</v>
      </c>
      <c r="N389" s="22" t="n">
        <v>0.00163641702043627</v>
      </c>
      <c r="O389" s="22" t="n">
        <v>7.23168029245551E-005</v>
      </c>
      <c r="P389" s="22" t="n">
        <v>0.00106810305993847</v>
      </c>
      <c r="Q389" s="22" t="n">
        <v>0.00111959566870779</v>
      </c>
      <c r="R389" s="22" t="n">
        <v>0.00505165098737534</v>
      </c>
      <c r="S389" s="23" t="n">
        <f aca="false">IF(A389="","",SUM(H389:R389))</f>
        <v>0.025963952469031</v>
      </c>
      <c r="T389" s="17" t="str">
        <f aca="false">IF(A389="","",IF(AND(MIN(H389:R389)&gt;=0,MAX(H389:R389)&lt;=1,S389&lt;=1),"OK","CHECK"))</f>
        <v>OK</v>
      </c>
      <c r="U389" s="17" t="str">
        <f aca="false">IF(A389="","", "LOSS-"&amp;A389&amp;"-L"&amp;TEXT(B389,"00")&amp;"-"&amp;TEXT(C389,"yyyymmdd")&amp;"-"&amp;D389&amp;"-"&amp;E389)</f>
        <v>LOSS-KG01-L22-20251219-AM-ORD-2025-00214</v>
      </c>
      <c r="V389" s="17" t="str">
        <f aca="false">IF(U389="","",IF(COUNTIF($U$5:$U$935,U389)=1,"OK","CHECK"))</f>
        <v>OK</v>
      </c>
      <c r="W389" s="17" t="str">
        <f aca="false">IF(A389="","",IF(AND(T389="OK",V389="OK",G389&gt;=0),"OK","CHECK"))</f>
        <v>OK</v>
      </c>
    </row>
    <row r="390" customFormat="false" ht="18" hidden="false" customHeight="true" outlineLevel="0" collapsed="false">
      <c r="A390" s="18" t="s">
        <v>39</v>
      </c>
      <c r="B390" s="19" t="n">
        <v>22</v>
      </c>
      <c r="C390" s="20" t="n">
        <v>46010</v>
      </c>
      <c r="D390" s="18" t="s">
        <v>43</v>
      </c>
      <c r="E390" s="18" t="s">
        <v>110</v>
      </c>
      <c r="F390" s="18" t="s">
        <v>42</v>
      </c>
      <c r="G390" s="21" t="n">
        <v>10344</v>
      </c>
      <c r="H390" s="22" t="n">
        <v>0.00447597655475313</v>
      </c>
      <c r="I390" s="22" t="n">
        <v>0.0112576130399637</v>
      </c>
      <c r="J390" s="22" t="n">
        <v>0.00772284540063869</v>
      </c>
      <c r="K390" s="22" t="n">
        <v>0.000475480845587427</v>
      </c>
      <c r="L390" s="22" t="n">
        <v>0.0147555172262864</v>
      </c>
      <c r="M390" s="22" t="n">
        <v>0.0056034590871303</v>
      </c>
      <c r="N390" s="22" t="n">
        <v>0.000396656211223018</v>
      </c>
      <c r="O390" s="22" t="n">
        <v>0.00529172392029144</v>
      </c>
      <c r="P390" s="22" t="n">
        <v>0.0161574442304182</v>
      </c>
      <c r="Q390" s="22" t="n">
        <v>0.00307963652658435</v>
      </c>
      <c r="R390" s="22" t="n">
        <v>0.00682793260839594</v>
      </c>
      <c r="S390" s="23" t="n">
        <f aca="false">IF(A390="","",SUM(H390:R390))</f>
        <v>0.0760442856512726</v>
      </c>
      <c r="T390" s="17" t="str">
        <f aca="false">IF(A390="","",IF(AND(MIN(H390:R390)&gt;=0,MAX(H390:R390)&lt;=1,S390&lt;=1),"OK","CHECK"))</f>
        <v>OK</v>
      </c>
      <c r="U390" s="17" t="str">
        <f aca="false">IF(A390="","", "LOSS-"&amp;A390&amp;"-L"&amp;TEXT(B390,"00")&amp;"-"&amp;TEXT(C390,"yyyymmdd")&amp;"-"&amp;D390&amp;"-"&amp;E390)</f>
        <v>LOSS-KG01-L22-20251219-PM-ORD-2025-00214</v>
      </c>
      <c r="V390" s="17" t="str">
        <f aca="false">IF(U390="","",IF(COUNTIF($U$5:$U$935,U390)=1,"OK","CHECK"))</f>
        <v>OK</v>
      </c>
      <c r="W390" s="17" t="str">
        <f aca="false">IF(A390="","",IF(AND(T390="OK",V390="OK",G390&gt;=0),"OK","CHECK"))</f>
        <v>OK</v>
      </c>
    </row>
    <row r="391" customFormat="false" ht="18" hidden="false" customHeight="true" outlineLevel="0" collapsed="false">
      <c r="A391" s="18" t="s">
        <v>39</v>
      </c>
      <c r="B391" s="19" t="n">
        <v>22</v>
      </c>
      <c r="C391" s="20" t="n">
        <v>46011</v>
      </c>
      <c r="D391" s="18" t="s">
        <v>40</v>
      </c>
      <c r="E391" s="18" t="s">
        <v>110</v>
      </c>
      <c r="F391" s="18" t="s">
        <v>42</v>
      </c>
      <c r="G391" s="21" t="n">
        <v>7496</v>
      </c>
      <c r="H391" s="22" t="n">
        <v>0.00777059954939012</v>
      </c>
      <c r="I391" s="22" t="n">
        <v>0.00139227058773412</v>
      </c>
      <c r="J391" s="22" t="n">
        <v>0.00195602935793699</v>
      </c>
      <c r="K391" s="22" t="n">
        <v>0.0156694536634081</v>
      </c>
      <c r="L391" s="22" t="n">
        <v>0.005083107860751</v>
      </c>
      <c r="M391" s="22" t="n">
        <v>0.00922560463547749</v>
      </c>
      <c r="N391" s="22" t="n">
        <v>0.00120838861846505</v>
      </c>
      <c r="O391" s="22" t="n">
        <v>0.00440107815829146</v>
      </c>
      <c r="P391" s="22" t="n">
        <v>0.000741793233933471</v>
      </c>
      <c r="Q391" s="22" t="n">
        <v>0.000795776754820079</v>
      </c>
      <c r="R391" s="22" t="n">
        <v>0.00113666174316497</v>
      </c>
      <c r="S391" s="23" t="n">
        <f aca="false">IF(A391="","",SUM(H391:R391))</f>
        <v>0.0493807641633729</v>
      </c>
      <c r="T391" s="17" t="str">
        <f aca="false">IF(A391="","",IF(AND(MIN(H391:R391)&gt;=0,MAX(H391:R391)&lt;=1,S391&lt;=1),"OK","CHECK"))</f>
        <v>OK</v>
      </c>
      <c r="U391" s="17" t="str">
        <f aca="false">IF(A391="","", "LOSS-"&amp;A391&amp;"-L"&amp;TEXT(B391,"00")&amp;"-"&amp;TEXT(C391,"yyyymmdd")&amp;"-"&amp;D391&amp;"-"&amp;E391)</f>
        <v>LOSS-KG01-L22-20251220-AM-ORD-2025-00214</v>
      </c>
      <c r="V391" s="17" t="str">
        <f aca="false">IF(U391="","",IF(COUNTIF($U$5:$U$935,U391)=1,"OK","CHECK"))</f>
        <v>OK</v>
      </c>
      <c r="W391" s="17" t="str">
        <f aca="false">IF(A391="","",IF(AND(T391="OK",V391="OK",G391&gt;=0),"OK","CHECK"))</f>
        <v>OK</v>
      </c>
    </row>
    <row r="392" customFormat="false" ht="18" hidden="false" customHeight="true" outlineLevel="0" collapsed="false">
      <c r="A392" s="18" t="s">
        <v>39</v>
      </c>
      <c r="B392" s="19" t="n">
        <v>22</v>
      </c>
      <c r="C392" s="20" t="n">
        <v>46011</v>
      </c>
      <c r="D392" s="18" t="s">
        <v>43</v>
      </c>
      <c r="E392" s="18" t="s">
        <v>110</v>
      </c>
      <c r="F392" s="18" t="s">
        <v>42</v>
      </c>
      <c r="G392" s="21" t="n">
        <v>13120</v>
      </c>
      <c r="H392" s="22" t="n">
        <v>0.00849436004016819</v>
      </c>
      <c r="I392" s="22" t="n">
        <v>0.00267162785001154</v>
      </c>
      <c r="J392" s="22" t="n">
        <v>0.00398070455890211</v>
      </c>
      <c r="K392" s="22" t="n">
        <v>0.00225691700744699</v>
      </c>
      <c r="L392" s="22" t="n">
        <v>0.00218191377774695</v>
      </c>
      <c r="M392" s="22" t="n">
        <v>0.00104261868771152</v>
      </c>
      <c r="N392" s="22" t="n">
        <v>0.00317649237840914</v>
      </c>
      <c r="O392" s="22" t="n">
        <v>0.00433110619611438</v>
      </c>
      <c r="P392" s="22" t="n">
        <v>0.00811819220585372</v>
      </c>
      <c r="Q392" s="22" t="n">
        <v>0.00103862681923557</v>
      </c>
      <c r="R392" s="22" t="n">
        <v>0.000109374432057973</v>
      </c>
      <c r="S392" s="23" t="n">
        <f aca="false">IF(A392="","",SUM(H392:R392))</f>
        <v>0.0374019339536581</v>
      </c>
      <c r="T392" s="17" t="str">
        <f aca="false">IF(A392="","",IF(AND(MIN(H392:R392)&gt;=0,MAX(H392:R392)&lt;=1,S392&lt;=1),"OK","CHECK"))</f>
        <v>OK</v>
      </c>
      <c r="U392" s="17" t="str">
        <f aca="false">IF(A392="","", "LOSS-"&amp;A392&amp;"-L"&amp;TEXT(B392,"00")&amp;"-"&amp;TEXT(C392,"yyyymmdd")&amp;"-"&amp;D392&amp;"-"&amp;E392)</f>
        <v>LOSS-KG01-L22-20251220-PM-ORD-2025-00214</v>
      </c>
      <c r="V392" s="17" t="str">
        <f aca="false">IF(U392="","",IF(COUNTIF($U$5:$U$935,U392)=1,"OK","CHECK"))</f>
        <v>OK</v>
      </c>
      <c r="W392" s="17" t="str">
        <f aca="false">IF(A392="","",IF(AND(T392="OK",V392="OK",G392&gt;=0),"OK","CHECK"))</f>
        <v>OK</v>
      </c>
    </row>
    <row r="393" customFormat="false" ht="18" hidden="false" customHeight="true" outlineLevel="0" collapsed="false">
      <c r="A393" s="18" t="s">
        <v>39</v>
      </c>
      <c r="B393" s="19" t="n">
        <v>22</v>
      </c>
      <c r="C393" s="20" t="n">
        <v>46012</v>
      </c>
      <c r="D393" s="18" t="s">
        <v>40</v>
      </c>
      <c r="E393" s="18" t="s">
        <v>111</v>
      </c>
      <c r="F393" s="18" t="s">
        <v>45</v>
      </c>
      <c r="G393" s="21" t="n">
        <v>2001</v>
      </c>
      <c r="H393" s="22" t="n">
        <v>0.00217485748173749</v>
      </c>
      <c r="I393" s="22" t="n">
        <v>0.0137086607041042</v>
      </c>
      <c r="J393" s="22" t="n">
        <v>0.000425551823845918</v>
      </c>
      <c r="K393" s="22" t="n">
        <v>0.00381782349486317</v>
      </c>
      <c r="L393" s="22" t="n">
        <v>0.00191397315327261</v>
      </c>
      <c r="M393" s="22" t="n">
        <v>0.013768238932152</v>
      </c>
      <c r="N393" s="22" t="n">
        <v>0.000591184855374614</v>
      </c>
      <c r="O393" s="22" t="n">
        <v>0.00216420954982008</v>
      </c>
      <c r="P393" s="22" t="n">
        <v>0.000447240366570063</v>
      </c>
      <c r="Q393" s="22" t="n">
        <v>0.00504829222341184</v>
      </c>
      <c r="R393" s="22" t="n">
        <v>0.00955014825878643</v>
      </c>
      <c r="S393" s="23" t="n">
        <f aca="false">IF(A393="","",SUM(H393:R393))</f>
        <v>0.0536101808439384</v>
      </c>
      <c r="T393" s="17" t="str">
        <f aca="false">IF(A393="","",IF(AND(MIN(H393:R393)&gt;=0,MAX(H393:R393)&lt;=1,S393&lt;=1),"OK","CHECK"))</f>
        <v>OK</v>
      </c>
      <c r="U393" s="17" t="str">
        <f aca="false">IF(A393="","", "LOSS-"&amp;A393&amp;"-L"&amp;TEXT(B393,"00")&amp;"-"&amp;TEXT(C393,"yyyymmdd")&amp;"-"&amp;D393&amp;"-"&amp;E393)</f>
        <v>LOSS-KG01-L22-20251221-AM-ORD-2025-00215</v>
      </c>
      <c r="V393" s="17" t="str">
        <f aca="false">IF(U393="","",IF(COUNTIF($U$5:$U$935,U393)=1,"OK","CHECK"))</f>
        <v>OK</v>
      </c>
      <c r="W393" s="17" t="str">
        <f aca="false">IF(A393="","",IF(AND(T393="OK",V393="OK",G393&gt;=0),"OK","CHECK"))</f>
        <v>OK</v>
      </c>
    </row>
    <row r="394" customFormat="false" ht="18" hidden="false" customHeight="true" outlineLevel="0" collapsed="false">
      <c r="A394" s="18" t="s">
        <v>39</v>
      </c>
      <c r="B394" s="19" t="n">
        <v>22</v>
      </c>
      <c r="C394" s="20" t="n">
        <v>46012</v>
      </c>
      <c r="D394" s="18" t="s">
        <v>43</v>
      </c>
      <c r="E394" s="18" t="s">
        <v>111</v>
      </c>
      <c r="F394" s="18" t="s">
        <v>42</v>
      </c>
      <c r="G394" s="21" t="n">
        <v>5526</v>
      </c>
      <c r="H394" s="22" t="n">
        <v>0.00167892501088766</v>
      </c>
      <c r="I394" s="22" t="n">
        <v>0.00331214565093322</v>
      </c>
      <c r="J394" s="22" t="n">
        <v>0.00306927542174374</v>
      </c>
      <c r="K394" s="22" t="n">
        <v>0.00420172446133945</v>
      </c>
      <c r="L394" s="22" t="n">
        <v>0.00465442607563464</v>
      </c>
      <c r="M394" s="22" t="n">
        <v>0.00195369692098265</v>
      </c>
      <c r="N394" s="22" t="n">
        <v>0.000516891496388304</v>
      </c>
      <c r="O394" s="22" t="n">
        <v>0.00455836352833349</v>
      </c>
      <c r="P394" s="22" t="n">
        <v>0.00314593702628594</v>
      </c>
      <c r="Q394" s="22" t="n">
        <v>0.00202853884552389</v>
      </c>
      <c r="R394" s="22" t="n">
        <v>0.0014018622408386</v>
      </c>
      <c r="S394" s="23" t="n">
        <f aca="false">IF(A394="","",SUM(H394:R394))</f>
        <v>0.0305217866788916</v>
      </c>
      <c r="T394" s="17" t="str">
        <f aca="false">IF(A394="","",IF(AND(MIN(H394:R394)&gt;=0,MAX(H394:R394)&lt;=1,S394&lt;=1),"OK","CHECK"))</f>
        <v>OK</v>
      </c>
      <c r="U394" s="17" t="str">
        <f aca="false">IF(A394="","", "LOSS-"&amp;A394&amp;"-L"&amp;TEXT(B394,"00")&amp;"-"&amp;TEXT(C394,"yyyymmdd")&amp;"-"&amp;D394&amp;"-"&amp;E394)</f>
        <v>LOSS-KG01-L22-20251221-PM-ORD-2025-00215</v>
      </c>
      <c r="V394" s="17" t="str">
        <f aca="false">IF(U394="","",IF(COUNTIF($U$5:$U$935,U394)=1,"OK","CHECK"))</f>
        <v>OK</v>
      </c>
      <c r="W394" s="17" t="str">
        <f aca="false">IF(A394="","",IF(AND(T394="OK",V394="OK",G394&gt;=0),"OK","CHECK"))</f>
        <v>OK</v>
      </c>
    </row>
    <row r="395" customFormat="false" ht="18" hidden="false" customHeight="true" outlineLevel="0" collapsed="false">
      <c r="A395" s="18" t="s">
        <v>39</v>
      </c>
      <c r="B395" s="19" t="n">
        <v>22</v>
      </c>
      <c r="C395" s="20" t="n">
        <v>46013</v>
      </c>
      <c r="D395" s="18" t="s">
        <v>40</v>
      </c>
      <c r="E395" s="18" t="s">
        <v>111</v>
      </c>
      <c r="F395" s="18" t="s">
        <v>42</v>
      </c>
      <c r="G395" s="21" t="n">
        <v>8847</v>
      </c>
      <c r="H395" s="22" t="n">
        <v>1.31868205185652E-005</v>
      </c>
      <c r="I395" s="22" t="n">
        <v>0.00706717341240561</v>
      </c>
      <c r="J395" s="22" t="n">
        <v>0.000449552047491983</v>
      </c>
      <c r="K395" s="22" t="n">
        <v>0.00715515723641975</v>
      </c>
      <c r="L395" s="22" t="n">
        <v>0.00703521113702888</v>
      </c>
      <c r="M395" s="22" t="n">
        <v>9.52592618649125E-005</v>
      </c>
      <c r="N395" s="22" t="n">
        <v>0.00148534594158097</v>
      </c>
      <c r="O395" s="22" t="n">
        <v>0.0005941464073308</v>
      </c>
      <c r="P395" s="22" t="n">
        <v>0.00273092656278294</v>
      </c>
      <c r="Q395" s="22" t="n">
        <v>0.00288034743781269</v>
      </c>
      <c r="R395" s="22" t="n">
        <v>0.000220317661217479</v>
      </c>
      <c r="S395" s="23" t="n">
        <f aca="false">IF(A395="","",SUM(H395:R395))</f>
        <v>0.0297266239264546</v>
      </c>
      <c r="T395" s="17" t="str">
        <f aca="false">IF(A395="","",IF(AND(MIN(H395:R395)&gt;=0,MAX(H395:R395)&lt;=1,S395&lt;=1),"OK","CHECK"))</f>
        <v>OK</v>
      </c>
      <c r="U395" s="17" t="str">
        <f aca="false">IF(A395="","", "LOSS-"&amp;A395&amp;"-L"&amp;TEXT(B395,"00")&amp;"-"&amp;TEXT(C395,"yyyymmdd")&amp;"-"&amp;D395&amp;"-"&amp;E395)</f>
        <v>LOSS-KG01-L22-20251222-AM-ORD-2025-00215</v>
      </c>
      <c r="V395" s="17" t="str">
        <f aca="false">IF(U395="","",IF(COUNTIF($U$5:$U$935,U395)=1,"OK","CHECK"))</f>
        <v>OK</v>
      </c>
      <c r="W395" s="17" t="str">
        <f aca="false">IF(A395="","",IF(AND(T395="OK",V395="OK",G395&gt;=0),"OK","CHECK"))</f>
        <v>OK</v>
      </c>
    </row>
    <row r="396" customFormat="false" ht="18" hidden="false" customHeight="true" outlineLevel="0" collapsed="false">
      <c r="A396" s="18" t="s">
        <v>39</v>
      </c>
      <c r="B396" s="19" t="n">
        <v>22</v>
      </c>
      <c r="C396" s="20" t="n">
        <v>46013</v>
      </c>
      <c r="D396" s="18" t="s">
        <v>43</v>
      </c>
      <c r="E396" s="18" t="s">
        <v>112</v>
      </c>
      <c r="F396" s="18" t="s">
        <v>45</v>
      </c>
      <c r="G396" s="21" t="n">
        <v>6739</v>
      </c>
      <c r="H396" s="22" t="n">
        <v>0.000450697988809072</v>
      </c>
      <c r="I396" s="22" t="n">
        <v>0.00147091243925986</v>
      </c>
      <c r="J396" s="22" t="n">
        <v>0.00579950257540922</v>
      </c>
      <c r="K396" s="22" t="n">
        <v>0.00792338651537428</v>
      </c>
      <c r="L396" s="22" t="n">
        <v>0.00447159934705247</v>
      </c>
      <c r="M396" s="22" t="n">
        <v>0.014739089917618</v>
      </c>
      <c r="N396" s="22" t="n">
        <v>0.00525215348676088</v>
      </c>
      <c r="O396" s="22" t="n">
        <v>0.000317039516363815</v>
      </c>
      <c r="P396" s="22" t="n">
        <v>0.00716502990813201</v>
      </c>
      <c r="Q396" s="22" t="n">
        <v>0.0101236828624173</v>
      </c>
      <c r="R396" s="22" t="n">
        <v>4.71221186121698E-005</v>
      </c>
      <c r="S396" s="23" t="n">
        <f aca="false">IF(A396="","",SUM(H396:R396))</f>
        <v>0.0577602166758091</v>
      </c>
      <c r="T396" s="17" t="str">
        <f aca="false">IF(A396="","",IF(AND(MIN(H396:R396)&gt;=0,MAX(H396:R396)&lt;=1,S396&lt;=1),"OK","CHECK"))</f>
        <v>OK</v>
      </c>
      <c r="U396" s="17" t="str">
        <f aca="false">IF(A396="","", "LOSS-"&amp;A396&amp;"-L"&amp;TEXT(B396,"00")&amp;"-"&amp;TEXT(C396,"yyyymmdd")&amp;"-"&amp;D396&amp;"-"&amp;E396)</f>
        <v>LOSS-KG01-L22-20251222-PM-ORD-2025-00216</v>
      </c>
      <c r="V396" s="17" t="str">
        <f aca="false">IF(U396="","",IF(COUNTIF($U$5:$U$935,U396)=1,"OK","CHECK"))</f>
        <v>OK</v>
      </c>
      <c r="W396" s="17" t="str">
        <f aca="false">IF(A396="","",IF(AND(T396="OK",V396="OK",G396&gt;=0),"OK","CHECK"))</f>
        <v>OK</v>
      </c>
    </row>
    <row r="397" customFormat="false" ht="18" hidden="false" customHeight="true" outlineLevel="0" collapsed="false">
      <c r="A397" s="18" t="s">
        <v>39</v>
      </c>
      <c r="B397" s="19" t="n">
        <v>22</v>
      </c>
      <c r="C397" s="20" t="n">
        <v>46014</v>
      </c>
      <c r="D397" s="18" t="s">
        <v>40</v>
      </c>
      <c r="E397" s="18" t="s">
        <v>112</v>
      </c>
      <c r="F397" s="18" t="s">
        <v>42</v>
      </c>
      <c r="G397" s="21" t="n">
        <v>3463</v>
      </c>
      <c r="H397" s="22" t="n">
        <v>0.000158285166952763</v>
      </c>
      <c r="I397" s="22" t="n">
        <v>0.012176237862355</v>
      </c>
      <c r="J397" s="22" t="n">
        <v>0.000387605074425703</v>
      </c>
      <c r="K397" s="22" t="n">
        <v>0.00232020139321308</v>
      </c>
      <c r="L397" s="22" t="n">
        <v>0.00303733893180727</v>
      </c>
      <c r="M397" s="22" t="n">
        <v>0.0041090464985394</v>
      </c>
      <c r="N397" s="22" t="n">
        <v>0.00840177667517406</v>
      </c>
      <c r="O397" s="22" t="n">
        <v>0.000777929243696384</v>
      </c>
      <c r="P397" s="22" t="n">
        <v>0.000573480625415757</v>
      </c>
      <c r="Q397" s="22" t="n">
        <v>0.00183181724051299</v>
      </c>
      <c r="R397" s="22" t="n">
        <v>0.000660009039722228</v>
      </c>
      <c r="S397" s="23" t="n">
        <f aca="false">IF(A397="","",SUM(H397:R397))</f>
        <v>0.0344337277518146</v>
      </c>
      <c r="T397" s="17" t="str">
        <f aca="false">IF(A397="","",IF(AND(MIN(H397:R397)&gt;=0,MAX(H397:R397)&lt;=1,S397&lt;=1),"OK","CHECK"))</f>
        <v>OK</v>
      </c>
      <c r="U397" s="17" t="str">
        <f aca="false">IF(A397="","", "LOSS-"&amp;A397&amp;"-L"&amp;TEXT(B397,"00")&amp;"-"&amp;TEXT(C397,"yyyymmdd")&amp;"-"&amp;D397&amp;"-"&amp;E397)</f>
        <v>LOSS-KG01-L22-20251223-AM-ORD-2025-00216</v>
      </c>
      <c r="V397" s="17" t="str">
        <f aca="false">IF(U397="","",IF(COUNTIF($U$5:$U$935,U397)=1,"OK","CHECK"))</f>
        <v>OK</v>
      </c>
      <c r="W397" s="17" t="str">
        <f aca="false">IF(A397="","",IF(AND(T397="OK",V397="OK",G397&gt;=0),"OK","CHECK"))</f>
        <v>OK</v>
      </c>
    </row>
    <row r="398" customFormat="false" ht="18" hidden="false" customHeight="true" outlineLevel="0" collapsed="false">
      <c r="A398" s="18" t="s">
        <v>39</v>
      </c>
      <c r="B398" s="19" t="n">
        <v>22</v>
      </c>
      <c r="C398" s="20" t="n">
        <v>46014</v>
      </c>
      <c r="D398" s="18" t="s">
        <v>43</v>
      </c>
      <c r="E398" s="18" t="s">
        <v>112</v>
      </c>
      <c r="F398" s="18" t="s">
        <v>42</v>
      </c>
      <c r="G398" s="21" t="n">
        <v>15502</v>
      </c>
      <c r="H398" s="22" t="n">
        <v>0.012412901728729</v>
      </c>
      <c r="I398" s="22" t="n">
        <v>0.00321517986511604</v>
      </c>
      <c r="J398" s="22" t="n">
        <v>0.00884662984391376</v>
      </c>
      <c r="K398" s="22" t="n">
        <v>0.000400828502604098</v>
      </c>
      <c r="L398" s="22" t="n">
        <v>0.00520319735690474</v>
      </c>
      <c r="M398" s="22" t="n">
        <v>0.0101490327805272</v>
      </c>
      <c r="N398" s="22" t="n">
        <v>4.12509454064603E-007</v>
      </c>
      <c r="O398" s="22" t="n">
        <v>0.000428285684952414</v>
      </c>
      <c r="P398" s="22" t="n">
        <v>0.000168417661164768</v>
      </c>
      <c r="Q398" s="22" t="n">
        <v>0.00510029046068281</v>
      </c>
      <c r="R398" s="22" t="n">
        <v>0.00261960743730008</v>
      </c>
      <c r="S398" s="23" t="n">
        <f aca="false">IF(A398="","",SUM(H398:R398))</f>
        <v>0.048544783831349</v>
      </c>
      <c r="T398" s="17" t="str">
        <f aca="false">IF(A398="","",IF(AND(MIN(H398:R398)&gt;=0,MAX(H398:R398)&lt;=1,S398&lt;=1),"OK","CHECK"))</f>
        <v>OK</v>
      </c>
      <c r="U398" s="17" t="str">
        <f aca="false">IF(A398="","", "LOSS-"&amp;A398&amp;"-L"&amp;TEXT(B398,"00")&amp;"-"&amp;TEXT(C398,"yyyymmdd")&amp;"-"&amp;D398&amp;"-"&amp;E398)</f>
        <v>LOSS-KG01-L22-20251223-PM-ORD-2025-00216</v>
      </c>
      <c r="V398" s="17" t="str">
        <f aca="false">IF(U398="","",IF(COUNTIF($U$5:$U$935,U398)=1,"OK","CHECK"))</f>
        <v>OK</v>
      </c>
      <c r="W398" s="17" t="str">
        <f aca="false">IF(A398="","",IF(AND(T398="OK",V398="OK",G398&gt;=0),"OK","CHECK"))</f>
        <v>OK</v>
      </c>
    </row>
    <row r="399" customFormat="false" ht="18" hidden="false" customHeight="true" outlineLevel="0" collapsed="false">
      <c r="A399" s="18" t="s">
        <v>39</v>
      </c>
      <c r="B399" s="19" t="n">
        <v>22</v>
      </c>
      <c r="C399" s="20" t="n">
        <v>46015</v>
      </c>
      <c r="D399" s="18" t="s">
        <v>40</v>
      </c>
      <c r="E399" s="18" t="s">
        <v>112</v>
      </c>
      <c r="F399" s="18" t="s">
        <v>42</v>
      </c>
      <c r="G399" s="21" t="n">
        <v>14092</v>
      </c>
      <c r="H399" s="22" t="n">
        <v>0.000927947360776655</v>
      </c>
      <c r="I399" s="22" t="n">
        <v>0.00458443175249744</v>
      </c>
      <c r="J399" s="22" t="n">
        <v>0.00290996439901951</v>
      </c>
      <c r="K399" s="22" t="n">
        <v>0.0044147706331293</v>
      </c>
      <c r="L399" s="22" t="n">
        <v>0.00121095653631244</v>
      </c>
      <c r="M399" s="22" t="n">
        <v>0.0172794428402304</v>
      </c>
      <c r="N399" s="22" t="n">
        <v>0.00308707907048251</v>
      </c>
      <c r="O399" s="22" t="n">
        <v>0.0020828915631405</v>
      </c>
      <c r="P399" s="22" t="n">
        <v>0.0179765200872306</v>
      </c>
      <c r="Q399" s="22" t="n">
        <v>0.00328628915947482</v>
      </c>
      <c r="R399" s="22" t="n">
        <v>0.00219903024700421</v>
      </c>
      <c r="S399" s="23" t="n">
        <f aca="false">IF(A399="","",SUM(H399:R399))</f>
        <v>0.0599593236492984</v>
      </c>
      <c r="T399" s="17" t="str">
        <f aca="false">IF(A399="","",IF(AND(MIN(H399:R399)&gt;=0,MAX(H399:R399)&lt;=1,S399&lt;=1),"OK","CHECK"))</f>
        <v>OK</v>
      </c>
      <c r="U399" s="17" t="str">
        <f aca="false">IF(A399="","", "LOSS-"&amp;A399&amp;"-L"&amp;TEXT(B399,"00")&amp;"-"&amp;TEXT(C399,"yyyymmdd")&amp;"-"&amp;D399&amp;"-"&amp;E399)</f>
        <v>LOSS-KG01-L22-20251224-AM-ORD-2025-00216</v>
      </c>
      <c r="V399" s="17" t="str">
        <f aca="false">IF(U399="","",IF(COUNTIF($U$5:$U$935,U399)=1,"OK","CHECK"))</f>
        <v>OK</v>
      </c>
      <c r="W399" s="17" t="str">
        <f aca="false">IF(A399="","",IF(AND(T399="OK",V399="OK",G399&gt;=0),"OK","CHECK"))</f>
        <v>OK</v>
      </c>
    </row>
    <row r="400" customFormat="false" ht="18" hidden="false" customHeight="true" outlineLevel="0" collapsed="false">
      <c r="A400" s="18" t="s">
        <v>39</v>
      </c>
      <c r="B400" s="19" t="n">
        <v>22</v>
      </c>
      <c r="C400" s="20" t="n">
        <v>46015</v>
      </c>
      <c r="D400" s="18" t="s">
        <v>43</v>
      </c>
      <c r="E400" s="18" t="s">
        <v>113</v>
      </c>
      <c r="F400" s="18" t="s">
        <v>45</v>
      </c>
      <c r="G400" s="21" t="n">
        <v>4123</v>
      </c>
      <c r="H400" s="22" t="n">
        <v>0.000623447687881129</v>
      </c>
      <c r="I400" s="22" t="n">
        <v>0.00353928363262198</v>
      </c>
      <c r="J400" s="22" t="n">
        <v>0.00592030262432448</v>
      </c>
      <c r="K400" s="22" t="n">
        <v>0.00277006401812823</v>
      </c>
      <c r="L400" s="22" t="n">
        <v>0.00221768528050236</v>
      </c>
      <c r="M400" s="22" t="n">
        <v>0.000935312016240563</v>
      </c>
      <c r="N400" s="22" t="n">
        <v>0.00348834795170712</v>
      </c>
      <c r="O400" s="22" t="n">
        <v>0.00731771684696153</v>
      </c>
      <c r="P400" s="22" t="n">
        <v>5.62359695126438E-006</v>
      </c>
      <c r="Q400" s="22" t="n">
        <v>0.00609668357024221</v>
      </c>
      <c r="R400" s="22" t="n">
        <v>0.000246746299517158</v>
      </c>
      <c r="S400" s="23" t="n">
        <f aca="false">IF(A400="","",SUM(H400:R400))</f>
        <v>0.033161213525078</v>
      </c>
      <c r="T400" s="17" t="str">
        <f aca="false">IF(A400="","",IF(AND(MIN(H400:R400)&gt;=0,MAX(H400:R400)&lt;=1,S400&lt;=1),"OK","CHECK"))</f>
        <v>OK</v>
      </c>
      <c r="U400" s="17" t="str">
        <f aca="false">IF(A400="","", "LOSS-"&amp;A400&amp;"-L"&amp;TEXT(B400,"00")&amp;"-"&amp;TEXT(C400,"yyyymmdd")&amp;"-"&amp;D400&amp;"-"&amp;E400)</f>
        <v>LOSS-KG01-L22-20251224-PM-ORD-2025-00217</v>
      </c>
      <c r="V400" s="17" t="str">
        <f aca="false">IF(U400="","",IF(COUNTIF($U$5:$U$935,U400)=1,"OK","CHECK"))</f>
        <v>OK</v>
      </c>
      <c r="W400" s="17" t="str">
        <f aca="false">IF(A400="","",IF(AND(T400="OK",V400="OK",G400&gt;=0),"OK","CHECK"))</f>
        <v>OK</v>
      </c>
    </row>
    <row r="401" customFormat="false" ht="18" hidden="false" customHeight="true" outlineLevel="0" collapsed="false">
      <c r="A401" s="18" t="s">
        <v>39</v>
      </c>
      <c r="B401" s="19" t="n">
        <v>22</v>
      </c>
      <c r="C401" s="20" t="n">
        <v>46016</v>
      </c>
      <c r="D401" s="18" t="s">
        <v>40</v>
      </c>
      <c r="E401" s="18" t="s">
        <v>113</v>
      </c>
      <c r="F401" s="18" t="s">
        <v>42</v>
      </c>
      <c r="G401" s="21" t="n">
        <v>9388</v>
      </c>
      <c r="H401" s="22" t="n">
        <v>0.00232206532344382</v>
      </c>
      <c r="I401" s="22" t="n">
        <v>0.00551120074680528</v>
      </c>
      <c r="J401" s="22" t="n">
        <v>0.0105589809648726</v>
      </c>
      <c r="K401" s="22" t="n">
        <v>1.06362973658718E-007</v>
      </c>
      <c r="L401" s="22" t="n">
        <v>0.0150749839856052</v>
      </c>
      <c r="M401" s="22" t="n">
        <v>0.00665758934424598</v>
      </c>
      <c r="N401" s="22" t="n">
        <v>0.00025071144819695</v>
      </c>
      <c r="O401" s="22" t="n">
        <v>0.00222274461588085</v>
      </c>
      <c r="P401" s="22" t="n">
        <v>0.0104956433377319</v>
      </c>
      <c r="Q401" s="22" t="n">
        <v>8.22133169048813E-005</v>
      </c>
      <c r="R401" s="22" t="n">
        <v>0.00382817493438447</v>
      </c>
      <c r="S401" s="23" t="n">
        <f aca="false">IF(A401="","",SUM(H401:R401))</f>
        <v>0.0570044143810456</v>
      </c>
      <c r="T401" s="17" t="str">
        <f aca="false">IF(A401="","",IF(AND(MIN(H401:R401)&gt;=0,MAX(H401:R401)&lt;=1,S401&lt;=1),"OK","CHECK"))</f>
        <v>OK</v>
      </c>
      <c r="U401" s="17" t="str">
        <f aca="false">IF(A401="","", "LOSS-"&amp;A401&amp;"-L"&amp;TEXT(B401,"00")&amp;"-"&amp;TEXT(C401,"yyyymmdd")&amp;"-"&amp;D401&amp;"-"&amp;E401)</f>
        <v>LOSS-KG01-L22-20251225-AM-ORD-2025-00217</v>
      </c>
      <c r="V401" s="17" t="str">
        <f aca="false">IF(U401="","",IF(COUNTIF($U$5:$U$935,U401)=1,"OK","CHECK"))</f>
        <v>OK</v>
      </c>
      <c r="W401" s="17" t="str">
        <f aca="false">IF(A401="","",IF(AND(T401="OK",V401="OK",G401&gt;=0),"OK","CHECK"))</f>
        <v>OK</v>
      </c>
    </row>
    <row r="402" customFormat="false" ht="18" hidden="false" customHeight="true" outlineLevel="0" collapsed="false">
      <c r="A402" s="18" t="s">
        <v>39</v>
      </c>
      <c r="B402" s="19" t="n">
        <v>22</v>
      </c>
      <c r="C402" s="20" t="n">
        <v>46016</v>
      </c>
      <c r="D402" s="18" t="s">
        <v>43</v>
      </c>
      <c r="E402" s="18" t="s">
        <v>113</v>
      </c>
      <c r="F402" s="18" t="s">
        <v>42</v>
      </c>
      <c r="G402" s="21" t="n">
        <v>17779</v>
      </c>
      <c r="H402" s="22" t="n">
        <v>0.000312459817020733</v>
      </c>
      <c r="I402" s="22" t="n">
        <v>0.00534613590586273</v>
      </c>
      <c r="J402" s="22" t="n">
        <v>0.00117265913539542</v>
      </c>
      <c r="K402" s="22" t="n">
        <v>0.000823621546064059</v>
      </c>
      <c r="L402" s="22" t="n">
        <v>0.00350755875420469</v>
      </c>
      <c r="M402" s="22" t="n">
        <v>0.0165266848591438</v>
      </c>
      <c r="N402" s="22" t="n">
        <v>0.00837314615387083</v>
      </c>
      <c r="O402" s="22" t="n">
        <v>0.00246929490948219</v>
      </c>
      <c r="P402" s="22" t="n">
        <v>0.0330559262311315</v>
      </c>
      <c r="Q402" s="22" t="n">
        <v>0.00116800001959983</v>
      </c>
      <c r="R402" s="22" t="n">
        <v>0.00574731208184867</v>
      </c>
      <c r="S402" s="23" t="n">
        <f aca="false">IF(A402="","",SUM(H402:R402))</f>
        <v>0.0785027994136245</v>
      </c>
      <c r="T402" s="17" t="str">
        <f aca="false">IF(A402="","",IF(AND(MIN(H402:R402)&gt;=0,MAX(H402:R402)&lt;=1,S402&lt;=1),"OK","CHECK"))</f>
        <v>OK</v>
      </c>
      <c r="U402" s="17" t="str">
        <f aca="false">IF(A402="","", "LOSS-"&amp;A402&amp;"-L"&amp;TEXT(B402,"00")&amp;"-"&amp;TEXT(C402,"yyyymmdd")&amp;"-"&amp;D402&amp;"-"&amp;E402)</f>
        <v>LOSS-KG01-L22-20251225-PM-ORD-2025-00217</v>
      </c>
      <c r="V402" s="17" t="str">
        <f aca="false">IF(U402="","",IF(COUNTIF($U$5:$U$935,U402)=1,"OK","CHECK"))</f>
        <v>OK</v>
      </c>
      <c r="W402" s="17" t="str">
        <f aca="false">IF(A402="","",IF(AND(T402="OK",V402="OK",G402&gt;=0),"OK","CHECK"))</f>
        <v>OK</v>
      </c>
    </row>
    <row r="403" customFormat="false" ht="18" hidden="false" customHeight="true" outlineLevel="0" collapsed="false">
      <c r="A403" s="18" t="s">
        <v>39</v>
      </c>
      <c r="B403" s="19" t="n">
        <v>22</v>
      </c>
      <c r="C403" s="20" t="n">
        <v>46017</v>
      </c>
      <c r="D403" s="18" t="s">
        <v>40</v>
      </c>
      <c r="E403" s="18" t="s">
        <v>113</v>
      </c>
      <c r="F403" s="18" t="s">
        <v>42</v>
      </c>
      <c r="G403" s="21" t="n">
        <v>5956</v>
      </c>
      <c r="H403" s="22" t="n">
        <v>0.00400653595069164</v>
      </c>
      <c r="I403" s="22" t="n">
        <v>0.000169564604233277</v>
      </c>
      <c r="J403" s="22" t="n">
        <v>0.00973014469034909</v>
      </c>
      <c r="K403" s="22" t="n">
        <v>0.00179504186147169</v>
      </c>
      <c r="L403" s="22" t="n">
        <v>0.00803563375368728</v>
      </c>
      <c r="M403" s="22" t="n">
        <v>0.00643926383017127</v>
      </c>
      <c r="N403" s="22" t="n">
        <v>0.00244896617923019</v>
      </c>
      <c r="O403" s="22" t="n">
        <v>0.00974672648891015</v>
      </c>
      <c r="P403" s="22" t="n">
        <v>0.000387460161028116</v>
      </c>
      <c r="Q403" s="22" t="n">
        <v>0.000248099701236618</v>
      </c>
      <c r="R403" s="22" t="n">
        <v>0.0038474040263553</v>
      </c>
      <c r="S403" s="23" t="n">
        <f aca="false">IF(A403="","",SUM(H403:R403))</f>
        <v>0.0468548412473646</v>
      </c>
      <c r="T403" s="17" t="str">
        <f aca="false">IF(A403="","",IF(AND(MIN(H403:R403)&gt;=0,MAX(H403:R403)&lt;=1,S403&lt;=1),"OK","CHECK"))</f>
        <v>OK</v>
      </c>
      <c r="U403" s="17" t="str">
        <f aca="false">IF(A403="","", "LOSS-"&amp;A403&amp;"-L"&amp;TEXT(B403,"00")&amp;"-"&amp;TEXT(C403,"yyyymmdd")&amp;"-"&amp;D403&amp;"-"&amp;E403)</f>
        <v>LOSS-KG01-L22-20251226-AM-ORD-2025-00217</v>
      </c>
      <c r="V403" s="17" t="str">
        <f aca="false">IF(U403="","",IF(COUNTIF($U$5:$U$935,U403)=1,"OK","CHECK"))</f>
        <v>OK</v>
      </c>
      <c r="W403" s="17" t="str">
        <f aca="false">IF(A403="","",IF(AND(T403="OK",V403="OK",G403&gt;=0),"OK","CHECK"))</f>
        <v>OK</v>
      </c>
    </row>
    <row r="404" customFormat="false" ht="18" hidden="false" customHeight="true" outlineLevel="0" collapsed="false">
      <c r="A404" s="18" t="s">
        <v>39</v>
      </c>
      <c r="B404" s="19" t="n">
        <v>22</v>
      </c>
      <c r="C404" s="20" t="n">
        <v>46017</v>
      </c>
      <c r="D404" s="18" t="s">
        <v>43</v>
      </c>
      <c r="E404" s="18" t="s">
        <v>113</v>
      </c>
      <c r="F404" s="18" t="s">
        <v>42</v>
      </c>
      <c r="G404" s="21" t="n">
        <v>23435</v>
      </c>
      <c r="H404" s="22" t="n">
        <v>0.011744312608269</v>
      </c>
      <c r="I404" s="22" t="n">
        <v>3.34863401474867E-006</v>
      </c>
      <c r="J404" s="22" t="n">
        <v>0.0106589406746949</v>
      </c>
      <c r="K404" s="22" t="n">
        <v>0.0111996277088901</v>
      </c>
      <c r="L404" s="22" t="n">
        <v>0.00445006622619496</v>
      </c>
      <c r="M404" s="22" t="n">
        <v>7.4092493520051E-005</v>
      </c>
      <c r="N404" s="22" t="n">
        <v>0.00450340238527173</v>
      </c>
      <c r="O404" s="22" t="n">
        <v>0.0137304642648888</v>
      </c>
      <c r="P404" s="22" t="n">
        <v>0.000335278641927297</v>
      </c>
      <c r="Q404" s="22" t="n">
        <v>0.0162436270640544</v>
      </c>
      <c r="R404" s="22" t="n">
        <v>0.020567177906652</v>
      </c>
      <c r="S404" s="23" t="n">
        <f aca="false">IF(A404="","",SUM(H404:R404))</f>
        <v>0.093510338608378</v>
      </c>
      <c r="T404" s="17" t="str">
        <f aca="false">IF(A404="","",IF(AND(MIN(H404:R404)&gt;=0,MAX(H404:R404)&lt;=1,S404&lt;=1),"OK","CHECK"))</f>
        <v>OK</v>
      </c>
      <c r="U404" s="17" t="str">
        <f aca="false">IF(A404="","", "LOSS-"&amp;A404&amp;"-L"&amp;TEXT(B404,"00")&amp;"-"&amp;TEXT(C404,"yyyymmdd")&amp;"-"&amp;D404&amp;"-"&amp;E404)</f>
        <v>LOSS-KG01-L22-20251226-PM-ORD-2025-00217</v>
      </c>
      <c r="V404" s="17" t="str">
        <f aca="false">IF(U404="","",IF(COUNTIF($U$5:$U$935,U404)=1,"OK","CHECK"))</f>
        <v>OK</v>
      </c>
      <c r="W404" s="17" t="str">
        <f aca="false">IF(A404="","",IF(AND(T404="OK",V404="OK",G404&gt;=0),"OK","CHECK"))</f>
        <v>OK</v>
      </c>
    </row>
    <row r="405" customFormat="false" ht="18" hidden="false" customHeight="true" outlineLevel="0" collapsed="false">
      <c r="A405" s="18" t="s">
        <v>39</v>
      </c>
      <c r="B405" s="19" t="n">
        <v>22</v>
      </c>
      <c r="C405" s="20" t="n">
        <v>46018</v>
      </c>
      <c r="D405" s="18" t="s">
        <v>40</v>
      </c>
      <c r="E405" s="18" t="s">
        <v>113</v>
      </c>
      <c r="F405" s="18" t="s">
        <v>42</v>
      </c>
      <c r="G405" s="21" t="n">
        <v>11430</v>
      </c>
      <c r="H405" s="22" t="n">
        <v>0.00442803841857451</v>
      </c>
      <c r="I405" s="22" t="n">
        <v>0.0107152766364142</v>
      </c>
      <c r="J405" s="22" t="n">
        <v>0.00890606826932751</v>
      </c>
      <c r="K405" s="22" t="n">
        <v>0.0125185947754656</v>
      </c>
      <c r="L405" s="22" t="n">
        <v>0.0165891672980502</v>
      </c>
      <c r="M405" s="22" t="n">
        <v>0.000219072095884107</v>
      </c>
      <c r="N405" s="22" t="n">
        <v>0.000561855451199241</v>
      </c>
      <c r="O405" s="22" t="n">
        <v>0.0031590936994889</v>
      </c>
      <c r="P405" s="22" t="n">
        <v>0.0101363041770842</v>
      </c>
      <c r="Q405" s="22" t="n">
        <v>0.0133060646605082</v>
      </c>
      <c r="R405" s="22" t="n">
        <v>0.000112454357122778</v>
      </c>
      <c r="S405" s="23" t="n">
        <f aca="false">IF(A405="","",SUM(H405:R405))</f>
        <v>0.0806519898391195</v>
      </c>
      <c r="T405" s="17" t="str">
        <f aca="false">IF(A405="","",IF(AND(MIN(H405:R405)&gt;=0,MAX(H405:R405)&lt;=1,S405&lt;=1),"OK","CHECK"))</f>
        <v>OK</v>
      </c>
      <c r="U405" s="17" t="str">
        <f aca="false">IF(A405="","", "LOSS-"&amp;A405&amp;"-L"&amp;TEXT(B405,"00")&amp;"-"&amp;TEXT(C405,"yyyymmdd")&amp;"-"&amp;D405&amp;"-"&amp;E405)</f>
        <v>LOSS-KG01-L22-20251227-AM-ORD-2025-00217</v>
      </c>
      <c r="V405" s="17" t="str">
        <f aca="false">IF(U405="","",IF(COUNTIF($U$5:$U$935,U405)=1,"OK","CHECK"))</f>
        <v>OK</v>
      </c>
      <c r="W405" s="17" t="str">
        <f aca="false">IF(A405="","",IF(AND(T405="OK",V405="OK",G405&gt;=0),"OK","CHECK"))</f>
        <v>OK</v>
      </c>
    </row>
    <row r="406" customFormat="false" ht="18" hidden="false" customHeight="true" outlineLevel="0" collapsed="false">
      <c r="A406" s="18" t="s">
        <v>39</v>
      </c>
      <c r="B406" s="19" t="n">
        <v>22</v>
      </c>
      <c r="C406" s="20" t="n">
        <v>46018</v>
      </c>
      <c r="D406" s="18" t="s">
        <v>43</v>
      </c>
      <c r="E406" s="18" t="s">
        <v>113</v>
      </c>
      <c r="F406" s="18" t="s">
        <v>42</v>
      </c>
      <c r="G406" s="21" t="n">
        <v>21883</v>
      </c>
      <c r="H406" s="22" t="n">
        <v>6.8625268449674E-007</v>
      </c>
      <c r="I406" s="22" t="n">
        <v>0.0127489648276672</v>
      </c>
      <c r="J406" s="22" t="n">
        <v>0.00709914820197758</v>
      </c>
      <c r="K406" s="22" t="n">
        <v>0.000942676924585817</v>
      </c>
      <c r="L406" s="22" t="n">
        <v>0.00375935576739706</v>
      </c>
      <c r="M406" s="22" t="n">
        <v>0.00535483525518035</v>
      </c>
      <c r="N406" s="22" t="n">
        <v>0.0107872624173889</v>
      </c>
      <c r="O406" s="22" t="n">
        <v>0.00268181515652166</v>
      </c>
      <c r="P406" s="22" t="n">
        <v>0.00306293178670592</v>
      </c>
      <c r="Q406" s="22" t="n">
        <v>2.25117630843416E-005</v>
      </c>
      <c r="R406" s="22" t="n">
        <v>0.0106809528506796</v>
      </c>
      <c r="S406" s="23" t="n">
        <f aca="false">IF(A406="","",SUM(H406:R406))</f>
        <v>0.0571411412038729</v>
      </c>
      <c r="T406" s="17" t="str">
        <f aca="false">IF(A406="","",IF(AND(MIN(H406:R406)&gt;=0,MAX(H406:R406)&lt;=1,S406&lt;=1),"OK","CHECK"))</f>
        <v>OK</v>
      </c>
      <c r="U406" s="17" t="str">
        <f aca="false">IF(A406="","", "LOSS-"&amp;A406&amp;"-L"&amp;TEXT(B406,"00")&amp;"-"&amp;TEXT(C406,"yyyymmdd")&amp;"-"&amp;D406&amp;"-"&amp;E406)</f>
        <v>LOSS-KG01-L22-20251227-PM-ORD-2025-00217</v>
      </c>
      <c r="V406" s="17" t="str">
        <f aca="false">IF(U406="","",IF(COUNTIF($U$5:$U$935,U406)=1,"OK","CHECK"))</f>
        <v>OK</v>
      </c>
      <c r="W406" s="17" t="str">
        <f aca="false">IF(A406="","",IF(AND(T406="OK",V406="OK",G406&gt;=0),"OK","CHECK"))</f>
        <v>OK</v>
      </c>
    </row>
    <row r="407" customFormat="false" ht="18" hidden="false" customHeight="true" outlineLevel="0" collapsed="false">
      <c r="A407" s="18" t="s">
        <v>39</v>
      </c>
      <c r="B407" s="19" t="n">
        <v>22</v>
      </c>
      <c r="C407" s="20" t="n">
        <v>46019</v>
      </c>
      <c r="D407" s="18" t="s">
        <v>40</v>
      </c>
      <c r="E407" s="18" t="s">
        <v>114</v>
      </c>
      <c r="F407" s="18" t="s">
        <v>45</v>
      </c>
      <c r="G407" s="21" t="n">
        <v>2337</v>
      </c>
      <c r="H407" s="22" t="n">
        <v>0.00687100701144481</v>
      </c>
      <c r="I407" s="22" t="n">
        <v>8.13293938901707E-005</v>
      </c>
      <c r="J407" s="22" t="n">
        <v>0.0116509384721104</v>
      </c>
      <c r="K407" s="22" t="n">
        <v>0.00442365896574695</v>
      </c>
      <c r="L407" s="22" t="n">
        <v>0.00587819411711471</v>
      </c>
      <c r="M407" s="22" t="n">
        <v>0.0147786310576657</v>
      </c>
      <c r="N407" s="22" t="n">
        <v>0.0190736533619935</v>
      </c>
      <c r="O407" s="22" t="n">
        <v>1.79592445092763E-005</v>
      </c>
      <c r="P407" s="22" t="n">
        <v>0.00231643334523699</v>
      </c>
      <c r="Q407" s="22" t="n">
        <v>0.00278918253463206</v>
      </c>
      <c r="R407" s="22" t="n">
        <v>0.00564194712096218</v>
      </c>
      <c r="S407" s="23" t="n">
        <f aca="false">IF(A407="","",SUM(H407:R407))</f>
        <v>0.0735229346253068</v>
      </c>
      <c r="T407" s="17" t="str">
        <f aca="false">IF(A407="","",IF(AND(MIN(H407:R407)&gt;=0,MAX(H407:R407)&lt;=1,S407&lt;=1),"OK","CHECK"))</f>
        <v>OK</v>
      </c>
      <c r="U407" s="17" t="str">
        <f aca="false">IF(A407="","", "LOSS-"&amp;A407&amp;"-L"&amp;TEXT(B407,"00")&amp;"-"&amp;TEXT(C407,"yyyymmdd")&amp;"-"&amp;D407&amp;"-"&amp;E407)</f>
        <v>LOSS-KG01-L22-20251228-AM-ORD-2025-00218</v>
      </c>
      <c r="V407" s="17" t="str">
        <f aca="false">IF(U407="","",IF(COUNTIF($U$5:$U$935,U407)=1,"OK","CHECK"))</f>
        <v>OK</v>
      </c>
      <c r="W407" s="17" t="str">
        <f aca="false">IF(A407="","",IF(AND(T407="OK",V407="OK",G407&gt;=0),"OK","CHECK"))</f>
        <v>OK</v>
      </c>
    </row>
    <row r="408" customFormat="false" ht="18" hidden="false" customHeight="true" outlineLevel="0" collapsed="false">
      <c r="A408" s="18" t="s">
        <v>39</v>
      </c>
      <c r="B408" s="19" t="n">
        <v>22</v>
      </c>
      <c r="C408" s="20" t="n">
        <v>46019</v>
      </c>
      <c r="D408" s="18" t="s">
        <v>43</v>
      </c>
      <c r="E408" s="18" t="s">
        <v>114</v>
      </c>
      <c r="F408" s="18" t="s">
        <v>42</v>
      </c>
      <c r="G408" s="21" t="n">
        <v>11292</v>
      </c>
      <c r="H408" s="22" t="n">
        <v>0.00806755474786181</v>
      </c>
      <c r="I408" s="22" t="n">
        <v>0.00358164640743875</v>
      </c>
      <c r="J408" s="22" t="n">
        <v>5.12674101142152E-005</v>
      </c>
      <c r="K408" s="22" t="n">
        <v>0.000504138611480676</v>
      </c>
      <c r="L408" s="22" t="n">
        <v>0.0216512133019705</v>
      </c>
      <c r="M408" s="22" t="n">
        <v>0.0114077978259882</v>
      </c>
      <c r="N408" s="22" t="n">
        <v>0.006345042083344</v>
      </c>
      <c r="O408" s="22" t="n">
        <v>0.0012411052968102</v>
      </c>
      <c r="P408" s="22" t="n">
        <v>0.0115679702063642</v>
      </c>
      <c r="Q408" s="22" t="n">
        <v>0.000642230923815413</v>
      </c>
      <c r="R408" s="22" t="n">
        <v>0.000845622202881801</v>
      </c>
      <c r="S408" s="23" t="n">
        <f aca="false">IF(A408="","",SUM(H408:R408))</f>
        <v>0.0659055890180698</v>
      </c>
      <c r="T408" s="17" t="str">
        <f aca="false">IF(A408="","",IF(AND(MIN(H408:R408)&gt;=0,MAX(H408:R408)&lt;=1,S408&lt;=1),"OK","CHECK"))</f>
        <v>OK</v>
      </c>
      <c r="U408" s="17" t="str">
        <f aca="false">IF(A408="","", "LOSS-"&amp;A408&amp;"-L"&amp;TEXT(B408,"00")&amp;"-"&amp;TEXT(C408,"yyyymmdd")&amp;"-"&amp;D408&amp;"-"&amp;E408)</f>
        <v>LOSS-KG01-L22-20251228-PM-ORD-2025-00218</v>
      </c>
      <c r="V408" s="17" t="str">
        <f aca="false">IF(U408="","",IF(COUNTIF($U$5:$U$935,U408)=1,"OK","CHECK"))</f>
        <v>OK</v>
      </c>
      <c r="W408" s="17" t="str">
        <f aca="false">IF(A408="","",IF(AND(T408="OK",V408="OK",G408&gt;=0),"OK","CHECK"))</f>
        <v>OK</v>
      </c>
    </row>
    <row r="409" customFormat="false" ht="18" hidden="false" customHeight="true" outlineLevel="0" collapsed="false">
      <c r="A409" s="18" t="s">
        <v>39</v>
      </c>
      <c r="B409" s="19" t="n">
        <v>22</v>
      </c>
      <c r="C409" s="20" t="n">
        <v>46020</v>
      </c>
      <c r="D409" s="18" t="s">
        <v>40</v>
      </c>
      <c r="E409" s="18" t="s">
        <v>114</v>
      </c>
      <c r="F409" s="18" t="s">
        <v>42</v>
      </c>
      <c r="G409" s="21" t="n">
        <v>6575</v>
      </c>
      <c r="H409" s="22" t="n">
        <v>0.00154893680982907</v>
      </c>
      <c r="I409" s="22" t="n">
        <v>0.00506960558300891</v>
      </c>
      <c r="J409" s="22" t="n">
        <v>0.000758851929219137</v>
      </c>
      <c r="K409" s="22" t="n">
        <v>0.00133455472570171</v>
      </c>
      <c r="L409" s="22" t="n">
        <v>0.00242357571617152</v>
      </c>
      <c r="M409" s="22" t="n">
        <v>0.00536988938369633</v>
      </c>
      <c r="N409" s="22" t="n">
        <v>0.00519374417680159</v>
      </c>
      <c r="O409" s="22" t="n">
        <v>0.00552874883074741</v>
      </c>
      <c r="P409" s="22" t="n">
        <v>0.00428241592068474</v>
      </c>
      <c r="Q409" s="22" t="n">
        <v>0.00206003989382076</v>
      </c>
      <c r="R409" s="22" t="n">
        <v>1.05069153011627E-005</v>
      </c>
      <c r="S409" s="23" t="n">
        <f aca="false">IF(A409="","",SUM(H409:R409))</f>
        <v>0.0335808698849823</v>
      </c>
      <c r="T409" s="17" t="str">
        <f aca="false">IF(A409="","",IF(AND(MIN(H409:R409)&gt;=0,MAX(H409:R409)&lt;=1,S409&lt;=1),"OK","CHECK"))</f>
        <v>OK</v>
      </c>
      <c r="U409" s="17" t="str">
        <f aca="false">IF(A409="","", "LOSS-"&amp;A409&amp;"-L"&amp;TEXT(B409,"00")&amp;"-"&amp;TEXT(C409,"yyyymmdd")&amp;"-"&amp;D409&amp;"-"&amp;E409)</f>
        <v>LOSS-KG01-L22-20251229-AM-ORD-2025-00218</v>
      </c>
      <c r="V409" s="17" t="str">
        <f aca="false">IF(U409="","",IF(COUNTIF($U$5:$U$935,U409)=1,"OK","CHECK"))</f>
        <v>OK</v>
      </c>
      <c r="W409" s="17" t="str">
        <f aca="false">IF(A409="","",IF(AND(T409="OK",V409="OK",G409&gt;=0),"OK","CHECK"))</f>
        <v>OK</v>
      </c>
    </row>
    <row r="410" customFormat="false" ht="18" hidden="false" customHeight="true" outlineLevel="0" collapsed="false">
      <c r="A410" s="18" t="s">
        <v>39</v>
      </c>
      <c r="B410" s="19" t="n">
        <v>22</v>
      </c>
      <c r="C410" s="20" t="n">
        <v>46020</v>
      </c>
      <c r="D410" s="18" t="s">
        <v>43</v>
      </c>
      <c r="E410" s="18" t="s">
        <v>114</v>
      </c>
      <c r="F410" s="18" t="s">
        <v>42</v>
      </c>
      <c r="G410" s="21" t="n">
        <v>12794</v>
      </c>
      <c r="H410" s="22" t="n">
        <v>0.00259106930320678</v>
      </c>
      <c r="I410" s="22" t="n">
        <v>3.56113641400495E-005</v>
      </c>
      <c r="J410" s="22" t="n">
        <v>0.00902019486800571</v>
      </c>
      <c r="K410" s="22" t="n">
        <v>0.0127270195994767</v>
      </c>
      <c r="L410" s="22" t="n">
        <v>0.0160361055827279</v>
      </c>
      <c r="M410" s="22" t="n">
        <v>0.000248413261938617</v>
      </c>
      <c r="N410" s="22" t="n">
        <v>0.00638394614555922</v>
      </c>
      <c r="O410" s="22" t="n">
        <v>0.0127829562708069</v>
      </c>
      <c r="P410" s="22" t="n">
        <v>0.00277157420985981</v>
      </c>
      <c r="Q410" s="22" t="n">
        <v>0.00984924725602285</v>
      </c>
      <c r="R410" s="22" t="n">
        <v>0.00221539341743379</v>
      </c>
      <c r="S410" s="23" t="n">
        <f aca="false">IF(A410="","",SUM(H410:R410))</f>
        <v>0.0746615312791783</v>
      </c>
      <c r="T410" s="17" t="str">
        <f aca="false">IF(A410="","",IF(AND(MIN(H410:R410)&gt;=0,MAX(H410:R410)&lt;=1,S410&lt;=1),"OK","CHECK"))</f>
        <v>OK</v>
      </c>
      <c r="U410" s="17" t="str">
        <f aca="false">IF(A410="","", "LOSS-"&amp;A410&amp;"-L"&amp;TEXT(B410,"00")&amp;"-"&amp;TEXT(C410,"yyyymmdd")&amp;"-"&amp;D410&amp;"-"&amp;E410)</f>
        <v>LOSS-KG01-L22-20251229-PM-ORD-2025-00218</v>
      </c>
      <c r="V410" s="17" t="str">
        <f aca="false">IF(U410="","",IF(COUNTIF($U$5:$U$935,U410)=1,"OK","CHECK"))</f>
        <v>OK</v>
      </c>
      <c r="W410" s="17" t="str">
        <f aca="false">IF(A410="","",IF(AND(T410="OK",V410="OK",G410&gt;=0),"OK","CHECK"))</f>
        <v>OK</v>
      </c>
    </row>
    <row r="411" customFormat="false" ht="18" hidden="false" customHeight="true" outlineLevel="0" collapsed="false">
      <c r="A411" s="18" t="s">
        <v>39</v>
      </c>
      <c r="B411" s="19" t="n">
        <v>22</v>
      </c>
      <c r="C411" s="20" t="n">
        <v>46021</v>
      </c>
      <c r="D411" s="18" t="s">
        <v>40</v>
      </c>
      <c r="E411" s="18" t="s">
        <v>114</v>
      </c>
      <c r="F411" s="18" t="s">
        <v>42</v>
      </c>
      <c r="G411" s="21" t="n">
        <v>5902</v>
      </c>
      <c r="H411" s="22" t="n">
        <v>0.000837785584712942</v>
      </c>
      <c r="I411" s="22" t="n">
        <v>0.000176488004422887</v>
      </c>
      <c r="J411" s="22" t="n">
        <v>0.00290923404285914</v>
      </c>
      <c r="K411" s="22" t="n">
        <v>0.00271640277617952</v>
      </c>
      <c r="L411" s="22" t="n">
        <v>0.00287751498657923</v>
      </c>
      <c r="M411" s="22" t="n">
        <v>3.27922802461079E-005</v>
      </c>
      <c r="N411" s="22" t="n">
        <v>0.0043423831166048</v>
      </c>
      <c r="O411" s="22" t="n">
        <v>0.00485967318250588</v>
      </c>
      <c r="P411" s="22" t="n">
        <v>0.00328594835315215</v>
      </c>
      <c r="Q411" s="22" t="n">
        <v>0.00170028237821505</v>
      </c>
      <c r="R411" s="22" t="n">
        <v>0.00516396537346297</v>
      </c>
      <c r="S411" s="23" t="n">
        <f aca="false">IF(A411="","",SUM(H411:R411))</f>
        <v>0.0289024700789407</v>
      </c>
      <c r="T411" s="17" t="str">
        <f aca="false">IF(A411="","",IF(AND(MIN(H411:R411)&gt;=0,MAX(H411:R411)&lt;=1,S411&lt;=1),"OK","CHECK"))</f>
        <v>OK</v>
      </c>
      <c r="U411" s="17" t="str">
        <f aca="false">IF(A411="","", "LOSS-"&amp;A411&amp;"-L"&amp;TEXT(B411,"00")&amp;"-"&amp;TEXT(C411,"yyyymmdd")&amp;"-"&amp;D411&amp;"-"&amp;E411)</f>
        <v>LOSS-KG01-L22-20251230-AM-ORD-2025-00218</v>
      </c>
      <c r="V411" s="17" t="str">
        <f aca="false">IF(U411="","",IF(COUNTIF($U$5:$U$935,U411)=1,"OK","CHECK"))</f>
        <v>OK</v>
      </c>
      <c r="W411" s="17" t="str">
        <f aca="false">IF(A411="","",IF(AND(T411="OK",V411="OK",G411&gt;=0),"OK","CHECK"))</f>
        <v>OK</v>
      </c>
    </row>
    <row r="412" customFormat="false" ht="18" hidden="false" customHeight="true" outlineLevel="0" collapsed="false">
      <c r="A412" s="18" t="s">
        <v>39</v>
      </c>
      <c r="B412" s="19" t="n">
        <v>22</v>
      </c>
      <c r="C412" s="20" t="n">
        <v>46021</v>
      </c>
      <c r="D412" s="18" t="s">
        <v>43</v>
      </c>
      <c r="E412" s="18" t="s">
        <v>114</v>
      </c>
      <c r="F412" s="18" t="s">
        <v>42</v>
      </c>
      <c r="G412" s="21" t="n">
        <v>2554</v>
      </c>
      <c r="H412" s="22" t="n">
        <v>0.00187819380072621</v>
      </c>
      <c r="I412" s="22" t="n">
        <v>0.0014407904845786</v>
      </c>
      <c r="J412" s="22" t="n">
        <v>0.00312253822756634</v>
      </c>
      <c r="K412" s="22" t="n">
        <v>0.00238896634650306</v>
      </c>
      <c r="L412" s="22" t="n">
        <v>1.18185574190156E-005</v>
      </c>
      <c r="M412" s="22" t="n">
        <v>0.00162925016101654</v>
      </c>
      <c r="N412" s="22" t="n">
        <v>0.000229557378910889</v>
      </c>
      <c r="O412" s="22" t="n">
        <v>0.00433747243240781</v>
      </c>
      <c r="P412" s="22" t="n">
        <v>0.000374249225373573</v>
      </c>
      <c r="Q412" s="22" t="n">
        <v>0.00235198960652468</v>
      </c>
      <c r="R412" s="22" t="n">
        <v>0.000170944897746852</v>
      </c>
      <c r="S412" s="23" t="n">
        <f aca="false">IF(A412="","",SUM(H412:R412))</f>
        <v>0.0179357711187736</v>
      </c>
      <c r="T412" s="17" t="str">
        <f aca="false">IF(A412="","",IF(AND(MIN(H412:R412)&gt;=0,MAX(H412:R412)&lt;=1,S412&lt;=1),"OK","CHECK"))</f>
        <v>OK</v>
      </c>
      <c r="U412" s="17" t="str">
        <f aca="false">IF(A412="","", "LOSS-"&amp;A412&amp;"-L"&amp;TEXT(B412,"00")&amp;"-"&amp;TEXT(C412,"yyyymmdd")&amp;"-"&amp;D412&amp;"-"&amp;E412)</f>
        <v>LOSS-KG01-L22-20251230-PM-ORD-2025-00218</v>
      </c>
      <c r="V412" s="17" t="str">
        <f aca="false">IF(U412="","",IF(COUNTIF($U$5:$U$935,U412)=1,"OK","CHECK"))</f>
        <v>OK</v>
      </c>
      <c r="W412" s="17" t="str">
        <f aca="false">IF(A412="","",IF(AND(T412="OK",V412="OK",G412&gt;=0),"OK","CHECK"))</f>
        <v>OK</v>
      </c>
    </row>
    <row r="413" customFormat="false" ht="18" hidden="false" customHeight="true" outlineLevel="0" collapsed="false">
      <c r="A413" s="18" t="s">
        <v>39</v>
      </c>
      <c r="B413" s="19" t="n">
        <v>22</v>
      </c>
      <c r="C413" s="20" t="n">
        <v>46022</v>
      </c>
      <c r="D413" s="18" t="s">
        <v>40</v>
      </c>
      <c r="E413" s="18" t="s">
        <v>114</v>
      </c>
      <c r="F413" s="18" t="s">
        <v>42</v>
      </c>
      <c r="G413" s="21" t="n">
        <v>6099</v>
      </c>
      <c r="H413" s="22" t="n">
        <v>0.00381920490878632</v>
      </c>
      <c r="I413" s="22" t="n">
        <v>3.17654905301519E-005</v>
      </c>
      <c r="J413" s="22" t="n">
        <v>0.00241296113710054</v>
      </c>
      <c r="K413" s="22" t="n">
        <v>0.000498801506217503</v>
      </c>
      <c r="L413" s="22" t="n">
        <v>0.00123238061030779</v>
      </c>
      <c r="M413" s="22" t="n">
        <v>3.87333539424824E-007</v>
      </c>
      <c r="N413" s="22" t="n">
        <v>0.000651380014280725</v>
      </c>
      <c r="O413" s="22" t="n">
        <v>0.00928520529401536</v>
      </c>
      <c r="P413" s="22" t="n">
        <v>0.00655743267343369</v>
      </c>
      <c r="Q413" s="22" t="n">
        <v>0.00114618896240315</v>
      </c>
      <c r="R413" s="22" t="n">
        <v>0.00324664584625388</v>
      </c>
      <c r="S413" s="23" t="n">
        <f aca="false">IF(A413="","",SUM(H413:R413))</f>
        <v>0.0288823537768685</v>
      </c>
      <c r="T413" s="17" t="str">
        <f aca="false">IF(A413="","",IF(AND(MIN(H413:R413)&gt;=0,MAX(H413:R413)&lt;=1,S413&lt;=1),"OK","CHECK"))</f>
        <v>OK</v>
      </c>
      <c r="U413" s="17" t="str">
        <f aca="false">IF(A413="","", "LOSS-"&amp;A413&amp;"-L"&amp;TEXT(B413,"00")&amp;"-"&amp;TEXT(C413,"yyyymmdd")&amp;"-"&amp;D413&amp;"-"&amp;E413)</f>
        <v>LOSS-KG01-L22-20251231-AM-ORD-2025-00218</v>
      </c>
      <c r="V413" s="17" t="str">
        <f aca="false">IF(U413="","",IF(COUNTIF($U$5:$U$935,U413)=1,"OK","CHECK"))</f>
        <v>OK</v>
      </c>
      <c r="W413" s="17" t="str">
        <f aca="false">IF(A413="","",IF(AND(T413="OK",V413="OK",G413&gt;=0),"OK","CHECK"))</f>
        <v>OK</v>
      </c>
    </row>
    <row r="414" customFormat="false" ht="18" hidden="false" customHeight="true" outlineLevel="0" collapsed="false">
      <c r="A414" s="18" t="s">
        <v>39</v>
      </c>
      <c r="B414" s="19" t="n">
        <v>22</v>
      </c>
      <c r="C414" s="20" t="n">
        <v>46022</v>
      </c>
      <c r="D414" s="18" t="s">
        <v>43</v>
      </c>
      <c r="E414" s="18" t="s">
        <v>114</v>
      </c>
      <c r="F414" s="18" t="s">
        <v>42</v>
      </c>
      <c r="G414" s="21" t="n">
        <v>18537</v>
      </c>
      <c r="H414" s="22" t="n">
        <v>0.0164057954954316</v>
      </c>
      <c r="I414" s="22" t="n">
        <v>0.0105879191564644</v>
      </c>
      <c r="J414" s="22" t="n">
        <v>0.000247927254420696</v>
      </c>
      <c r="K414" s="22" t="n">
        <v>0.00132784557171438</v>
      </c>
      <c r="L414" s="22" t="n">
        <v>0.0132057218066924</v>
      </c>
      <c r="M414" s="22" t="n">
        <v>0.00128372085215141</v>
      </c>
      <c r="N414" s="22" t="n">
        <v>0.00981952825526668</v>
      </c>
      <c r="O414" s="22" t="n">
        <v>0.0139289256709076</v>
      </c>
      <c r="P414" s="22" t="n">
        <v>0.00975314392043343</v>
      </c>
      <c r="Q414" s="22" t="n">
        <v>0.00557430045968202</v>
      </c>
      <c r="R414" s="22" t="n">
        <v>0.00465091092339366</v>
      </c>
      <c r="S414" s="23" t="n">
        <f aca="false">IF(A414="","",SUM(H414:R414))</f>
        <v>0.0867857393665583</v>
      </c>
      <c r="T414" s="17" t="str">
        <f aca="false">IF(A414="","",IF(AND(MIN(H414:R414)&gt;=0,MAX(H414:R414)&lt;=1,S414&lt;=1),"OK","CHECK"))</f>
        <v>OK</v>
      </c>
      <c r="U414" s="17" t="str">
        <f aca="false">IF(A414="","", "LOSS-"&amp;A414&amp;"-L"&amp;TEXT(B414,"00")&amp;"-"&amp;TEXT(C414,"yyyymmdd")&amp;"-"&amp;D414&amp;"-"&amp;E414)</f>
        <v>LOSS-KG01-L22-20251231-PM-ORD-2025-00218</v>
      </c>
      <c r="V414" s="17" t="str">
        <f aca="false">IF(U414="","",IF(COUNTIF($U$5:$U$935,U414)=1,"OK","CHECK"))</f>
        <v>OK</v>
      </c>
      <c r="W414" s="17" t="str">
        <f aca="false">IF(A414="","",IF(AND(T414="OK",V414="OK",G414&gt;=0),"OK","CHECK"))</f>
        <v>OK</v>
      </c>
    </row>
    <row r="415" customFormat="false" ht="18" hidden="false" customHeight="true" outlineLevel="0" collapsed="false">
      <c r="A415" s="18" t="s">
        <v>39</v>
      </c>
      <c r="B415" s="19" t="n">
        <v>23</v>
      </c>
      <c r="C415" s="20" t="n">
        <v>45931</v>
      </c>
      <c r="D415" s="18" t="s">
        <v>40</v>
      </c>
      <c r="E415" s="18" t="s">
        <v>115</v>
      </c>
      <c r="F415" s="18" t="s">
        <v>42</v>
      </c>
      <c r="G415" s="21" t="n">
        <v>5738</v>
      </c>
      <c r="H415" s="22" t="n">
        <v>0.00302862530710143</v>
      </c>
      <c r="I415" s="22" t="n">
        <v>0.00250613372733334</v>
      </c>
      <c r="J415" s="22" t="n">
        <v>0.00193358726856387</v>
      </c>
      <c r="K415" s="22" t="n">
        <v>0.00265833262080235</v>
      </c>
      <c r="L415" s="22" t="n">
        <v>0.00100539853748952</v>
      </c>
      <c r="M415" s="22" t="n">
        <v>0.000873382901692506</v>
      </c>
      <c r="N415" s="22" t="n">
        <v>0.00578472250311834</v>
      </c>
      <c r="O415" s="22" t="n">
        <v>0.000196922822775706</v>
      </c>
      <c r="P415" s="22" t="n">
        <v>0.00623953966169293</v>
      </c>
      <c r="Q415" s="22" t="n">
        <v>0.00212829472899927</v>
      </c>
      <c r="R415" s="22" t="n">
        <v>0.00242153322270409</v>
      </c>
      <c r="S415" s="23" t="n">
        <f aca="false">IF(A415="","",SUM(H415:R415))</f>
        <v>0.0287764733022734</v>
      </c>
      <c r="T415" s="17" t="str">
        <f aca="false">IF(A415="","",IF(AND(MIN(H415:R415)&gt;=0,MAX(H415:R415)&lt;=1,S415&lt;=1),"OK","CHECK"))</f>
        <v>OK</v>
      </c>
      <c r="U415" s="17" t="str">
        <f aca="false">IF(A415="","", "LOSS-"&amp;A415&amp;"-L"&amp;TEXT(B415,"00")&amp;"-"&amp;TEXT(C415,"yyyymmdd")&amp;"-"&amp;D415&amp;"-"&amp;E415)</f>
        <v>LOSS-KG01-L23-20251001-AM-ORD-2025-00219</v>
      </c>
      <c r="V415" s="17" t="str">
        <f aca="false">IF(U415="","",IF(COUNTIF($U$5:$U$935,U415)=1,"OK","CHECK"))</f>
        <v>OK</v>
      </c>
      <c r="W415" s="17" t="str">
        <f aca="false">IF(A415="","",IF(AND(T415="OK",V415="OK",G415&gt;=0),"OK","CHECK"))</f>
        <v>OK</v>
      </c>
    </row>
    <row r="416" customFormat="false" ht="18" hidden="false" customHeight="true" outlineLevel="0" collapsed="false">
      <c r="A416" s="18" t="s">
        <v>39</v>
      </c>
      <c r="B416" s="19" t="n">
        <v>23</v>
      </c>
      <c r="C416" s="20" t="n">
        <v>45931</v>
      </c>
      <c r="D416" s="18" t="s">
        <v>43</v>
      </c>
      <c r="E416" s="18" t="s">
        <v>115</v>
      </c>
      <c r="F416" s="18" t="s">
        <v>42</v>
      </c>
      <c r="G416" s="21" t="n">
        <v>11684</v>
      </c>
      <c r="H416" s="22" t="n">
        <v>0.000641311341411874</v>
      </c>
      <c r="I416" s="22" t="n">
        <v>0.00337573375654848</v>
      </c>
      <c r="J416" s="22" t="n">
        <v>0.0036022968561055</v>
      </c>
      <c r="K416" s="22" t="n">
        <v>0.00968521345333512</v>
      </c>
      <c r="L416" s="22" t="n">
        <v>0.00724187822867715</v>
      </c>
      <c r="M416" s="22" t="n">
        <v>0.000137101363702259</v>
      </c>
      <c r="N416" s="22" t="n">
        <v>0.00525214876765299</v>
      </c>
      <c r="O416" s="22" t="n">
        <v>0.0215242715040402</v>
      </c>
      <c r="P416" s="22" t="n">
        <v>0.000153186667193058</v>
      </c>
      <c r="Q416" s="22" t="n">
        <v>0.0124141906348536</v>
      </c>
      <c r="R416" s="22" t="n">
        <v>0.00622278767659997</v>
      </c>
      <c r="S416" s="23" t="n">
        <f aca="false">IF(A416="","",SUM(H416:R416))</f>
        <v>0.0702501202501202</v>
      </c>
      <c r="T416" s="17" t="str">
        <f aca="false">IF(A416="","",IF(AND(MIN(H416:R416)&gt;=0,MAX(H416:R416)&lt;=1,S416&lt;=1),"OK","CHECK"))</f>
        <v>OK</v>
      </c>
      <c r="U416" s="17" t="str">
        <f aca="false">IF(A416="","", "LOSS-"&amp;A416&amp;"-L"&amp;TEXT(B416,"00")&amp;"-"&amp;TEXT(C416,"yyyymmdd")&amp;"-"&amp;D416&amp;"-"&amp;E416)</f>
        <v>LOSS-KG01-L23-20251001-PM-ORD-2025-00219</v>
      </c>
      <c r="V416" s="17" t="str">
        <f aca="false">IF(U416="","",IF(COUNTIF($U$5:$U$935,U416)=1,"OK","CHECK"))</f>
        <v>OK</v>
      </c>
      <c r="W416" s="17" t="str">
        <f aca="false">IF(A416="","",IF(AND(T416="OK",V416="OK",G416&gt;=0),"OK","CHECK"))</f>
        <v>OK</v>
      </c>
    </row>
    <row r="417" customFormat="false" ht="18" hidden="false" customHeight="true" outlineLevel="0" collapsed="false">
      <c r="A417" s="18" t="s">
        <v>39</v>
      </c>
      <c r="B417" s="19" t="n">
        <v>23</v>
      </c>
      <c r="C417" s="20" t="n">
        <v>45932</v>
      </c>
      <c r="D417" s="18" t="s">
        <v>40</v>
      </c>
      <c r="E417" s="18" t="s">
        <v>115</v>
      </c>
      <c r="F417" s="18" t="s">
        <v>42</v>
      </c>
      <c r="G417" s="21" t="n">
        <v>9108</v>
      </c>
      <c r="H417" s="22" t="n">
        <v>0.00219194963370386</v>
      </c>
      <c r="I417" s="22" t="n">
        <v>0.0133691858445689</v>
      </c>
      <c r="J417" s="22" t="n">
        <v>0.00483396866916347</v>
      </c>
      <c r="K417" s="22" t="n">
        <v>0.00518000690205693</v>
      </c>
      <c r="L417" s="22" t="n">
        <v>0.000576348140361245</v>
      </c>
      <c r="M417" s="22" t="n">
        <v>0.00811349387352802</v>
      </c>
      <c r="N417" s="22" t="n">
        <v>0.00924119331410802</v>
      </c>
      <c r="O417" s="22" t="n">
        <v>0.00756695954178049</v>
      </c>
      <c r="P417" s="22" t="n">
        <v>0.00409174187225699</v>
      </c>
      <c r="Q417" s="22" t="n">
        <v>0.0138753776985126</v>
      </c>
      <c r="R417" s="22" t="n">
        <v>0.0133880977071793</v>
      </c>
      <c r="S417" s="23" t="n">
        <f aca="false">IF(A417="","",SUM(H417:R417))</f>
        <v>0.0824283231972198</v>
      </c>
      <c r="T417" s="17" t="str">
        <f aca="false">IF(A417="","",IF(AND(MIN(H417:R417)&gt;=0,MAX(H417:R417)&lt;=1,S417&lt;=1),"OK","CHECK"))</f>
        <v>OK</v>
      </c>
      <c r="U417" s="17" t="str">
        <f aca="false">IF(A417="","", "LOSS-"&amp;A417&amp;"-L"&amp;TEXT(B417,"00")&amp;"-"&amp;TEXT(C417,"yyyymmdd")&amp;"-"&amp;D417&amp;"-"&amp;E417)</f>
        <v>LOSS-KG01-L23-20251002-AM-ORD-2025-00219</v>
      </c>
      <c r="V417" s="17" t="str">
        <f aca="false">IF(U417="","",IF(COUNTIF($U$5:$U$935,U417)=1,"OK","CHECK"))</f>
        <v>OK</v>
      </c>
      <c r="W417" s="17" t="str">
        <f aca="false">IF(A417="","",IF(AND(T417="OK",V417="OK",G417&gt;=0),"OK","CHECK"))</f>
        <v>OK</v>
      </c>
    </row>
    <row r="418" customFormat="false" ht="18" hidden="false" customHeight="true" outlineLevel="0" collapsed="false">
      <c r="A418" s="18" t="s">
        <v>39</v>
      </c>
      <c r="B418" s="19" t="n">
        <v>23</v>
      </c>
      <c r="C418" s="20" t="n">
        <v>45932</v>
      </c>
      <c r="D418" s="18" t="s">
        <v>43</v>
      </c>
      <c r="E418" s="18" t="s">
        <v>115</v>
      </c>
      <c r="F418" s="18" t="s">
        <v>42</v>
      </c>
      <c r="G418" s="21" t="n">
        <v>7155</v>
      </c>
      <c r="H418" s="22" t="n">
        <v>0.000927287335521687</v>
      </c>
      <c r="I418" s="22" t="n">
        <v>0.00636982986613886</v>
      </c>
      <c r="J418" s="22" t="n">
        <v>0.0112696656665842</v>
      </c>
      <c r="K418" s="22" t="n">
        <v>0.00162047415653894</v>
      </c>
      <c r="L418" s="22" t="n">
        <v>0.00332527812740352</v>
      </c>
      <c r="M418" s="22" t="n">
        <v>0.00164774383473271</v>
      </c>
      <c r="N418" s="22" t="n">
        <v>0.0103582899584892</v>
      </c>
      <c r="O418" s="22" t="n">
        <v>0.000175474091100072</v>
      </c>
      <c r="P418" s="22" t="n">
        <v>0.00180203165833026</v>
      </c>
      <c r="Q418" s="22" t="n">
        <v>0.000513737756635483</v>
      </c>
      <c r="R418" s="22" t="n">
        <v>0.000140827924752833</v>
      </c>
      <c r="S418" s="23" t="n">
        <f aca="false">IF(A418="","",SUM(H418:R418))</f>
        <v>0.0381506403762278</v>
      </c>
      <c r="T418" s="17" t="str">
        <f aca="false">IF(A418="","",IF(AND(MIN(H418:R418)&gt;=0,MAX(H418:R418)&lt;=1,S418&lt;=1),"OK","CHECK"))</f>
        <v>OK</v>
      </c>
      <c r="U418" s="17" t="str">
        <f aca="false">IF(A418="","", "LOSS-"&amp;A418&amp;"-L"&amp;TEXT(B418,"00")&amp;"-"&amp;TEXT(C418,"yyyymmdd")&amp;"-"&amp;D418&amp;"-"&amp;E418)</f>
        <v>LOSS-KG01-L23-20251002-PM-ORD-2025-00219</v>
      </c>
      <c r="V418" s="17" t="str">
        <f aca="false">IF(U418="","",IF(COUNTIF($U$5:$U$935,U418)=1,"OK","CHECK"))</f>
        <v>OK</v>
      </c>
      <c r="W418" s="17" t="str">
        <f aca="false">IF(A418="","",IF(AND(T418="OK",V418="OK",G418&gt;=0),"OK","CHECK"))</f>
        <v>OK</v>
      </c>
    </row>
    <row r="419" customFormat="false" ht="18" hidden="false" customHeight="true" outlineLevel="0" collapsed="false">
      <c r="A419" s="18" t="s">
        <v>39</v>
      </c>
      <c r="B419" s="19" t="n">
        <v>23</v>
      </c>
      <c r="C419" s="20" t="n">
        <v>45933</v>
      </c>
      <c r="D419" s="18" t="s">
        <v>40</v>
      </c>
      <c r="E419" s="18" t="s">
        <v>115</v>
      </c>
      <c r="F419" s="18" t="s">
        <v>42</v>
      </c>
      <c r="G419" s="21" t="n">
        <v>9102</v>
      </c>
      <c r="H419" s="22" t="n">
        <v>0.00102070528770715</v>
      </c>
      <c r="I419" s="22" t="n">
        <v>0.00911972030055886</v>
      </c>
      <c r="J419" s="22" t="n">
        <v>0.00716976987479505</v>
      </c>
      <c r="K419" s="22" t="n">
        <v>0.0118136586546424</v>
      </c>
      <c r="L419" s="22" t="n">
        <v>0.0116823447309882</v>
      </c>
      <c r="M419" s="22" t="n">
        <v>0.00368886656692952</v>
      </c>
      <c r="N419" s="22" t="n">
        <v>0.00151078457610058</v>
      </c>
      <c r="O419" s="22" t="n">
        <v>0.000578073643205758</v>
      </c>
      <c r="P419" s="22" t="n">
        <v>0.00988517269496531</v>
      </c>
      <c r="Q419" s="22" t="n">
        <v>0.000948178994988484</v>
      </c>
      <c r="R419" s="22" t="n">
        <v>0.0072377133807404</v>
      </c>
      <c r="S419" s="23" t="n">
        <f aca="false">IF(A419="","",SUM(H419:R419))</f>
        <v>0.0646549887056217</v>
      </c>
      <c r="T419" s="17" t="str">
        <f aca="false">IF(A419="","",IF(AND(MIN(H419:R419)&gt;=0,MAX(H419:R419)&lt;=1,S419&lt;=1),"OK","CHECK"))</f>
        <v>OK</v>
      </c>
      <c r="U419" s="17" t="str">
        <f aca="false">IF(A419="","", "LOSS-"&amp;A419&amp;"-L"&amp;TEXT(B419,"00")&amp;"-"&amp;TEXT(C419,"yyyymmdd")&amp;"-"&amp;D419&amp;"-"&amp;E419)</f>
        <v>LOSS-KG01-L23-20251003-AM-ORD-2025-00219</v>
      </c>
      <c r="V419" s="17" t="str">
        <f aca="false">IF(U419="","",IF(COUNTIF($U$5:$U$935,U419)=1,"OK","CHECK"))</f>
        <v>OK</v>
      </c>
      <c r="W419" s="17" t="str">
        <f aca="false">IF(A419="","",IF(AND(T419="OK",V419="OK",G419&gt;=0),"OK","CHECK"))</f>
        <v>OK</v>
      </c>
    </row>
    <row r="420" customFormat="false" ht="18" hidden="false" customHeight="true" outlineLevel="0" collapsed="false">
      <c r="A420" s="18" t="s">
        <v>39</v>
      </c>
      <c r="B420" s="19" t="n">
        <v>23</v>
      </c>
      <c r="C420" s="20" t="n">
        <v>45933</v>
      </c>
      <c r="D420" s="18" t="s">
        <v>43</v>
      </c>
      <c r="E420" s="18" t="s">
        <v>115</v>
      </c>
      <c r="F420" s="18" t="s">
        <v>42</v>
      </c>
      <c r="G420" s="21" t="n">
        <v>14109</v>
      </c>
      <c r="H420" s="22" t="n">
        <v>0.00963104022582775</v>
      </c>
      <c r="I420" s="22" t="n">
        <v>0.0106968297690052</v>
      </c>
      <c r="J420" s="22" t="n">
        <v>0.0114374231717049</v>
      </c>
      <c r="K420" s="22" t="n">
        <v>0.00971824258822017</v>
      </c>
      <c r="L420" s="22" t="n">
        <v>0.00981333127222081</v>
      </c>
      <c r="M420" s="22" t="n">
        <v>0.00611711374793382</v>
      </c>
      <c r="N420" s="22" t="n">
        <v>0.00687487883460079</v>
      </c>
      <c r="O420" s="22" t="n">
        <v>0.00122845732932217</v>
      </c>
      <c r="P420" s="22" t="n">
        <v>0.00395641359538797</v>
      </c>
      <c r="Q420" s="22" t="n">
        <v>0.0138869451244492</v>
      </c>
      <c r="R420" s="22" t="n">
        <v>0.00198703049696029</v>
      </c>
      <c r="S420" s="23" t="n">
        <f aca="false">IF(A420="","",SUM(H420:R420))</f>
        <v>0.0853477061556331</v>
      </c>
      <c r="T420" s="17" t="str">
        <f aca="false">IF(A420="","",IF(AND(MIN(H420:R420)&gt;=0,MAX(H420:R420)&lt;=1,S420&lt;=1),"OK","CHECK"))</f>
        <v>OK</v>
      </c>
      <c r="U420" s="17" t="str">
        <f aca="false">IF(A420="","", "LOSS-"&amp;A420&amp;"-L"&amp;TEXT(B420,"00")&amp;"-"&amp;TEXT(C420,"yyyymmdd")&amp;"-"&amp;D420&amp;"-"&amp;E420)</f>
        <v>LOSS-KG01-L23-20251003-PM-ORD-2025-00219</v>
      </c>
      <c r="V420" s="17" t="str">
        <f aca="false">IF(U420="","",IF(COUNTIF($U$5:$U$935,U420)=1,"OK","CHECK"))</f>
        <v>OK</v>
      </c>
      <c r="W420" s="17" t="str">
        <f aca="false">IF(A420="","",IF(AND(T420="OK",V420="OK",G420&gt;=0),"OK","CHECK"))</f>
        <v>OK</v>
      </c>
    </row>
    <row r="421" customFormat="false" ht="18" hidden="false" customHeight="true" outlineLevel="0" collapsed="false">
      <c r="A421" s="18" t="s">
        <v>39</v>
      </c>
      <c r="B421" s="19" t="n">
        <v>23</v>
      </c>
      <c r="C421" s="20" t="n">
        <v>45934</v>
      </c>
      <c r="D421" s="18" t="s">
        <v>40</v>
      </c>
      <c r="E421" s="18" t="s">
        <v>115</v>
      </c>
      <c r="F421" s="18" t="s">
        <v>42</v>
      </c>
      <c r="G421" s="21" t="n">
        <v>7244</v>
      </c>
      <c r="H421" s="22" t="n">
        <v>0.00773998134225016</v>
      </c>
      <c r="I421" s="22" t="n">
        <v>0.000223100200539475</v>
      </c>
      <c r="J421" s="22" t="n">
        <v>0.00690633101675528</v>
      </c>
      <c r="K421" s="22" t="n">
        <v>0.00144916159427631</v>
      </c>
      <c r="L421" s="22" t="n">
        <v>1.00853288259234E-007</v>
      </c>
      <c r="M421" s="22" t="n">
        <v>0.00623584134554992</v>
      </c>
      <c r="N421" s="22" t="n">
        <v>0.00527052367368937</v>
      </c>
      <c r="O421" s="22" t="n">
        <v>0.00389887064077123</v>
      </c>
      <c r="P421" s="22" t="n">
        <v>0.00422831618680898</v>
      </c>
      <c r="Q421" s="22" t="n">
        <v>8.75366279662495E-005</v>
      </c>
      <c r="R421" s="22" t="n">
        <v>0.00304769227222719</v>
      </c>
      <c r="S421" s="23" t="n">
        <f aca="false">IF(A421="","",SUM(H421:R421))</f>
        <v>0.0390874557541224</v>
      </c>
      <c r="T421" s="17" t="str">
        <f aca="false">IF(A421="","",IF(AND(MIN(H421:R421)&gt;=0,MAX(H421:R421)&lt;=1,S421&lt;=1),"OK","CHECK"))</f>
        <v>OK</v>
      </c>
      <c r="U421" s="17" t="str">
        <f aca="false">IF(A421="","", "LOSS-"&amp;A421&amp;"-L"&amp;TEXT(B421,"00")&amp;"-"&amp;TEXT(C421,"yyyymmdd")&amp;"-"&amp;D421&amp;"-"&amp;E421)</f>
        <v>LOSS-KG01-L23-20251004-AM-ORD-2025-00219</v>
      </c>
      <c r="V421" s="17" t="str">
        <f aca="false">IF(U421="","",IF(COUNTIF($U$5:$U$935,U421)=1,"OK","CHECK"))</f>
        <v>OK</v>
      </c>
      <c r="W421" s="17" t="str">
        <f aca="false">IF(A421="","",IF(AND(T421="OK",V421="OK",G421&gt;=0),"OK","CHECK"))</f>
        <v>OK</v>
      </c>
    </row>
    <row r="422" customFormat="false" ht="18" hidden="false" customHeight="true" outlineLevel="0" collapsed="false">
      <c r="A422" s="18" t="s">
        <v>39</v>
      </c>
      <c r="B422" s="19" t="n">
        <v>23</v>
      </c>
      <c r="C422" s="20" t="n">
        <v>45934</v>
      </c>
      <c r="D422" s="18" t="s">
        <v>43</v>
      </c>
      <c r="E422" s="18" t="s">
        <v>115</v>
      </c>
      <c r="F422" s="18" t="s">
        <v>42</v>
      </c>
      <c r="G422" s="21" t="n">
        <v>10468</v>
      </c>
      <c r="H422" s="22" t="n">
        <v>0.00592359948448436</v>
      </c>
      <c r="I422" s="22" t="n">
        <v>0.00592840834754157</v>
      </c>
      <c r="J422" s="22" t="n">
        <v>0.00120885528185805</v>
      </c>
      <c r="K422" s="22" t="n">
        <v>2.85791030492537E-005</v>
      </c>
      <c r="L422" s="22" t="n">
        <v>0.00170320981665381</v>
      </c>
      <c r="M422" s="22" t="n">
        <v>0.012596984147774</v>
      </c>
      <c r="N422" s="22" t="n">
        <v>0.00858588607758469</v>
      </c>
      <c r="O422" s="22" t="n">
        <v>0.000219624131860902</v>
      </c>
      <c r="P422" s="22" t="n">
        <v>0.0110322934705818</v>
      </c>
      <c r="Q422" s="22" t="n">
        <v>0.00566232485251539</v>
      </c>
      <c r="R422" s="22" t="n">
        <v>1.76674965534265E-005</v>
      </c>
      <c r="S422" s="23" t="n">
        <f aca="false">IF(A422="","",SUM(H422:R422))</f>
        <v>0.0529074322104573</v>
      </c>
      <c r="T422" s="17" t="str">
        <f aca="false">IF(A422="","",IF(AND(MIN(H422:R422)&gt;=0,MAX(H422:R422)&lt;=1,S422&lt;=1),"OK","CHECK"))</f>
        <v>OK</v>
      </c>
      <c r="U422" s="17" t="str">
        <f aca="false">IF(A422="","", "LOSS-"&amp;A422&amp;"-L"&amp;TEXT(B422,"00")&amp;"-"&amp;TEXT(C422,"yyyymmdd")&amp;"-"&amp;D422&amp;"-"&amp;E422)</f>
        <v>LOSS-KG01-L23-20251004-PM-ORD-2025-00219</v>
      </c>
      <c r="V422" s="17" t="str">
        <f aca="false">IF(U422="","",IF(COUNTIF($U$5:$U$935,U422)=1,"OK","CHECK"))</f>
        <v>OK</v>
      </c>
      <c r="W422" s="17" t="str">
        <f aca="false">IF(A422="","",IF(AND(T422="OK",V422="OK",G422&gt;=0),"OK","CHECK"))</f>
        <v>OK</v>
      </c>
    </row>
    <row r="423" customFormat="false" ht="18" hidden="false" customHeight="true" outlineLevel="0" collapsed="false">
      <c r="A423" s="18" t="s">
        <v>39</v>
      </c>
      <c r="B423" s="19" t="n">
        <v>23</v>
      </c>
      <c r="C423" s="20" t="n">
        <v>45935</v>
      </c>
      <c r="D423" s="18" t="s">
        <v>40</v>
      </c>
      <c r="E423" s="18" t="s">
        <v>115</v>
      </c>
      <c r="F423" s="18" t="s">
        <v>42</v>
      </c>
      <c r="G423" s="21" t="n">
        <v>8951</v>
      </c>
      <c r="H423" s="22" t="n">
        <v>0.00801052191302855</v>
      </c>
      <c r="I423" s="22" t="n">
        <v>0.000596873160986912</v>
      </c>
      <c r="J423" s="22" t="n">
        <v>0.00842783482103425</v>
      </c>
      <c r="K423" s="22" t="n">
        <v>0.010088840986972</v>
      </c>
      <c r="L423" s="22" t="n">
        <v>0.0195164853383384</v>
      </c>
      <c r="M423" s="22" t="n">
        <v>1.11190142408882E-005</v>
      </c>
      <c r="N423" s="22" t="n">
        <v>0.00778954484524281</v>
      </c>
      <c r="O423" s="22" t="n">
        <v>0.013439720665141</v>
      </c>
      <c r="P423" s="22" t="n">
        <v>0.00326531311442458</v>
      </c>
      <c r="Q423" s="22" t="n">
        <v>0.00563222465584728</v>
      </c>
      <c r="R423" s="22" t="n">
        <v>0.000802647542155689</v>
      </c>
      <c r="S423" s="23" t="n">
        <f aca="false">IF(A423="","",SUM(H423:R423))</f>
        <v>0.0775811260574124</v>
      </c>
      <c r="T423" s="17" t="str">
        <f aca="false">IF(A423="","",IF(AND(MIN(H423:R423)&gt;=0,MAX(H423:R423)&lt;=1,S423&lt;=1),"OK","CHECK"))</f>
        <v>OK</v>
      </c>
      <c r="U423" s="17" t="str">
        <f aca="false">IF(A423="","", "LOSS-"&amp;A423&amp;"-L"&amp;TEXT(B423,"00")&amp;"-"&amp;TEXT(C423,"yyyymmdd")&amp;"-"&amp;D423&amp;"-"&amp;E423)</f>
        <v>LOSS-KG01-L23-20251005-AM-ORD-2025-00219</v>
      </c>
      <c r="V423" s="17" t="str">
        <f aca="false">IF(U423="","",IF(COUNTIF($U$5:$U$935,U423)=1,"OK","CHECK"))</f>
        <v>OK</v>
      </c>
      <c r="W423" s="17" t="str">
        <f aca="false">IF(A423="","",IF(AND(T423="OK",V423="OK",G423&gt;=0),"OK","CHECK"))</f>
        <v>OK</v>
      </c>
    </row>
    <row r="424" customFormat="false" ht="18" hidden="false" customHeight="true" outlineLevel="0" collapsed="false">
      <c r="A424" s="18" t="s">
        <v>39</v>
      </c>
      <c r="B424" s="19" t="n">
        <v>23</v>
      </c>
      <c r="C424" s="20" t="n">
        <v>45935</v>
      </c>
      <c r="D424" s="18" t="s">
        <v>43</v>
      </c>
      <c r="E424" s="18" t="s">
        <v>116</v>
      </c>
      <c r="F424" s="18" t="s">
        <v>45</v>
      </c>
      <c r="G424" s="21" t="n">
        <v>981</v>
      </c>
      <c r="H424" s="22" t="n">
        <v>0.0221276000962915</v>
      </c>
      <c r="I424" s="22" t="n">
        <v>0.00556017726481131</v>
      </c>
      <c r="J424" s="22" t="n">
        <v>0.013872185169196</v>
      </c>
      <c r="K424" s="22" t="n">
        <v>0.00151962732512465</v>
      </c>
      <c r="L424" s="22" t="n">
        <v>0.00591549125014291</v>
      </c>
      <c r="M424" s="22" t="n">
        <v>0.0134810073185134</v>
      </c>
      <c r="N424" s="22" t="n">
        <v>0.0010590662859363</v>
      </c>
      <c r="O424" s="22" t="n">
        <v>0.000466886113614632</v>
      </c>
      <c r="P424" s="22" t="n">
        <v>0.000111459721829395</v>
      </c>
      <c r="Q424" s="22" t="n">
        <v>2.53177496166624E-005</v>
      </c>
      <c r="R424" s="22" t="n">
        <v>0.00885225313349469</v>
      </c>
      <c r="S424" s="23" t="n">
        <f aca="false">IF(A424="","",SUM(H424:R424))</f>
        <v>0.0729910714285715</v>
      </c>
      <c r="T424" s="17" t="str">
        <f aca="false">IF(A424="","",IF(AND(MIN(H424:R424)&gt;=0,MAX(H424:R424)&lt;=1,S424&lt;=1),"OK","CHECK"))</f>
        <v>OK</v>
      </c>
      <c r="U424" s="17" t="str">
        <f aca="false">IF(A424="","", "LOSS-"&amp;A424&amp;"-L"&amp;TEXT(B424,"00")&amp;"-"&amp;TEXT(C424,"yyyymmdd")&amp;"-"&amp;D424&amp;"-"&amp;E424)</f>
        <v>LOSS-KG01-L23-20251005-PM-ORD-2025-00220</v>
      </c>
      <c r="V424" s="17" t="str">
        <f aca="false">IF(U424="","",IF(COUNTIF($U$5:$U$935,U424)=1,"OK","CHECK"))</f>
        <v>OK</v>
      </c>
      <c r="W424" s="17" t="str">
        <f aca="false">IF(A424="","",IF(AND(T424="OK",V424="OK",G424&gt;=0),"OK","CHECK"))</f>
        <v>OK</v>
      </c>
    </row>
    <row r="425" customFormat="false" ht="18" hidden="false" customHeight="true" outlineLevel="0" collapsed="false">
      <c r="A425" s="18" t="s">
        <v>39</v>
      </c>
      <c r="B425" s="19" t="n">
        <v>23</v>
      </c>
      <c r="C425" s="20" t="n">
        <v>45936</v>
      </c>
      <c r="D425" s="18" t="s">
        <v>40</v>
      </c>
      <c r="E425" s="18" t="s">
        <v>116</v>
      </c>
      <c r="F425" s="18" t="s">
        <v>42</v>
      </c>
      <c r="G425" s="21" t="n">
        <v>3510</v>
      </c>
      <c r="H425" s="22" t="n">
        <v>0.00132536235383511</v>
      </c>
      <c r="I425" s="22" t="n">
        <v>0.00293791133940236</v>
      </c>
      <c r="J425" s="22" t="n">
        <v>0.00123717598541516</v>
      </c>
      <c r="K425" s="22" t="n">
        <v>0.000367753890139878</v>
      </c>
      <c r="L425" s="22" t="n">
        <v>0.00019664882979879</v>
      </c>
      <c r="M425" s="22" t="n">
        <v>0.00133816958764939</v>
      </c>
      <c r="N425" s="22" t="n">
        <v>0.00258567583949673</v>
      </c>
      <c r="O425" s="22" t="n">
        <v>0.00405992593429309</v>
      </c>
      <c r="P425" s="22" t="n">
        <v>0.00441268762179007</v>
      </c>
      <c r="Q425" s="22" t="n">
        <v>0.00478037914216577</v>
      </c>
      <c r="R425" s="22" t="n">
        <v>0.00519225523279405</v>
      </c>
      <c r="S425" s="23" t="n">
        <f aca="false">IF(A425="","",SUM(H425:R425))</f>
        <v>0.0284339457567804</v>
      </c>
      <c r="T425" s="17" t="str">
        <f aca="false">IF(A425="","",IF(AND(MIN(H425:R425)&gt;=0,MAX(H425:R425)&lt;=1,S425&lt;=1),"OK","CHECK"))</f>
        <v>OK</v>
      </c>
      <c r="U425" s="17" t="str">
        <f aca="false">IF(A425="","", "LOSS-"&amp;A425&amp;"-L"&amp;TEXT(B425,"00")&amp;"-"&amp;TEXT(C425,"yyyymmdd")&amp;"-"&amp;D425&amp;"-"&amp;E425)</f>
        <v>LOSS-KG01-L23-20251006-AM-ORD-2025-00220</v>
      </c>
      <c r="V425" s="17" t="str">
        <f aca="false">IF(U425="","",IF(COUNTIF($U$5:$U$935,U425)=1,"OK","CHECK"))</f>
        <v>OK</v>
      </c>
      <c r="W425" s="17" t="str">
        <f aca="false">IF(A425="","",IF(AND(T425="OK",V425="OK",G425&gt;=0),"OK","CHECK"))</f>
        <v>OK</v>
      </c>
    </row>
    <row r="426" customFormat="false" ht="18" hidden="false" customHeight="true" outlineLevel="0" collapsed="false">
      <c r="A426" s="18" t="s">
        <v>39</v>
      </c>
      <c r="B426" s="19" t="n">
        <v>23</v>
      </c>
      <c r="C426" s="20" t="n">
        <v>45936</v>
      </c>
      <c r="D426" s="18" t="s">
        <v>43</v>
      </c>
      <c r="E426" s="18" t="s">
        <v>116</v>
      </c>
      <c r="F426" s="18" t="s">
        <v>42</v>
      </c>
      <c r="G426" s="21" t="n">
        <v>17928</v>
      </c>
      <c r="H426" s="22" t="n">
        <v>0.00122364978296979</v>
      </c>
      <c r="I426" s="22" t="n">
        <v>0.0106399416078931</v>
      </c>
      <c r="J426" s="22" t="n">
        <v>9.95510642003223E-005</v>
      </c>
      <c r="K426" s="22" t="n">
        <v>0.0114371756092408</v>
      </c>
      <c r="L426" s="22" t="n">
        <v>0.00949309872030041</v>
      </c>
      <c r="M426" s="22" t="n">
        <v>0.00336978882280591</v>
      </c>
      <c r="N426" s="22" t="n">
        <v>0.00551350104978619</v>
      </c>
      <c r="O426" s="22" t="n">
        <v>0.00451223266917284</v>
      </c>
      <c r="P426" s="22" t="n">
        <v>0.00302999810919095</v>
      </c>
      <c r="Q426" s="22" t="n">
        <v>0.0125135381180755</v>
      </c>
      <c r="R426" s="22" t="n">
        <v>0.0187134829962854</v>
      </c>
      <c r="S426" s="23" t="n">
        <f aca="false">IF(A426="","",SUM(H426:R426))</f>
        <v>0.0805459585499212</v>
      </c>
      <c r="T426" s="17" t="str">
        <f aca="false">IF(A426="","",IF(AND(MIN(H426:R426)&gt;=0,MAX(H426:R426)&lt;=1,S426&lt;=1),"OK","CHECK"))</f>
        <v>OK</v>
      </c>
      <c r="U426" s="17" t="str">
        <f aca="false">IF(A426="","", "LOSS-"&amp;A426&amp;"-L"&amp;TEXT(B426,"00")&amp;"-"&amp;TEXT(C426,"yyyymmdd")&amp;"-"&amp;D426&amp;"-"&amp;E426)</f>
        <v>LOSS-KG01-L23-20251006-PM-ORD-2025-00220</v>
      </c>
      <c r="V426" s="17" t="str">
        <f aca="false">IF(U426="","",IF(COUNTIF($U$5:$U$935,U426)=1,"OK","CHECK"))</f>
        <v>OK</v>
      </c>
      <c r="W426" s="17" t="str">
        <f aca="false">IF(A426="","",IF(AND(T426="OK",V426="OK",G426&gt;=0),"OK","CHECK"))</f>
        <v>OK</v>
      </c>
    </row>
    <row r="427" customFormat="false" ht="18" hidden="false" customHeight="true" outlineLevel="0" collapsed="false">
      <c r="A427" s="18" t="s">
        <v>39</v>
      </c>
      <c r="B427" s="19" t="n">
        <v>23</v>
      </c>
      <c r="C427" s="20" t="n">
        <v>45937</v>
      </c>
      <c r="D427" s="18" t="s">
        <v>40</v>
      </c>
      <c r="E427" s="18" t="s">
        <v>117</v>
      </c>
      <c r="F427" s="18" t="s">
        <v>45</v>
      </c>
      <c r="G427" s="21" t="n">
        <v>13481</v>
      </c>
      <c r="H427" s="22" t="n">
        <v>0.0102965568304712</v>
      </c>
      <c r="I427" s="22" t="n">
        <v>0.00380995769696114</v>
      </c>
      <c r="J427" s="22" t="n">
        <v>0.00676077705495989</v>
      </c>
      <c r="K427" s="22" t="n">
        <v>0.00486142760817672</v>
      </c>
      <c r="L427" s="22" t="n">
        <v>0.012912056804007</v>
      </c>
      <c r="M427" s="22" t="n">
        <v>0.00674132206612644</v>
      </c>
      <c r="N427" s="22" t="n">
        <v>0.0025374675887067</v>
      </c>
      <c r="O427" s="22" t="n">
        <v>0.00904111250673112</v>
      </c>
      <c r="P427" s="22" t="n">
        <v>4.71652768546407E-005</v>
      </c>
      <c r="Q427" s="22" t="n">
        <v>0.00869301286632271</v>
      </c>
      <c r="R427" s="22" t="n">
        <v>0.00905321660822275</v>
      </c>
      <c r="S427" s="23" t="n">
        <f aca="false">IF(A427="","",SUM(H427:R427))</f>
        <v>0.0747540729075403</v>
      </c>
      <c r="T427" s="17" t="str">
        <f aca="false">IF(A427="","",IF(AND(MIN(H427:R427)&gt;=0,MAX(H427:R427)&lt;=1,S427&lt;=1),"OK","CHECK"))</f>
        <v>OK</v>
      </c>
      <c r="U427" s="17" t="str">
        <f aca="false">IF(A427="","", "LOSS-"&amp;A427&amp;"-L"&amp;TEXT(B427,"00")&amp;"-"&amp;TEXT(C427,"yyyymmdd")&amp;"-"&amp;D427&amp;"-"&amp;E427)</f>
        <v>LOSS-KG01-L23-20251007-AM-ORD-2025-00221</v>
      </c>
      <c r="V427" s="17" t="str">
        <f aca="false">IF(U427="","",IF(COUNTIF($U$5:$U$935,U427)=1,"OK","CHECK"))</f>
        <v>OK</v>
      </c>
      <c r="W427" s="17" t="str">
        <f aca="false">IF(A427="","",IF(AND(T427="OK",V427="OK",G427&gt;=0),"OK","CHECK"))</f>
        <v>OK</v>
      </c>
    </row>
    <row r="428" customFormat="false" ht="18" hidden="false" customHeight="true" outlineLevel="0" collapsed="false">
      <c r="A428" s="18" t="s">
        <v>39</v>
      </c>
      <c r="B428" s="19" t="n">
        <v>23</v>
      </c>
      <c r="C428" s="20" t="n">
        <v>45937</v>
      </c>
      <c r="D428" s="18" t="s">
        <v>43</v>
      </c>
      <c r="E428" s="18" t="s">
        <v>117</v>
      </c>
      <c r="F428" s="18" t="s">
        <v>42</v>
      </c>
      <c r="G428" s="21" t="n">
        <v>14729</v>
      </c>
      <c r="H428" s="22" t="n">
        <v>0.00710242500350582</v>
      </c>
      <c r="I428" s="22" t="n">
        <v>2.15098168450756E-005</v>
      </c>
      <c r="J428" s="22" t="n">
        <v>0.00215491650753366</v>
      </c>
      <c r="K428" s="22" t="n">
        <v>0.0116164929543616</v>
      </c>
      <c r="L428" s="22" t="n">
        <v>0.00534837530046084</v>
      </c>
      <c r="M428" s="22" t="n">
        <v>0.00261544795811733</v>
      </c>
      <c r="N428" s="22" t="n">
        <v>0.00837465808482683</v>
      </c>
      <c r="O428" s="22" t="n">
        <v>0.00014503162942852</v>
      </c>
      <c r="P428" s="22" t="n">
        <v>0.00969146213497504</v>
      </c>
      <c r="Q428" s="22" t="n">
        <v>0.00775926260994947</v>
      </c>
      <c r="R428" s="22" t="n">
        <v>0.00454071954743682</v>
      </c>
      <c r="S428" s="23" t="n">
        <f aca="false">IF(A428="","",SUM(H428:R428))</f>
        <v>0.059370301547441</v>
      </c>
      <c r="T428" s="17" t="str">
        <f aca="false">IF(A428="","",IF(AND(MIN(H428:R428)&gt;=0,MAX(H428:R428)&lt;=1,S428&lt;=1),"OK","CHECK"))</f>
        <v>OK</v>
      </c>
      <c r="U428" s="17" t="str">
        <f aca="false">IF(A428="","", "LOSS-"&amp;A428&amp;"-L"&amp;TEXT(B428,"00")&amp;"-"&amp;TEXT(C428,"yyyymmdd")&amp;"-"&amp;D428&amp;"-"&amp;E428)</f>
        <v>LOSS-KG01-L23-20251007-PM-ORD-2025-00221</v>
      </c>
      <c r="V428" s="17" t="str">
        <f aca="false">IF(U428="","",IF(COUNTIF($U$5:$U$935,U428)=1,"OK","CHECK"))</f>
        <v>OK</v>
      </c>
      <c r="W428" s="17" t="str">
        <f aca="false">IF(A428="","",IF(AND(T428="OK",V428="OK",G428&gt;=0),"OK","CHECK"))</f>
        <v>OK</v>
      </c>
    </row>
    <row r="429" customFormat="false" ht="18" hidden="false" customHeight="true" outlineLevel="0" collapsed="false">
      <c r="A429" s="18" t="s">
        <v>39</v>
      </c>
      <c r="B429" s="19" t="n">
        <v>23</v>
      </c>
      <c r="C429" s="20" t="n">
        <v>45938</v>
      </c>
      <c r="D429" s="18" t="s">
        <v>40</v>
      </c>
      <c r="E429" s="18" t="s">
        <v>117</v>
      </c>
      <c r="F429" s="18" t="s">
        <v>42</v>
      </c>
      <c r="G429" s="21" t="n">
        <v>16292</v>
      </c>
      <c r="H429" s="22" t="n">
        <v>0.0138843257232743</v>
      </c>
      <c r="I429" s="22" t="n">
        <v>0.0115494236791969</v>
      </c>
      <c r="J429" s="22" t="n">
        <v>0.0029754777894094</v>
      </c>
      <c r="K429" s="22" t="n">
        <v>0.00955017410185844</v>
      </c>
      <c r="L429" s="22" t="n">
        <v>0.000446441217051729</v>
      </c>
      <c r="M429" s="22" t="n">
        <v>0.00130903377249102</v>
      </c>
      <c r="N429" s="22" t="n">
        <v>0.00516001926340198</v>
      </c>
      <c r="O429" s="22" t="n">
        <v>0.00155013502741015</v>
      </c>
      <c r="P429" s="22" t="n">
        <v>0.00241317246026018</v>
      </c>
      <c r="Q429" s="22" t="n">
        <v>0.0106624343912646</v>
      </c>
      <c r="R429" s="22" t="n">
        <v>0.00465246056418269</v>
      </c>
      <c r="S429" s="23" t="n">
        <f aca="false">IF(A429="","",SUM(H429:R429))</f>
        <v>0.0641530979898014</v>
      </c>
      <c r="T429" s="17" t="str">
        <f aca="false">IF(A429="","",IF(AND(MIN(H429:R429)&gt;=0,MAX(H429:R429)&lt;=1,S429&lt;=1),"OK","CHECK"))</f>
        <v>OK</v>
      </c>
      <c r="U429" s="17" t="str">
        <f aca="false">IF(A429="","", "LOSS-"&amp;A429&amp;"-L"&amp;TEXT(B429,"00")&amp;"-"&amp;TEXT(C429,"yyyymmdd")&amp;"-"&amp;D429&amp;"-"&amp;E429)</f>
        <v>LOSS-KG01-L23-20251008-AM-ORD-2025-00221</v>
      </c>
      <c r="V429" s="17" t="str">
        <f aca="false">IF(U429="","",IF(COUNTIF($U$5:$U$935,U429)=1,"OK","CHECK"))</f>
        <v>OK</v>
      </c>
      <c r="W429" s="17" t="str">
        <f aca="false">IF(A429="","",IF(AND(T429="OK",V429="OK",G429&gt;=0),"OK","CHECK"))</f>
        <v>OK</v>
      </c>
    </row>
    <row r="430" customFormat="false" ht="18" hidden="false" customHeight="true" outlineLevel="0" collapsed="false">
      <c r="A430" s="18" t="s">
        <v>39</v>
      </c>
      <c r="B430" s="19" t="n">
        <v>23</v>
      </c>
      <c r="C430" s="20" t="n">
        <v>45938</v>
      </c>
      <c r="D430" s="18" t="s">
        <v>43</v>
      </c>
      <c r="E430" s="18" t="s">
        <v>117</v>
      </c>
      <c r="F430" s="18" t="s">
        <v>42</v>
      </c>
      <c r="G430" s="21" t="n">
        <v>10496</v>
      </c>
      <c r="H430" s="22" t="n">
        <v>0.0124931461816357</v>
      </c>
      <c r="I430" s="22" t="n">
        <v>0.0140699865219887</v>
      </c>
      <c r="J430" s="22" t="n">
        <v>0.0142379443638805</v>
      </c>
      <c r="K430" s="22" t="n">
        <v>0.00291376254435728</v>
      </c>
      <c r="L430" s="22" t="n">
        <v>0.0118021448563747</v>
      </c>
      <c r="M430" s="22" t="n">
        <v>0.00271671654906563</v>
      </c>
      <c r="N430" s="22" t="n">
        <v>0.0050399775542001</v>
      </c>
      <c r="O430" s="22" t="n">
        <v>0.0016529274200295</v>
      </c>
      <c r="P430" s="22" t="n">
        <v>0.00188315913989844</v>
      </c>
      <c r="Q430" s="22" t="n">
        <v>3.17467845223607E-005</v>
      </c>
      <c r="R430" s="22" t="n">
        <v>0.000487151517706341</v>
      </c>
      <c r="S430" s="23" t="n">
        <f aca="false">IF(A430="","",SUM(H430:R430))</f>
        <v>0.0673286634336593</v>
      </c>
      <c r="T430" s="17" t="str">
        <f aca="false">IF(A430="","",IF(AND(MIN(H430:R430)&gt;=0,MAX(H430:R430)&lt;=1,S430&lt;=1),"OK","CHECK"))</f>
        <v>OK</v>
      </c>
      <c r="U430" s="17" t="str">
        <f aca="false">IF(A430="","", "LOSS-"&amp;A430&amp;"-L"&amp;TEXT(B430,"00")&amp;"-"&amp;TEXT(C430,"yyyymmdd")&amp;"-"&amp;D430&amp;"-"&amp;E430)</f>
        <v>LOSS-KG01-L23-20251008-PM-ORD-2025-00221</v>
      </c>
      <c r="V430" s="17" t="str">
        <f aca="false">IF(U430="","",IF(COUNTIF($U$5:$U$935,U430)=1,"OK","CHECK"))</f>
        <v>OK</v>
      </c>
      <c r="W430" s="17" t="str">
        <f aca="false">IF(A430="","",IF(AND(T430="OK",V430="OK",G430&gt;=0),"OK","CHECK"))</f>
        <v>OK</v>
      </c>
    </row>
    <row r="431" customFormat="false" ht="18" hidden="false" customHeight="true" outlineLevel="0" collapsed="false">
      <c r="A431" s="18" t="s">
        <v>39</v>
      </c>
      <c r="B431" s="19" t="n">
        <v>23</v>
      </c>
      <c r="C431" s="20" t="n">
        <v>45939</v>
      </c>
      <c r="D431" s="18" t="s">
        <v>40</v>
      </c>
      <c r="E431" s="18" t="s">
        <v>117</v>
      </c>
      <c r="F431" s="18" t="s">
        <v>42</v>
      </c>
      <c r="G431" s="21" t="n">
        <v>2584</v>
      </c>
      <c r="H431" s="22" t="n">
        <v>0.00108788451077365</v>
      </c>
      <c r="I431" s="22" t="n">
        <v>2.68884248194566E-006</v>
      </c>
      <c r="J431" s="22" t="n">
        <v>0.00309558563324824</v>
      </c>
      <c r="K431" s="22" t="n">
        <v>0.00126898863992403</v>
      </c>
      <c r="L431" s="22" t="n">
        <v>0.00203594484285928</v>
      </c>
      <c r="M431" s="22" t="n">
        <v>0.000375777790950585</v>
      </c>
      <c r="N431" s="22" t="n">
        <v>0.00204756176953021</v>
      </c>
      <c r="O431" s="22" t="n">
        <v>0.00128752297412366</v>
      </c>
      <c r="P431" s="22" t="n">
        <v>0.000371083740979386</v>
      </c>
      <c r="Q431" s="22" t="n">
        <v>0.00203181521458532</v>
      </c>
      <c r="R431" s="22" t="n">
        <v>0.00181133542580525</v>
      </c>
      <c r="S431" s="23" t="n">
        <f aca="false">IF(A431="","",SUM(H431:R431))</f>
        <v>0.0154161893852616</v>
      </c>
      <c r="T431" s="17" t="str">
        <f aca="false">IF(A431="","",IF(AND(MIN(H431:R431)&gt;=0,MAX(H431:R431)&lt;=1,S431&lt;=1),"OK","CHECK"))</f>
        <v>OK</v>
      </c>
      <c r="U431" s="17" t="str">
        <f aca="false">IF(A431="","", "LOSS-"&amp;A431&amp;"-L"&amp;TEXT(B431,"00")&amp;"-"&amp;TEXT(C431,"yyyymmdd")&amp;"-"&amp;D431&amp;"-"&amp;E431)</f>
        <v>LOSS-KG01-L23-20251009-AM-ORD-2025-00221</v>
      </c>
      <c r="V431" s="17" t="str">
        <f aca="false">IF(U431="","",IF(COUNTIF($U$5:$U$935,U431)=1,"OK","CHECK"))</f>
        <v>OK</v>
      </c>
      <c r="W431" s="17" t="str">
        <f aca="false">IF(A431="","",IF(AND(T431="OK",V431="OK",G431&gt;=0),"OK","CHECK"))</f>
        <v>OK</v>
      </c>
    </row>
    <row r="432" customFormat="false" ht="18" hidden="false" customHeight="true" outlineLevel="0" collapsed="false">
      <c r="A432" s="18" t="s">
        <v>39</v>
      </c>
      <c r="B432" s="19" t="n">
        <v>23</v>
      </c>
      <c r="C432" s="20" t="n">
        <v>45939</v>
      </c>
      <c r="D432" s="18" t="s">
        <v>43</v>
      </c>
      <c r="E432" s="18" t="s">
        <v>117</v>
      </c>
      <c r="F432" s="18" t="s">
        <v>42</v>
      </c>
      <c r="G432" s="21" t="n">
        <v>5148</v>
      </c>
      <c r="H432" s="22" t="n">
        <v>0.000258490494825484</v>
      </c>
      <c r="I432" s="22" t="n">
        <v>0.00702625372400557</v>
      </c>
      <c r="J432" s="22" t="n">
        <v>0.000179094712418711</v>
      </c>
      <c r="K432" s="22" t="n">
        <v>0.00399887654086927</v>
      </c>
      <c r="L432" s="22" t="n">
        <v>0.00799932494221208</v>
      </c>
      <c r="M432" s="22" t="n">
        <v>0.000717491515538516</v>
      </c>
      <c r="N432" s="22" t="n">
        <v>0.000562956854101695</v>
      </c>
      <c r="O432" s="22" t="n">
        <v>0.00784683185554749</v>
      </c>
      <c r="P432" s="22" t="n">
        <v>0.00368636227035721</v>
      </c>
      <c r="Q432" s="22" t="n">
        <v>0.000238545424954753</v>
      </c>
      <c r="R432" s="22" t="n">
        <v>1.57795989582061E-006</v>
      </c>
      <c r="S432" s="23" t="n">
        <f aca="false">IF(A432="","",SUM(H432:R432))</f>
        <v>0.0325158062947266</v>
      </c>
      <c r="T432" s="17" t="str">
        <f aca="false">IF(A432="","",IF(AND(MIN(H432:R432)&gt;=0,MAX(H432:R432)&lt;=1,S432&lt;=1),"OK","CHECK"))</f>
        <v>OK</v>
      </c>
      <c r="U432" s="17" t="str">
        <f aca="false">IF(A432="","", "LOSS-"&amp;A432&amp;"-L"&amp;TEXT(B432,"00")&amp;"-"&amp;TEXT(C432,"yyyymmdd")&amp;"-"&amp;D432&amp;"-"&amp;E432)</f>
        <v>LOSS-KG01-L23-20251009-PM-ORD-2025-00221</v>
      </c>
      <c r="V432" s="17" t="str">
        <f aca="false">IF(U432="","",IF(COUNTIF($U$5:$U$935,U432)=1,"OK","CHECK"))</f>
        <v>OK</v>
      </c>
      <c r="W432" s="17" t="str">
        <f aca="false">IF(A432="","",IF(AND(T432="OK",V432="OK",G432&gt;=0),"OK","CHECK"))</f>
        <v>OK</v>
      </c>
    </row>
    <row r="433" customFormat="false" ht="18" hidden="false" customHeight="true" outlineLevel="0" collapsed="false">
      <c r="A433" s="18" t="s">
        <v>39</v>
      </c>
      <c r="B433" s="19" t="n">
        <v>23</v>
      </c>
      <c r="C433" s="20" t="n">
        <v>45940</v>
      </c>
      <c r="D433" s="18" t="s">
        <v>40</v>
      </c>
      <c r="E433" s="18" t="s">
        <v>117</v>
      </c>
      <c r="F433" s="18" t="s">
        <v>42</v>
      </c>
      <c r="G433" s="21" t="n">
        <v>8525</v>
      </c>
      <c r="H433" s="22" t="n">
        <v>0.00105957879273533</v>
      </c>
      <c r="I433" s="22" t="n">
        <v>0.0020667254833242</v>
      </c>
      <c r="J433" s="22" t="n">
        <v>0.00605083280064298</v>
      </c>
      <c r="K433" s="22" t="n">
        <v>0.00213412420220505</v>
      </c>
      <c r="L433" s="22" t="n">
        <v>0.00181775153026512</v>
      </c>
      <c r="M433" s="22" t="n">
        <v>0.00647192361565411</v>
      </c>
      <c r="N433" s="22" t="n">
        <v>0.0075550502144655</v>
      </c>
      <c r="O433" s="22" t="n">
        <v>0.00331219537252406</v>
      </c>
      <c r="P433" s="22" t="n">
        <v>0.00275436230106783</v>
      </c>
      <c r="Q433" s="22" t="n">
        <v>0.00200625040198321</v>
      </c>
      <c r="R433" s="22" t="n">
        <v>0.00218830610721155</v>
      </c>
      <c r="S433" s="23" t="n">
        <f aca="false">IF(A433="","",SUM(H433:R433))</f>
        <v>0.0374171008220789</v>
      </c>
      <c r="T433" s="17" t="str">
        <f aca="false">IF(A433="","",IF(AND(MIN(H433:R433)&gt;=0,MAX(H433:R433)&lt;=1,S433&lt;=1),"OK","CHECK"))</f>
        <v>OK</v>
      </c>
      <c r="U433" s="17" t="str">
        <f aca="false">IF(A433="","", "LOSS-"&amp;A433&amp;"-L"&amp;TEXT(B433,"00")&amp;"-"&amp;TEXT(C433,"yyyymmdd")&amp;"-"&amp;D433&amp;"-"&amp;E433)</f>
        <v>LOSS-KG01-L23-20251010-AM-ORD-2025-00221</v>
      </c>
      <c r="V433" s="17" t="str">
        <f aca="false">IF(U433="","",IF(COUNTIF($U$5:$U$935,U433)=1,"OK","CHECK"))</f>
        <v>OK</v>
      </c>
      <c r="W433" s="17" t="str">
        <f aca="false">IF(A433="","",IF(AND(T433="OK",V433="OK",G433&gt;=0),"OK","CHECK"))</f>
        <v>OK</v>
      </c>
    </row>
    <row r="434" customFormat="false" ht="18" hidden="false" customHeight="true" outlineLevel="0" collapsed="false">
      <c r="A434" s="18" t="s">
        <v>39</v>
      </c>
      <c r="B434" s="19" t="n">
        <v>23</v>
      </c>
      <c r="C434" s="20" t="n">
        <v>45940</v>
      </c>
      <c r="D434" s="18" t="s">
        <v>43</v>
      </c>
      <c r="E434" s="18" t="s">
        <v>118</v>
      </c>
      <c r="F434" s="18" t="s">
        <v>45</v>
      </c>
      <c r="G434" s="21" t="n">
        <v>2430</v>
      </c>
      <c r="H434" s="22" t="n">
        <v>0.00352674340708309</v>
      </c>
      <c r="I434" s="22" t="n">
        <v>0.0211708494463318</v>
      </c>
      <c r="J434" s="22" t="n">
        <v>0.0103775217101455</v>
      </c>
      <c r="K434" s="22" t="n">
        <v>0.0187179490282894</v>
      </c>
      <c r="L434" s="22" t="n">
        <v>0.0057362459598008</v>
      </c>
      <c r="M434" s="22" t="n">
        <v>0.00578265137896441</v>
      </c>
      <c r="N434" s="22" t="n">
        <v>0.00356216900265111</v>
      </c>
      <c r="O434" s="22" t="n">
        <v>0.0110397686617897</v>
      </c>
      <c r="P434" s="22" t="n">
        <v>0.000103503130641062</v>
      </c>
      <c r="Q434" s="22" t="n">
        <v>0.00124775407956368</v>
      </c>
      <c r="R434" s="22" t="n">
        <v>0.00105191736547129</v>
      </c>
      <c r="S434" s="23" t="n">
        <f aca="false">IF(A434="","",SUM(H434:R434))</f>
        <v>0.0823170731707318</v>
      </c>
      <c r="T434" s="17" t="str">
        <f aca="false">IF(A434="","",IF(AND(MIN(H434:R434)&gt;=0,MAX(H434:R434)&lt;=1,S434&lt;=1),"OK","CHECK"))</f>
        <v>OK</v>
      </c>
      <c r="U434" s="17" t="str">
        <f aca="false">IF(A434="","", "LOSS-"&amp;A434&amp;"-L"&amp;TEXT(B434,"00")&amp;"-"&amp;TEXT(C434,"yyyymmdd")&amp;"-"&amp;D434&amp;"-"&amp;E434)</f>
        <v>LOSS-KG01-L23-20251010-PM-ORD-2025-00222</v>
      </c>
      <c r="V434" s="17" t="str">
        <f aca="false">IF(U434="","",IF(COUNTIF($U$5:$U$935,U434)=1,"OK","CHECK"))</f>
        <v>OK</v>
      </c>
      <c r="W434" s="17" t="str">
        <f aca="false">IF(A434="","",IF(AND(T434="OK",V434="OK",G434&gt;=0),"OK","CHECK"))</f>
        <v>OK</v>
      </c>
    </row>
    <row r="435" customFormat="false" ht="18" hidden="false" customHeight="true" outlineLevel="0" collapsed="false">
      <c r="A435" s="18" t="s">
        <v>39</v>
      </c>
      <c r="B435" s="19" t="n">
        <v>23</v>
      </c>
      <c r="C435" s="20" t="n">
        <v>45941</v>
      </c>
      <c r="D435" s="18" t="s">
        <v>40</v>
      </c>
      <c r="E435" s="18" t="s">
        <v>118</v>
      </c>
      <c r="F435" s="18" t="s">
        <v>42</v>
      </c>
      <c r="G435" s="21" t="n">
        <v>16439</v>
      </c>
      <c r="H435" s="22" t="n">
        <v>0.0005653005720295</v>
      </c>
      <c r="I435" s="22" t="n">
        <v>0.00929623757722228</v>
      </c>
      <c r="J435" s="22" t="n">
        <v>0.0133277148816766</v>
      </c>
      <c r="K435" s="22" t="n">
        <v>0.000358909135585463</v>
      </c>
      <c r="L435" s="22" t="n">
        <v>0.000973334378744483</v>
      </c>
      <c r="M435" s="22" t="n">
        <v>0.0062433886733678</v>
      </c>
      <c r="N435" s="22" t="n">
        <v>0.00813638677667801</v>
      </c>
      <c r="O435" s="22" t="n">
        <v>0.0102350990911227</v>
      </c>
      <c r="P435" s="22" t="n">
        <v>3.73559789762908E-006</v>
      </c>
      <c r="Q435" s="22" t="n">
        <v>0.0139752896494452</v>
      </c>
      <c r="R435" s="22" t="n">
        <v>0.0168283867350135</v>
      </c>
      <c r="S435" s="23" t="n">
        <f aca="false">IF(A435="","",SUM(H435:R435))</f>
        <v>0.0799437830687832</v>
      </c>
      <c r="T435" s="17" t="str">
        <f aca="false">IF(A435="","",IF(AND(MIN(H435:R435)&gt;=0,MAX(H435:R435)&lt;=1,S435&lt;=1),"OK","CHECK"))</f>
        <v>OK</v>
      </c>
      <c r="U435" s="17" t="str">
        <f aca="false">IF(A435="","", "LOSS-"&amp;A435&amp;"-L"&amp;TEXT(B435,"00")&amp;"-"&amp;TEXT(C435,"yyyymmdd")&amp;"-"&amp;D435&amp;"-"&amp;E435)</f>
        <v>LOSS-KG01-L23-20251011-AM-ORD-2025-00222</v>
      </c>
      <c r="V435" s="17" t="str">
        <f aca="false">IF(U435="","",IF(COUNTIF($U$5:$U$935,U435)=1,"OK","CHECK"))</f>
        <v>OK</v>
      </c>
      <c r="W435" s="17" t="str">
        <f aca="false">IF(A435="","",IF(AND(T435="OK",V435="OK",G435&gt;=0),"OK","CHECK"))</f>
        <v>OK</v>
      </c>
    </row>
    <row r="436" customFormat="false" ht="18" hidden="false" customHeight="true" outlineLevel="0" collapsed="false">
      <c r="A436" s="18" t="s">
        <v>39</v>
      </c>
      <c r="B436" s="19" t="n">
        <v>23</v>
      </c>
      <c r="C436" s="20" t="n">
        <v>45941</v>
      </c>
      <c r="D436" s="18" t="s">
        <v>43</v>
      </c>
      <c r="E436" s="18" t="s">
        <v>118</v>
      </c>
      <c r="F436" s="18" t="s">
        <v>42</v>
      </c>
      <c r="G436" s="21" t="n">
        <v>9588</v>
      </c>
      <c r="H436" s="22" t="n">
        <v>0.00542711641726084</v>
      </c>
      <c r="I436" s="22" t="n">
        <v>0.00705580317510889</v>
      </c>
      <c r="J436" s="22" t="n">
        <v>0.00480775976630431</v>
      </c>
      <c r="K436" s="22" t="n">
        <v>0.00115615620119699</v>
      </c>
      <c r="L436" s="22" t="n">
        <v>9.43373910639685E-006</v>
      </c>
      <c r="M436" s="22" t="n">
        <v>0.00343217831363262</v>
      </c>
      <c r="N436" s="22" t="n">
        <v>0.00792799232126664</v>
      </c>
      <c r="O436" s="22" t="n">
        <v>0.00225212611296402</v>
      </c>
      <c r="P436" s="22" t="n">
        <v>0.000644642019956337</v>
      </c>
      <c r="Q436" s="22" t="n">
        <v>0.00808915552101531</v>
      </c>
      <c r="R436" s="22" t="n">
        <v>0.00626939777387139</v>
      </c>
      <c r="S436" s="23" t="n">
        <f aca="false">IF(A436="","",SUM(H436:R436))</f>
        <v>0.0470717613616837</v>
      </c>
      <c r="T436" s="17" t="str">
        <f aca="false">IF(A436="","",IF(AND(MIN(H436:R436)&gt;=0,MAX(H436:R436)&lt;=1,S436&lt;=1),"OK","CHECK"))</f>
        <v>OK</v>
      </c>
      <c r="U436" s="17" t="str">
        <f aca="false">IF(A436="","", "LOSS-"&amp;A436&amp;"-L"&amp;TEXT(B436,"00")&amp;"-"&amp;TEXT(C436,"yyyymmdd")&amp;"-"&amp;D436&amp;"-"&amp;E436)</f>
        <v>LOSS-KG01-L23-20251011-PM-ORD-2025-00222</v>
      </c>
      <c r="V436" s="17" t="str">
        <f aca="false">IF(U436="","",IF(COUNTIF($U$5:$U$935,U436)=1,"OK","CHECK"))</f>
        <v>OK</v>
      </c>
      <c r="W436" s="17" t="str">
        <f aca="false">IF(A436="","",IF(AND(T436="OK",V436="OK",G436&gt;=0),"OK","CHECK"))</f>
        <v>OK</v>
      </c>
    </row>
    <row r="437" customFormat="false" ht="18" hidden="false" customHeight="true" outlineLevel="0" collapsed="false">
      <c r="A437" s="18" t="s">
        <v>39</v>
      </c>
      <c r="B437" s="19" t="n">
        <v>23</v>
      </c>
      <c r="C437" s="20" t="n">
        <v>45942</v>
      </c>
      <c r="D437" s="18" t="s">
        <v>40</v>
      </c>
      <c r="E437" s="18" t="s">
        <v>118</v>
      </c>
      <c r="F437" s="18" t="s">
        <v>42</v>
      </c>
      <c r="G437" s="21" t="n">
        <v>5036</v>
      </c>
      <c r="H437" s="22" t="n">
        <v>0.00211940950323205</v>
      </c>
      <c r="I437" s="22" t="n">
        <v>4.62643010478345E-005</v>
      </c>
      <c r="J437" s="22" t="n">
        <v>0.00466663813984964</v>
      </c>
      <c r="K437" s="22" t="n">
        <v>0.00146214061254031</v>
      </c>
      <c r="L437" s="22" t="n">
        <v>0.00200450040089421</v>
      </c>
      <c r="M437" s="22" t="n">
        <v>0.000438862250326652</v>
      </c>
      <c r="N437" s="22" t="n">
        <v>0.00465906221259381</v>
      </c>
      <c r="O437" s="22" t="n">
        <v>0.000244620001219254</v>
      </c>
      <c r="P437" s="22" t="n">
        <v>0.00642612069849569</v>
      </c>
      <c r="Q437" s="22" t="n">
        <v>0.00538987844471888</v>
      </c>
      <c r="R437" s="22" t="n">
        <v>0.000382165555782865</v>
      </c>
      <c r="S437" s="23" t="n">
        <f aca="false">IF(A437="","",SUM(H437:R437))</f>
        <v>0.0278396621207012</v>
      </c>
      <c r="T437" s="17" t="str">
        <f aca="false">IF(A437="","",IF(AND(MIN(H437:R437)&gt;=0,MAX(H437:R437)&lt;=1,S437&lt;=1),"OK","CHECK"))</f>
        <v>OK</v>
      </c>
      <c r="U437" s="17" t="str">
        <f aca="false">IF(A437="","", "LOSS-"&amp;A437&amp;"-L"&amp;TEXT(B437,"00")&amp;"-"&amp;TEXT(C437,"yyyymmdd")&amp;"-"&amp;D437&amp;"-"&amp;E437)</f>
        <v>LOSS-KG01-L23-20251012-AM-ORD-2025-00222</v>
      </c>
      <c r="V437" s="17" t="str">
        <f aca="false">IF(U437="","",IF(COUNTIF($U$5:$U$935,U437)=1,"OK","CHECK"))</f>
        <v>OK</v>
      </c>
      <c r="W437" s="17" t="str">
        <f aca="false">IF(A437="","",IF(AND(T437="OK",V437="OK",G437&gt;=0),"OK","CHECK"))</f>
        <v>OK</v>
      </c>
    </row>
    <row r="438" customFormat="false" ht="18" hidden="false" customHeight="true" outlineLevel="0" collapsed="false">
      <c r="A438" s="18" t="s">
        <v>39</v>
      </c>
      <c r="B438" s="19" t="n">
        <v>23</v>
      </c>
      <c r="C438" s="20" t="n">
        <v>45942</v>
      </c>
      <c r="D438" s="18" t="s">
        <v>43</v>
      </c>
      <c r="E438" s="18" t="s">
        <v>118</v>
      </c>
      <c r="F438" s="18" t="s">
        <v>42</v>
      </c>
      <c r="G438" s="21" t="n">
        <v>5064</v>
      </c>
      <c r="H438" s="22" t="n">
        <v>0.00465592023482176</v>
      </c>
      <c r="I438" s="22" t="n">
        <v>0.000284815759096396</v>
      </c>
      <c r="J438" s="22" t="n">
        <v>0.00867774419258181</v>
      </c>
      <c r="K438" s="22" t="n">
        <v>0.000638993956287079</v>
      </c>
      <c r="L438" s="22" t="n">
        <v>0.000696561075907488</v>
      </c>
      <c r="M438" s="22" t="n">
        <v>0.00499589548220713</v>
      </c>
      <c r="N438" s="22" t="n">
        <v>0.00486535014956809</v>
      </c>
      <c r="O438" s="22" t="n">
        <v>0.0076153059359746</v>
      </c>
      <c r="P438" s="22" t="n">
        <v>0.00742844887517559</v>
      </c>
      <c r="Q438" s="22" t="n">
        <v>0.000158949484136104</v>
      </c>
      <c r="R438" s="22" t="n">
        <v>0.00082928928275316</v>
      </c>
      <c r="S438" s="23" t="n">
        <f aca="false">IF(A438="","",SUM(H438:R438))</f>
        <v>0.0408472744285092</v>
      </c>
      <c r="T438" s="17" t="str">
        <f aca="false">IF(A438="","",IF(AND(MIN(H438:R438)&gt;=0,MAX(H438:R438)&lt;=1,S438&lt;=1),"OK","CHECK"))</f>
        <v>OK</v>
      </c>
      <c r="U438" s="17" t="str">
        <f aca="false">IF(A438="","", "LOSS-"&amp;A438&amp;"-L"&amp;TEXT(B438,"00")&amp;"-"&amp;TEXT(C438,"yyyymmdd")&amp;"-"&amp;D438&amp;"-"&amp;E438)</f>
        <v>LOSS-KG01-L23-20251012-PM-ORD-2025-00222</v>
      </c>
      <c r="V438" s="17" t="str">
        <f aca="false">IF(U438="","",IF(COUNTIF($U$5:$U$935,U438)=1,"OK","CHECK"))</f>
        <v>OK</v>
      </c>
      <c r="W438" s="17" t="str">
        <f aca="false">IF(A438="","",IF(AND(T438="OK",V438="OK",G438&gt;=0),"OK","CHECK"))</f>
        <v>OK</v>
      </c>
    </row>
    <row r="439" customFormat="false" ht="18" hidden="false" customHeight="true" outlineLevel="0" collapsed="false">
      <c r="A439" s="18" t="s">
        <v>39</v>
      </c>
      <c r="B439" s="19" t="n">
        <v>23</v>
      </c>
      <c r="C439" s="20" t="n">
        <v>45943</v>
      </c>
      <c r="D439" s="18" t="s">
        <v>40</v>
      </c>
      <c r="E439" s="18" t="s">
        <v>119</v>
      </c>
      <c r="F439" s="18" t="s">
        <v>45</v>
      </c>
      <c r="G439" s="21" t="n">
        <v>1004</v>
      </c>
      <c r="H439" s="22" t="n">
        <v>0.000672375130703348</v>
      </c>
      <c r="I439" s="22" t="n">
        <v>0.000927198684687978</v>
      </c>
      <c r="J439" s="22" t="n">
        <v>0.00903962291897616</v>
      </c>
      <c r="K439" s="22" t="n">
        <v>0.00354940298525155</v>
      </c>
      <c r="L439" s="22" t="n">
        <v>0.00015046955114883</v>
      </c>
      <c r="M439" s="22" t="n">
        <v>0.012111220601959</v>
      </c>
      <c r="N439" s="22" t="n">
        <v>4.0658750578115E-005</v>
      </c>
      <c r="O439" s="22" t="n">
        <v>0.00972470775164033</v>
      </c>
      <c r="P439" s="22" t="n">
        <v>8.3157062295993E-005</v>
      </c>
      <c r="Q439" s="22" t="n">
        <v>0.00356454147668031</v>
      </c>
      <c r="R439" s="22" t="n">
        <v>0.00304262799206131</v>
      </c>
      <c r="S439" s="23" t="n">
        <f aca="false">IF(A439="","",SUM(H439:R439))</f>
        <v>0.0429059829059829</v>
      </c>
      <c r="T439" s="17" t="str">
        <f aca="false">IF(A439="","",IF(AND(MIN(H439:R439)&gt;=0,MAX(H439:R439)&lt;=1,S439&lt;=1),"OK","CHECK"))</f>
        <v>OK</v>
      </c>
      <c r="U439" s="17" t="str">
        <f aca="false">IF(A439="","", "LOSS-"&amp;A439&amp;"-L"&amp;TEXT(B439,"00")&amp;"-"&amp;TEXT(C439,"yyyymmdd")&amp;"-"&amp;D439&amp;"-"&amp;E439)</f>
        <v>LOSS-KG01-L23-20251013-AM-ORD-2025-00223</v>
      </c>
      <c r="V439" s="17" t="str">
        <f aca="false">IF(U439="","",IF(COUNTIF($U$5:$U$935,U439)=1,"OK","CHECK"))</f>
        <v>OK</v>
      </c>
      <c r="W439" s="17" t="str">
        <f aca="false">IF(A439="","",IF(AND(T439="OK",V439="OK",G439&gt;=0),"OK","CHECK"))</f>
        <v>OK</v>
      </c>
    </row>
    <row r="440" customFormat="false" ht="18" hidden="false" customHeight="true" outlineLevel="0" collapsed="false">
      <c r="A440" s="18" t="s">
        <v>39</v>
      </c>
      <c r="B440" s="19" t="n">
        <v>23</v>
      </c>
      <c r="C440" s="20" t="n">
        <v>45943</v>
      </c>
      <c r="D440" s="18" t="s">
        <v>43</v>
      </c>
      <c r="E440" s="18" t="s">
        <v>119</v>
      </c>
      <c r="F440" s="18" t="s">
        <v>42</v>
      </c>
      <c r="G440" s="21" t="n">
        <v>9104</v>
      </c>
      <c r="H440" s="22" t="n">
        <v>0.00391396910372655</v>
      </c>
      <c r="I440" s="22" t="n">
        <v>0.000172289829527475</v>
      </c>
      <c r="J440" s="22" t="n">
        <v>0.0059996077389936</v>
      </c>
      <c r="K440" s="22" t="n">
        <v>0.0061825425709348</v>
      </c>
      <c r="L440" s="22" t="n">
        <v>0.00155405943586904</v>
      </c>
      <c r="M440" s="22" t="n">
        <v>1.59259248504817E-006</v>
      </c>
      <c r="N440" s="22" t="n">
        <v>0.00318993139757137</v>
      </c>
      <c r="O440" s="22" t="n">
        <v>0.0141457051868619</v>
      </c>
      <c r="P440" s="22" t="n">
        <v>0.0089532512660746</v>
      </c>
      <c r="Q440" s="22" t="n">
        <v>0.00338409877691564</v>
      </c>
      <c r="R440" s="22" t="n">
        <v>0.00713274285886028</v>
      </c>
      <c r="S440" s="23" t="n">
        <f aca="false">IF(A440="","",SUM(H440:R440))</f>
        <v>0.0546297907578203</v>
      </c>
      <c r="T440" s="17" t="str">
        <f aca="false">IF(A440="","",IF(AND(MIN(H440:R440)&gt;=0,MAX(H440:R440)&lt;=1,S440&lt;=1),"OK","CHECK"))</f>
        <v>OK</v>
      </c>
      <c r="U440" s="17" t="str">
        <f aca="false">IF(A440="","", "LOSS-"&amp;A440&amp;"-L"&amp;TEXT(B440,"00")&amp;"-"&amp;TEXT(C440,"yyyymmdd")&amp;"-"&amp;D440&amp;"-"&amp;E440)</f>
        <v>LOSS-KG01-L23-20251013-PM-ORD-2025-00223</v>
      </c>
      <c r="V440" s="17" t="str">
        <f aca="false">IF(U440="","",IF(COUNTIF($U$5:$U$935,U440)=1,"OK","CHECK"))</f>
        <v>OK</v>
      </c>
      <c r="W440" s="17" t="str">
        <f aca="false">IF(A440="","",IF(AND(T440="OK",V440="OK",G440&gt;=0),"OK","CHECK"))</f>
        <v>OK</v>
      </c>
    </row>
    <row r="441" customFormat="false" ht="18" hidden="false" customHeight="true" outlineLevel="0" collapsed="false">
      <c r="A441" s="18" t="s">
        <v>39</v>
      </c>
      <c r="B441" s="19" t="n">
        <v>23</v>
      </c>
      <c r="C441" s="20" t="n">
        <v>45944</v>
      </c>
      <c r="D441" s="18" t="s">
        <v>40</v>
      </c>
      <c r="E441" s="18" t="s">
        <v>119</v>
      </c>
      <c r="F441" s="18" t="s">
        <v>42</v>
      </c>
      <c r="G441" s="21" t="n">
        <v>4810</v>
      </c>
      <c r="H441" s="22" t="n">
        <v>0.0029133478253592</v>
      </c>
      <c r="I441" s="22" t="n">
        <v>0.00338617225207001</v>
      </c>
      <c r="J441" s="22" t="n">
        <v>0.004794819782891</v>
      </c>
      <c r="K441" s="22" t="n">
        <v>0.00826961510014645</v>
      </c>
      <c r="L441" s="22" t="n">
        <v>0.00053233515875285</v>
      </c>
      <c r="M441" s="22" t="n">
        <v>0.00139252497277715</v>
      </c>
      <c r="N441" s="22" t="n">
        <v>0.000615699757416526</v>
      </c>
      <c r="O441" s="22" t="n">
        <v>0.00334571560286755</v>
      </c>
      <c r="P441" s="22" t="n">
        <v>0.000907179266266922</v>
      </c>
      <c r="Q441" s="22" t="n">
        <v>0.00196178264422407</v>
      </c>
      <c r="R441" s="22" t="n">
        <v>0.000676305721519455</v>
      </c>
      <c r="S441" s="23" t="n">
        <f aca="false">IF(A441="","",SUM(H441:R441))</f>
        <v>0.0287954980842912</v>
      </c>
      <c r="T441" s="17" t="str">
        <f aca="false">IF(A441="","",IF(AND(MIN(H441:R441)&gt;=0,MAX(H441:R441)&lt;=1,S441&lt;=1),"OK","CHECK"))</f>
        <v>OK</v>
      </c>
      <c r="U441" s="17" t="str">
        <f aca="false">IF(A441="","", "LOSS-"&amp;A441&amp;"-L"&amp;TEXT(B441,"00")&amp;"-"&amp;TEXT(C441,"yyyymmdd")&amp;"-"&amp;D441&amp;"-"&amp;E441)</f>
        <v>LOSS-KG01-L23-20251014-AM-ORD-2025-00223</v>
      </c>
      <c r="V441" s="17" t="str">
        <f aca="false">IF(U441="","",IF(COUNTIF($U$5:$U$935,U441)=1,"OK","CHECK"))</f>
        <v>OK</v>
      </c>
      <c r="W441" s="17" t="str">
        <f aca="false">IF(A441="","",IF(AND(T441="OK",V441="OK",G441&gt;=0),"OK","CHECK"))</f>
        <v>OK</v>
      </c>
    </row>
    <row r="442" customFormat="false" ht="18" hidden="false" customHeight="true" outlineLevel="0" collapsed="false">
      <c r="A442" s="18" t="s">
        <v>39</v>
      </c>
      <c r="B442" s="19" t="n">
        <v>23</v>
      </c>
      <c r="C442" s="20" t="n">
        <v>45944</v>
      </c>
      <c r="D442" s="18" t="s">
        <v>43</v>
      </c>
      <c r="E442" s="18" t="s">
        <v>119</v>
      </c>
      <c r="F442" s="18" t="s">
        <v>42</v>
      </c>
      <c r="G442" s="21" t="n">
        <v>13246</v>
      </c>
      <c r="H442" s="22" t="n">
        <v>0.0103444376100807</v>
      </c>
      <c r="I442" s="22" t="n">
        <v>0.00173410851287409</v>
      </c>
      <c r="J442" s="22" t="n">
        <v>0.00703630120359953</v>
      </c>
      <c r="K442" s="22" t="n">
        <v>0.00289122615741954</v>
      </c>
      <c r="L442" s="22" t="n">
        <v>0.0114148082022086</v>
      </c>
      <c r="M442" s="22" t="n">
        <v>0.00628715936882621</v>
      </c>
      <c r="N442" s="22" t="n">
        <v>0.00973309598219587</v>
      </c>
      <c r="O442" s="22" t="n">
        <v>0.000308693451172688</v>
      </c>
      <c r="P442" s="22" t="n">
        <v>0.0142219015624686</v>
      </c>
      <c r="Q442" s="22" t="n">
        <v>0.000824543736839472</v>
      </c>
      <c r="R442" s="22" t="n">
        <v>1.05522365406763E-006</v>
      </c>
      <c r="S442" s="23" t="n">
        <f aca="false">IF(A442="","",SUM(H442:R442))</f>
        <v>0.0647973310113394</v>
      </c>
      <c r="T442" s="17" t="str">
        <f aca="false">IF(A442="","",IF(AND(MIN(H442:R442)&gt;=0,MAX(H442:R442)&lt;=1,S442&lt;=1),"OK","CHECK"))</f>
        <v>OK</v>
      </c>
      <c r="U442" s="17" t="str">
        <f aca="false">IF(A442="","", "LOSS-"&amp;A442&amp;"-L"&amp;TEXT(B442,"00")&amp;"-"&amp;TEXT(C442,"yyyymmdd")&amp;"-"&amp;D442&amp;"-"&amp;E442)</f>
        <v>LOSS-KG01-L23-20251014-PM-ORD-2025-00223</v>
      </c>
      <c r="V442" s="17" t="str">
        <f aca="false">IF(U442="","",IF(COUNTIF($U$5:$U$935,U442)=1,"OK","CHECK"))</f>
        <v>OK</v>
      </c>
      <c r="W442" s="17" t="str">
        <f aca="false">IF(A442="","",IF(AND(T442="OK",V442="OK",G442&gt;=0),"OK","CHECK"))</f>
        <v>OK</v>
      </c>
    </row>
    <row r="443" customFormat="false" ht="18" hidden="false" customHeight="true" outlineLevel="0" collapsed="false">
      <c r="A443" s="18" t="s">
        <v>39</v>
      </c>
      <c r="B443" s="19" t="n">
        <v>23</v>
      </c>
      <c r="C443" s="20" t="n">
        <v>45945</v>
      </c>
      <c r="D443" s="18" t="s">
        <v>40</v>
      </c>
      <c r="E443" s="18" t="s">
        <v>120</v>
      </c>
      <c r="F443" s="18" t="s">
        <v>45</v>
      </c>
      <c r="G443" s="21" t="n">
        <v>5742</v>
      </c>
      <c r="H443" s="22" t="n">
        <v>0.0109975893300245</v>
      </c>
      <c r="I443" s="22" t="n">
        <v>0.00357773009450665</v>
      </c>
      <c r="J443" s="22" t="n">
        <v>0.00338711065661525</v>
      </c>
      <c r="K443" s="22" t="n">
        <v>0.000440503172298081</v>
      </c>
      <c r="L443" s="22" t="n">
        <v>0.00796828571854114</v>
      </c>
      <c r="M443" s="22" t="n">
        <v>0.00624075150069999</v>
      </c>
      <c r="N443" s="22" t="n">
        <v>0.000123232620054319</v>
      </c>
      <c r="O443" s="22" t="n">
        <v>0.0102395799545061</v>
      </c>
      <c r="P443" s="22" t="n">
        <v>0.00161579205691976</v>
      </c>
      <c r="Q443" s="22" t="n">
        <v>0.00650277960740044</v>
      </c>
      <c r="R443" s="22" t="n">
        <v>0.0093233119551005</v>
      </c>
      <c r="S443" s="23" t="n">
        <f aca="false">IF(A443="","",SUM(H443:R443))</f>
        <v>0.0604166666666667</v>
      </c>
      <c r="T443" s="17" t="str">
        <f aca="false">IF(A443="","",IF(AND(MIN(H443:R443)&gt;=0,MAX(H443:R443)&lt;=1,S443&lt;=1),"OK","CHECK"))</f>
        <v>OK</v>
      </c>
      <c r="U443" s="17" t="str">
        <f aca="false">IF(A443="","", "LOSS-"&amp;A443&amp;"-L"&amp;TEXT(B443,"00")&amp;"-"&amp;TEXT(C443,"yyyymmdd")&amp;"-"&amp;D443&amp;"-"&amp;E443)</f>
        <v>LOSS-KG01-L23-20251015-AM-ORD-2025-00224</v>
      </c>
      <c r="V443" s="17" t="str">
        <f aca="false">IF(U443="","",IF(COUNTIF($U$5:$U$935,U443)=1,"OK","CHECK"))</f>
        <v>OK</v>
      </c>
      <c r="W443" s="17" t="str">
        <f aca="false">IF(A443="","",IF(AND(T443="OK",V443="OK",G443&gt;=0),"OK","CHECK"))</f>
        <v>OK</v>
      </c>
    </row>
    <row r="444" customFormat="false" ht="18" hidden="false" customHeight="true" outlineLevel="0" collapsed="false">
      <c r="A444" s="18" t="s">
        <v>39</v>
      </c>
      <c r="B444" s="19" t="n">
        <v>23</v>
      </c>
      <c r="C444" s="20" t="n">
        <v>45945</v>
      </c>
      <c r="D444" s="18" t="s">
        <v>43</v>
      </c>
      <c r="E444" s="18" t="s">
        <v>120</v>
      </c>
      <c r="F444" s="18" t="s">
        <v>42</v>
      </c>
      <c r="G444" s="21" t="n">
        <v>3081</v>
      </c>
      <c r="H444" s="22" t="n">
        <v>0.000240072514860624</v>
      </c>
      <c r="I444" s="22" t="n">
        <v>7.57015029491195E-005</v>
      </c>
      <c r="J444" s="22" t="n">
        <v>0.000344182877828788</v>
      </c>
      <c r="K444" s="22" t="n">
        <v>0.000604498580313162</v>
      </c>
      <c r="L444" s="22" t="n">
        <v>0.00059737074199696</v>
      </c>
      <c r="M444" s="22" t="n">
        <v>0.00376258352667242</v>
      </c>
      <c r="N444" s="22" t="n">
        <v>0.00142628730986854</v>
      </c>
      <c r="O444" s="22" t="n">
        <v>0.00300338715102738</v>
      </c>
      <c r="P444" s="22" t="n">
        <v>0.00551096898351798</v>
      </c>
      <c r="Q444" s="22" t="n">
        <v>0.000283267730774314</v>
      </c>
      <c r="R444" s="22" t="n">
        <v>0.00289164307221057</v>
      </c>
      <c r="S444" s="23" t="n">
        <f aca="false">IF(A444="","",SUM(H444:R444))</f>
        <v>0.0187399639920199</v>
      </c>
      <c r="T444" s="17" t="str">
        <f aca="false">IF(A444="","",IF(AND(MIN(H444:R444)&gt;=0,MAX(H444:R444)&lt;=1,S444&lt;=1),"OK","CHECK"))</f>
        <v>OK</v>
      </c>
      <c r="U444" s="17" t="str">
        <f aca="false">IF(A444="","", "LOSS-"&amp;A444&amp;"-L"&amp;TEXT(B444,"00")&amp;"-"&amp;TEXT(C444,"yyyymmdd")&amp;"-"&amp;D444&amp;"-"&amp;E444)</f>
        <v>LOSS-KG01-L23-20251015-PM-ORD-2025-00224</v>
      </c>
      <c r="V444" s="17" t="str">
        <f aca="false">IF(U444="","",IF(COUNTIF($U$5:$U$935,U444)=1,"OK","CHECK"))</f>
        <v>OK</v>
      </c>
      <c r="W444" s="17" t="str">
        <f aca="false">IF(A444="","",IF(AND(T444="OK",V444="OK",G444&gt;=0),"OK","CHECK"))</f>
        <v>OK</v>
      </c>
    </row>
    <row r="445" customFormat="false" ht="18" hidden="false" customHeight="true" outlineLevel="0" collapsed="false">
      <c r="A445" s="18" t="s">
        <v>39</v>
      </c>
      <c r="B445" s="19" t="n">
        <v>23</v>
      </c>
      <c r="C445" s="20" t="n">
        <v>45946</v>
      </c>
      <c r="D445" s="18" t="s">
        <v>40</v>
      </c>
      <c r="E445" s="18" t="s">
        <v>120</v>
      </c>
      <c r="F445" s="18" t="s">
        <v>42</v>
      </c>
      <c r="G445" s="21" t="n">
        <v>8591</v>
      </c>
      <c r="H445" s="22" t="n">
        <v>0.00278110863329265</v>
      </c>
      <c r="I445" s="22" t="n">
        <v>0.000977069287821234</v>
      </c>
      <c r="J445" s="22" t="n">
        <v>0.00416556206270457</v>
      </c>
      <c r="K445" s="22" t="n">
        <v>0.000782867946919716</v>
      </c>
      <c r="L445" s="22" t="n">
        <v>0.000661848631320754</v>
      </c>
      <c r="M445" s="22" t="n">
        <v>0.011647902769239</v>
      </c>
      <c r="N445" s="22" t="n">
        <v>0.00281411960025339</v>
      </c>
      <c r="O445" s="22" t="n">
        <v>0.00707686613106218</v>
      </c>
      <c r="P445" s="22" t="n">
        <v>0.00595527267878674</v>
      </c>
      <c r="Q445" s="22" t="n">
        <v>0.00939996238956678</v>
      </c>
      <c r="R445" s="22" t="n">
        <v>0.00461147534431545</v>
      </c>
      <c r="S445" s="23" t="n">
        <f aca="false">IF(A445="","",SUM(H445:R445))</f>
        <v>0.0508740554752825</v>
      </c>
      <c r="T445" s="17" t="str">
        <f aca="false">IF(A445="","",IF(AND(MIN(H445:R445)&gt;=0,MAX(H445:R445)&lt;=1,S445&lt;=1),"OK","CHECK"))</f>
        <v>OK</v>
      </c>
      <c r="U445" s="17" t="str">
        <f aca="false">IF(A445="","", "LOSS-"&amp;A445&amp;"-L"&amp;TEXT(B445,"00")&amp;"-"&amp;TEXT(C445,"yyyymmdd")&amp;"-"&amp;D445&amp;"-"&amp;E445)</f>
        <v>LOSS-KG01-L23-20251016-AM-ORD-2025-00224</v>
      </c>
      <c r="V445" s="17" t="str">
        <f aca="false">IF(U445="","",IF(COUNTIF($U$5:$U$935,U445)=1,"OK","CHECK"))</f>
        <v>OK</v>
      </c>
      <c r="W445" s="17" t="str">
        <f aca="false">IF(A445="","",IF(AND(T445="OK",V445="OK",G445&gt;=0),"OK","CHECK"))</f>
        <v>OK</v>
      </c>
    </row>
    <row r="446" customFormat="false" ht="18" hidden="false" customHeight="true" outlineLevel="0" collapsed="false">
      <c r="A446" s="18" t="s">
        <v>39</v>
      </c>
      <c r="B446" s="19" t="n">
        <v>23</v>
      </c>
      <c r="C446" s="20" t="n">
        <v>45946</v>
      </c>
      <c r="D446" s="18" t="s">
        <v>43</v>
      </c>
      <c r="E446" s="18" t="s">
        <v>120</v>
      </c>
      <c r="F446" s="18" t="s">
        <v>42</v>
      </c>
      <c r="G446" s="21" t="n">
        <v>9847</v>
      </c>
      <c r="H446" s="22" t="n">
        <v>0.00486794952949874</v>
      </c>
      <c r="I446" s="22" t="n">
        <v>0.000482541532291747</v>
      </c>
      <c r="J446" s="22" t="n">
        <v>0.000637303929652031</v>
      </c>
      <c r="K446" s="22" t="n">
        <v>0.00805217694474622</v>
      </c>
      <c r="L446" s="22" t="n">
        <v>0.00642246825449769</v>
      </c>
      <c r="M446" s="22" t="n">
        <v>0.00126815231227178</v>
      </c>
      <c r="N446" s="22" t="n">
        <v>0.000864997763262692</v>
      </c>
      <c r="O446" s="22" t="n">
        <v>0.00487118452705464</v>
      </c>
      <c r="P446" s="22" t="n">
        <v>0.00634255300966259</v>
      </c>
      <c r="Q446" s="22" t="n">
        <v>0.000917253076979092</v>
      </c>
      <c r="R446" s="22" t="n">
        <v>0.000875108275071435</v>
      </c>
      <c r="S446" s="23" t="n">
        <f aca="false">IF(A446="","",SUM(H446:R446))</f>
        <v>0.0356016891549887</v>
      </c>
      <c r="T446" s="17" t="str">
        <f aca="false">IF(A446="","",IF(AND(MIN(H446:R446)&gt;=0,MAX(H446:R446)&lt;=1,S446&lt;=1),"OK","CHECK"))</f>
        <v>OK</v>
      </c>
      <c r="U446" s="17" t="str">
        <f aca="false">IF(A446="","", "LOSS-"&amp;A446&amp;"-L"&amp;TEXT(B446,"00")&amp;"-"&amp;TEXT(C446,"yyyymmdd")&amp;"-"&amp;D446&amp;"-"&amp;E446)</f>
        <v>LOSS-KG01-L23-20251016-PM-ORD-2025-00224</v>
      </c>
      <c r="V446" s="17" t="str">
        <f aca="false">IF(U446="","",IF(COUNTIF($U$5:$U$935,U446)=1,"OK","CHECK"))</f>
        <v>OK</v>
      </c>
      <c r="W446" s="17" t="str">
        <f aca="false">IF(A446="","",IF(AND(T446="OK",V446="OK",G446&gt;=0),"OK","CHECK"))</f>
        <v>OK</v>
      </c>
    </row>
    <row r="447" customFormat="false" ht="18" hidden="false" customHeight="true" outlineLevel="0" collapsed="false">
      <c r="A447" s="18" t="s">
        <v>39</v>
      </c>
      <c r="B447" s="19" t="n">
        <v>23</v>
      </c>
      <c r="C447" s="20" t="n">
        <v>45947</v>
      </c>
      <c r="D447" s="18" t="s">
        <v>40</v>
      </c>
      <c r="E447" s="18" t="s">
        <v>120</v>
      </c>
      <c r="F447" s="18" t="s">
        <v>42</v>
      </c>
      <c r="G447" s="21" t="n">
        <v>7636</v>
      </c>
      <c r="H447" s="22" t="n">
        <v>0.00565765350697494</v>
      </c>
      <c r="I447" s="22" t="n">
        <v>0.0103724151281134</v>
      </c>
      <c r="J447" s="22" t="n">
        <v>5.73761018344012E-007</v>
      </c>
      <c r="K447" s="22" t="n">
        <v>0.0157551225143778</v>
      </c>
      <c r="L447" s="22" t="n">
        <v>5.45437121000527E-005</v>
      </c>
      <c r="M447" s="22" t="n">
        <v>0.00297970731195939</v>
      </c>
      <c r="N447" s="22" t="n">
        <v>0.00743642307452095</v>
      </c>
      <c r="O447" s="22" t="n">
        <v>0.000349141318493483</v>
      </c>
      <c r="P447" s="22" t="n">
        <v>0.00372220746473629</v>
      </c>
      <c r="Q447" s="22" t="n">
        <v>0.00134071320059684</v>
      </c>
      <c r="R447" s="22" t="n">
        <v>0.0119467635127609</v>
      </c>
      <c r="S447" s="23" t="n">
        <f aca="false">IF(A447="","",SUM(H447:R447))</f>
        <v>0.0596152645056524</v>
      </c>
      <c r="T447" s="17" t="str">
        <f aca="false">IF(A447="","",IF(AND(MIN(H447:R447)&gt;=0,MAX(H447:R447)&lt;=1,S447&lt;=1),"OK","CHECK"))</f>
        <v>OK</v>
      </c>
      <c r="U447" s="17" t="str">
        <f aca="false">IF(A447="","", "LOSS-"&amp;A447&amp;"-L"&amp;TEXT(B447,"00")&amp;"-"&amp;TEXT(C447,"yyyymmdd")&amp;"-"&amp;D447&amp;"-"&amp;E447)</f>
        <v>LOSS-KG01-L23-20251017-AM-ORD-2025-00224</v>
      </c>
      <c r="V447" s="17" t="str">
        <f aca="false">IF(U447="","",IF(COUNTIF($U$5:$U$935,U447)=1,"OK","CHECK"))</f>
        <v>OK</v>
      </c>
      <c r="W447" s="17" t="str">
        <f aca="false">IF(A447="","",IF(AND(T447="OK",V447="OK",G447&gt;=0),"OK","CHECK"))</f>
        <v>OK</v>
      </c>
    </row>
    <row r="448" customFormat="false" ht="18" hidden="false" customHeight="true" outlineLevel="0" collapsed="false">
      <c r="A448" s="18" t="s">
        <v>39</v>
      </c>
      <c r="B448" s="19" t="n">
        <v>23</v>
      </c>
      <c r="C448" s="20" t="n">
        <v>45947</v>
      </c>
      <c r="D448" s="18" t="s">
        <v>43</v>
      </c>
      <c r="E448" s="18" t="s">
        <v>120</v>
      </c>
      <c r="F448" s="18" t="s">
        <v>42</v>
      </c>
      <c r="G448" s="21" t="n">
        <v>11605</v>
      </c>
      <c r="H448" s="22" t="n">
        <v>0.000750237110492803</v>
      </c>
      <c r="I448" s="22" t="n">
        <v>0.00804206609499934</v>
      </c>
      <c r="J448" s="22" t="n">
        <v>0.00120176654800074</v>
      </c>
      <c r="K448" s="22" t="n">
        <v>0.0127175206059731</v>
      </c>
      <c r="L448" s="22" t="n">
        <v>1.0287423844871E-005</v>
      </c>
      <c r="M448" s="22" t="n">
        <v>0.00335311823684706</v>
      </c>
      <c r="N448" s="22" t="n">
        <v>0.00268305850931528</v>
      </c>
      <c r="O448" s="22" t="n">
        <v>0.00571418755997126</v>
      </c>
      <c r="P448" s="22" t="n">
        <v>0.0100204863009761</v>
      </c>
      <c r="Q448" s="22" t="n">
        <v>0.0116684649600109</v>
      </c>
      <c r="R448" s="22" t="n">
        <v>0.00699733155378312</v>
      </c>
      <c r="S448" s="23" t="n">
        <f aca="false">IF(A448="","",SUM(H448:R448))</f>
        <v>0.0631585249042146</v>
      </c>
      <c r="T448" s="17" t="str">
        <f aca="false">IF(A448="","",IF(AND(MIN(H448:R448)&gt;=0,MAX(H448:R448)&lt;=1,S448&lt;=1),"OK","CHECK"))</f>
        <v>OK</v>
      </c>
      <c r="U448" s="17" t="str">
        <f aca="false">IF(A448="","", "LOSS-"&amp;A448&amp;"-L"&amp;TEXT(B448,"00")&amp;"-"&amp;TEXT(C448,"yyyymmdd")&amp;"-"&amp;D448&amp;"-"&amp;E448)</f>
        <v>LOSS-KG01-L23-20251017-PM-ORD-2025-00224</v>
      </c>
      <c r="V448" s="17" t="str">
        <f aca="false">IF(U448="","",IF(COUNTIF($U$5:$U$935,U448)=1,"OK","CHECK"))</f>
        <v>OK</v>
      </c>
      <c r="W448" s="17" t="str">
        <f aca="false">IF(A448="","",IF(AND(T448="OK",V448="OK",G448&gt;=0),"OK","CHECK"))</f>
        <v>OK</v>
      </c>
    </row>
    <row r="449" customFormat="false" ht="18" hidden="false" customHeight="true" outlineLevel="0" collapsed="false">
      <c r="A449" s="18" t="s">
        <v>39</v>
      </c>
      <c r="B449" s="19" t="n">
        <v>23</v>
      </c>
      <c r="C449" s="20" t="n">
        <v>45948</v>
      </c>
      <c r="D449" s="18" t="s">
        <v>40</v>
      </c>
      <c r="E449" s="18" t="s">
        <v>120</v>
      </c>
      <c r="F449" s="18" t="s">
        <v>42</v>
      </c>
      <c r="G449" s="21" t="n">
        <v>19832</v>
      </c>
      <c r="H449" s="22" t="n">
        <v>0.0035731508577552</v>
      </c>
      <c r="I449" s="22" t="n">
        <v>0.00138460625373293</v>
      </c>
      <c r="J449" s="22" t="n">
        <v>0.000102188592608672</v>
      </c>
      <c r="K449" s="22" t="n">
        <v>0.000474731778928782</v>
      </c>
      <c r="L449" s="22" t="n">
        <v>0.00963912799148897</v>
      </c>
      <c r="M449" s="22" t="n">
        <v>0.0163522552354473</v>
      </c>
      <c r="N449" s="22" t="n">
        <v>0.00648581098393047</v>
      </c>
      <c r="O449" s="22" t="n">
        <v>0.0167208243876316</v>
      </c>
      <c r="P449" s="22" t="n">
        <v>0.0165338732385718</v>
      </c>
      <c r="Q449" s="22" t="n">
        <v>0.0112589512087022</v>
      </c>
      <c r="R449" s="22" t="n">
        <v>0.00280680309033901</v>
      </c>
      <c r="S449" s="23" t="n">
        <f aca="false">IF(A449="","",SUM(H449:R449))</f>
        <v>0.0853323236191369</v>
      </c>
      <c r="T449" s="17" t="str">
        <f aca="false">IF(A449="","",IF(AND(MIN(H449:R449)&gt;=0,MAX(H449:R449)&lt;=1,S449&lt;=1),"OK","CHECK"))</f>
        <v>OK</v>
      </c>
      <c r="U449" s="17" t="str">
        <f aca="false">IF(A449="","", "LOSS-"&amp;A449&amp;"-L"&amp;TEXT(B449,"00")&amp;"-"&amp;TEXT(C449,"yyyymmdd")&amp;"-"&amp;D449&amp;"-"&amp;E449)</f>
        <v>LOSS-KG01-L23-20251018-AM-ORD-2025-00224</v>
      </c>
      <c r="V449" s="17" t="str">
        <f aca="false">IF(U449="","",IF(COUNTIF($U$5:$U$935,U449)=1,"OK","CHECK"))</f>
        <v>OK</v>
      </c>
      <c r="W449" s="17" t="str">
        <f aca="false">IF(A449="","",IF(AND(T449="OK",V449="OK",G449&gt;=0),"OK","CHECK"))</f>
        <v>OK</v>
      </c>
    </row>
    <row r="450" customFormat="false" ht="18" hidden="false" customHeight="true" outlineLevel="0" collapsed="false">
      <c r="A450" s="18" t="s">
        <v>39</v>
      </c>
      <c r="B450" s="19" t="n">
        <v>23</v>
      </c>
      <c r="C450" s="20" t="n">
        <v>45948</v>
      </c>
      <c r="D450" s="18" t="s">
        <v>43</v>
      </c>
      <c r="E450" s="18" t="s">
        <v>121</v>
      </c>
      <c r="F450" s="18" t="s">
        <v>45</v>
      </c>
      <c r="G450" s="21" t="n">
        <v>10024</v>
      </c>
      <c r="H450" s="22" t="n">
        <v>0.0246858515342272</v>
      </c>
      <c r="I450" s="22" t="n">
        <v>0.0133770027523452</v>
      </c>
      <c r="J450" s="22" t="n">
        <v>0.00167299123574927</v>
      </c>
      <c r="K450" s="22" t="n">
        <v>0.0261048032138901</v>
      </c>
      <c r="L450" s="22" t="n">
        <v>0.00920689434605324</v>
      </c>
      <c r="M450" s="22" t="n">
        <v>9.42983689179566E-005</v>
      </c>
      <c r="N450" s="22" t="n">
        <v>8.43916843778886E-005</v>
      </c>
      <c r="O450" s="22" t="n">
        <v>0.00314743075427843</v>
      </c>
      <c r="P450" s="22" t="n">
        <v>0.00775433560439509</v>
      </c>
      <c r="Q450" s="22" t="n">
        <v>0.00514450100384312</v>
      </c>
      <c r="R450" s="22" t="n">
        <v>0.00216523253697108</v>
      </c>
      <c r="S450" s="23" t="n">
        <f aca="false">IF(A450="","",SUM(H450:R450))</f>
        <v>0.0934377330350486</v>
      </c>
      <c r="T450" s="17" t="str">
        <f aca="false">IF(A450="","",IF(AND(MIN(H450:R450)&gt;=0,MAX(H450:R450)&lt;=1,S450&lt;=1),"OK","CHECK"))</f>
        <v>OK</v>
      </c>
      <c r="U450" s="17" t="str">
        <f aca="false">IF(A450="","", "LOSS-"&amp;A450&amp;"-L"&amp;TEXT(B450,"00")&amp;"-"&amp;TEXT(C450,"yyyymmdd")&amp;"-"&amp;D450&amp;"-"&amp;E450)</f>
        <v>LOSS-KG01-L23-20251018-PM-ORD-2025-00225</v>
      </c>
      <c r="V450" s="17" t="str">
        <f aca="false">IF(U450="","",IF(COUNTIF($U$5:$U$935,U450)=1,"OK","CHECK"))</f>
        <v>OK</v>
      </c>
      <c r="W450" s="17" t="str">
        <f aca="false">IF(A450="","",IF(AND(T450="OK",V450="OK",G450&gt;=0),"OK","CHECK"))</f>
        <v>OK</v>
      </c>
    </row>
    <row r="451" customFormat="false" ht="18" hidden="false" customHeight="true" outlineLevel="0" collapsed="false">
      <c r="A451" s="18" t="s">
        <v>39</v>
      </c>
      <c r="B451" s="19" t="n">
        <v>23</v>
      </c>
      <c r="C451" s="20" t="n">
        <v>45949</v>
      </c>
      <c r="D451" s="18" t="s">
        <v>40</v>
      </c>
      <c r="E451" s="18" t="s">
        <v>121</v>
      </c>
      <c r="F451" s="18" t="s">
        <v>42</v>
      </c>
      <c r="G451" s="21" t="n">
        <v>25529</v>
      </c>
      <c r="H451" s="22" t="n">
        <v>0.00312732495511141</v>
      </c>
      <c r="I451" s="22" t="n">
        <v>0.0108989726972007</v>
      </c>
      <c r="J451" s="22" t="n">
        <v>7.68977100708875E-005</v>
      </c>
      <c r="K451" s="22" t="n">
        <v>0.0134131240040692</v>
      </c>
      <c r="L451" s="22" t="n">
        <v>0.00753592745956209</v>
      </c>
      <c r="M451" s="22" t="n">
        <v>0.0095447328501577</v>
      </c>
      <c r="N451" s="22" t="n">
        <v>0.0107289121787187</v>
      </c>
      <c r="O451" s="22" t="n">
        <v>0.0048865651029066</v>
      </c>
      <c r="P451" s="22" t="n">
        <v>0.004629552617238</v>
      </c>
      <c r="Q451" s="22" t="n">
        <v>0.00443406061820019</v>
      </c>
      <c r="R451" s="22" t="n">
        <v>0.00269803728441446</v>
      </c>
      <c r="S451" s="23" t="n">
        <f aca="false">IF(A451="","",SUM(H451:R451))</f>
        <v>0.0719741074776499</v>
      </c>
      <c r="T451" s="17" t="str">
        <f aca="false">IF(A451="","",IF(AND(MIN(H451:R451)&gt;=0,MAX(H451:R451)&lt;=1,S451&lt;=1),"OK","CHECK"))</f>
        <v>OK</v>
      </c>
      <c r="U451" s="17" t="str">
        <f aca="false">IF(A451="","", "LOSS-"&amp;A451&amp;"-L"&amp;TEXT(B451,"00")&amp;"-"&amp;TEXT(C451,"yyyymmdd")&amp;"-"&amp;D451&amp;"-"&amp;E451)</f>
        <v>LOSS-KG01-L23-20251019-AM-ORD-2025-00225</v>
      </c>
      <c r="V451" s="17" t="str">
        <f aca="false">IF(U451="","",IF(COUNTIF($U$5:$U$935,U451)=1,"OK","CHECK"))</f>
        <v>OK</v>
      </c>
      <c r="W451" s="17" t="str">
        <f aca="false">IF(A451="","",IF(AND(T451="OK",V451="OK",G451&gt;=0),"OK","CHECK"))</f>
        <v>OK</v>
      </c>
    </row>
    <row r="452" customFormat="false" ht="18" hidden="false" customHeight="true" outlineLevel="0" collapsed="false">
      <c r="A452" s="18" t="s">
        <v>39</v>
      </c>
      <c r="B452" s="19" t="n">
        <v>23</v>
      </c>
      <c r="C452" s="20" t="n">
        <v>45949</v>
      </c>
      <c r="D452" s="18" t="s">
        <v>43</v>
      </c>
      <c r="E452" s="18" t="s">
        <v>121</v>
      </c>
      <c r="F452" s="18" t="s">
        <v>42</v>
      </c>
      <c r="G452" s="21" t="n">
        <v>5411</v>
      </c>
      <c r="H452" s="22" t="n">
        <v>0.00121836615305001</v>
      </c>
      <c r="I452" s="22" t="n">
        <v>0.00338660073767656</v>
      </c>
      <c r="J452" s="22" t="n">
        <v>0.00494817266283196</v>
      </c>
      <c r="K452" s="22" t="n">
        <v>0.00351277953885495</v>
      </c>
      <c r="L452" s="22" t="n">
        <v>0.00757219801376781</v>
      </c>
      <c r="M452" s="22" t="n">
        <v>0.00539020429164615</v>
      </c>
      <c r="N452" s="22" t="n">
        <v>0.00022366625618754</v>
      </c>
      <c r="O452" s="22" t="n">
        <v>0.00671929360517553</v>
      </c>
      <c r="P452" s="22" t="n">
        <v>0.00859430370179807</v>
      </c>
      <c r="Q452" s="22" t="n">
        <v>0.00554261773992753</v>
      </c>
      <c r="R452" s="22" t="n">
        <v>0.00619163969467097</v>
      </c>
      <c r="S452" s="23" t="n">
        <f aca="false">IF(A452="","",SUM(H452:R452))</f>
        <v>0.0532998423955871</v>
      </c>
      <c r="T452" s="17" t="str">
        <f aca="false">IF(A452="","",IF(AND(MIN(H452:R452)&gt;=0,MAX(H452:R452)&lt;=1,S452&lt;=1),"OK","CHECK"))</f>
        <v>OK</v>
      </c>
      <c r="U452" s="17" t="str">
        <f aca="false">IF(A452="","", "LOSS-"&amp;A452&amp;"-L"&amp;TEXT(B452,"00")&amp;"-"&amp;TEXT(C452,"yyyymmdd")&amp;"-"&amp;D452&amp;"-"&amp;E452)</f>
        <v>LOSS-KG01-L23-20251019-PM-ORD-2025-00225</v>
      </c>
      <c r="V452" s="17" t="str">
        <f aca="false">IF(U452="","",IF(COUNTIF($U$5:$U$935,U452)=1,"OK","CHECK"))</f>
        <v>OK</v>
      </c>
      <c r="W452" s="17" t="str">
        <f aca="false">IF(A452="","",IF(AND(T452="OK",V452="OK",G452&gt;=0),"OK","CHECK"))</f>
        <v>OK</v>
      </c>
    </row>
    <row r="453" customFormat="false" ht="18" hidden="false" customHeight="true" outlineLevel="0" collapsed="false">
      <c r="A453" s="18" t="s">
        <v>39</v>
      </c>
      <c r="B453" s="19" t="n">
        <v>23</v>
      </c>
      <c r="C453" s="20" t="n">
        <v>45957</v>
      </c>
      <c r="D453" s="18" t="s">
        <v>40</v>
      </c>
      <c r="E453" s="18" t="s">
        <v>122</v>
      </c>
      <c r="F453" s="18" t="s">
        <v>45</v>
      </c>
      <c r="G453" s="21" t="n">
        <v>3005</v>
      </c>
      <c r="H453" s="22" t="n">
        <v>0.0152730300608592</v>
      </c>
      <c r="I453" s="22" t="n">
        <v>0.00217513587729328</v>
      </c>
      <c r="J453" s="22" t="n">
        <v>0.00995279099023155</v>
      </c>
      <c r="K453" s="22" t="n">
        <v>0.00930847449673282</v>
      </c>
      <c r="L453" s="22" t="n">
        <v>0.000769201424426481</v>
      </c>
      <c r="M453" s="22" t="n">
        <v>0.00172049055183637</v>
      </c>
      <c r="N453" s="22" t="n">
        <v>0.000864128180116096</v>
      </c>
      <c r="O453" s="22" t="n">
        <v>0.00218688372044992</v>
      </c>
      <c r="P453" s="22" t="n">
        <v>0.000660026180471987</v>
      </c>
      <c r="Q453" s="22" t="n">
        <v>0.0157307877930594</v>
      </c>
      <c r="R453" s="22" t="n">
        <v>0.00111842230650554</v>
      </c>
      <c r="S453" s="23" t="n">
        <f aca="false">IF(A453="","",SUM(H453:R453))</f>
        <v>0.0597593715819826</v>
      </c>
      <c r="T453" s="17" t="str">
        <f aca="false">IF(A453="","",IF(AND(MIN(H453:R453)&gt;=0,MAX(H453:R453)&lt;=1,S453&lt;=1),"OK","CHECK"))</f>
        <v>OK</v>
      </c>
      <c r="U453" s="17" t="str">
        <f aca="false">IF(A453="","", "LOSS-"&amp;A453&amp;"-L"&amp;TEXT(B453,"00")&amp;"-"&amp;TEXT(C453,"yyyymmdd")&amp;"-"&amp;D453&amp;"-"&amp;E453)</f>
        <v>LOSS-KG01-L23-20251027-AM-ORD-2025-00226</v>
      </c>
      <c r="V453" s="17" t="str">
        <f aca="false">IF(U453="","",IF(COUNTIF($U$5:$U$935,U453)=1,"OK","CHECK"))</f>
        <v>OK</v>
      </c>
      <c r="W453" s="17" t="str">
        <f aca="false">IF(A453="","",IF(AND(T453="OK",V453="OK",G453&gt;=0),"OK","CHECK"))</f>
        <v>OK</v>
      </c>
    </row>
    <row r="454" customFormat="false" ht="18" hidden="false" customHeight="true" outlineLevel="0" collapsed="false">
      <c r="A454" s="18" t="s">
        <v>39</v>
      </c>
      <c r="B454" s="19" t="n">
        <v>23</v>
      </c>
      <c r="C454" s="20" t="n">
        <v>45957</v>
      </c>
      <c r="D454" s="18" t="s">
        <v>43</v>
      </c>
      <c r="E454" s="18" t="s">
        <v>122</v>
      </c>
      <c r="F454" s="18" t="s">
        <v>42</v>
      </c>
      <c r="G454" s="21" t="n">
        <v>5911</v>
      </c>
      <c r="H454" s="22" t="n">
        <v>0.00188461890769872</v>
      </c>
      <c r="I454" s="22" t="n">
        <v>0.00449953117491578</v>
      </c>
      <c r="J454" s="22" t="n">
        <v>0.000101772389849322</v>
      </c>
      <c r="K454" s="22" t="n">
        <v>0.00213351547328519</v>
      </c>
      <c r="L454" s="22" t="n">
        <v>0.000944559736366232</v>
      </c>
      <c r="M454" s="22" t="n">
        <v>0.00336078476002573</v>
      </c>
      <c r="N454" s="22" t="n">
        <v>0.00329467159459843</v>
      </c>
      <c r="O454" s="22" t="n">
        <v>0.00357772940027913</v>
      </c>
      <c r="P454" s="22" t="n">
        <v>1.87991780909985E-005</v>
      </c>
      <c r="Q454" s="22" t="n">
        <v>0.00506591569481181</v>
      </c>
      <c r="R454" s="22" t="n">
        <v>0.000721476778873991</v>
      </c>
      <c r="S454" s="23" t="n">
        <f aca="false">IF(A454="","",SUM(H454:R454))</f>
        <v>0.0256033750887953</v>
      </c>
      <c r="T454" s="17" t="str">
        <f aca="false">IF(A454="","",IF(AND(MIN(H454:R454)&gt;=0,MAX(H454:R454)&lt;=1,S454&lt;=1),"OK","CHECK"))</f>
        <v>OK</v>
      </c>
      <c r="U454" s="17" t="str">
        <f aca="false">IF(A454="","", "LOSS-"&amp;A454&amp;"-L"&amp;TEXT(B454,"00")&amp;"-"&amp;TEXT(C454,"yyyymmdd")&amp;"-"&amp;D454&amp;"-"&amp;E454)</f>
        <v>LOSS-KG01-L23-20251027-PM-ORD-2025-00226</v>
      </c>
      <c r="V454" s="17" t="str">
        <f aca="false">IF(U454="","",IF(COUNTIF($U$5:$U$935,U454)=1,"OK","CHECK"))</f>
        <v>OK</v>
      </c>
      <c r="W454" s="17" t="str">
        <f aca="false">IF(A454="","",IF(AND(T454="OK",V454="OK",G454&gt;=0),"OK","CHECK"))</f>
        <v>OK</v>
      </c>
    </row>
    <row r="455" customFormat="false" ht="18" hidden="false" customHeight="true" outlineLevel="0" collapsed="false">
      <c r="A455" s="18" t="s">
        <v>39</v>
      </c>
      <c r="B455" s="19" t="n">
        <v>23</v>
      </c>
      <c r="C455" s="20" t="n">
        <v>45958</v>
      </c>
      <c r="D455" s="18" t="s">
        <v>40</v>
      </c>
      <c r="E455" s="18" t="s">
        <v>122</v>
      </c>
      <c r="F455" s="18" t="s">
        <v>42</v>
      </c>
      <c r="G455" s="21" t="n">
        <v>17076</v>
      </c>
      <c r="H455" s="22" t="n">
        <v>0.00469818988360483</v>
      </c>
      <c r="I455" s="22" t="n">
        <v>0.0145530188361914</v>
      </c>
      <c r="J455" s="22" t="n">
        <v>0.0135234240722951</v>
      </c>
      <c r="K455" s="22" t="n">
        <v>0.0111903781172741</v>
      </c>
      <c r="L455" s="22" t="n">
        <v>0.00157042518850462</v>
      </c>
      <c r="M455" s="22" t="n">
        <v>0.00426192807764301</v>
      </c>
      <c r="N455" s="22" t="n">
        <v>0.00117279683407144</v>
      </c>
      <c r="O455" s="22" t="n">
        <v>0.0016352533129743</v>
      </c>
      <c r="P455" s="22" t="n">
        <v>6.61155369277871E-005</v>
      </c>
      <c r="Q455" s="22" t="n">
        <v>8.3798126364578E-005</v>
      </c>
      <c r="R455" s="22" t="n">
        <v>0.000124642285423453</v>
      </c>
      <c r="S455" s="23" t="n">
        <f aca="false">IF(A455="","",SUM(H455:R455))</f>
        <v>0.0528799702712746</v>
      </c>
      <c r="T455" s="17" t="str">
        <f aca="false">IF(A455="","",IF(AND(MIN(H455:R455)&gt;=0,MAX(H455:R455)&lt;=1,S455&lt;=1),"OK","CHECK"))</f>
        <v>OK</v>
      </c>
      <c r="U455" s="17" t="str">
        <f aca="false">IF(A455="","", "LOSS-"&amp;A455&amp;"-L"&amp;TEXT(B455,"00")&amp;"-"&amp;TEXT(C455,"yyyymmdd")&amp;"-"&amp;D455&amp;"-"&amp;E455)</f>
        <v>LOSS-KG01-L23-20251028-AM-ORD-2025-00226</v>
      </c>
      <c r="V455" s="17" t="str">
        <f aca="false">IF(U455="","",IF(COUNTIF($U$5:$U$935,U455)=1,"OK","CHECK"))</f>
        <v>OK</v>
      </c>
      <c r="W455" s="17" t="str">
        <f aca="false">IF(A455="","",IF(AND(T455="OK",V455="OK",G455&gt;=0),"OK","CHECK"))</f>
        <v>OK</v>
      </c>
    </row>
    <row r="456" customFormat="false" ht="18" hidden="false" customHeight="true" outlineLevel="0" collapsed="false">
      <c r="A456" s="18" t="s">
        <v>39</v>
      </c>
      <c r="B456" s="19" t="n">
        <v>23</v>
      </c>
      <c r="C456" s="20" t="n">
        <v>45958</v>
      </c>
      <c r="D456" s="18" t="s">
        <v>43</v>
      </c>
      <c r="E456" s="18" t="s">
        <v>122</v>
      </c>
      <c r="F456" s="18" t="s">
        <v>42</v>
      </c>
      <c r="G456" s="21" t="n">
        <v>12116</v>
      </c>
      <c r="H456" s="22" t="n">
        <v>0.00889399905059383</v>
      </c>
      <c r="I456" s="22" t="n">
        <v>0.000360085792063959</v>
      </c>
      <c r="J456" s="22" t="n">
        <v>0.000714365789936852</v>
      </c>
      <c r="K456" s="22" t="n">
        <v>0.0075241576506389</v>
      </c>
      <c r="L456" s="22" t="n">
        <v>0.020688611657004</v>
      </c>
      <c r="M456" s="22" t="n">
        <v>0.00939911644646832</v>
      </c>
      <c r="N456" s="22" t="n">
        <v>0.00626176730248908</v>
      </c>
      <c r="O456" s="22" t="n">
        <v>0.0120624513587374</v>
      </c>
      <c r="P456" s="22" t="n">
        <v>0.0010397553480691</v>
      </c>
      <c r="Q456" s="22" t="n">
        <v>0.000152410820920877</v>
      </c>
      <c r="R456" s="22" t="n">
        <v>0.0133483960380109</v>
      </c>
      <c r="S456" s="23" t="n">
        <f aca="false">IF(A456="","",SUM(H456:R456))</f>
        <v>0.0804451172549332</v>
      </c>
      <c r="T456" s="17" t="str">
        <f aca="false">IF(A456="","",IF(AND(MIN(H456:R456)&gt;=0,MAX(H456:R456)&lt;=1,S456&lt;=1),"OK","CHECK"))</f>
        <v>OK</v>
      </c>
      <c r="U456" s="17" t="str">
        <f aca="false">IF(A456="","", "LOSS-"&amp;A456&amp;"-L"&amp;TEXT(B456,"00")&amp;"-"&amp;TEXT(C456,"yyyymmdd")&amp;"-"&amp;D456&amp;"-"&amp;E456)</f>
        <v>LOSS-KG01-L23-20251028-PM-ORD-2025-00226</v>
      </c>
      <c r="V456" s="17" t="str">
        <f aca="false">IF(U456="","",IF(COUNTIF($U$5:$U$935,U456)=1,"OK","CHECK"))</f>
        <v>OK</v>
      </c>
      <c r="W456" s="17" t="str">
        <f aca="false">IF(A456="","",IF(AND(T456="OK",V456="OK",G456&gt;=0),"OK","CHECK"))</f>
        <v>OK</v>
      </c>
    </row>
    <row r="457" customFormat="false" ht="18" hidden="false" customHeight="true" outlineLevel="0" collapsed="false">
      <c r="A457" s="18" t="s">
        <v>39</v>
      </c>
      <c r="B457" s="19" t="n">
        <v>23</v>
      </c>
      <c r="C457" s="20" t="n">
        <v>45959</v>
      </c>
      <c r="D457" s="18" t="s">
        <v>40</v>
      </c>
      <c r="E457" s="18" t="s">
        <v>122</v>
      </c>
      <c r="F457" s="18" t="s">
        <v>42</v>
      </c>
      <c r="G457" s="21" t="n">
        <v>6565</v>
      </c>
      <c r="H457" s="22" t="n">
        <v>0.00545593443865376</v>
      </c>
      <c r="I457" s="22" t="n">
        <v>0.00176954932200118</v>
      </c>
      <c r="J457" s="22" t="n">
        <v>0.0064531681180153</v>
      </c>
      <c r="K457" s="22" t="n">
        <v>0.00806677950390629</v>
      </c>
      <c r="L457" s="22" t="n">
        <v>0.000189008593551401</v>
      </c>
      <c r="M457" s="22" t="n">
        <v>0.000890798314241453</v>
      </c>
      <c r="N457" s="22" t="n">
        <v>0.000269281561483678</v>
      </c>
      <c r="O457" s="22" t="n">
        <v>0.00269957599036983</v>
      </c>
      <c r="P457" s="22" t="n">
        <v>0.00168199106821694</v>
      </c>
      <c r="Q457" s="22" t="n">
        <v>0.00497793873142645</v>
      </c>
      <c r="R457" s="22" t="n">
        <v>0.00446117903649629</v>
      </c>
      <c r="S457" s="23" t="n">
        <f aca="false">IF(A457="","",SUM(H457:R457))</f>
        <v>0.0369152046783626</v>
      </c>
      <c r="T457" s="17" t="str">
        <f aca="false">IF(A457="","",IF(AND(MIN(H457:R457)&gt;=0,MAX(H457:R457)&lt;=1,S457&lt;=1),"OK","CHECK"))</f>
        <v>OK</v>
      </c>
      <c r="U457" s="17" t="str">
        <f aca="false">IF(A457="","", "LOSS-"&amp;A457&amp;"-L"&amp;TEXT(B457,"00")&amp;"-"&amp;TEXT(C457,"yyyymmdd")&amp;"-"&amp;D457&amp;"-"&amp;E457)</f>
        <v>LOSS-KG01-L23-20251029-AM-ORD-2025-00226</v>
      </c>
      <c r="V457" s="17" t="str">
        <f aca="false">IF(U457="","",IF(COUNTIF($U$5:$U$935,U457)=1,"OK","CHECK"))</f>
        <v>OK</v>
      </c>
      <c r="W457" s="17" t="str">
        <f aca="false">IF(A457="","",IF(AND(T457="OK",V457="OK",G457&gt;=0),"OK","CHECK"))</f>
        <v>OK</v>
      </c>
    </row>
    <row r="458" customFormat="false" ht="18" hidden="false" customHeight="true" outlineLevel="0" collapsed="false">
      <c r="A458" s="18" t="s">
        <v>39</v>
      </c>
      <c r="B458" s="19" t="n">
        <v>23</v>
      </c>
      <c r="C458" s="20" t="n">
        <v>45959</v>
      </c>
      <c r="D458" s="18" t="s">
        <v>43</v>
      </c>
      <c r="E458" s="18" t="s">
        <v>123</v>
      </c>
      <c r="F458" s="18" t="s">
        <v>45</v>
      </c>
      <c r="G458" s="21" t="n">
        <v>16559</v>
      </c>
      <c r="H458" s="22" t="n">
        <v>0.015039504218957</v>
      </c>
      <c r="I458" s="22" t="n">
        <v>0.0132235106898576</v>
      </c>
      <c r="J458" s="22" t="n">
        <v>0.0026943447180373</v>
      </c>
      <c r="K458" s="22" t="n">
        <v>0.00144311124997763</v>
      </c>
      <c r="L458" s="22" t="n">
        <v>0.00650268442993178</v>
      </c>
      <c r="M458" s="22" t="n">
        <v>0.00254195432182698</v>
      </c>
      <c r="N458" s="22" t="n">
        <v>1.21859142103251E-006</v>
      </c>
      <c r="O458" s="22" t="n">
        <v>0.00173741377062601</v>
      </c>
      <c r="P458" s="22" t="n">
        <v>0.000378616163934953</v>
      </c>
      <c r="Q458" s="22" t="n">
        <v>0.0122368959530895</v>
      </c>
      <c r="R458" s="22" t="n">
        <v>0.00570874873019952</v>
      </c>
      <c r="S458" s="23" t="n">
        <f aca="false">IF(A458="","",SUM(H458:R458))</f>
        <v>0.0615080028378593</v>
      </c>
      <c r="T458" s="17" t="str">
        <f aca="false">IF(A458="","",IF(AND(MIN(H458:R458)&gt;=0,MAX(H458:R458)&lt;=1,S458&lt;=1),"OK","CHECK"))</f>
        <v>OK</v>
      </c>
      <c r="U458" s="17" t="str">
        <f aca="false">IF(A458="","", "LOSS-"&amp;A458&amp;"-L"&amp;TEXT(B458,"00")&amp;"-"&amp;TEXT(C458,"yyyymmdd")&amp;"-"&amp;D458&amp;"-"&amp;E458)</f>
        <v>LOSS-KG01-L23-20251029-PM-ORD-2025-00227</v>
      </c>
      <c r="V458" s="17" t="str">
        <f aca="false">IF(U458="","",IF(COUNTIF($U$5:$U$935,U458)=1,"OK","CHECK"))</f>
        <v>OK</v>
      </c>
      <c r="W458" s="17" t="str">
        <f aca="false">IF(A458="","",IF(AND(T458="OK",V458="OK",G458&gt;=0),"OK","CHECK"))</f>
        <v>OK</v>
      </c>
    </row>
    <row r="459" customFormat="false" ht="18" hidden="false" customHeight="true" outlineLevel="0" collapsed="false">
      <c r="A459" s="18" t="s">
        <v>39</v>
      </c>
      <c r="B459" s="19" t="n">
        <v>23</v>
      </c>
      <c r="C459" s="20" t="n">
        <v>45960</v>
      </c>
      <c r="D459" s="18" t="s">
        <v>40</v>
      </c>
      <c r="E459" s="18" t="s">
        <v>123</v>
      </c>
      <c r="F459" s="18" t="s">
        <v>42</v>
      </c>
      <c r="G459" s="21" t="n">
        <v>21248</v>
      </c>
      <c r="H459" s="22" t="n">
        <v>0.0112074188829128</v>
      </c>
      <c r="I459" s="22" t="n">
        <v>0.00538829216335646</v>
      </c>
      <c r="J459" s="22" t="n">
        <v>0.00812221148299784</v>
      </c>
      <c r="K459" s="22" t="n">
        <v>0.000763013179935353</v>
      </c>
      <c r="L459" s="22" t="n">
        <v>0.0128314174144874</v>
      </c>
      <c r="M459" s="22" t="n">
        <v>0.0162798924835017</v>
      </c>
      <c r="N459" s="22" t="n">
        <v>0.0151695637655806</v>
      </c>
      <c r="O459" s="22" t="n">
        <v>0.00971693607720886</v>
      </c>
      <c r="P459" s="22" t="n">
        <v>0.006326569361305</v>
      </c>
      <c r="Q459" s="22" t="n">
        <v>0.000678039880513787</v>
      </c>
      <c r="R459" s="22" t="n">
        <v>0.000418042814202077</v>
      </c>
      <c r="S459" s="23" t="n">
        <f aca="false">IF(A459="","",SUM(H459:R459))</f>
        <v>0.0869013975060019</v>
      </c>
      <c r="T459" s="17" t="str">
        <f aca="false">IF(A459="","",IF(AND(MIN(H459:R459)&gt;=0,MAX(H459:R459)&lt;=1,S459&lt;=1),"OK","CHECK"))</f>
        <v>OK</v>
      </c>
      <c r="U459" s="17" t="str">
        <f aca="false">IF(A459="","", "LOSS-"&amp;A459&amp;"-L"&amp;TEXT(B459,"00")&amp;"-"&amp;TEXT(C459,"yyyymmdd")&amp;"-"&amp;D459&amp;"-"&amp;E459)</f>
        <v>LOSS-KG01-L23-20251030-AM-ORD-2025-00227</v>
      </c>
      <c r="V459" s="17" t="str">
        <f aca="false">IF(U459="","",IF(COUNTIF($U$5:$U$935,U459)=1,"OK","CHECK"))</f>
        <v>OK</v>
      </c>
      <c r="W459" s="17" t="str">
        <f aca="false">IF(A459="","",IF(AND(T459="OK",V459="OK",G459&gt;=0),"OK","CHECK"))</f>
        <v>OK</v>
      </c>
    </row>
    <row r="460" customFormat="false" ht="18" hidden="false" customHeight="true" outlineLevel="0" collapsed="false">
      <c r="A460" s="18" t="s">
        <v>39</v>
      </c>
      <c r="B460" s="19" t="n">
        <v>23</v>
      </c>
      <c r="C460" s="20" t="n">
        <v>45960</v>
      </c>
      <c r="D460" s="18" t="s">
        <v>43</v>
      </c>
      <c r="E460" s="18" t="s">
        <v>123</v>
      </c>
      <c r="F460" s="18" t="s">
        <v>42</v>
      </c>
      <c r="G460" s="21" t="n">
        <v>9727</v>
      </c>
      <c r="H460" s="22" t="n">
        <v>0.00186025792881725</v>
      </c>
      <c r="I460" s="22" t="n">
        <v>0.0001990061934472</v>
      </c>
      <c r="J460" s="22" t="n">
        <v>0.00556232525168396</v>
      </c>
      <c r="K460" s="22" t="n">
        <v>0.0174386768816428</v>
      </c>
      <c r="L460" s="22" t="n">
        <v>3.04274428604686E-005</v>
      </c>
      <c r="M460" s="22" t="n">
        <v>0.000316907032115526</v>
      </c>
      <c r="N460" s="22" t="n">
        <v>0.00237448192228357</v>
      </c>
      <c r="O460" s="22" t="n">
        <v>9.37919814194879E-005</v>
      </c>
      <c r="P460" s="22" t="n">
        <v>0.0148152140195999</v>
      </c>
      <c r="Q460" s="22" t="n">
        <v>0.016851788347092</v>
      </c>
      <c r="R460" s="22" t="n">
        <v>0.0084681143919103</v>
      </c>
      <c r="S460" s="23" t="n">
        <f aca="false">IF(A460="","",SUM(H460:R460))</f>
        <v>0.0680109913928725</v>
      </c>
      <c r="T460" s="17" t="str">
        <f aca="false">IF(A460="","",IF(AND(MIN(H460:R460)&gt;=0,MAX(H460:R460)&lt;=1,S460&lt;=1),"OK","CHECK"))</f>
        <v>OK</v>
      </c>
      <c r="U460" s="17" t="str">
        <f aca="false">IF(A460="","", "LOSS-"&amp;A460&amp;"-L"&amp;TEXT(B460,"00")&amp;"-"&amp;TEXT(C460,"yyyymmdd")&amp;"-"&amp;D460&amp;"-"&amp;E460)</f>
        <v>LOSS-KG01-L23-20251030-PM-ORD-2025-00227</v>
      </c>
      <c r="V460" s="17" t="str">
        <f aca="false">IF(U460="","",IF(COUNTIF($U$5:$U$935,U460)=1,"OK","CHECK"))</f>
        <v>OK</v>
      </c>
      <c r="W460" s="17" t="str">
        <f aca="false">IF(A460="","",IF(AND(T460="OK",V460="OK",G460&gt;=0),"OK","CHECK"))</f>
        <v>OK</v>
      </c>
    </row>
    <row r="461" customFormat="false" ht="18" hidden="false" customHeight="true" outlineLevel="0" collapsed="false">
      <c r="A461" s="18" t="s">
        <v>39</v>
      </c>
      <c r="B461" s="19" t="n">
        <v>23</v>
      </c>
      <c r="C461" s="20" t="n">
        <v>45961</v>
      </c>
      <c r="D461" s="18" t="s">
        <v>40</v>
      </c>
      <c r="E461" s="18" t="s">
        <v>124</v>
      </c>
      <c r="F461" s="18" t="s">
        <v>45</v>
      </c>
      <c r="G461" s="21" t="n">
        <v>1088</v>
      </c>
      <c r="H461" s="22" t="n">
        <v>0.000571423069520722</v>
      </c>
      <c r="I461" s="22" t="n">
        <v>0.000374501191467114</v>
      </c>
      <c r="J461" s="22" t="n">
        <v>0.0137940029674107</v>
      </c>
      <c r="K461" s="22" t="n">
        <v>0.000762382330020267</v>
      </c>
      <c r="L461" s="22" t="n">
        <v>0.0118850369976307</v>
      </c>
      <c r="M461" s="22" t="n">
        <v>0.00837843461282014</v>
      </c>
      <c r="N461" s="22" t="n">
        <v>1.04653038449867E-005</v>
      </c>
      <c r="O461" s="22" t="n">
        <v>0.0108185800659122</v>
      </c>
      <c r="P461" s="22" t="n">
        <v>0.012526781180867</v>
      </c>
      <c r="Q461" s="22" t="n">
        <v>0.000212876240078897</v>
      </c>
      <c r="R461" s="22" t="n">
        <v>0.0126231879980992</v>
      </c>
      <c r="S461" s="23" t="n">
        <f aca="false">IF(A461="","",SUM(H461:R461))</f>
        <v>0.0719576719576719</v>
      </c>
      <c r="T461" s="17" t="str">
        <f aca="false">IF(A461="","",IF(AND(MIN(H461:R461)&gt;=0,MAX(H461:R461)&lt;=1,S461&lt;=1),"OK","CHECK"))</f>
        <v>OK</v>
      </c>
      <c r="U461" s="17" t="str">
        <f aca="false">IF(A461="","", "LOSS-"&amp;A461&amp;"-L"&amp;TEXT(B461,"00")&amp;"-"&amp;TEXT(C461,"yyyymmdd")&amp;"-"&amp;D461&amp;"-"&amp;E461)</f>
        <v>LOSS-KG01-L23-20251031-AM-ORD-2025-00228</v>
      </c>
      <c r="V461" s="17" t="str">
        <f aca="false">IF(U461="","",IF(COUNTIF($U$5:$U$935,U461)=1,"OK","CHECK"))</f>
        <v>OK</v>
      </c>
      <c r="W461" s="17" t="str">
        <f aca="false">IF(A461="","",IF(AND(T461="OK",V461="OK",G461&gt;=0),"OK","CHECK"))</f>
        <v>OK</v>
      </c>
    </row>
    <row r="462" customFormat="false" ht="18" hidden="false" customHeight="true" outlineLevel="0" collapsed="false">
      <c r="A462" s="18" t="s">
        <v>39</v>
      </c>
      <c r="B462" s="19" t="n">
        <v>23</v>
      </c>
      <c r="C462" s="20" t="n">
        <v>45961</v>
      </c>
      <c r="D462" s="18" t="s">
        <v>43</v>
      </c>
      <c r="E462" s="18" t="s">
        <v>124</v>
      </c>
      <c r="F462" s="18" t="s">
        <v>42</v>
      </c>
      <c r="G462" s="21" t="n">
        <v>7494</v>
      </c>
      <c r="H462" s="22" t="n">
        <v>8.52964833790216E-006</v>
      </c>
      <c r="I462" s="22" t="n">
        <v>0.00993159494003165</v>
      </c>
      <c r="J462" s="22" t="n">
        <v>0.00962840278012474</v>
      </c>
      <c r="K462" s="22" t="n">
        <v>0.000574130526184195</v>
      </c>
      <c r="L462" s="22" t="n">
        <v>3.1961686347929E-005</v>
      </c>
      <c r="M462" s="22" t="n">
        <v>0.00253792745262669</v>
      </c>
      <c r="N462" s="22" t="n">
        <v>0.000520679768452785</v>
      </c>
      <c r="O462" s="22" t="n">
        <v>0.00784400093326501</v>
      </c>
      <c r="P462" s="22" t="n">
        <v>0.00459696203989194</v>
      </c>
      <c r="Q462" s="22" t="n">
        <v>0.000205034530462334</v>
      </c>
      <c r="R462" s="22" t="n">
        <v>0.0123969043275463</v>
      </c>
      <c r="S462" s="23" t="n">
        <f aca="false">IF(A462="","",SUM(H462:R462))</f>
        <v>0.0482761286332715</v>
      </c>
      <c r="T462" s="17" t="str">
        <f aca="false">IF(A462="","",IF(AND(MIN(H462:R462)&gt;=0,MAX(H462:R462)&lt;=1,S462&lt;=1),"OK","CHECK"))</f>
        <v>OK</v>
      </c>
      <c r="U462" s="17" t="str">
        <f aca="false">IF(A462="","", "LOSS-"&amp;A462&amp;"-L"&amp;TEXT(B462,"00")&amp;"-"&amp;TEXT(C462,"yyyymmdd")&amp;"-"&amp;D462&amp;"-"&amp;E462)</f>
        <v>LOSS-KG01-L23-20251031-PM-ORD-2025-00228</v>
      </c>
      <c r="V462" s="17" t="str">
        <f aca="false">IF(U462="","",IF(COUNTIF($U$5:$U$935,U462)=1,"OK","CHECK"))</f>
        <v>OK</v>
      </c>
      <c r="W462" s="17" t="str">
        <f aca="false">IF(A462="","",IF(AND(T462="OK",V462="OK",G462&gt;=0),"OK","CHECK"))</f>
        <v>OK</v>
      </c>
    </row>
    <row r="463" customFormat="false" ht="18" hidden="false" customHeight="true" outlineLevel="0" collapsed="false">
      <c r="A463" s="18" t="s">
        <v>39</v>
      </c>
      <c r="B463" s="19" t="n">
        <v>23</v>
      </c>
      <c r="C463" s="20" t="n">
        <v>45962</v>
      </c>
      <c r="D463" s="18" t="s">
        <v>40</v>
      </c>
      <c r="E463" s="18" t="s">
        <v>124</v>
      </c>
      <c r="F463" s="18" t="s">
        <v>42</v>
      </c>
      <c r="G463" s="21" t="n">
        <v>5053</v>
      </c>
      <c r="H463" s="22" t="n">
        <v>0.00258838942974922</v>
      </c>
      <c r="I463" s="22" t="n">
        <v>0.00337158252476215</v>
      </c>
      <c r="J463" s="22" t="n">
        <v>0.00268940575573815</v>
      </c>
      <c r="K463" s="22" t="n">
        <v>0.000267469090135091</v>
      </c>
      <c r="L463" s="22" t="n">
        <v>0.000443059437873489</v>
      </c>
      <c r="M463" s="22" t="n">
        <v>0.00892114251305526</v>
      </c>
      <c r="N463" s="22" t="n">
        <v>0.00553017368859921</v>
      </c>
      <c r="O463" s="22" t="n">
        <v>0.00129489548705375</v>
      </c>
      <c r="P463" s="22" t="n">
        <v>0.00998804148467226</v>
      </c>
      <c r="Q463" s="22" t="n">
        <v>0.00173734422548329</v>
      </c>
      <c r="R463" s="22" t="n">
        <v>0.000445978638921827</v>
      </c>
      <c r="S463" s="23" t="n">
        <f aca="false">IF(A463="","",SUM(H463:R463))</f>
        <v>0.0372774822760437</v>
      </c>
      <c r="T463" s="17" t="str">
        <f aca="false">IF(A463="","",IF(AND(MIN(H463:R463)&gt;=0,MAX(H463:R463)&lt;=1,S463&lt;=1),"OK","CHECK"))</f>
        <v>OK</v>
      </c>
      <c r="U463" s="17" t="str">
        <f aca="false">IF(A463="","", "LOSS-"&amp;A463&amp;"-L"&amp;TEXT(B463,"00")&amp;"-"&amp;TEXT(C463,"yyyymmdd")&amp;"-"&amp;D463&amp;"-"&amp;E463)</f>
        <v>LOSS-KG01-L23-20251101-AM-ORD-2025-00228</v>
      </c>
      <c r="V463" s="17" t="str">
        <f aca="false">IF(U463="","",IF(COUNTIF($U$5:$U$935,U463)=1,"OK","CHECK"))</f>
        <v>OK</v>
      </c>
      <c r="W463" s="17" t="str">
        <f aca="false">IF(A463="","",IF(AND(T463="OK",V463="OK",G463&gt;=0),"OK","CHECK"))</f>
        <v>OK</v>
      </c>
    </row>
    <row r="464" customFormat="false" ht="18" hidden="false" customHeight="true" outlineLevel="0" collapsed="false">
      <c r="A464" s="18" t="s">
        <v>39</v>
      </c>
      <c r="B464" s="19" t="n">
        <v>23</v>
      </c>
      <c r="C464" s="20" t="n">
        <v>45962</v>
      </c>
      <c r="D464" s="18" t="s">
        <v>43</v>
      </c>
      <c r="E464" s="18" t="s">
        <v>124</v>
      </c>
      <c r="F464" s="18" t="s">
        <v>42</v>
      </c>
      <c r="G464" s="21" t="n">
        <v>9704</v>
      </c>
      <c r="H464" s="22" t="n">
        <v>8.02759200073131E-005</v>
      </c>
      <c r="I464" s="22" t="n">
        <v>0.0025024299955269</v>
      </c>
      <c r="J464" s="22" t="n">
        <v>0.00222493563290107</v>
      </c>
      <c r="K464" s="22" t="n">
        <v>0.00252048183893334</v>
      </c>
      <c r="L464" s="22" t="n">
        <v>0.00869498221566131</v>
      </c>
      <c r="M464" s="22" t="n">
        <v>2.53863794767312E-006</v>
      </c>
      <c r="N464" s="22" t="n">
        <v>0.00140648039814134</v>
      </c>
      <c r="O464" s="22" t="n">
        <v>0.00171801652442578</v>
      </c>
      <c r="P464" s="22" t="n">
        <v>0.00900452047305686</v>
      </c>
      <c r="Q464" s="22" t="n">
        <v>9.75153957762496E-005</v>
      </c>
      <c r="R464" s="22" t="n">
        <v>0.00126488561837848</v>
      </c>
      <c r="S464" s="23" t="n">
        <f aca="false">IF(A464="","",SUM(H464:R464))</f>
        <v>0.0295170626507563</v>
      </c>
      <c r="T464" s="17" t="str">
        <f aca="false">IF(A464="","",IF(AND(MIN(H464:R464)&gt;=0,MAX(H464:R464)&lt;=1,S464&lt;=1),"OK","CHECK"))</f>
        <v>OK</v>
      </c>
      <c r="U464" s="17" t="str">
        <f aca="false">IF(A464="","", "LOSS-"&amp;A464&amp;"-L"&amp;TEXT(B464,"00")&amp;"-"&amp;TEXT(C464,"yyyymmdd")&amp;"-"&amp;D464&amp;"-"&amp;E464)</f>
        <v>LOSS-KG01-L23-20251101-PM-ORD-2025-00228</v>
      </c>
      <c r="V464" s="17" t="str">
        <f aca="false">IF(U464="","",IF(COUNTIF($U$5:$U$935,U464)=1,"OK","CHECK"))</f>
        <v>OK</v>
      </c>
      <c r="W464" s="17" t="str">
        <f aca="false">IF(A464="","",IF(AND(T464="OK",V464="OK",G464&gt;=0),"OK","CHECK"))</f>
        <v>OK</v>
      </c>
    </row>
    <row r="465" customFormat="false" ht="18" hidden="false" customHeight="true" outlineLevel="0" collapsed="false">
      <c r="A465" s="18" t="s">
        <v>39</v>
      </c>
      <c r="B465" s="19" t="n">
        <v>23</v>
      </c>
      <c r="C465" s="20" t="n">
        <v>45963</v>
      </c>
      <c r="D465" s="18" t="s">
        <v>40</v>
      </c>
      <c r="E465" s="18" t="s">
        <v>124</v>
      </c>
      <c r="F465" s="18" t="s">
        <v>42</v>
      </c>
      <c r="G465" s="21" t="n">
        <v>20020</v>
      </c>
      <c r="H465" s="22" t="n">
        <v>0.00162129875866715</v>
      </c>
      <c r="I465" s="22" t="n">
        <v>7.19600960543751E-005</v>
      </c>
      <c r="J465" s="22" t="n">
        <v>0.0150979714132032</v>
      </c>
      <c r="K465" s="22" t="n">
        <v>0.00717279648353674</v>
      </c>
      <c r="L465" s="22" t="n">
        <v>0.000887609260567981</v>
      </c>
      <c r="M465" s="22" t="n">
        <v>0.00829644319982533</v>
      </c>
      <c r="N465" s="22" t="n">
        <v>0.00713831202582385</v>
      </c>
      <c r="O465" s="22" t="n">
        <v>0.0110749702082062</v>
      </c>
      <c r="P465" s="22" t="n">
        <v>0.0129461724635941</v>
      </c>
      <c r="Q465" s="22" t="n">
        <v>4.23887900339719E-006</v>
      </c>
      <c r="R465" s="22" t="n">
        <v>0.015687587855988</v>
      </c>
      <c r="S465" s="23" t="n">
        <f aca="false">IF(A465="","",SUM(H465:R465))</f>
        <v>0.0799993606444703</v>
      </c>
      <c r="T465" s="17" t="str">
        <f aca="false">IF(A465="","",IF(AND(MIN(H465:R465)&gt;=0,MAX(H465:R465)&lt;=1,S465&lt;=1),"OK","CHECK"))</f>
        <v>OK</v>
      </c>
      <c r="U465" s="17" t="str">
        <f aca="false">IF(A465="","", "LOSS-"&amp;A465&amp;"-L"&amp;TEXT(B465,"00")&amp;"-"&amp;TEXT(C465,"yyyymmdd")&amp;"-"&amp;D465&amp;"-"&amp;E465)</f>
        <v>LOSS-KG01-L23-20251102-AM-ORD-2025-00228</v>
      </c>
      <c r="V465" s="17" t="str">
        <f aca="false">IF(U465="","",IF(COUNTIF($U$5:$U$935,U465)=1,"OK","CHECK"))</f>
        <v>OK</v>
      </c>
      <c r="W465" s="17" t="str">
        <f aca="false">IF(A465="","",IF(AND(T465="OK",V465="OK",G465&gt;=0),"OK","CHECK"))</f>
        <v>OK</v>
      </c>
    </row>
    <row r="466" customFormat="false" ht="18" hidden="false" customHeight="true" outlineLevel="0" collapsed="false">
      <c r="A466" s="18" t="s">
        <v>39</v>
      </c>
      <c r="B466" s="19" t="n">
        <v>23</v>
      </c>
      <c r="C466" s="20" t="n">
        <v>45963</v>
      </c>
      <c r="D466" s="18" t="s">
        <v>43</v>
      </c>
      <c r="E466" s="18" t="s">
        <v>124</v>
      </c>
      <c r="F466" s="18" t="s">
        <v>42</v>
      </c>
      <c r="G466" s="21" t="n">
        <v>9187</v>
      </c>
      <c r="H466" s="22" t="n">
        <v>0.00998373998476339</v>
      </c>
      <c r="I466" s="22" t="n">
        <v>0.0151006098411819</v>
      </c>
      <c r="J466" s="22" t="n">
        <v>3.86026205621891E-005</v>
      </c>
      <c r="K466" s="22" t="n">
        <v>0.0134673160497686</v>
      </c>
      <c r="L466" s="22" t="n">
        <v>0.00058991903335862</v>
      </c>
      <c r="M466" s="22" t="n">
        <v>1.61293993928572E-006</v>
      </c>
      <c r="N466" s="22" t="n">
        <v>0.00504418328237624</v>
      </c>
      <c r="O466" s="22" t="n">
        <v>0.000368732260352379</v>
      </c>
      <c r="P466" s="22" t="n">
        <v>0.00413941021803098</v>
      </c>
      <c r="Q466" s="22" t="n">
        <v>2.85110683172487E-005</v>
      </c>
      <c r="R466" s="22" t="n">
        <v>0.00666621683784884</v>
      </c>
      <c r="S466" s="23" t="n">
        <f aca="false">IF(A466="","",SUM(H466:R466))</f>
        <v>0.0554288541364997</v>
      </c>
      <c r="T466" s="17" t="str">
        <f aca="false">IF(A466="","",IF(AND(MIN(H466:R466)&gt;=0,MAX(H466:R466)&lt;=1,S466&lt;=1),"OK","CHECK"))</f>
        <v>OK</v>
      </c>
      <c r="U466" s="17" t="str">
        <f aca="false">IF(A466="","", "LOSS-"&amp;A466&amp;"-L"&amp;TEXT(B466,"00")&amp;"-"&amp;TEXT(C466,"yyyymmdd")&amp;"-"&amp;D466&amp;"-"&amp;E466)</f>
        <v>LOSS-KG01-L23-20251102-PM-ORD-2025-00228</v>
      </c>
      <c r="V466" s="17" t="str">
        <f aca="false">IF(U466="","",IF(COUNTIF($U$5:$U$935,U466)=1,"OK","CHECK"))</f>
        <v>OK</v>
      </c>
      <c r="W466" s="17" t="str">
        <f aca="false">IF(A466="","",IF(AND(T466="OK",V466="OK",G466&gt;=0),"OK","CHECK"))</f>
        <v>OK</v>
      </c>
    </row>
    <row r="467" customFormat="false" ht="18" hidden="false" customHeight="true" outlineLevel="0" collapsed="false">
      <c r="A467" s="18" t="s">
        <v>39</v>
      </c>
      <c r="B467" s="19" t="n">
        <v>23</v>
      </c>
      <c r="C467" s="20" t="n">
        <v>45964</v>
      </c>
      <c r="D467" s="18" t="s">
        <v>40</v>
      </c>
      <c r="E467" s="18" t="s">
        <v>124</v>
      </c>
      <c r="F467" s="18" t="s">
        <v>42</v>
      </c>
      <c r="G467" s="21" t="n">
        <v>8800</v>
      </c>
      <c r="H467" s="22" t="n">
        <v>0.00090495615346148</v>
      </c>
      <c r="I467" s="22" t="n">
        <v>0.0112511531969315</v>
      </c>
      <c r="J467" s="22" t="n">
        <v>0.001765617161594</v>
      </c>
      <c r="K467" s="22" t="n">
        <v>0.00783902292450278</v>
      </c>
      <c r="L467" s="22" t="n">
        <v>0.0139307605070273</v>
      </c>
      <c r="M467" s="22" t="n">
        <v>0.00361271969688158</v>
      </c>
      <c r="N467" s="22" t="n">
        <v>0.000626881597549928</v>
      </c>
      <c r="O467" s="22" t="n">
        <v>0.00552808987156601</v>
      </c>
      <c r="P467" s="22" t="n">
        <v>0.000471032065940528</v>
      </c>
      <c r="Q467" s="22" t="n">
        <v>0.0134665354599358</v>
      </c>
      <c r="R467" s="22" t="n">
        <v>0.00919033698875175</v>
      </c>
      <c r="S467" s="23" t="n">
        <f aca="false">IF(A467="","",SUM(H467:R467))</f>
        <v>0.0685871056241427</v>
      </c>
      <c r="T467" s="17" t="str">
        <f aca="false">IF(A467="","",IF(AND(MIN(H467:R467)&gt;=0,MAX(H467:R467)&lt;=1,S467&lt;=1),"OK","CHECK"))</f>
        <v>OK</v>
      </c>
      <c r="U467" s="17" t="str">
        <f aca="false">IF(A467="","", "LOSS-"&amp;A467&amp;"-L"&amp;TEXT(B467,"00")&amp;"-"&amp;TEXT(C467,"yyyymmdd")&amp;"-"&amp;D467&amp;"-"&amp;E467)</f>
        <v>LOSS-KG01-L23-20251103-AM-ORD-2025-00228</v>
      </c>
      <c r="V467" s="17" t="str">
        <f aca="false">IF(U467="","",IF(COUNTIF($U$5:$U$935,U467)=1,"OK","CHECK"))</f>
        <v>OK</v>
      </c>
      <c r="W467" s="17" t="str">
        <f aca="false">IF(A467="","",IF(AND(T467="OK",V467="OK",G467&gt;=0),"OK","CHECK"))</f>
        <v>OK</v>
      </c>
    </row>
    <row r="468" customFormat="false" ht="18" hidden="false" customHeight="true" outlineLevel="0" collapsed="false">
      <c r="A468" s="18" t="s">
        <v>39</v>
      </c>
      <c r="B468" s="19" t="n">
        <v>23</v>
      </c>
      <c r="C468" s="20" t="n">
        <v>45964</v>
      </c>
      <c r="D468" s="18" t="s">
        <v>43</v>
      </c>
      <c r="E468" s="18" t="s">
        <v>124</v>
      </c>
      <c r="F468" s="18" t="s">
        <v>42</v>
      </c>
      <c r="G468" s="21" t="n">
        <v>8596</v>
      </c>
      <c r="H468" s="22" t="n">
        <v>0.00205896584770603</v>
      </c>
      <c r="I468" s="22" t="n">
        <v>0.0132172868487215</v>
      </c>
      <c r="J468" s="22" t="n">
        <v>0.00955788378221668</v>
      </c>
      <c r="K468" s="22" t="n">
        <v>1.38857235637456E-005</v>
      </c>
      <c r="L468" s="22" t="n">
        <v>0.000643412161591286</v>
      </c>
      <c r="M468" s="22" t="n">
        <v>0.00251721751894683</v>
      </c>
      <c r="N468" s="22" t="n">
        <v>0.00215153244379281</v>
      </c>
      <c r="O468" s="22" t="n">
        <v>0.0109378609245102</v>
      </c>
      <c r="P468" s="22" t="n">
        <v>0.00597532664811726</v>
      </c>
      <c r="Q468" s="22" t="n">
        <v>1.25292791400124E-005</v>
      </c>
      <c r="R468" s="22" t="n">
        <v>1.03074563638664E-005</v>
      </c>
      <c r="S468" s="23" t="n">
        <f aca="false">IF(A468="","",SUM(H468:R468))</f>
        <v>0.0470962086346702</v>
      </c>
      <c r="T468" s="17" t="str">
        <f aca="false">IF(A468="","",IF(AND(MIN(H468:R468)&gt;=0,MAX(H468:R468)&lt;=1,S468&lt;=1),"OK","CHECK"))</f>
        <v>OK</v>
      </c>
      <c r="U468" s="17" t="str">
        <f aca="false">IF(A468="","", "LOSS-"&amp;A468&amp;"-L"&amp;TEXT(B468,"00")&amp;"-"&amp;TEXT(C468,"yyyymmdd")&amp;"-"&amp;D468&amp;"-"&amp;E468)</f>
        <v>LOSS-KG01-L23-20251103-PM-ORD-2025-00228</v>
      </c>
      <c r="V468" s="17" t="str">
        <f aca="false">IF(U468="","",IF(COUNTIF($U$5:$U$935,U468)=1,"OK","CHECK"))</f>
        <v>OK</v>
      </c>
      <c r="W468" s="17" t="str">
        <f aca="false">IF(A468="","",IF(AND(T468="OK",V468="OK",G468&gt;=0),"OK","CHECK"))</f>
        <v>OK</v>
      </c>
    </row>
    <row r="469" customFormat="false" ht="18" hidden="false" customHeight="true" outlineLevel="0" collapsed="false">
      <c r="A469" s="18" t="s">
        <v>39</v>
      </c>
      <c r="B469" s="19" t="n">
        <v>23</v>
      </c>
      <c r="C469" s="20" t="n">
        <v>45965</v>
      </c>
      <c r="D469" s="18" t="s">
        <v>40</v>
      </c>
      <c r="E469" s="18" t="s">
        <v>124</v>
      </c>
      <c r="F469" s="18" t="s">
        <v>42</v>
      </c>
      <c r="G469" s="21" t="n">
        <v>14481</v>
      </c>
      <c r="H469" s="22" t="n">
        <v>1.67348118152404E-005</v>
      </c>
      <c r="I469" s="22" t="n">
        <v>0.0045619385918614</v>
      </c>
      <c r="J469" s="22" t="n">
        <v>0.0111312123673911</v>
      </c>
      <c r="K469" s="22" t="n">
        <v>0.000429342795047308</v>
      </c>
      <c r="L469" s="22" t="n">
        <v>0.00342460085358368</v>
      </c>
      <c r="M469" s="22" t="n">
        <v>0.00599747449967038</v>
      </c>
      <c r="N469" s="22" t="n">
        <v>0.0119814173973313</v>
      </c>
      <c r="O469" s="22" t="n">
        <v>0.0107579346270907</v>
      </c>
      <c r="P469" s="22" t="n">
        <v>0.000593738848355791</v>
      </c>
      <c r="Q469" s="22" t="n">
        <v>0.00020655054051958</v>
      </c>
      <c r="R469" s="22" t="n">
        <v>0.00250522132093329</v>
      </c>
      <c r="S469" s="23" t="n">
        <f aca="false">IF(A469="","",SUM(H469:R469))</f>
        <v>0.0516061666535998</v>
      </c>
      <c r="T469" s="17" t="str">
        <f aca="false">IF(A469="","",IF(AND(MIN(H469:R469)&gt;=0,MAX(H469:R469)&lt;=1,S469&lt;=1),"OK","CHECK"))</f>
        <v>OK</v>
      </c>
      <c r="U469" s="17" t="str">
        <f aca="false">IF(A469="","", "LOSS-"&amp;A469&amp;"-L"&amp;TEXT(B469,"00")&amp;"-"&amp;TEXT(C469,"yyyymmdd")&amp;"-"&amp;D469&amp;"-"&amp;E469)</f>
        <v>LOSS-KG01-L23-20251104-AM-ORD-2025-00228</v>
      </c>
      <c r="V469" s="17" t="str">
        <f aca="false">IF(U469="","",IF(COUNTIF($U$5:$U$935,U469)=1,"OK","CHECK"))</f>
        <v>OK</v>
      </c>
      <c r="W469" s="17" t="str">
        <f aca="false">IF(A469="","",IF(AND(T469="OK",V469="OK",G469&gt;=0),"OK","CHECK"))</f>
        <v>OK</v>
      </c>
    </row>
    <row r="470" customFormat="false" ht="18" hidden="false" customHeight="true" outlineLevel="0" collapsed="false">
      <c r="A470" s="18" t="s">
        <v>39</v>
      </c>
      <c r="B470" s="19" t="n">
        <v>23</v>
      </c>
      <c r="C470" s="20" t="n">
        <v>45965</v>
      </c>
      <c r="D470" s="18" t="s">
        <v>43</v>
      </c>
      <c r="E470" s="18" t="s">
        <v>124</v>
      </c>
      <c r="F470" s="18" t="s">
        <v>42</v>
      </c>
      <c r="G470" s="21" t="n">
        <v>16051</v>
      </c>
      <c r="H470" s="22" t="n">
        <v>0.00116198072275765</v>
      </c>
      <c r="I470" s="22" t="n">
        <v>0.0041306278470347</v>
      </c>
      <c r="J470" s="22" t="n">
        <v>0.000103067976092757</v>
      </c>
      <c r="K470" s="22" t="n">
        <v>0.0219869806909267</v>
      </c>
      <c r="L470" s="22" t="n">
        <v>0.00505366530592519</v>
      </c>
      <c r="M470" s="22" t="n">
        <v>0.00403660958595094</v>
      </c>
      <c r="N470" s="22" t="n">
        <v>0.0188995342670226</v>
      </c>
      <c r="O470" s="22" t="n">
        <v>0.004544494463574</v>
      </c>
      <c r="P470" s="22" t="n">
        <v>0.0172042564722386</v>
      </c>
      <c r="Q470" s="22" t="n">
        <v>0.0153501666123903</v>
      </c>
      <c r="R470" s="22" t="n">
        <v>1.22007591693902E-008</v>
      </c>
      <c r="S470" s="23" t="n">
        <f aca="false">IF(A470="","",SUM(H470:R470))</f>
        <v>0.0924713961446726</v>
      </c>
      <c r="T470" s="17" t="str">
        <f aca="false">IF(A470="","",IF(AND(MIN(H470:R470)&gt;=0,MAX(H470:R470)&lt;=1,S470&lt;=1),"OK","CHECK"))</f>
        <v>OK</v>
      </c>
      <c r="U470" s="17" t="str">
        <f aca="false">IF(A470="","", "LOSS-"&amp;A470&amp;"-L"&amp;TEXT(B470,"00")&amp;"-"&amp;TEXT(C470,"yyyymmdd")&amp;"-"&amp;D470&amp;"-"&amp;E470)</f>
        <v>LOSS-KG01-L23-20251104-PM-ORD-2025-00228</v>
      </c>
      <c r="V470" s="17" t="str">
        <f aca="false">IF(U470="","",IF(COUNTIF($U$5:$U$935,U470)=1,"OK","CHECK"))</f>
        <v>OK</v>
      </c>
      <c r="W470" s="17" t="str">
        <f aca="false">IF(A470="","",IF(AND(T470="OK",V470="OK",G470&gt;=0),"OK","CHECK"))</f>
        <v>OK</v>
      </c>
    </row>
    <row r="471" customFormat="false" ht="18" hidden="false" customHeight="true" outlineLevel="0" collapsed="false">
      <c r="A471" s="18" t="s">
        <v>39</v>
      </c>
      <c r="B471" s="19" t="n">
        <v>23</v>
      </c>
      <c r="C471" s="20" t="n">
        <v>45966</v>
      </c>
      <c r="D471" s="18" t="s">
        <v>40</v>
      </c>
      <c r="E471" s="18" t="s">
        <v>125</v>
      </c>
      <c r="F471" s="18" t="s">
        <v>45</v>
      </c>
      <c r="G471" s="21" t="n">
        <v>3450</v>
      </c>
      <c r="H471" s="22" t="n">
        <v>0.00306498314400129</v>
      </c>
      <c r="I471" s="22" t="n">
        <v>0.0109350221118679</v>
      </c>
      <c r="J471" s="22" t="n">
        <v>0.0008915967154091</v>
      </c>
      <c r="K471" s="22" t="n">
        <v>0.00140877872591932</v>
      </c>
      <c r="L471" s="22" t="n">
        <v>0.00394035337002401</v>
      </c>
      <c r="M471" s="22" t="n">
        <v>0.012373939632104</v>
      </c>
      <c r="N471" s="22" t="n">
        <v>0.00603787926546939</v>
      </c>
      <c r="O471" s="22" t="n">
        <v>0.000125576589543198</v>
      </c>
      <c r="P471" s="22" t="n">
        <v>0.00328181755629992</v>
      </c>
      <c r="Q471" s="22" t="n">
        <v>0.00933394981597736</v>
      </c>
      <c r="R471" s="22" t="n">
        <v>0.00440967450195598</v>
      </c>
      <c r="S471" s="23" t="n">
        <f aca="false">IF(A471="","",SUM(H471:R471))</f>
        <v>0.0558035714285715</v>
      </c>
      <c r="T471" s="17" t="str">
        <f aca="false">IF(A471="","",IF(AND(MIN(H471:R471)&gt;=0,MAX(H471:R471)&lt;=1,S471&lt;=1),"OK","CHECK"))</f>
        <v>OK</v>
      </c>
      <c r="U471" s="17" t="str">
        <f aca="false">IF(A471="","", "LOSS-"&amp;A471&amp;"-L"&amp;TEXT(B471,"00")&amp;"-"&amp;TEXT(C471,"yyyymmdd")&amp;"-"&amp;D471&amp;"-"&amp;E471)</f>
        <v>LOSS-KG01-L23-20251105-AM-ORD-2025-00229</v>
      </c>
      <c r="V471" s="17" t="str">
        <f aca="false">IF(U471="","",IF(COUNTIF($U$5:$U$935,U471)=1,"OK","CHECK"))</f>
        <v>OK</v>
      </c>
      <c r="W471" s="17" t="str">
        <f aca="false">IF(A471="","",IF(AND(T471="OK",V471="OK",G471&gt;=0),"OK","CHECK"))</f>
        <v>OK</v>
      </c>
    </row>
    <row r="472" customFormat="false" ht="18" hidden="false" customHeight="true" outlineLevel="0" collapsed="false">
      <c r="A472" s="18" t="s">
        <v>39</v>
      </c>
      <c r="B472" s="19" t="n">
        <v>23</v>
      </c>
      <c r="C472" s="20" t="n">
        <v>45966</v>
      </c>
      <c r="D472" s="18" t="s">
        <v>43</v>
      </c>
      <c r="E472" s="18" t="s">
        <v>125</v>
      </c>
      <c r="F472" s="18" t="s">
        <v>42</v>
      </c>
      <c r="G472" s="21" t="n">
        <v>14547</v>
      </c>
      <c r="H472" s="22" t="n">
        <v>0.000332216552416411</v>
      </c>
      <c r="I472" s="22" t="n">
        <v>0.00555901813682861</v>
      </c>
      <c r="J472" s="22" t="n">
        <v>0.0136115249236154</v>
      </c>
      <c r="K472" s="22" t="n">
        <v>0.000426622894878038</v>
      </c>
      <c r="L472" s="22" t="n">
        <v>0.00911758474884817</v>
      </c>
      <c r="M472" s="22" t="n">
        <v>0.0115884800187899</v>
      </c>
      <c r="N472" s="22" t="n">
        <v>0.0107943207977321</v>
      </c>
      <c r="O472" s="22" t="n">
        <v>0.00167206594680169</v>
      </c>
      <c r="P472" s="22" t="n">
        <v>0.00793602657827322</v>
      </c>
      <c r="Q472" s="22" t="n">
        <v>0.00130901148180673</v>
      </c>
      <c r="R472" s="22" t="n">
        <v>0.00131837659392384</v>
      </c>
      <c r="S472" s="23" t="n">
        <f aca="false">IF(A472="","",SUM(H472:R472))</f>
        <v>0.0636652486739141</v>
      </c>
      <c r="T472" s="17" t="str">
        <f aca="false">IF(A472="","",IF(AND(MIN(H472:R472)&gt;=0,MAX(H472:R472)&lt;=1,S472&lt;=1),"OK","CHECK"))</f>
        <v>OK</v>
      </c>
      <c r="U472" s="17" t="str">
        <f aca="false">IF(A472="","", "LOSS-"&amp;A472&amp;"-L"&amp;TEXT(B472,"00")&amp;"-"&amp;TEXT(C472,"yyyymmdd")&amp;"-"&amp;D472&amp;"-"&amp;E472)</f>
        <v>LOSS-KG01-L23-20251105-PM-ORD-2025-00229</v>
      </c>
      <c r="V472" s="17" t="str">
        <f aca="false">IF(U472="","",IF(COUNTIF($U$5:$U$935,U472)=1,"OK","CHECK"))</f>
        <v>OK</v>
      </c>
      <c r="W472" s="17" t="str">
        <f aca="false">IF(A472="","",IF(AND(T472="OK",V472="OK",G472&gt;=0),"OK","CHECK"))</f>
        <v>OK</v>
      </c>
    </row>
    <row r="473" customFormat="false" ht="18" hidden="false" customHeight="true" outlineLevel="0" collapsed="false">
      <c r="A473" s="18" t="s">
        <v>39</v>
      </c>
      <c r="B473" s="19" t="n">
        <v>23</v>
      </c>
      <c r="C473" s="20" t="n">
        <v>45967</v>
      </c>
      <c r="D473" s="18" t="s">
        <v>40</v>
      </c>
      <c r="E473" s="18" t="s">
        <v>125</v>
      </c>
      <c r="F473" s="18" t="s">
        <v>42</v>
      </c>
      <c r="G473" s="21" t="n">
        <v>8062</v>
      </c>
      <c r="H473" s="22" t="n">
        <v>0.00679684397045633</v>
      </c>
      <c r="I473" s="22" t="n">
        <v>0.00115630012262013</v>
      </c>
      <c r="J473" s="22" t="n">
        <v>0.00643732441606591</v>
      </c>
      <c r="K473" s="22" t="n">
        <v>0.00272389211153205</v>
      </c>
      <c r="L473" s="22" t="n">
        <v>0.00445127040251827</v>
      </c>
      <c r="M473" s="22" t="n">
        <v>0.00340757911815514</v>
      </c>
      <c r="N473" s="22" t="n">
        <v>0.012440145985835</v>
      </c>
      <c r="O473" s="22" t="n">
        <v>0.000907310324316848</v>
      </c>
      <c r="P473" s="22" t="n">
        <v>0.0103195063717131</v>
      </c>
      <c r="Q473" s="22" t="n">
        <v>0.00137159210098169</v>
      </c>
      <c r="R473" s="22" t="n">
        <v>0.0017912525276779</v>
      </c>
      <c r="S473" s="23" t="n">
        <f aca="false">IF(A473="","",SUM(H473:R473))</f>
        <v>0.0518030174518724</v>
      </c>
      <c r="T473" s="17" t="str">
        <f aca="false">IF(A473="","",IF(AND(MIN(H473:R473)&gt;=0,MAX(H473:R473)&lt;=1,S473&lt;=1),"OK","CHECK"))</f>
        <v>OK</v>
      </c>
      <c r="U473" s="17" t="str">
        <f aca="false">IF(A473="","", "LOSS-"&amp;A473&amp;"-L"&amp;TEXT(B473,"00")&amp;"-"&amp;TEXT(C473,"yyyymmdd")&amp;"-"&amp;D473&amp;"-"&amp;E473)</f>
        <v>LOSS-KG01-L23-20251106-AM-ORD-2025-00229</v>
      </c>
      <c r="V473" s="17" t="str">
        <f aca="false">IF(U473="","",IF(COUNTIF($U$5:$U$935,U473)=1,"OK","CHECK"))</f>
        <v>OK</v>
      </c>
      <c r="W473" s="17" t="str">
        <f aca="false">IF(A473="","",IF(AND(T473="OK",V473="OK",G473&gt;=0),"OK","CHECK"))</f>
        <v>OK</v>
      </c>
    </row>
    <row r="474" customFormat="false" ht="18" hidden="false" customHeight="true" outlineLevel="0" collapsed="false">
      <c r="A474" s="18" t="s">
        <v>39</v>
      </c>
      <c r="B474" s="19" t="n">
        <v>23</v>
      </c>
      <c r="C474" s="20" t="n">
        <v>45967</v>
      </c>
      <c r="D474" s="18" t="s">
        <v>43</v>
      </c>
      <c r="E474" s="18" t="s">
        <v>125</v>
      </c>
      <c r="F474" s="18" t="s">
        <v>42</v>
      </c>
      <c r="G474" s="21" t="n">
        <v>5216</v>
      </c>
      <c r="H474" s="22" t="n">
        <v>0.000130760371845836</v>
      </c>
      <c r="I474" s="22" t="n">
        <v>0.00336245937070063</v>
      </c>
      <c r="J474" s="22" t="n">
        <v>0.00448765650543969</v>
      </c>
      <c r="K474" s="22" t="n">
        <v>0.00346853525733266</v>
      </c>
      <c r="L474" s="22" t="n">
        <v>0.00396596639180459</v>
      </c>
      <c r="M474" s="22" t="n">
        <v>0.00247563624428869</v>
      </c>
      <c r="N474" s="22" t="n">
        <v>0.00391085257757936</v>
      </c>
      <c r="O474" s="22" t="n">
        <v>0.0059491283319233</v>
      </c>
      <c r="P474" s="22" t="n">
        <v>1.27176920878639E-006</v>
      </c>
      <c r="Q474" s="22" t="n">
        <v>0.00249723487706975</v>
      </c>
      <c r="R474" s="22" t="n">
        <v>0.00432697622185426</v>
      </c>
      <c r="S474" s="23" t="n">
        <f aca="false">IF(A474="","",SUM(H474:R474))</f>
        <v>0.0345764779190476</v>
      </c>
      <c r="T474" s="17" t="str">
        <f aca="false">IF(A474="","",IF(AND(MIN(H474:R474)&gt;=0,MAX(H474:R474)&lt;=1,S474&lt;=1),"OK","CHECK"))</f>
        <v>OK</v>
      </c>
      <c r="U474" s="17" t="str">
        <f aca="false">IF(A474="","", "LOSS-"&amp;A474&amp;"-L"&amp;TEXT(B474,"00")&amp;"-"&amp;TEXT(C474,"yyyymmdd")&amp;"-"&amp;D474&amp;"-"&amp;E474)</f>
        <v>LOSS-KG01-L23-20251106-PM-ORD-2025-00229</v>
      </c>
      <c r="V474" s="17" t="str">
        <f aca="false">IF(U474="","",IF(COUNTIF($U$5:$U$935,U474)=1,"OK","CHECK"))</f>
        <v>OK</v>
      </c>
      <c r="W474" s="17" t="str">
        <f aca="false">IF(A474="","",IF(AND(T474="OK",V474="OK",G474&gt;=0),"OK","CHECK"))</f>
        <v>OK</v>
      </c>
    </row>
    <row r="475" customFormat="false" ht="18" hidden="false" customHeight="true" outlineLevel="0" collapsed="false">
      <c r="A475" s="18" t="s">
        <v>39</v>
      </c>
      <c r="B475" s="19" t="n">
        <v>23</v>
      </c>
      <c r="C475" s="20" t="n">
        <v>45968</v>
      </c>
      <c r="D475" s="18" t="s">
        <v>40</v>
      </c>
      <c r="E475" s="18" t="s">
        <v>125</v>
      </c>
      <c r="F475" s="18" t="s">
        <v>42</v>
      </c>
      <c r="G475" s="21" t="n">
        <v>20979</v>
      </c>
      <c r="H475" s="22" t="n">
        <v>0.000776819359592076</v>
      </c>
      <c r="I475" s="22" t="n">
        <v>0.00216198588430877</v>
      </c>
      <c r="J475" s="22" t="n">
        <v>1.88403609751221E-006</v>
      </c>
      <c r="K475" s="22" t="n">
        <v>0.00317450089527282</v>
      </c>
      <c r="L475" s="22" t="n">
        <v>0.0101027647828761</v>
      </c>
      <c r="M475" s="22" t="n">
        <v>0.000484106692849376</v>
      </c>
      <c r="N475" s="22" t="n">
        <v>0.0103837495869395</v>
      </c>
      <c r="O475" s="22" t="n">
        <v>0.0129428720566409</v>
      </c>
      <c r="P475" s="22" t="n">
        <v>0.00225999177724623</v>
      </c>
      <c r="Q475" s="22" t="n">
        <v>0.013533938501379</v>
      </c>
      <c r="R475" s="22" t="n">
        <v>0.00282069900943484</v>
      </c>
      <c r="S475" s="23" t="n">
        <f aca="false">IF(A475="","",SUM(H475:R475))</f>
        <v>0.0586433125826371</v>
      </c>
      <c r="T475" s="17" t="str">
        <f aca="false">IF(A475="","",IF(AND(MIN(H475:R475)&gt;=0,MAX(H475:R475)&lt;=1,S475&lt;=1),"OK","CHECK"))</f>
        <v>OK</v>
      </c>
      <c r="U475" s="17" t="str">
        <f aca="false">IF(A475="","", "LOSS-"&amp;A475&amp;"-L"&amp;TEXT(B475,"00")&amp;"-"&amp;TEXT(C475,"yyyymmdd")&amp;"-"&amp;D475&amp;"-"&amp;E475)</f>
        <v>LOSS-KG01-L23-20251107-AM-ORD-2025-00229</v>
      </c>
      <c r="V475" s="17" t="str">
        <f aca="false">IF(U475="","",IF(COUNTIF($U$5:$U$935,U475)=1,"OK","CHECK"))</f>
        <v>OK</v>
      </c>
      <c r="W475" s="17" t="str">
        <f aca="false">IF(A475="","",IF(AND(T475="OK",V475="OK",G475&gt;=0),"OK","CHECK"))</f>
        <v>OK</v>
      </c>
    </row>
    <row r="476" customFormat="false" ht="18" hidden="false" customHeight="true" outlineLevel="0" collapsed="false">
      <c r="A476" s="18" t="s">
        <v>39</v>
      </c>
      <c r="B476" s="19" t="n">
        <v>23</v>
      </c>
      <c r="C476" s="20" t="n">
        <v>45968</v>
      </c>
      <c r="D476" s="18" t="s">
        <v>43</v>
      </c>
      <c r="E476" s="18" t="s">
        <v>125</v>
      </c>
      <c r="F476" s="18" t="s">
        <v>42</v>
      </c>
      <c r="G476" s="21" t="n">
        <v>8039</v>
      </c>
      <c r="H476" s="22" t="n">
        <v>0.000592480653875868</v>
      </c>
      <c r="I476" s="22" t="n">
        <v>0.00165975115068191</v>
      </c>
      <c r="J476" s="22" t="n">
        <v>0.00476074071730293</v>
      </c>
      <c r="K476" s="22" t="n">
        <v>0.00368554040260194</v>
      </c>
      <c r="L476" s="22" t="n">
        <v>0.00227071971710791</v>
      </c>
      <c r="M476" s="22" t="n">
        <v>0.000976271087061024</v>
      </c>
      <c r="N476" s="22" t="n">
        <v>0.00852166738884498</v>
      </c>
      <c r="O476" s="22" t="n">
        <v>0.000297799705391167</v>
      </c>
      <c r="P476" s="22" t="n">
        <v>0.000997409638774733</v>
      </c>
      <c r="Q476" s="22" t="n">
        <v>0.00652247336202759</v>
      </c>
      <c r="R476" s="22" t="n">
        <v>0.00511271383196211</v>
      </c>
      <c r="S476" s="23" t="n">
        <f aca="false">IF(A476="","",SUM(H476:R476))</f>
        <v>0.0353975676556322</v>
      </c>
      <c r="T476" s="17" t="str">
        <f aca="false">IF(A476="","",IF(AND(MIN(H476:R476)&gt;=0,MAX(H476:R476)&lt;=1,S476&lt;=1),"OK","CHECK"))</f>
        <v>OK</v>
      </c>
      <c r="U476" s="17" t="str">
        <f aca="false">IF(A476="","", "LOSS-"&amp;A476&amp;"-L"&amp;TEXT(B476,"00")&amp;"-"&amp;TEXT(C476,"yyyymmdd")&amp;"-"&amp;D476&amp;"-"&amp;E476)</f>
        <v>LOSS-KG01-L23-20251107-PM-ORD-2025-00229</v>
      </c>
      <c r="V476" s="17" t="str">
        <f aca="false">IF(U476="","",IF(COUNTIF($U$5:$U$935,U476)=1,"OK","CHECK"))</f>
        <v>OK</v>
      </c>
      <c r="W476" s="17" t="str">
        <f aca="false">IF(A476="","",IF(AND(T476="OK",V476="OK",G476&gt;=0),"OK","CHECK"))</f>
        <v>OK</v>
      </c>
    </row>
    <row r="477" customFormat="false" ht="18" hidden="false" customHeight="true" outlineLevel="0" collapsed="false">
      <c r="A477" s="18" t="s">
        <v>39</v>
      </c>
      <c r="B477" s="19" t="n">
        <v>23</v>
      </c>
      <c r="C477" s="20" t="n">
        <v>45969</v>
      </c>
      <c r="D477" s="18" t="s">
        <v>40</v>
      </c>
      <c r="E477" s="18" t="s">
        <v>125</v>
      </c>
      <c r="F477" s="18" t="s">
        <v>42</v>
      </c>
      <c r="G477" s="21" t="n">
        <v>10958</v>
      </c>
      <c r="H477" s="22" t="n">
        <v>0.00447388423823573</v>
      </c>
      <c r="I477" s="22" t="n">
        <v>0.000200096121652896</v>
      </c>
      <c r="J477" s="22" t="n">
        <v>0.0157513715303681</v>
      </c>
      <c r="K477" s="22" t="n">
        <v>0.0125172507634272</v>
      </c>
      <c r="L477" s="22" t="n">
        <v>0.00148461347920066</v>
      </c>
      <c r="M477" s="22" t="n">
        <v>0.0131376003355213</v>
      </c>
      <c r="N477" s="22" t="n">
        <v>0.00390859772052664</v>
      </c>
      <c r="O477" s="22" t="n">
        <v>1.38771102039595E-005</v>
      </c>
      <c r="P477" s="22" t="n">
        <v>0.00634253365556815</v>
      </c>
      <c r="Q477" s="22" t="n">
        <v>0.000192213676593334</v>
      </c>
      <c r="R477" s="22" t="n">
        <v>0.020428705927694</v>
      </c>
      <c r="S477" s="23" t="n">
        <f aca="false">IF(A477="","",SUM(H477:R477))</f>
        <v>0.078450744558992</v>
      </c>
      <c r="T477" s="17" t="str">
        <f aca="false">IF(A477="","",IF(AND(MIN(H477:R477)&gt;=0,MAX(H477:R477)&lt;=1,S477&lt;=1),"OK","CHECK"))</f>
        <v>OK</v>
      </c>
      <c r="U477" s="17" t="str">
        <f aca="false">IF(A477="","", "LOSS-"&amp;A477&amp;"-L"&amp;TEXT(B477,"00")&amp;"-"&amp;TEXT(C477,"yyyymmdd")&amp;"-"&amp;D477&amp;"-"&amp;E477)</f>
        <v>LOSS-KG01-L23-20251108-AM-ORD-2025-00229</v>
      </c>
      <c r="V477" s="17" t="str">
        <f aca="false">IF(U477="","",IF(COUNTIF($U$5:$U$935,U477)=1,"OK","CHECK"))</f>
        <v>OK</v>
      </c>
      <c r="W477" s="17" t="str">
        <f aca="false">IF(A477="","",IF(AND(T477="OK",V477="OK",G477&gt;=0),"OK","CHECK"))</f>
        <v>OK</v>
      </c>
    </row>
    <row r="478" customFormat="false" ht="18" hidden="false" customHeight="true" outlineLevel="0" collapsed="false">
      <c r="A478" s="18" t="s">
        <v>39</v>
      </c>
      <c r="B478" s="19" t="n">
        <v>23</v>
      </c>
      <c r="C478" s="20" t="n">
        <v>45969</v>
      </c>
      <c r="D478" s="18" t="s">
        <v>43</v>
      </c>
      <c r="E478" s="18" t="s">
        <v>125</v>
      </c>
      <c r="F478" s="18" t="s">
        <v>42</v>
      </c>
      <c r="G478" s="21" t="n">
        <v>20327</v>
      </c>
      <c r="H478" s="22" t="n">
        <v>0.0127175978197534</v>
      </c>
      <c r="I478" s="22" t="n">
        <v>0.000267016362605222</v>
      </c>
      <c r="J478" s="22" t="n">
        <v>0.00937508434336811</v>
      </c>
      <c r="K478" s="22" t="n">
        <v>0.000294421075890901</v>
      </c>
      <c r="L478" s="22" t="n">
        <v>0.00223042407061403</v>
      </c>
      <c r="M478" s="22" t="n">
        <v>0.0037803230721639</v>
      </c>
      <c r="N478" s="22" t="n">
        <v>0.00565049345227986</v>
      </c>
      <c r="O478" s="22" t="n">
        <v>0.0162931798593809</v>
      </c>
      <c r="P478" s="22" t="n">
        <v>0.0172339405688223</v>
      </c>
      <c r="Q478" s="22" t="n">
        <v>0.0174266394231331</v>
      </c>
      <c r="R478" s="22" t="n">
        <v>0.00061549956175352</v>
      </c>
      <c r="S478" s="23" t="n">
        <f aca="false">IF(A478="","",SUM(H478:R478))</f>
        <v>0.0858846196097653</v>
      </c>
      <c r="T478" s="17" t="str">
        <f aca="false">IF(A478="","",IF(AND(MIN(H478:R478)&gt;=0,MAX(H478:R478)&lt;=1,S478&lt;=1),"OK","CHECK"))</f>
        <v>OK</v>
      </c>
      <c r="U478" s="17" t="str">
        <f aca="false">IF(A478="","", "LOSS-"&amp;A478&amp;"-L"&amp;TEXT(B478,"00")&amp;"-"&amp;TEXT(C478,"yyyymmdd")&amp;"-"&amp;D478&amp;"-"&amp;E478)</f>
        <v>LOSS-KG01-L23-20251108-PM-ORD-2025-00229</v>
      </c>
      <c r="V478" s="17" t="str">
        <f aca="false">IF(U478="","",IF(COUNTIF($U$5:$U$935,U478)=1,"OK","CHECK"))</f>
        <v>OK</v>
      </c>
      <c r="W478" s="17" t="str">
        <f aca="false">IF(A478="","",IF(AND(T478="OK",V478="OK",G478&gt;=0),"OK","CHECK"))</f>
        <v>OK</v>
      </c>
    </row>
    <row r="479" customFormat="false" ht="18" hidden="false" customHeight="true" outlineLevel="0" collapsed="false">
      <c r="A479" s="18" t="s">
        <v>39</v>
      </c>
      <c r="B479" s="19" t="n">
        <v>23</v>
      </c>
      <c r="C479" s="20" t="n">
        <v>45970</v>
      </c>
      <c r="D479" s="18" t="s">
        <v>40</v>
      </c>
      <c r="E479" s="18" t="s">
        <v>126</v>
      </c>
      <c r="F479" s="18" t="s">
        <v>45</v>
      </c>
      <c r="G479" s="21" t="n">
        <v>2561</v>
      </c>
      <c r="H479" s="22" t="n">
        <v>0.00639322912320187</v>
      </c>
      <c r="I479" s="22" t="n">
        <v>0.00745698707553987</v>
      </c>
      <c r="J479" s="22" t="n">
        <v>0.00248166996681329</v>
      </c>
      <c r="K479" s="22" t="n">
        <v>0.00019092188292559</v>
      </c>
      <c r="L479" s="22" t="n">
        <v>0.00440367786200381</v>
      </c>
      <c r="M479" s="22" t="n">
        <v>0.0057238545406771</v>
      </c>
      <c r="N479" s="22" t="n">
        <v>0.000375284027763326</v>
      </c>
      <c r="O479" s="22" t="n">
        <v>0.00527115187220712</v>
      </c>
      <c r="P479" s="22" t="n">
        <v>0.00262623297473556</v>
      </c>
      <c r="Q479" s="22" t="n">
        <v>0.00578341271972841</v>
      </c>
      <c r="R479" s="22" t="n">
        <v>0.00301231675158394</v>
      </c>
      <c r="S479" s="23" t="n">
        <f aca="false">IF(A479="","",SUM(H479:R479))</f>
        <v>0.0437187387971799</v>
      </c>
      <c r="T479" s="17" t="str">
        <f aca="false">IF(A479="","",IF(AND(MIN(H479:R479)&gt;=0,MAX(H479:R479)&lt;=1,S479&lt;=1),"OK","CHECK"))</f>
        <v>OK</v>
      </c>
      <c r="U479" s="17" t="str">
        <f aca="false">IF(A479="","", "LOSS-"&amp;A479&amp;"-L"&amp;TEXT(B479,"00")&amp;"-"&amp;TEXT(C479,"yyyymmdd")&amp;"-"&amp;D479&amp;"-"&amp;E479)</f>
        <v>LOSS-KG01-L23-20251109-AM-ORD-2025-00230</v>
      </c>
      <c r="V479" s="17" t="str">
        <f aca="false">IF(U479="","",IF(COUNTIF($U$5:$U$935,U479)=1,"OK","CHECK"))</f>
        <v>OK</v>
      </c>
      <c r="W479" s="17" t="str">
        <f aca="false">IF(A479="","",IF(AND(T479="OK",V479="OK",G479&gt;=0),"OK","CHECK"))</f>
        <v>OK</v>
      </c>
    </row>
    <row r="480" customFormat="false" ht="18" hidden="false" customHeight="true" outlineLevel="0" collapsed="false">
      <c r="A480" s="18" t="s">
        <v>39</v>
      </c>
      <c r="B480" s="19" t="n">
        <v>23</v>
      </c>
      <c r="C480" s="20" t="n">
        <v>45970</v>
      </c>
      <c r="D480" s="18" t="s">
        <v>43</v>
      </c>
      <c r="E480" s="18" t="s">
        <v>126</v>
      </c>
      <c r="F480" s="18" t="s">
        <v>42</v>
      </c>
      <c r="G480" s="21" t="n">
        <v>20594</v>
      </c>
      <c r="H480" s="22" t="n">
        <v>0.00583956296353917</v>
      </c>
      <c r="I480" s="22" t="n">
        <v>4.58158985534854E-005</v>
      </c>
      <c r="J480" s="22" t="n">
        <v>0.00589681949150388</v>
      </c>
      <c r="K480" s="22" t="n">
        <v>0.00603702269055435</v>
      </c>
      <c r="L480" s="22" t="n">
        <v>0.00998264499378933</v>
      </c>
      <c r="M480" s="22" t="n">
        <v>0.0206277303633542</v>
      </c>
      <c r="N480" s="22" t="n">
        <v>0.00057684423263682</v>
      </c>
      <c r="O480" s="22" t="n">
        <v>0.00052279951111002</v>
      </c>
      <c r="P480" s="22" t="n">
        <v>0.0096035868435255</v>
      </c>
      <c r="Q480" s="22" t="n">
        <v>0.00836237251367649</v>
      </c>
      <c r="R480" s="22" t="n">
        <v>0.0153050690739411</v>
      </c>
      <c r="S480" s="23" t="n">
        <f aca="false">IF(A480="","",SUM(H480:R480))</f>
        <v>0.0828002685761844</v>
      </c>
      <c r="T480" s="17" t="str">
        <f aca="false">IF(A480="","",IF(AND(MIN(H480:R480)&gt;=0,MAX(H480:R480)&lt;=1,S480&lt;=1),"OK","CHECK"))</f>
        <v>OK</v>
      </c>
      <c r="U480" s="17" t="str">
        <f aca="false">IF(A480="","", "LOSS-"&amp;A480&amp;"-L"&amp;TEXT(B480,"00")&amp;"-"&amp;TEXT(C480,"yyyymmdd")&amp;"-"&amp;D480&amp;"-"&amp;E480)</f>
        <v>LOSS-KG01-L23-20251109-PM-ORD-2025-00230</v>
      </c>
      <c r="V480" s="17" t="str">
        <f aca="false">IF(U480="","",IF(COUNTIF($U$5:$U$935,U480)=1,"OK","CHECK"))</f>
        <v>OK</v>
      </c>
      <c r="W480" s="17" t="str">
        <f aca="false">IF(A480="","",IF(AND(T480="OK",V480="OK",G480&gt;=0),"OK","CHECK"))</f>
        <v>OK</v>
      </c>
    </row>
    <row r="481" customFormat="false" ht="18" hidden="false" customHeight="true" outlineLevel="0" collapsed="false">
      <c r="A481" s="18" t="s">
        <v>39</v>
      </c>
      <c r="B481" s="19" t="n">
        <v>23</v>
      </c>
      <c r="C481" s="20" t="n">
        <v>45971</v>
      </c>
      <c r="D481" s="18" t="s">
        <v>40</v>
      </c>
      <c r="E481" s="18" t="s">
        <v>126</v>
      </c>
      <c r="F481" s="18" t="s">
        <v>42</v>
      </c>
      <c r="G481" s="21" t="n">
        <v>17821</v>
      </c>
      <c r="H481" s="22" t="n">
        <v>0.000961665948395463</v>
      </c>
      <c r="I481" s="22" t="n">
        <v>0.0162700919075445</v>
      </c>
      <c r="J481" s="22" t="n">
        <v>0.00963271284679975</v>
      </c>
      <c r="K481" s="22" t="n">
        <v>0.00549447618691</v>
      </c>
      <c r="L481" s="22" t="n">
        <v>0.0171373504400037</v>
      </c>
      <c r="M481" s="22" t="n">
        <v>0.00337739812241663</v>
      </c>
      <c r="N481" s="22" t="n">
        <v>0.000768004811305957</v>
      </c>
      <c r="O481" s="22" t="n">
        <v>4.49419972564058E-005</v>
      </c>
      <c r="P481" s="22" t="n">
        <v>0.0176439998548047</v>
      </c>
      <c r="Q481" s="22" t="n">
        <v>0.00301878070357875</v>
      </c>
      <c r="R481" s="22" t="n">
        <v>0.00285391120746231</v>
      </c>
      <c r="S481" s="23" t="n">
        <f aca="false">IF(A481="","",SUM(H481:R481))</f>
        <v>0.0772033340264782</v>
      </c>
      <c r="T481" s="17" t="str">
        <f aca="false">IF(A481="","",IF(AND(MIN(H481:R481)&gt;=0,MAX(H481:R481)&lt;=1,S481&lt;=1),"OK","CHECK"))</f>
        <v>OK</v>
      </c>
      <c r="U481" s="17" t="str">
        <f aca="false">IF(A481="","", "LOSS-"&amp;A481&amp;"-L"&amp;TEXT(B481,"00")&amp;"-"&amp;TEXT(C481,"yyyymmdd")&amp;"-"&amp;D481&amp;"-"&amp;E481)</f>
        <v>LOSS-KG01-L23-20251110-AM-ORD-2025-00230</v>
      </c>
      <c r="V481" s="17" t="str">
        <f aca="false">IF(U481="","",IF(COUNTIF($U$5:$U$935,U481)=1,"OK","CHECK"))</f>
        <v>OK</v>
      </c>
      <c r="W481" s="17" t="str">
        <f aca="false">IF(A481="","",IF(AND(T481="OK",V481="OK",G481&gt;=0),"OK","CHECK"))</f>
        <v>OK</v>
      </c>
    </row>
    <row r="482" customFormat="false" ht="18" hidden="false" customHeight="true" outlineLevel="0" collapsed="false">
      <c r="A482" s="18" t="s">
        <v>39</v>
      </c>
      <c r="B482" s="19" t="n">
        <v>23</v>
      </c>
      <c r="C482" s="20" t="n">
        <v>45971</v>
      </c>
      <c r="D482" s="18" t="s">
        <v>43</v>
      </c>
      <c r="E482" s="18" t="s">
        <v>126</v>
      </c>
      <c r="F482" s="18" t="s">
        <v>42</v>
      </c>
      <c r="G482" s="21" t="n">
        <v>9752</v>
      </c>
      <c r="H482" s="22" t="n">
        <v>0.0058689902410596</v>
      </c>
      <c r="I482" s="22" t="n">
        <v>0.00382604299438932</v>
      </c>
      <c r="J482" s="22" t="n">
        <v>0.00489609917795024</v>
      </c>
      <c r="K482" s="22" t="n">
        <v>0.00223429358957305</v>
      </c>
      <c r="L482" s="22" t="n">
        <v>0.0112246004675476</v>
      </c>
      <c r="M482" s="22" t="n">
        <v>0.0019402768846835</v>
      </c>
      <c r="N482" s="22" t="n">
        <v>0.000120854309604884</v>
      </c>
      <c r="O482" s="22" t="n">
        <v>0.0108174698514167</v>
      </c>
      <c r="P482" s="22" t="n">
        <v>0.00962387619512734</v>
      </c>
      <c r="Q482" s="22" t="n">
        <v>0.000939536810283786</v>
      </c>
      <c r="R482" s="22" t="n">
        <v>0.0115982992552963</v>
      </c>
      <c r="S482" s="23" t="n">
        <f aca="false">IF(A482="","",SUM(H482:R482))</f>
        <v>0.0630903397769323</v>
      </c>
      <c r="T482" s="17" t="str">
        <f aca="false">IF(A482="","",IF(AND(MIN(H482:R482)&gt;=0,MAX(H482:R482)&lt;=1,S482&lt;=1),"OK","CHECK"))</f>
        <v>OK</v>
      </c>
      <c r="U482" s="17" t="str">
        <f aca="false">IF(A482="","", "LOSS-"&amp;A482&amp;"-L"&amp;TEXT(B482,"00")&amp;"-"&amp;TEXT(C482,"yyyymmdd")&amp;"-"&amp;D482&amp;"-"&amp;E482)</f>
        <v>LOSS-KG01-L23-20251110-PM-ORD-2025-00230</v>
      </c>
      <c r="V482" s="17" t="str">
        <f aca="false">IF(U482="","",IF(COUNTIF($U$5:$U$935,U482)=1,"OK","CHECK"))</f>
        <v>OK</v>
      </c>
      <c r="W482" s="17" t="str">
        <f aca="false">IF(A482="","",IF(AND(T482="OK",V482="OK",G482&gt;=0),"OK","CHECK"))</f>
        <v>OK</v>
      </c>
    </row>
    <row r="483" customFormat="false" ht="18" hidden="false" customHeight="true" outlineLevel="0" collapsed="false">
      <c r="A483" s="18" t="s">
        <v>39</v>
      </c>
      <c r="B483" s="19" t="n">
        <v>23</v>
      </c>
      <c r="C483" s="20" t="n">
        <v>45972</v>
      </c>
      <c r="D483" s="18" t="s">
        <v>40</v>
      </c>
      <c r="E483" s="18" t="s">
        <v>126</v>
      </c>
      <c r="F483" s="18" t="s">
        <v>42</v>
      </c>
      <c r="G483" s="21" t="n">
        <v>13342</v>
      </c>
      <c r="H483" s="22" t="n">
        <v>0.00511024131704537</v>
      </c>
      <c r="I483" s="22" t="n">
        <v>6.46600354732739E-005</v>
      </c>
      <c r="J483" s="22" t="n">
        <v>0.0082599898206474</v>
      </c>
      <c r="K483" s="22" t="n">
        <v>0.000285118987740137</v>
      </c>
      <c r="L483" s="22" t="n">
        <v>0.00335010273133725</v>
      </c>
      <c r="M483" s="22" t="n">
        <v>0.000371965496216305</v>
      </c>
      <c r="N483" s="22" t="n">
        <v>0.0136869910212233</v>
      </c>
      <c r="O483" s="22" t="n">
        <v>0.0138100452866779</v>
      </c>
      <c r="P483" s="22" t="n">
        <v>0.0138636018099268</v>
      </c>
      <c r="Q483" s="22" t="n">
        <v>0.00221703839672054</v>
      </c>
      <c r="R483" s="22" t="n">
        <v>0.000368215042560647</v>
      </c>
      <c r="S483" s="23" t="n">
        <f aca="false">IF(A483="","",SUM(H483:R483))</f>
        <v>0.0613879699455689</v>
      </c>
      <c r="T483" s="17" t="str">
        <f aca="false">IF(A483="","",IF(AND(MIN(H483:R483)&gt;=0,MAX(H483:R483)&lt;=1,S483&lt;=1),"OK","CHECK"))</f>
        <v>OK</v>
      </c>
      <c r="U483" s="17" t="str">
        <f aca="false">IF(A483="","", "LOSS-"&amp;A483&amp;"-L"&amp;TEXT(B483,"00")&amp;"-"&amp;TEXT(C483,"yyyymmdd")&amp;"-"&amp;D483&amp;"-"&amp;E483)</f>
        <v>LOSS-KG01-L23-20251111-AM-ORD-2025-00230</v>
      </c>
      <c r="V483" s="17" t="str">
        <f aca="false">IF(U483="","",IF(COUNTIF($U$5:$U$935,U483)=1,"OK","CHECK"))</f>
        <v>OK</v>
      </c>
      <c r="W483" s="17" t="str">
        <f aca="false">IF(A483="","",IF(AND(T483="OK",V483="OK",G483&gt;=0),"OK","CHECK"))</f>
        <v>OK</v>
      </c>
    </row>
    <row r="484" customFormat="false" ht="18" hidden="false" customHeight="true" outlineLevel="0" collapsed="false">
      <c r="A484" s="18" t="s">
        <v>39</v>
      </c>
      <c r="B484" s="19" t="n">
        <v>23</v>
      </c>
      <c r="C484" s="20" t="n">
        <v>45972</v>
      </c>
      <c r="D484" s="18" t="s">
        <v>43</v>
      </c>
      <c r="E484" s="18" t="s">
        <v>126</v>
      </c>
      <c r="F484" s="18" t="s">
        <v>42</v>
      </c>
      <c r="G484" s="21" t="n">
        <v>7267</v>
      </c>
      <c r="H484" s="22" t="n">
        <v>0.00200411347250205</v>
      </c>
      <c r="I484" s="22" t="n">
        <v>0.00399265478256411</v>
      </c>
      <c r="J484" s="22" t="n">
        <v>0.000705316412712583</v>
      </c>
      <c r="K484" s="22" t="n">
        <v>0.00140159131798789</v>
      </c>
      <c r="L484" s="22" t="n">
        <v>0.000584606425071348</v>
      </c>
      <c r="M484" s="22" t="n">
        <v>0.0102814245481395</v>
      </c>
      <c r="N484" s="22" t="n">
        <v>0.000225143156343098</v>
      </c>
      <c r="O484" s="22" t="n">
        <v>0.00183957486106346</v>
      </c>
      <c r="P484" s="22" t="n">
        <v>0.00601621152415066</v>
      </c>
      <c r="Q484" s="22" t="n">
        <v>0.00391891726024325</v>
      </c>
      <c r="R484" s="22" t="n">
        <v>0.00515969019489451</v>
      </c>
      <c r="S484" s="23" t="n">
        <f aca="false">IF(A484="","",SUM(H484:R484))</f>
        <v>0.0361292439556725</v>
      </c>
      <c r="T484" s="17" t="str">
        <f aca="false">IF(A484="","",IF(AND(MIN(H484:R484)&gt;=0,MAX(H484:R484)&lt;=1,S484&lt;=1),"OK","CHECK"))</f>
        <v>OK</v>
      </c>
      <c r="U484" s="17" t="str">
        <f aca="false">IF(A484="","", "LOSS-"&amp;A484&amp;"-L"&amp;TEXT(B484,"00")&amp;"-"&amp;TEXT(C484,"yyyymmdd")&amp;"-"&amp;D484&amp;"-"&amp;E484)</f>
        <v>LOSS-KG01-L23-20251111-PM-ORD-2025-00230</v>
      </c>
      <c r="V484" s="17" t="str">
        <f aca="false">IF(U484="","",IF(COUNTIF($U$5:$U$935,U484)=1,"OK","CHECK"))</f>
        <v>OK</v>
      </c>
      <c r="W484" s="17" t="str">
        <f aca="false">IF(A484="","",IF(AND(T484="OK",V484="OK",G484&gt;=0),"OK","CHECK"))</f>
        <v>OK</v>
      </c>
    </row>
    <row r="485" customFormat="false" ht="18" hidden="false" customHeight="true" outlineLevel="0" collapsed="false">
      <c r="A485" s="18" t="s">
        <v>39</v>
      </c>
      <c r="B485" s="19" t="n">
        <v>23</v>
      </c>
      <c r="C485" s="20" t="n">
        <v>45973</v>
      </c>
      <c r="D485" s="18" t="s">
        <v>40</v>
      </c>
      <c r="E485" s="18" t="s">
        <v>126</v>
      </c>
      <c r="F485" s="18" t="s">
        <v>42</v>
      </c>
      <c r="G485" s="21" t="n">
        <v>4247</v>
      </c>
      <c r="H485" s="22" t="n">
        <v>0.000507693406692852</v>
      </c>
      <c r="I485" s="22" t="n">
        <v>0.000243025027325485</v>
      </c>
      <c r="J485" s="22" t="n">
        <v>0.000909345941027829</v>
      </c>
      <c r="K485" s="22" t="n">
        <v>0.00128505329422159</v>
      </c>
      <c r="L485" s="22" t="n">
        <v>0.00485877166009588</v>
      </c>
      <c r="M485" s="22" t="n">
        <v>0.00324804273398289</v>
      </c>
      <c r="N485" s="22" t="n">
        <v>0.00329337712101158</v>
      </c>
      <c r="O485" s="22" t="n">
        <v>0.00713558082368907</v>
      </c>
      <c r="P485" s="22" t="n">
        <v>0.0042917086481206</v>
      </c>
      <c r="Q485" s="22" t="n">
        <v>0.000646001572593441</v>
      </c>
      <c r="R485" s="22" t="n">
        <v>0.00230179686606276</v>
      </c>
      <c r="S485" s="23" t="n">
        <f aca="false">IF(A485="","",SUM(H485:R485))</f>
        <v>0.028720397094824</v>
      </c>
      <c r="T485" s="17" t="str">
        <f aca="false">IF(A485="","",IF(AND(MIN(H485:R485)&gt;=0,MAX(H485:R485)&lt;=1,S485&lt;=1),"OK","CHECK"))</f>
        <v>OK</v>
      </c>
      <c r="U485" s="17" t="str">
        <f aca="false">IF(A485="","", "LOSS-"&amp;A485&amp;"-L"&amp;TEXT(B485,"00")&amp;"-"&amp;TEXT(C485,"yyyymmdd")&amp;"-"&amp;D485&amp;"-"&amp;E485)</f>
        <v>LOSS-KG01-L23-20251112-AM-ORD-2025-00230</v>
      </c>
      <c r="V485" s="17" t="str">
        <f aca="false">IF(U485="","",IF(COUNTIF($U$5:$U$935,U485)=1,"OK","CHECK"))</f>
        <v>OK</v>
      </c>
      <c r="W485" s="17" t="str">
        <f aca="false">IF(A485="","",IF(AND(T485="OK",V485="OK",G485&gt;=0),"OK","CHECK"))</f>
        <v>OK</v>
      </c>
    </row>
    <row r="486" customFormat="false" ht="18" hidden="false" customHeight="true" outlineLevel="0" collapsed="false">
      <c r="A486" s="18" t="s">
        <v>39</v>
      </c>
      <c r="B486" s="19" t="n">
        <v>23</v>
      </c>
      <c r="C486" s="20" t="n">
        <v>45973</v>
      </c>
      <c r="D486" s="18" t="s">
        <v>43</v>
      </c>
      <c r="E486" s="18" t="s">
        <v>127</v>
      </c>
      <c r="F486" s="18" t="s">
        <v>45</v>
      </c>
      <c r="G486" s="21" t="n">
        <v>3802</v>
      </c>
      <c r="H486" s="22" t="n">
        <v>0.00728962842440965</v>
      </c>
      <c r="I486" s="22" t="n">
        <v>0.00315877603517501</v>
      </c>
      <c r="J486" s="22" t="n">
        <v>0.00401253008660126</v>
      </c>
      <c r="K486" s="22" t="n">
        <v>0.000254638067358924</v>
      </c>
      <c r="L486" s="22" t="n">
        <v>0.00835404971090203</v>
      </c>
      <c r="M486" s="22" t="n">
        <v>0.00613392887482219</v>
      </c>
      <c r="N486" s="22" t="n">
        <v>0.00558960373232337</v>
      </c>
      <c r="O486" s="22" t="n">
        <v>0.00825957361950522</v>
      </c>
      <c r="P486" s="22" t="n">
        <v>0.00972045691262368</v>
      </c>
      <c r="Q486" s="22" t="n">
        <v>1.80998231584588E-005</v>
      </c>
      <c r="R486" s="22" t="n">
        <v>0.00757133497794096</v>
      </c>
      <c r="S486" s="23" t="n">
        <f aca="false">IF(A486="","",SUM(H486:R486))</f>
        <v>0.0603626202648208</v>
      </c>
      <c r="T486" s="17" t="str">
        <f aca="false">IF(A486="","",IF(AND(MIN(H486:R486)&gt;=0,MAX(H486:R486)&lt;=1,S486&lt;=1),"OK","CHECK"))</f>
        <v>OK</v>
      </c>
      <c r="U486" s="17" t="str">
        <f aca="false">IF(A486="","", "LOSS-"&amp;A486&amp;"-L"&amp;TEXT(B486,"00")&amp;"-"&amp;TEXT(C486,"yyyymmdd")&amp;"-"&amp;D486&amp;"-"&amp;E486)</f>
        <v>LOSS-KG01-L23-20251112-PM-ORD-2025-00231</v>
      </c>
      <c r="V486" s="17" t="str">
        <f aca="false">IF(U486="","",IF(COUNTIF($U$5:$U$935,U486)=1,"OK","CHECK"))</f>
        <v>OK</v>
      </c>
      <c r="W486" s="17" t="str">
        <f aca="false">IF(A486="","",IF(AND(T486="OK",V486="OK",G486&gt;=0),"OK","CHECK"))</f>
        <v>OK</v>
      </c>
    </row>
    <row r="487" customFormat="false" ht="18" hidden="false" customHeight="true" outlineLevel="0" collapsed="false">
      <c r="A487" s="18" t="s">
        <v>39</v>
      </c>
      <c r="B487" s="19" t="n">
        <v>23</v>
      </c>
      <c r="C487" s="20" t="n">
        <v>45974</v>
      </c>
      <c r="D487" s="18" t="s">
        <v>40</v>
      </c>
      <c r="E487" s="18" t="s">
        <v>127</v>
      </c>
      <c r="F487" s="18" t="s">
        <v>42</v>
      </c>
      <c r="G487" s="21" t="n">
        <v>6268</v>
      </c>
      <c r="H487" s="22" t="n">
        <v>0.000709179594518339</v>
      </c>
      <c r="I487" s="22" t="n">
        <v>0.00427100995548427</v>
      </c>
      <c r="J487" s="22" t="n">
        <v>0.00197139292321541</v>
      </c>
      <c r="K487" s="22" t="n">
        <v>0.00030839644708791</v>
      </c>
      <c r="L487" s="22" t="n">
        <v>0.00547469853657592</v>
      </c>
      <c r="M487" s="22" t="n">
        <v>0.0081409793943448</v>
      </c>
      <c r="N487" s="22" t="n">
        <v>0.00258069393117923</v>
      </c>
      <c r="O487" s="22" t="n">
        <v>0.000920961393701692</v>
      </c>
      <c r="P487" s="22" t="n">
        <v>0.00297079587081976</v>
      </c>
      <c r="Q487" s="22" t="n">
        <v>8.52586854114084E-005</v>
      </c>
      <c r="R487" s="22" t="n">
        <v>0.00581932828506217</v>
      </c>
      <c r="S487" s="23" t="n">
        <f aca="false">IF(A487="","",SUM(H487:R487))</f>
        <v>0.0332526950174009</v>
      </c>
      <c r="T487" s="17" t="str">
        <f aca="false">IF(A487="","",IF(AND(MIN(H487:R487)&gt;=0,MAX(H487:R487)&lt;=1,S487&lt;=1),"OK","CHECK"))</f>
        <v>OK</v>
      </c>
      <c r="U487" s="17" t="str">
        <f aca="false">IF(A487="","", "LOSS-"&amp;A487&amp;"-L"&amp;TEXT(B487,"00")&amp;"-"&amp;TEXT(C487,"yyyymmdd")&amp;"-"&amp;D487&amp;"-"&amp;E487)</f>
        <v>LOSS-KG01-L23-20251113-AM-ORD-2025-00231</v>
      </c>
      <c r="V487" s="17" t="str">
        <f aca="false">IF(U487="","",IF(COUNTIF($U$5:$U$935,U487)=1,"OK","CHECK"))</f>
        <v>OK</v>
      </c>
      <c r="W487" s="17" t="str">
        <f aca="false">IF(A487="","",IF(AND(T487="OK",V487="OK",G487&gt;=0),"OK","CHECK"))</f>
        <v>OK</v>
      </c>
    </row>
    <row r="488" customFormat="false" ht="18" hidden="false" customHeight="true" outlineLevel="0" collapsed="false">
      <c r="A488" s="18" t="s">
        <v>39</v>
      </c>
      <c r="B488" s="19" t="n">
        <v>23</v>
      </c>
      <c r="C488" s="20" t="n">
        <v>45974</v>
      </c>
      <c r="D488" s="18" t="s">
        <v>43</v>
      </c>
      <c r="E488" s="18" t="s">
        <v>127</v>
      </c>
      <c r="F488" s="18" t="s">
        <v>61</v>
      </c>
      <c r="G488" s="21" t="n">
        <v>9401</v>
      </c>
      <c r="H488" s="22" t="n">
        <v>0.00862574225441391</v>
      </c>
      <c r="I488" s="22" t="n">
        <v>0.00700828818593007</v>
      </c>
      <c r="J488" s="22" t="n">
        <v>0.000545233219249254</v>
      </c>
      <c r="K488" s="22" t="n">
        <v>0.00676545216943484</v>
      </c>
      <c r="L488" s="22" t="n">
        <v>0.00229024935695329</v>
      </c>
      <c r="M488" s="22" t="n">
        <v>0.0046096961573068</v>
      </c>
      <c r="N488" s="22" t="n">
        <v>0.00175154371666076</v>
      </c>
      <c r="O488" s="22" t="n">
        <v>3.00561119274424E-005</v>
      </c>
      <c r="P488" s="22" t="n">
        <v>0.0001036201063733</v>
      </c>
      <c r="Q488" s="22" t="n">
        <v>0.00555155168923801</v>
      </c>
      <c r="R488" s="22" t="n">
        <v>0.00664436835949111</v>
      </c>
      <c r="S488" s="23" t="n">
        <f aca="false">IF(A488="","",SUM(H488:R488))</f>
        <v>0.0439258013269788</v>
      </c>
      <c r="T488" s="17" t="str">
        <f aca="false">IF(A488="","",IF(AND(MIN(H488:R488)&gt;=0,MAX(H488:R488)&lt;=1,S488&lt;=1),"OK","CHECK"))</f>
        <v>OK</v>
      </c>
      <c r="U488" s="17" t="str">
        <f aca="false">IF(A488="","", "LOSS-"&amp;A488&amp;"-L"&amp;TEXT(B488,"00")&amp;"-"&amp;TEXT(C488,"yyyymmdd")&amp;"-"&amp;D488&amp;"-"&amp;E488)</f>
        <v>LOSS-KG01-L23-20251113-PM-ORD-2025-00231</v>
      </c>
      <c r="V488" s="17" t="str">
        <f aca="false">IF(U488="","",IF(COUNTIF($U$5:$U$935,U488)=1,"OK","CHECK"))</f>
        <v>OK</v>
      </c>
      <c r="W488" s="17" t="str">
        <f aca="false">IF(A488="","",IF(AND(T488="OK",V488="OK",G488&gt;=0),"OK","CHECK"))</f>
        <v>OK</v>
      </c>
    </row>
    <row r="489" customFormat="false" ht="18" hidden="false" customHeight="true" outlineLevel="0" collapsed="false">
      <c r="A489" s="18" t="s">
        <v>39</v>
      </c>
      <c r="B489" s="19" t="n">
        <v>23</v>
      </c>
      <c r="C489" s="20" t="n">
        <v>45975</v>
      </c>
      <c r="D489" s="18" t="s">
        <v>40</v>
      </c>
      <c r="E489" s="18" t="s">
        <v>127</v>
      </c>
      <c r="F489" s="18" t="s">
        <v>42</v>
      </c>
      <c r="G489" s="21" t="n">
        <v>10541</v>
      </c>
      <c r="H489" s="22" t="n">
        <v>0.0110593167843124</v>
      </c>
      <c r="I489" s="22" t="n">
        <v>0.0168740896529411</v>
      </c>
      <c r="J489" s="22" t="n">
        <v>0.00845086501691204</v>
      </c>
      <c r="K489" s="22" t="n">
        <v>0.00222906669847308</v>
      </c>
      <c r="L489" s="22" t="n">
        <v>0.00917074706844547</v>
      </c>
      <c r="M489" s="22" t="n">
        <v>0.00130133761408951</v>
      </c>
      <c r="N489" s="22" t="n">
        <v>0.00262236427412057</v>
      </c>
      <c r="O489" s="22" t="n">
        <v>3.44442516537961E-006</v>
      </c>
      <c r="P489" s="22" t="n">
        <v>0.0104827831671495</v>
      </c>
      <c r="Q489" s="22" t="n">
        <v>0.00486011743057801</v>
      </c>
      <c r="R489" s="22" t="n">
        <v>0.00707385661605491</v>
      </c>
      <c r="S489" s="23" t="n">
        <f aca="false">IF(A489="","",SUM(H489:R489))</f>
        <v>0.074127988748242</v>
      </c>
      <c r="T489" s="17" t="str">
        <f aca="false">IF(A489="","",IF(AND(MIN(H489:R489)&gt;=0,MAX(H489:R489)&lt;=1,S489&lt;=1),"OK","CHECK"))</f>
        <v>OK</v>
      </c>
      <c r="U489" s="17" t="str">
        <f aca="false">IF(A489="","", "LOSS-"&amp;A489&amp;"-L"&amp;TEXT(B489,"00")&amp;"-"&amp;TEXT(C489,"yyyymmdd")&amp;"-"&amp;D489&amp;"-"&amp;E489)</f>
        <v>LOSS-KG01-L23-20251114-AM-ORD-2025-00231</v>
      </c>
      <c r="V489" s="17" t="str">
        <f aca="false">IF(U489="","",IF(COUNTIF($U$5:$U$935,U489)=1,"OK","CHECK"))</f>
        <v>OK</v>
      </c>
      <c r="W489" s="17" t="str">
        <f aca="false">IF(A489="","",IF(AND(T489="OK",V489="OK",G489&gt;=0),"OK","CHECK"))</f>
        <v>OK</v>
      </c>
    </row>
    <row r="490" customFormat="false" ht="18" hidden="false" customHeight="true" outlineLevel="0" collapsed="false">
      <c r="A490" s="18" t="s">
        <v>39</v>
      </c>
      <c r="B490" s="19" t="n">
        <v>23</v>
      </c>
      <c r="C490" s="20" t="n">
        <v>45975</v>
      </c>
      <c r="D490" s="18" t="s">
        <v>43</v>
      </c>
      <c r="E490" s="18" t="s">
        <v>127</v>
      </c>
      <c r="F490" s="18" t="s">
        <v>42</v>
      </c>
      <c r="G490" s="21" t="n">
        <v>6707</v>
      </c>
      <c r="H490" s="22" t="n">
        <v>0.000595119988636839</v>
      </c>
      <c r="I490" s="22" t="n">
        <v>0.00228459348919124</v>
      </c>
      <c r="J490" s="22" t="n">
        <v>0.000857543199179603</v>
      </c>
      <c r="K490" s="22" t="n">
        <v>0.0120767395249414</v>
      </c>
      <c r="L490" s="22" t="n">
        <v>0.00828953511900388</v>
      </c>
      <c r="M490" s="22" t="n">
        <v>0.00288994629912245</v>
      </c>
      <c r="N490" s="22" t="n">
        <v>0.00446846978533532</v>
      </c>
      <c r="O490" s="22" t="n">
        <v>0.00388459272402249</v>
      </c>
      <c r="P490" s="22" t="n">
        <v>0.004468281402754</v>
      </c>
      <c r="Q490" s="22" t="n">
        <v>0.00919871346586308</v>
      </c>
      <c r="R490" s="22" t="n">
        <v>0.00541093856871244</v>
      </c>
      <c r="S490" s="23" t="n">
        <f aca="false">IF(A490="","",SUM(H490:R490))</f>
        <v>0.0544244735667627</v>
      </c>
      <c r="T490" s="17" t="str">
        <f aca="false">IF(A490="","",IF(AND(MIN(H490:R490)&gt;=0,MAX(H490:R490)&lt;=1,S490&lt;=1),"OK","CHECK"))</f>
        <v>OK</v>
      </c>
      <c r="U490" s="17" t="str">
        <f aca="false">IF(A490="","", "LOSS-"&amp;A490&amp;"-L"&amp;TEXT(B490,"00")&amp;"-"&amp;TEXT(C490,"yyyymmdd")&amp;"-"&amp;D490&amp;"-"&amp;E490)</f>
        <v>LOSS-KG01-L23-20251114-PM-ORD-2025-00231</v>
      </c>
      <c r="V490" s="17" t="str">
        <f aca="false">IF(U490="","",IF(COUNTIF($U$5:$U$935,U490)=1,"OK","CHECK"))</f>
        <v>OK</v>
      </c>
      <c r="W490" s="17" t="str">
        <f aca="false">IF(A490="","",IF(AND(T490="OK",V490="OK",G490&gt;=0),"OK","CHECK"))</f>
        <v>OK</v>
      </c>
    </row>
    <row r="491" customFormat="false" ht="18" hidden="false" customHeight="true" outlineLevel="0" collapsed="false">
      <c r="A491" s="18" t="s">
        <v>39</v>
      </c>
      <c r="B491" s="19" t="n">
        <v>23</v>
      </c>
      <c r="C491" s="20" t="n">
        <v>45976</v>
      </c>
      <c r="D491" s="18" t="s">
        <v>40</v>
      </c>
      <c r="E491" s="18" t="s">
        <v>127</v>
      </c>
      <c r="F491" s="18" t="s">
        <v>42</v>
      </c>
      <c r="G491" s="21" t="n">
        <v>8562</v>
      </c>
      <c r="H491" s="22" t="n">
        <v>2.32029748802134E-005</v>
      </c>
      <c r="I491" s="22" t="n">
        <v>0.000152115300070764</v>
      </c>
      <c r="J491" s="22" t="n">
        <v>0.00919719179168717</v>
      </c>
      <c r="K491" s="22" t="n">
        <v>0.0054068041797288</v>
      </c>
      <c r="L491" s="22" t="n">
        <v>0.000127204618882517</v>
      </c>
      <c r="M491" s="22" t="n">
        <v>0.000117926294681136</v>
      </c>
      <c r="N491" s="22" t="n">
        <v>0.0122338770281528</v>
      </c>
      <c r="O491" s="22" t="n">
        <v>0.000745327368345008</v>
      </c>
      <c r="P491" s="22" t="n">
        <v>0.00440547595544798</v>
      </c>
      <c r="Q491" s="22" t="n">
        <v>0.00658598106656971</v>
      </c>
      <c r="R491" s="22" t="n">
        <v>0.00477252929445289</v>
      </c>
      <c r="S491" s="23" t="n">
        <f aca="false">IF(A491="","",SUM(H491:R491))</f>
        <v>0.043767635872899</v>
      </c>
      <c r="T491" s="17" t="str">
        <f aca="false">IF(A491="","",IF(AND(MIN(H491:R491)&gt;=0,MAX(H491:R491)&lt;=1,S491&lt;=1),"OK","CHECK"))</f>
        <v>OK</v>
      </c>
      <c r="U491" s="17" t="str">
        <f aca="false">IF(A491="","", "LOSS-"&amp;A491&amp;"-L"&amp;TEXT(B491,"00")&amp;"-"&amp;TEXT(C491,"yyyymmdd")&amp;"-"&amp;D491&amp;"-"&amp;E491)</f>
        <v>LOSS-KG01-L23-20251115-AM-ORD-2025-00231</v>
      </c>
      <c r="V491" s="17" t="str">
        <f aca="false">IF(U491="","",IF(COUNTIF($U$5:$U$935,U491)=1,"OK","CHECK"))</f>
        <v>OK</v>
      </c>
      <c r="W491" s="17" t="str">
        <f aca="false">IF(A491="","",IF(AND(T491="OK",V491="OK",G491&gt;=0),"OK","CHECK"))</f>
        <v>OK</v>
      </c>
    </row>
    <row r="492" customFormat="false" ht="18" hidden="false" customHeight="true" outlineLevel="0" collapsed="false">
      <c r="A492" s="18" t="s">
        <v>39</v>
      </c>
      <c r="B492" s="19" t="n">
        <v>23</v>
      </c>
      <c r="C492" s="20" t="n">
        <v>45976</v>
      </c>
      <c r="D492" s="18" t="s">
        <v>43</v>
      </c>
      <c r="E492" s="18" t="s">
        <v>128</v>
      </c>
      <c r="F492" s="18" t="s">
        <v>45</v>
      </c>
      <c r="G492" s="21" t="n">
        <v>1129</v>
      </c>
      <c r="H492" s="22" t="n">
        <v>0.00899158149815982</v>
      </c>
      <c r="I492" s="22" t="n">
        <v>0.00697938521071261</v>
      </c>
      <c r="J492" s="22" t="n">
        <v>2.14981252332717E-005</v>
      </c>
      <c r="K492" s="22" t="n">
        <v>0.00566429762508871</v>
      </c>
      <c r="L492" s="22" t="n">
        <v>0.00262184954176309</v>
      </c>
      <c r="M492" s="22" t="n">
        <v>0.0028716808416166</v>
      </c>
      <c r="N492" s="22" t="n">
        <v>0.010084495101381</v>
      </c>
      <c r="O492" s="22" t="n">
        <v>1.87967550855535E-005</v>
      </c>
      <c r="P492" s="22" t="n">
        <v>0.00215028186770102</v>
      </c>
      <c r="Q492" s="22" t="n">
        <v>0.00877098732981302</v>
      </c>
      <c r="R492" s="22" t="n">
        <v>0.00749575754328756</v>
      </c>
      <c r="S492" s="23" t="n">
        <f aca="false">IF(A492="","",SUM(H492:R492))</f>
        <v>0.0556706114398423</v>
      </c>
      <c r="T492" s="17" t="str">
        <f aca="false">IF(A492="","",IF(AND(MIN(H492:R492)&gt;=0,MAX(H492:R492)&lt;=1,S492&lt;=1),"OK","CHECK"))</f>
        <v>OK</v>
      </c>
      <c r="U492" s="17" t="str">
        <f aca="false">IF(A492="","", "LOSS-"&amp;A492&amp;"-L"&amp;TEXT(B492,"00")&amp;"-"&amp;TEXT(C492,"yyyymmdd")&amp;"-"&amp;D492&amp;"-"&amp;E492)</f>
        <v>LOSS-KG01-L23-20251115-PM-ORD-2025-00232</v>
      </c>
      <c r="V492" s="17" t="str">
        <f aca="false">IF(U492="","",IF(COUNTIF($U$5:$U$935,U492)=1,"OK","CHECK"))</f>
        <v>OK</v>
      </c>
      <c r="W492" s="17" t="str">
        <f aca="false">IF(A492="","",IF(AND(T492="OK",V492="OK",G492&gt;=0),"OK","CHECK"))</f>
        <v>OK</v>
      </c>
    </row>
    <row r="493" customFormat="false" ht="18" hidden="false" customHeight="true" outlineLevel="0" collapsed="false">
      <c r="A493" s="18" t="s">
        <v>39</v>
      </c>
      <c r="B493" s="19" t="n">
        <v>23</v>
      </c>
      <c r="C493" s="20" t="n">
        <v>45977</v>
      </c>
      <c r="D493" s="18" t="s">
        <v>40</v>
      </c>
      <c r="E493" s="18" t="s">
        <v>128</v>
      </c>
      <c r="F493" s="18" t="s">
        <v>42</v>
      </c>
      <c r="G493" s="21" t="n">
        <v>9895</v>
      </c>
      <c r="H493" s="22" t="n">
        <v>0.00419774004272463</v>
      </c>
      <c r="I493" s="22" t="n">
        <v>0.0185654320929807</v>
      </c>
      <c r="J493" s="22" t="n">
        <v>0.00105080482227615</v>
      </c>
      <c r="K493" s="22" t="n">
        <v>0.000735449810029236</v>
      </c>
      <c r="L493" s="22" t="n">
        <v>0.00895066037669889</v>
      </c>
      <c r="M493" s="22" t="n">
        <v>0.00243639501389806</v>
      </c>
      <c r="N493" s="22" t="n">
        <v>0.00192328837506989</v>
      </c>
      <c r="O493" s="22" t="n">
        <v>0.00382431249099976</v>
      </c>
      <c r="P493" s="22" t="n">
        <v>1.81265222359272E-005</v>
      </c>
      <c r="Q493" s="22" t="n">
        <v>0.00469430695532259</v>
      </c>
      <c r="R493" s="22" t="n">
        <v>0.0178713365812572</v>
      </c>
      <c r="S493" s="23" t="n">
        <f aca="false">IF(A493="","",SUM(H493:R493))</f>
        <v>0.064267853083493</v>
      </c>
      <c r="T493" s="17" t="str">
        <f aca="false">IF(A493="","",IF(AND(MIN(H493:R493)&gt;=0,MAX(H493:R493)&lt;=1,S493&lt;=1),"OK","CHECK"))</f>
        <v>OK</v>
      </c>
      <c r="U493" s="17" t="str">
        <f aca="false">IF(A493="","", "LOSS-"&amp;A493&amp;"-L"&amp;TEXT(B493,"00")&amp;"-"&amp;TEXT(C493,"yyyymmdd")&amp;"-"&amp;D493&amp;"-"&amp;E493)</f>
        <v>LOSS-KG01-L23-20251116-AM-ORD-2025-00232</v>
      </c>
      <c r="V493" s="17" t="str">
        <f aca="false">IF(U493="","",IF(COUNTIF($U$5:$U$935,U493)=1,"OK","CHECK"))</f>
        <v>OK</v>
      </c>
      <c r="W493" s="17" t="str">
        <f aca="false">IF(A493="","",IF(AND(T493="OK",V493="OK",G493&gt;=0),"OK","CHECK"))</f>
        <v>OK</v>
      </c>
    </row>
    <row r="494" customFormat="false" ht="18" hidden="false" customHeight="true" outlineLevel="0" collapsed="false">
      <c r="A494" s="18" t="s">
        <v>39</v>
      </c>
      <c r="B494" s="19" t="n">
        <v>23</v>
      </c>
      <c r="C494" s="20" t="n">
        <v>45977</v>
      </c>
      <c r="D494" s="18" t="s">
        <v>43</v>
      </c>
      <c r="E494" s="18" t="s">
        <v>128</v>
      </c>
      <c r="F494" s="18" t="s">
        <v>42</v>
      </c>
      <c r="G494" s="21" t="n">
        <v>9832</v>
      </c>
      <c r="H494" s="22" t="n">
        <v>0.00160938294056783</v>
      </c>
      <c r="I494" s="22" t="n">
        <v>0.00583877735302581</v>
      </c>
      <c r="J494" s="22" t="n">
        <v>0.00155411915297785</v>
      </c>
      <c r="K494" s="22" t="n">
        <v>0.0116694364830835</v>
      </c>
      <c r="L494" s="22" t="n">
        <v>0.00095779366233046</v>
      </c>
      <c r="M494" s="22" t="n">
        <v>0.00768734173746668</v>
      </c>
      <c r="N494" s="22" t="n">
        <v>0.00131803891119385</v>
      </c>
      <c r="O494" s="22" t="n">
        <v>0.00611715854339426</v>
      </c>
      <c r="P494" s="22" t="n">
        <v>0.00504370286306052</v>
      </c>
      <c r="Q494" s="22" t="n">
        <v>0.00739399204255099</v>
      </c>
      <c r="R494" s="22" t="n">
        <v>0.000322785518308956</v>
      </c>
      <c r="S494" s="23" t="n">
        <f aca="false">IF(A494="","",SUM(H494:R494))</f>
        <v>0.0495125292079607</v>
      </c>
      <c r="T494" s="17" t="str">
        <f aca="false">IF(A494="","",IF(AND(MIN(H494:R494)&gt;=0,MAX(H494:R494)&lt;=1,S494&lt;=1),"OK","CHECK"))</f>
        <v>OK</v>
      </c>
      <c r="U494" s="17" t="str">
        <f aca="false">IF(A494="","", "LOSS-"&amp;A494&amp;"-L"&amp;TEXT(B494,"00")&amp;"-"&amp;TEXT(C494,"yyyymmdd")&amp;"-"&amp;D494&amp;"-"&amp;E494)</f>
        <v>LOSS-KG01-L23-20251116-PM-ORD-2025-00232</v>
      </c>
      <c r="V494" s="17" t="str">
        <f aca="false">IF(U494="","",IF(COUNTIF($U$5:$U$935,U494)=1,"OK","CHECK"))</f>
        <v>OK</v>
      </c>
      <c r="W494" s="17" t="str">
        <f aca="false">IF(A494="","",IF(AND(T494="OK",V494="OK",G494&gt;=0),"OK","CHECK"))</f>
        <v>OK</v>
      </c>
    </row>
    <row r="495" customFormat="false" ht="18" hidden="false" customHeight="true" outlineLevel="0" collapsed="false">
      <c r="A495" s="18" t="s">
        <v>39</v>
      </c>
      <c r="B495" s="19" t="n">
        <v>23</v>
      </c>
      <c r="C495" s="20" t="n">
        <v>45978</v>
      </c>
      <c r="D495" s="18" t="s">
        <v>40</v>
      </c>
      <c r="E495" s="18" t="s">
        <v>128</v>
      </c>
      <c r="F495" s="18" t="s">
        <v>42</v>
      </c>
      <c r="G495" s="21" t="n">
        <v>10975</v>
      </c>
      <c r="H495" s="22" t="n">
        <v>0.00344850607264558</v>
      </c>
      <c r="I495" s="22" t="n">
        <v>0.00824378597111561</v>
      </c>
      <c r="J495" s="22" t="n">
        <v>0.00464679729408326</v>
      </c>
      <c r="K495" s="22" t="n">
        <v>0.00606609914675895</v>
      </c>
      <c r="L495" s="22" t="n">
        <v>0.00627447280536852</v>
      </c>
      <c r="M495" s="22" t="n">
        <v>0.00674350912624345</v>
      </c>
      <c r="N495" s="22" t="n">
        <v>0.000327317357932811</v>
      </c>
      <c r="O495" s="22" t="n">
        <v>0.00276232638809708</v>
      </c>
      <c r="P495" s="22" t="n">
        <v>8.73221166498987E-005</v>
      </c>
      <c r="Q495" s="22" t="n">
        <v>0.00136842971726719</v>
      </c>
      <c r="R495" s="22" t="n">
        <v>0.00320304262321158</v>
      </c>
      <c r="S495" s="23" t="n">
        <f aca="false">IF(A495="","",SUM(H495:R495))</f>
        <v>0.0431716086193739</v>
      </c>
      <c r="T495" s="17" t="str">
        <f aca="false">IF(A495="","",IF(AND(MIN(H495:R495)&gt;=0,MAX(H495:R495)&lt;=1,S495&lt;=1),"OK","CHECK"))</f>
        <v>OK</v>
      </c>
      <c r="U495" s="17" t="str">
        <f aca="false">IF(A495="","", "LOSS-"&amp;A495&amp;"-L"&amp;TEXT(B495,"00")&amp;"-"&amp;TEXT(C495,"yyyymmdd")&amp;"-"&amp;D495&amp;"-"&amp;E495)</f>
        <v>LOSS-KG01-L23-20251117-AM-ORD-2025-00232</v>
      </c>
      <c r="V495" s="17" t="str">
        <f aca="false">IF(U495="","",IF(COUNTIF($U$5:$U$935,U495)=1,"OK","CHECK"))</f>
        <v>OK</v>
      </c>
      <c r="W495" s="17" t="str">
        <f aca="false">IF(A495="","",IF(AND(T495="OK",V495="OK",G495&gt;=0),"OK","CHECK"))</f>
        <v>OK</v>
      </c>
    </row>
    <row r="496" customFormat="false" ht="18" hidden="false" customHeight="true" outlineLevel="0" collapsed="false">
      <c r="A496" s="18" t="s">
        <v>39</v>
      </c>
      <c r="B496" s="19" t="n">
        <v>23</v>
      </c>
      <c r="C496" s="20" t="n">
        <v>45978</v>
      </c>
      <c r="D496" s="18" t="s">
        <v>43</v>
      </c>
      <c r="E496" s="18" t="s">
        <v>129</v>
      </c>
      <c r="F496" s="18" t="s">
        <v>45</v>
      </c>
      <c r="G496" s="21" t="n">
        <v>11564</v>
      </c>
      <c r="H496" s="22" t="n">
        <v>0.0101989679837758</v>
      </c>
      <c r="I496" s="22" t="n">
        <v>0.014677905981828</v>
      </c>
      <c r="J496" s="22" t="n">
        <v>0.00157629551174883</v>
      </c>
      <c r="K496" s="22" t="n">
        <v>0.00147153755110137</v>
      </c>
      <c r="L496" s="22" t="n">
        <v>0.0131477575383489</v>
      </c>
      <c r="M496" s="22" t="n">
        <v>0.000128660559518208</v>
      </c>
      <c r="N496" s="22" t="n">
        <v>0.00259410882570084</v>
      </c>
      <c r="O496" s="22" t="n">
        <v>0.0060827162941697</v>
      </c>
      <c r="P496" s="22" t="n">
        <v>0.00643344592839676</v>
      </c>
      <c r="Q496" s="22" t="n">
        <v>0.00900509713611741</v>
      </c>
      <c r="R496" s="22" t="n">
        <v>0.000642895235951857</v>
      </c>
      <c r="S496" s="23" t="n">
        <f aca="false">IF(A496="","",SUM(H496:R496))</f>
        <v>0.0659593885466577</v>
      </c>
      <c r="T496" s="17" t="str">
        <f aca="false">IF(A496="","",IF(AND(MIN(H496:R496)&gt;=0,MAX(H496:R496)&lt;=1,S496&lt;=1),"OK","CHECK"))</f>
        <v>OK</v>
      </c>
      <c r="U496" s="17" t="str">
        <f aca="false">IF(A496="","", "LOSS-"&amp;A496&amp;"-L"&amp;TEXT(B496,"00")&amp;"-"&amp;TEXT(C496,"yyyymmdd")&amp;"-"&amp;D496&amp;"-"&amp;E496)</f>
        <v>LOSS-KG01-L23-20251117-PM-ORD-2025-00233</v>
      </c>
      <c r="V496" s="17" t="str">
        <f aca="false">IF(U496="","",IF(COUNTIF($U$5:$U$935,U496)=1,"OK","CHECK"))</f>
        <v>OK</v>
      </c>
      <c r="W496" s="17" t="str">
        <f aca="false">IF(A496="","",IF(AND(T496="OK",V496="OK",G496&gt;=0),"OK","CHECK"))</f>
        <v>OK</v>
      </c>
    </row>
    <row r="497" customFormat="false" ht="18" hidden="false" customHeight="true" outlineLevel="0" collapsed="false">
      <c r="A497" s="18" t="s">
        <v>39</v>
      </c>
      <c r="B497" s="19" t="n">
        <v>23</v>
      </c>
      <c r="C497" s="20" t="n">
        <v>45979</v>
      </c>
      <c r="D497" s="18" t="s">
        <v>40</v>
      </c>
      <c r="E497" s="18" t="s">
        <v>129</v>
      </c>
      <c r="F497" s="18" t="s">
        <v>42</v>
      </c>
      <c r="G497" s="21" t="n">
        <v>13245</v>
      </c>
      <c r="H497" s="22" t="n">
        <v>0.0315666109571696</v>
      </c>
      <c r="I497" s="22" t="n">
        <v>0.010152594202648</v>
      </c>
      <c r="J497" s="22" t="n">
        <v>0.00489291646487617</v>
      </c>
      <c r="K497" s="22" t="n">
        <v>0.00825648106591979</v>
      </c>
      <c r="L497" s="22" t="n">
        <v>0.00562902273504882</v>
      </c>
      <c r="M497" s="22" t="n">
        <v>0.0010921585434757</v>
      </c>
      <c r="N497" s="22" t="n">
        <v>0.00122384724277229</v>
      </c>
      <c r="O497" s="22" t="n">
        <v>1.09292602342187E-005</v>
      </c>
      <c r="P497" s="22" t="n">
        <v>0.00155185203260717</v>
      </c>
      <c r="Q497" s="22" t="n">
        <v>0.00415436981853297</v>
      </c>
      <c r="R497" s="22" t="n">
        <v>0.0110359708485722</v>
      </c>
      <c r="S497" s="23" t="n">
        <f aca="false">IF(A497="","",SUM(H497:R497))</f>
        <v>0.0795667531718569</v>
      </c>
      <c r="T497" s="17" t="str">
        <f aca="false">IF(A497="","",IF(AND(MIN(H497:R497)&gt;=0,MAX(H497:R497)&lt;=1,S497&lt;=1),"OK","CHECK"))</f>
        <v>OK</v>
      </c>
      <c r="U497" s="17" t="str">
        <f aca="false">IF(A497="","", "LOSS-"&amp;A497&amp;"-L"&amp;TEXT(B497,"00")&amp;"-"&amp;TEXT(C497,"yyyymmdd")&amp;"-"&amp;D497&amp;"-"&amp;E497)</f>
        <v>LOSS-KG01-L23-20251118-AM-ORD-2025-00233</v>
      </c>
      <c r="V497" s="17" t="str">
        <f aca="false">IF(U497="","",IF(COUNTIF($U$5:$U$935,U497)=1,"OK","CHECK"))</f>
        <v>OK</v>
      </c>
      <c r="W497" s="17" t="str">
        <f aca="false">IF(A497="","",IF(AND(T497="OK",V497="OK",G497&gt;=0),"OK","CHECK"))</f>
        <v>OK</v>
      </c>
    </row>
    <row r="498" customFormat="false" ht="18" hidden="false" customHeight="true" outlineLevel="0" collapsed="false">
      <c r="A498" s="18" t="s">
        <v>39</v>
      </c>
      <c r="B498" s="19" t="n">
        <v>23</v>
      </c>
      <c r="C498" s="20" t="n">
        <v>45979</v>
      </c>
      <c r="D498" s="18" t="s">
        <v>43</v>
      </c>
      <c r="E498" s="18" t="s">
        <v>129</v>
      </c>
      <c r="F498" s="18" t="s">
        <v>42</v>
      </c>
      <c r="G498" s="21" t="n">
        <v>11764</v>
      </c>
      <c r="H498" s="22" t="n">
        <v>0.00895916913752988</v>
      </c>
      <c r="I498" s="22" t="n">
        <v>0.00190529559588627</v>
      </c>
      <c r="J498" s="22" t="n">
        <v>0.00680824760595961</v>
      </c>
      <c r="K498" s="22" t="n">
        <v>0.00068734200130014</v>
      </c>
      <c r="L498" s="22" t="n">
        <v>0.00830653838982601</v>
      </c>
      <c r="M498" s="22" t="n">
        <v>0.000125218768008618</v>
      </c>
      <c r="N498" s="22" t="n">
        <v>0.00018929418975559</v>
      </c>
      <c r="O498" s="22" t="n">
        <v>0.0109984967945221</v>
      </c>
      <c r="P498" s="22" t="n">
        <v>0.0181692174281504</v>
      </c>
      <c r="Q498" s="22" t="n">
        <v>0.00955119254927088</v>
      </c>
      <c r="R498" s="22" t="n">
        <v>0.0157715168277111</v>
      </c>
      <c r="S498" s="23" t="n">
        <f aca="false">IF(A498="","",SUM(H498:R498))</f>
        <v>0.0814715292879206</v>
      </c>
      <c r="T498" s="17" t="str">
        <f aca="false">IF(A498="","",IF(AND(MIN(H498:R498)&gt;=0,MAX(H498:R498)&lt;=1,S498&lt;=1),"OK","CHECK"))</f>
        <v>OK</v>
      </c>
      <c r="U498" s="17" t="str">
        <f aca="false">IF(A498="","", "LOSS-"&amp;A498&amp;"-L"&amp;TEXT(B498,"00")&amp;"-"&amp;TEXT(C498,"yyyymmdd")&amp;"-"&amp;D498&amp;"-"&amp;E498)</f>
        <v>LOSS-KG01-L23-20251118-PM-ORD-2025-00233</v>
      </c>
      <c r="V498" s="17" t="str">
        <f aca="false">IF(U498="","",IF(COUNTIF($U$5:$U$935,U498)=1,"OK","CHECK"))</f>
        <v>OK</v>
      </c>
      <c r="W498" s="17" t="str">
        <f aca="false">IF(A498="","",IF(AND(T498="OK",V498="OK",G498&gt;=0),"OK","CHECK"))</f>
        <v>OK</v>
      </c>
    </row>
    <row r="499" customFormat="false" ht="18" hidden="false" customHeight="true" outlineLevel="0" collapsed="false">
      <c r="A499" s="18" t="s">
        <v>39</v>
      </c>
      <c r="B499" s="19" t="n">
        <v>23</v>
      </c>
      <c r="C499" s="20" t="n">
        <v>45980</v>
      </c>
      <c r="D499" s="18" t="s">
        <v>40</v>
      </c>
      <c r="E499" s="18" t="s">
        <v>129</v>
      </c>
      <c r="F499" s="18" t="s">
        <v>42</v>
      </c>
      <c r="G499" s="21" t="n">
        <v>12214</v>
      </c>
      <c r="H499" s="22" t="n">
        <v>0.000244108682621891</v>
      </c>
      <c r="I499" s="22" t="n">
        <v>0.00132938458762982</v>
      </c>
      <c r="J499" s="22" t="n">
        <v>0.00143809928030092</v>
      </c>
      <c r="K499" s="22" t="n">
        <v>0.000203323774224614</v>
      </c>
      <c r="L499" s="22" t="n">
        <v>0.00170505023134721</v>
      </c>
      <c r="M499" s="22" t="n">
        <v>0.00820346331987751</v>
      </c>
      <c r="N499" s="22" t="n">
        <v>0.00622820433398913</v>
      </c>
      <c r="O499" s="22" t="n">
        <v>0.00882556837045202</v>
      </c>
      <c r="P499" s="22" t="n">
        <v>0.00732504034134394</v>
      </c>
      <c r="Q499" s="22" t="n">
        <v>0.00432304714048696</v>
      </c>
      <c r="R499" s="22" t="n">
        <v>0.0108264141556602</v>
      </c>
      <c r="S499" s="23" t="n">
        <f aca="false">IF(A499="","",SUM(H499:R499))</f>
        <v>0.0506517042179342</v>
      </c>
      <c r="T499" s="17" t="str">
        <f aca="false">IF(A499="","",IF(AND(MIN(H499:R499)&gt;=0,MAX(H499:R499)&lt;=1,S499&lt;=1),"OK","CHECK"))</f>
        <v>OK</v>
      </c>
      <c r="U499" s="17" t="str">
        <f aca="false">IF(A499="","", "LOSS-"&amp;A499&amp;"-L"&amp;TEXT(B499,"00")&amp;"-"&amp;TEXT(C499,"yyyymmdd")&amp;"-"&amp;D499&amp;"-"&amp;E499)</f>
        <v>LOSS-KG01-L23-20251119-AM-ORD-2025-00233</v>
      </c>
      <c r="V499" s="17" t="str">
        <f aca="false">IF(U499="","",IF(COUNTIF($U$5:$U$935,U499)=1,"OK","CHECK"))</f>
        <v>OK</v>
      </c>
      <c r="W499" s="17" t="str">
        <f aca="false">IF(A499="","",IF(AND(T499="OK",V499="OK",G499&gt;=0),"OK","CHECK"))</f>
        <v>OK</v>
      </c>
    </row>
    <row r="500" customFormat="false" ht="18" hidden="false" customHeight="true" outlineLevel="0" collapsed="false">
      <c r="A500" s="18" t="s">
        <v>39</v>
      </c>
      <c r="B500" s="19" t="n">
        <v>23</v>
      </c>
      <c r="C500" s="20" t="n">
        <v>45980</v>
      </c>
      <c r="D500" s="18" t="s">
        <v>43</v>
      </c>
      <c r="E500" s="18" t="s">
        <v>129</v>
      </c>
      <c r="F500" s="18" t="s">
        <v>42</v>
      </c>
      <c r="G500" s="21" t="n">
        <v>11272</v>
      </c>
      <c r="H500" s="22" t="n">
        <v>0.00283691158761597</v>
      </c>
      <c r="I500" s="22" t="n">
        <v>0.00136736167178179</v>
      </c>
      <c r="J500" s="22" t="n">
        <v>0.0184627241107428</v>
      </c>
      <c r="K500" s="22" t="n">
        <v>0.00163577851912286</v>
      </c>
      <c r="L500" s="22" t="n">
        <v>0.000650016463913987</v>
      </c>
      <c r="M500" s="22" t="n">
        <v>0.0266569782123655</v>
      </c>
      <c r="N500" s="22" t="n">
        <v>1.87957149031313E-005</v>
      </c>
      <c r="O500" s="22" t="n">
        <v>0.00136303170405452</v>
      </c>
      <c r="P500" s="22" t="n">
        <v>0.0130696276899938</v>
      </c>
      <c r="Q500" s="22" t="n">
        <v>0.00129713282735081</v>
      </c>
      <c r="R500" s="22" t="n">
        <v>0.0207179034140792</v>
      </c>
      <c r="S500" s="23" t="n">
        <f aca="false">IF(A500="","",SUM(H500:R500))</f>
        <v>0.0880762619159244</v>
      </c>
      <c r="T500" s="17" t="str">
        <f aca="false">IF(A500="","",IF(AND(MIN(H500:R500)&gt;=0,MAX(H500:R500)&lt;=1,S500&lt;=1),"OK","CHECK"))</f>
        <v>OK</v>
      </c>
      <c r="U500" s="17" t="str">
        <f aca="false">IF(A500="","", "LOSS-"&amp;A500&amp;"-L"&amp;TEXT(B500,"00")&amp;"-"&amp;TEXT(C500,"yyyymmdd")&amp;"-"&amp;D500&amp;"-"&amp;E500)</f>
        <v>LOSS-KG01-L23-20251119-PM-ORD-2025-00233</v>
      </c>
      <c r="V500" s="17" t="str">
        <f aca="false">IF(U500="","",IF(COUNTIF($U$5:$U$935,U500)=1,"OK","CHECK"))</f>
        <v>OK</v>
      </c>
      <c r="W500" s="17" t="str">
        <f aca="false">IF(A500="","",IF(AND(T500="OK",V500="OK",G500&gt;=0),"OK","CHECK"))</f>
        <v>OK</v>
      </c>
    </row>
    <row r="501" customFormat="false" ht="18" hidden="false" customHeight="true" outlineLevel="0" collapsed="false">
      <c r="A501" s="18" t="s">
        <v>39</v>
      </c>
      <c r="B501" s="19" t="n">
        <v>23</v>
      </c>
      <c r="C501" s="20" t="n">
        <v>45981</v>
      </c>
      <c r="D501" s="18" t="s">
        <v>40</v>
      </c>
      <c r="E501" s="18" t="s">
        <v>129</v>
      </c>
      <c r="F501" s="18" t="s">
        <v>42</v>
      </c>
      <c r="G501" s="21" t="n">
        <v>9719</v>
      </c>
      <c r="H501" s="22" t="n">
        <v>0.00198583737097721</v>
      </c>
      <c r="I501" s="22" t="n">
        <v>0.00674435140255881</v>
      </c>
      <c r="J501" s="22" t="n">
        <v>0.000216434073377513</v>
      </c>
      <c r="K501" s="22" t="n">
        <v>0.000902077267765292</v>
      </c>
      <c r="L501" s="22" t="n">
        <v>0.00952844391011916</v>
      </c>
      <c r="M501" s="22" t="n">
        <v>0.00753071205969861</v>
      </c>
      <c r="N501" s="22" t="n">
        <v>0.002391782150125</v>
      </c>
      <c r="O501" s="22" t="n">
        <v>0.00197317649243791</v>
      </c>
      <c r="P501" s="22" t="n">
        <v>0.00316948754181575</v>
      </c>
      <c r="Q501" s="22" t="n">
        <v>0.0102075458751223</v>
      </c>
      <c r="R501" s="22" t="n">
        <v>0.000378459599629718</v>
      </c>
      <c r="S501" s="23" t="n">
        <f aca="false">IF(A501="","",SUM(H501:R501))</f>
        <v>0.0450283077436273</v>
      </c>
      <c r="T501" s="17" t="str">
        <f aca="false">IF(A501="","",IF(AND(MIN(H501:R501)&gt;=0,MAX(H501:R501)&lt;=1,S501&lt;=1),"OK","CHECK"))</f>
        <v>OK</v>
      </c>
      <c r="U501" s="17" t="str">
        <f aca="false">IF(A501="","", "LOSS-"&amp;A501&amp;"-L"&amp;TEXT(B501,"00")&amp;"-"&amp;TEXT(C501,"yyyymmdd")&amp;"-"&amp;D501&amp;"-"&amp;E501)</f>
        <v>LOSS-KG01-L23-20251120-AM-ORD-2025-00233</v>
      </c>
      <c r="V501" s="17" t="str">
        <f aca="false">IF(U501="","",IF(COUNTIF($U$5:$U$935,U501)=1,"OK","CHECK"))</f>
        <v>OK</v>
      </c>
      <c r="W501" s="17" t="str">
        <f aca="false">IF(A501="","",IF(AND(T501="OK",V501="OK",G501&gt;=0),"OK","CHECK"))</f>
        <v>OK</v>
      </c>
    </row>
    <row r="502" customFormat="false" ht="18" hidden="false" customHeight="true" outlineLevel="0" collapsed="false">
      <c r="A502" s="18" t="s">
        <v>39</v>
      </c>
      <c r="B502" s="19" t="n">
        <v>23</v>
      </c>
      <c r="C502" s="20" t="n">
        <v>45981</v>
      </c>
      <c r="D502" s="18" t="s">
        <v>43</v>
      </c>
      <c r="E502" s="18" t="s">
        <v>129</v>
      </c>
      <c r="F502" s="18" t="s">
        <v>42</v>
      </c>
      <c r="G502" s="21" t="n">
        <v>15326</v>
      </c>
      <c r="H502" s="22" t="n">
        <v>0.000578665617100537</v>
      </c>
      <c r="I502" s="22" t="n">
        <v>0.00449518823867837</v>
      </c>
      <c r="J502" s="22" t="n">
        <v>0.00266942873310493</v>
      </c>
      <c r="K502" s="22" t="n">
        <v>0.00553549330071413</v>
      </c>
      <c r="L502" s="22" t="n">
        <v>0.0136104909256589</v>
      </c>
      <c r="M502" s="22" t="n">
        <v>0.00250487256273262</v>
      </c>
      <c r="N502" s="22" t="n">
        <v>0.00114300603428549</v>
      </c>
      <c r="O502" s="22" t="n">
        <v>0.0106127153849361</v>
      </c>
      <c r="P502" s="22" t="n">
        <v>0.00221441688875167</v>
      </c>
      <c r="Q502" s="22" t="n">
        <v>0.0107443953872342</v>
      </c>
      <c r="R502" s="22" t="n">
        <v>0.00310970580162528</v>
      </c>
      <c r="S502" s="23" t="n">
        <f aca="false">IF(A502="","",SUM(H502:R502))</f>
        <v>0.0572183788748222</v>
      </c>
      <c r="T502" s="17" t="str">
        <f aca="false">IF(A502="","",IF(AND(MIN(H502:R502)&gt;=0,MAX(H502:R502)&lt;=1,S502&lt;=1),"OK","CHECK"))</f>
        <v>OK</v>
      </c>
      <c r="U502" s="17" t="str">
        <f aca="false">IF(A502="","", "LOSS-"&amp;A502&amp;"-L"&amp;TEXT(B502,"00")&amp;"-"&amp;TEXT(C502,"yyyymmdd")&amp;"-"&amp;D502&amp;"-"&amp;E502)</f>
        <v>LOSS-KG01-L23-20251120-PM-ORD-2025-00233</v>
      </c>
      <c r="V502" s="17" t="str">
        <f aca="false">IF(U502="","",IF(COUNTIF($U$5:$U$935,U502)=1,"OK","CHECK"))</f>
        <v>OK</v>
      </c>
      <c r="W502" s="17" t="str">
        <f aca="false">IF(A502="","",IF(AND(T502="OK",V502="OK",G502&gt;=0),"OK","CHECK"))</f>
        <v>OK</v>
      </c>
    </row>
    <row r="503" customFormat="false" ht="18" hidden="false" customHeight="true" outlineLevel="0" collapsed="false">
      <c r="A503" s="18" t="s">
        <v>39</v>
      </c>
      <c r="B503" s="19" t="n">
        <v>23</v>
      </c>
      <c r="C503" s="20" t="n">
        <v>45982</v>
      </c>
      <c r="D503" s="18" t="s">
        <v>40</v>
      </c>
      <c r="E503" s="18" t="s">
        <v>129</v>
      </c>
      <c r="F503" s="18" t="s">
        <v>42</v>
      </c>
      <c r="G503" s="21" t="n">
        <v>10748</v>
      </c>
      <c r="H503" s="22" t="n">
        <v>0.00177846624302439</v>
      </c>
      <c r="I503" s="22" t="n">
        <v>0.0114650052694401</v>
      </c>
      <c r="J503" s="22" t="n">
        <v>0.000737332901888708</v>
      </c>
      <c r="K503" s="22" t="n">
        <v>0.00390838169740053</v>
      </c>
      <c r="L503" s="22" t="n">
        <v>7.94426173658186E-005</v>
      </c>
      <c r="M503" s="22" t="n">
        <v>0.00643179023976485</v>
      </c>
      <c r="N503" s="22" t="n">
        <v>0.00138489531192368</v>
      </c>
      <c r="O503" s="22" t="n">
        <v>0.00916425671882377</v>
      </c>
      <c r="P503" s="22" t="n">
        <v>0.00660431835101088</v>
      </c>
      <c r="Q503" s="22" t="n">
        <v>0.00847146708850461</v>
      </c>
      <c r="R503" s="22" t="n">
        <v>0.00448653189973119</v>
      </c>
      <c r="S503" s="23" t="n">
        <f aca="false">IF(A503="","",SUM(H503:R503))</f>
        <v>0.0545118883388785</v>
      </c>
      <c r="T503" s="17" t="str">
        <f aca="false">IF(A503="","",IF(AND(MIN(H503:R503)&gt;=0,MAX(H503:R503)&lt;=1,S503&lt;=1),"OK","CHECK"))</f>
        <v>OK</v>
      </c>
      <c r="U503" s="17" t="str">
        <f aca="false">IF(A503="","", "LOSS-"&amp;A503&amp;"-L"&amp;TEXT(B503,"00")&amp;"-"&amp;TEXT(C503,"yyyymmdd")&amp;"-"&amp;D503&amp;"-"&amp;E503)</f>
        <v>LOSS-KG01-L23-20251121-AM-ORD-2025-00233</v>
      </c>
      <c r="V503" s="17" t="str">
        <f aca="false">IF(U503="","",IF(COUNTIF($U$5:$U$935,U503)=1,"OK","CHECK"))</f>
        <v>OK</v>
      </c>
      <c r="W503" s="17" t="str">
        <f aca="false">IF(A503="","",IF(AND(T503="OK",V503="OK",G503&gt;=0),"OK","CHECK"))</f>
        <v>OK</v>
      </c>
    </row>
    <row r="504" customFormat="false" ht="18" hidden="false" customHeight="true" outlineLevel="0" collapsed="false">
      <c r="A504" s="18" t="s">
        <v>39</v>
      </c>
      <c r="B504" s="19" t="n">
        <v>23</v>
      </c>
      <c r="C504" s="20" t="n">
        <v>45982</v>
      </c>
      <c r="D504" s="18" t="s">
        <v>43</v>
      </c>
      <c r="E504" s="18" t="s">
        <v>129</v>
      </c>
      <c r="F504" s="18" t="s">
        <v>42</v>
      </c>
      <c r="G504" s="21" t="n">
        <v>7876</v>
      </c>
      <c r="H504" s="22" t="n">
        <v>7.74891395169383E-005</v>
      </c>
      <c r="I504" s="22" t="n">
        <v>0.00698693657740845</v>
      </c>
      <c r="J504" s="22" t="n">
        <v>0.0080614113770294</v>
      </c>
      <c r="K504" s="22" t="n">
        <v>0.00416480533291655</v>
      </c>
      <c r="L504" s="22" t="n">
        <v>0.00237895268929177</v>
      </c>
      <c r="M504" s="22" t="n">
        <v>9.11758529909415E-005</v>
      </c>
      <c r="N504" s="22" t="n">
        <v>0.00566712834436281</v>
      </c>
      <c r="O504" s="22" t="n">
        <v>0.000430818825416682</v>
      </c>
      <c r="P504" s="22" t="n">
        <v>0.00100718153678065</v>
      </c>
      <c r="Q504" s="22" t="n">
        <v>0.00409210798492548</v>
      </c>
      <c r="R504" s="22" t="n">
        <v>0.00791466224428831</v>
      </c>
      <c r="S504" s="23" t="n">
        <f aca="false">IF(A504="","",SUM(H504:R504))</f>
        <v>0.040872669904928</v>
      </c>
      <c r="T504" s="17" t="str">
        <f aca="false">IF(A504="","",IF(AND(MIN(H504:R504)&gt;=0,MAX(H504:R504)&lt;=1,S504&lt;=1),"OK","CHECK"))</f>
        <v>OK</v>
      </c>
      <c r="U504" s="17" t="str">
        <f aca="false">IF(A504="","", "LOSS-"&amp;A504&amp;"-L"&amp;TEXT(B504,"00")&amp;"-"&amp;TEXT(C504,"yyyymmdd")&amp;"-"&amp;D504&amp;"-"&amp;E504)</f>
        <v>LOSS-KG01-L23-20251121-PM-ORD-2025-00233</v>
      </c>
      <c r="V504" s="17" t="str">
        <f aca="false">IF(U504="","",IF(COUNTIF($U$5:$U$935,U504)=1,"OK","CHECK"))</f>
        <v>OK</v>
      </c>
      <c r="W504" s="17" t="str">
        <f aca="false">IF(A504="","",IF(AND(T504="OK",V504="OK",G504&gt;=0),"OK","CHECK"))</f>
        <v>OK</v>
      </c>
    </row>
    <row r="505" customFormat="false" ht="18" hidden="false" customHeight="true" outlineLevel="0" collapsed="false">
      <c r="A505" s="18" t="s">
        <v>39</v>
      </c>
      <c r="B505" s="19" t="n">
        <v>23</v>
      </c>
      <c r="C505" s="20" t="n">
        <v>45983</v>
      </c>
      <c r="D505" s="18" t="s">
        <v>40</v>
      </c>
      <c r="E505" s="18" t="s">
        <v>129</v>
      </c>
      <c r="F505" s="18" t="s">
        <v>42</v>
      </c>
      <c r="G505" s="21" t="n">
        <v>5981</v>
      </c>
      <c r="H505" s="22" t="n">
        <v>0.00754219041115672</v>
      </c>
      <c r="I505" s="22" t="n">
        <v>0.000561157552392564</v>
      </c>
      <c r="J505" s="22" t="n">
        <v>0.000810334768716478</v>
      </c>
      <c r="K505" s="22" t="n">
        <v>0.00783030714593707</v>
      </c>
      <c r="L505" s="22" t="n">
        <v>0.00236971297531725</v>
      </c>
      <c r="M505" s="22" t="n">
        <v>0.00214497101625605</v>
      </c>
      <c r="N505" s="22" t="n">
        <v>0.00390837834351621</v>
      </c>
      <c r="O505" s="22" t="n">
        <v>4.67703366089991E-005</v>
      </c>
      <c r="P505" s="22" t="n">
        <v>0.0110933688473788</v>
      </c>
      <c r="Q505" s="22" t="n">
        <v>5.47154799762661E-006</v>
      </c>
      <c r="R505" s="22" t="n">
        <v>0.00225005224124943</v>
      </c>
      <c r="S505" s="23" t="n">
        <f aca="false">IF(A505="","",SUM(H505:R505))</f>
        <v>0.0385627151865272</v>
      </c>
      <c r="T505" s="17" t="str">
        <f aca="false">IF(A505="","",IF(AND(MIN(H505:R505)&gt;=0,MAX(H505:R505)&lt;=1,S505&lt;=1),"OK","CHECK"))</f>
        <v>OK</v>
      </c>
      <c r="U505" s="17" t="str">
        <f aca="false">IF(A505="","", "LOSS-"&amp;A505&amp;"-L"&amp;TEXT(B505,"00")&amp;"-"&amp;TEXT(C505,"yyyymmdd")&amp;"-"&amp;D505&amp;"-"&amp;E505)</f>
        <v>LOSS-KG01-L23-20251122-AM-ORD-2025-00233</v>
      </c>
      <c r="V505" s="17" t="str">
        <f aca="false">IF(U505="","",IF(COUNTIF($U$5:$U$935,U505)=1,"OK","CHECK"))</f>
        <v>OK</v>
      </c>
      <c r="W505" s="17" t="str">
        <f aca="false">IF(A505="","",IF(AND(T505="OK",V505="OK",G505&gt;=0),"OK","CHECK"))</f>
        <v>OK</v>
      </c>
    </row>
    <row r="506" customFormat="false" ht="18" hidden="false" customHeight="true" outlineLevel="0" collapsed="false">
      <c r="A506" s="18" t="s">
        <v>39</v>
      </c>
      <c r="B506" s="19" t="n">
        <v>23</v>
      </c>
      <c r="C506" s="20" t="n">
        <v>45983</v>
      </c>
      <c r="D506" s="18" t="s">
        <v>43</v>
      </c>
      <c r="E506" s="18" t="s">
        <v>130</v>
      </c>
      <c r="F506" s="18" t="s">
        <v>45</v>
      </c>
      <c r="G506" s="21" t="n">
        <v>777</v>
      </c>
      <c r="H506" s="22" t="n">
        <v>0.00702503718384554</v>
      </c>
      <c r="I506" s="22" t="n">
        <v>0.0133325604103441</v>
      </c>
      <c r="J506" s="22" t="n">
        <v>0.00377404742060371</v>
      </c>
      <c r="K506" s="22" t="n">
        <v>0.00828782507931374</v>
      </c>
      <c r="L506" s="22" t="n">
        <v>6.7573588586409E-005</v>
      </c>
      <c r="M506" s="22" t="n">
        <v>0.00208674116859888</v>
      </c>
      <c r="N506" s="22" t="n">
        <v>0.0151431450679643</v>
      </c>
      <c r="O506" s="22" t="n">
        <v>0.00126634963223308</v>
      </c>
      <c r="P506" s="22" t="n">
        <v>0.00105510036725932</v>
      </c>
      <c r="Q506" s="22" t="n">
        <v>0.0133530263862035</v>
      </c>
      <c r="R506" s="22" t="n">
        <v>1.26340990878182E-005</v>
      </c>
      <c r="S506" s="23" t="n">
        <f aca="false">IF(A506="","",SUM(H506:R506))</f>
        <v>0.0654040404040404</v>
      </c>
      <c r="T506" s="17" t="str">
        <f aca="false">IF(A506="","",IF(AND(MIN(H506:R506)&gt;=0,MAX(H506:R506)&lt;=1,S506&lt;=1),"OK","CHECK"))</f>
        <v>OK</v>
      </c>
      <c r="U506" s="17" t="str">
        <f aca="false">IF(A506="","", "LOSS-"&amp;A506&amp;"-L"&amp;TEXT(B506,"00")&amp;"-"&amp;TEXT(C506,"yyyymmdd")&amp;"-"&amp;D506&amp;"-"&amp;E506)</f>
        <v>LOSS-KG01-L23-20251122-PM-ORD-2025-00234</v>
      </c>
      <c r="V506" s="17" t="str">
        <f aca="false">IF(U506="","",IF(COUNTIF($U$5:$U$935,U506)=1,"OK","CHECK"))</f>
        <v>OK</v>
      </c>
      <c r="W506" s="17" t="str">
        <f aca="false">IF(A506="","",IF(AND(T506="OK",V506="OK",G506&gt;=0),"OK","CHECK"))</f>
        <v>OK</v>
      </c>
    </row>
    <row r="507" customFormat="false" ht="18" hidden="false" customHeight="true" outlineLevel="0" collapsed="false">
      <c r="A507" s="18" t="s">
        <v>39</v>
      </c>
      <c r="B507" s="19" t="n">
        <v>23</v>
      </c>
      <c r="C507" s="20" t="n">
        <v>45984</v>
      </c>
      <c r="D507" s="18" t="s">
        <v>40</v>
      </c>
      <c r="E507" s="18" t="s">
        <v>130</v>
      </c>
      <c r="F507" s="18" t="s">
        <v>42</v>
      </c>
      <c r="G507" s="21" t="n">
        <v>5913</v>
      </c>
      <c r="H507" s="22" t="n">
        <v>0.00419396113292827</v>
      </c>
      <c r="I507" s="22" t="n">
        <v>0.00217878237380436</v>
      </c>
      <c r="J507" s="22" t="n">
        <v>0.00685809864864318</v>
      </c>
      <c r="K507" s="22" t="n">
        <v>0.00020875273195986</v>
      </c>
      <c r="L507" s="22" t="n">
        <v>0.00184302718413686</v>
      </c>
      <c r="M507" s="22" t="n">
        <v>0.00514110568518296</v>
      </c>
      <c r="N507" s="22" t="n">
        <v>0.00112677086477313</v>
      </c>
      <c r="O507" s="22" t="n">
        <v>0.00570589950603113</v>
      </c>
      <c r="P507" s="22" t="n">
        <v>0.00108952158792921</v>
      </c>
      <c r="Q507" s="22" t="n">
        <v>0.000634874964305059</v>
      </c>
      <c r="R507" s="22" t="n">
        <v>0.00748274178384246</v>
      </c>
      <c r="S507" s="23" t="n">
        <f aca="false">IF(A507="","",SUM(H507:R507))</f>
        <v>0.0364635364635365</v>
      </c>
      <c r="T507" s="17" t="str">
        <f aca="false">IF(A507="","",IF(AND(MIN(H507:R507)&gt;=0,MAX(H507:R507)&lt;=1,S507&lt;=1),"OK","CHECK"))</f>
        <v>OK</v>
      </c>
      <c r="U507" s="17" t="str">
        <f aca="false">IF(A507="","", "LOSS-"&amp;A507&amp;"-L"&amp;TEXT(B507,"00")&amp;"-"&amp;TEXT(C507,"yyyymmdd")&amp;"-"&amp;D507&amp;"-"&amp;E507)</f>
        <v>LOSS-KG01-L23-20251123-AM-ORD-2025-00234</v>
      </c>
      <c r="V507" s="17" t="str">
        <f aca="false">IF(U507="","",IF(COUNTIF($U$5:$U$935,U507)=1,"OK","CHECK"))</f>
        <v>OK</v>
      </c>
      <c r="W507" s="17" t="str">
        <f aca="false">IF(A507="","",IF(AND(T507="OK",V507="OK",G507&gt;=0),"OK","CHECK"))</f>
        <v>OK</v>
      </c>
    </row>
    <row r="508" customFormat="false" ht="18" hidden="false" customHeight="true" outlineLevel="0" collapsed="false">
      <c r="A508" s="18" t="s">
        <v>39</v>
      </c>
      <c r="B508" s="19" t="n">
        <v>23</v>
      </c>
      <c r="C508" s="20" t="n">
        <v>45984</v>
      </c>
      <c r="D508" s="18" t="s">
        <v>43</v>
      </c>
      <c r="E508" s="18" t="s">
        <v>130</v>
      </c>
      <c r="F508" s="18" t="s">
        <v>42</v>
      </c>
      <c r="G508" s="21" t="n">
        <v>9470</v>
      </c>
      <c r="H508" s="22" t="n">
        <v>0.0019158648751707</v>
      </c>
      <c r="I508" s="22" t="n">
        <v>0.00123085337839253</v>
      </c>
      <c r="J508" s="22" t="n">
        <v>0.0043602605983364</v>
      </c>
      <c r="K508" s="22" t="n">
        <v>0.00713386529789243</v>
      </c>
      <c r="L508" s="22" t="n">
        <v>0.00255741950345937</v>
      </c>
      <c r="M508" s="22" t="n">
        <v>0.00552673207917184</v>
      </c>
      <c r="N508" s="22" t="n">
        <v>0.00699927803794902</v>
      </c>
      <c r="O508" s="22" t="n">
        <v>2.08348110092659E-005</v>
      </c>
      <c r="P508" s="22" t="n">
        <v>0.00422662995461733</v>
      </c>
      <c r="Q508" s="22" t="n">
        <v>0.00256243518371079</v>
      </c>
      <c r="R508" s="22" t="n">
        <v>0.00445546416908591</v>
      </c>
      <c r="S508" s="23" t="n">
        <f aca="false">IF(A508="","",SUM(H508:R508))</f>
        <v>0.0409896378887956</v>
      </c>
      <c r="T508" s="17" t="str">
        <f aca="false">IF(A508="","",IF(AND(MIN(H508:R508)&gt;=0,MAX(H508:R508)&lt;=1,S508&lt;=1),"OK","CHECK"))</f>
        <v>OK</v>
      </c>
      <c r="U508" s="17" t="str">
        <f aca="false">IF(A508="","", "LOSS-"&amp;A508&amp;"-L"&amp;TEXT(B508,"00")&amp;"-"&amp;TEXT(C508,"yyyymmdd")&amp;"-"&amp;D508&amp;"-"&amp;E508)</f>
        <v>LOSS-KG01-L23-20251123-PM-ORD-2025-00234</v>
      </c>
      <c r="V508" s="17" t="str">
        <f aca="false">IF(U508="","",IF(COUNTIF($U$5:$U$935,U508)=1,"OK","CHECK"))</f>
        <v>OK</v>
      </c>
      <c r="W508" s="17" t="str">
        <f aca="false">IF(A508="","",IF(AND(T508="OK",V508="OK",G508&gt;=0),"OK","CHECK"))</f>
        <v>OK</v>
      </c>
    </row>
    <row r="509" customFormat="false" ht="18" hidden="false" customHeight="true" outlineLevel="0" collapsed="false">
      <c r="A509" s="18" t="s">
        <v>39</v>
      </c>
      <c r="B509" s="19" t="n">
        <v>23</v>
      </c>
      <c r="C509" s="20" t="n">
        <v>45985</v>
      </c>
      <c r="D509" s="18" t="s">
        <v>40</v>
      </c>
      <c r="E509" s="18" t="s">
        <v>130</v>
      </c>
      <c r="F509" s="18" t="s">
        <v>42</v>
      </c>
      <c r="G509" s="21" t="n">
        <v>14782</v>
      </c>
      <c r="H509" s="22" t="n">
        <v>5.25504207950333E-005</v>
      </c>
      <c r="I509" s="22" t="n">
        <v>4.21892928476964E-005</v>
      </c>
      <c r="J509" s="22" t="n">
        <v>0.00178357223371241</v>
      </c>
      <c r="K509" s="22" t="n">
        <v>0.000270809947811232</v>
      </c>
      <c r="L509" s="22" t="n">
        <v>0.000394698934768797</v>
      </c>
      <c r="M509" s="22" t="n">
        <v>0.010003558359743</v>
      </c>
      <c r="N509" s="22" t="n">
        <v>0.0062384863519893</v>
      </c>
      <c r="O509" s="22" t="n">
        <v>0.0102048446268646</v>
      </c>
      <c r="P509" s="22" t="n">
        <v>0.00727842491724506</v>
      </c>
      <c r="Q509" s="22" t="n">
        <v>9.06093823062254E-006</v>
      </c>
      <c r="R509" s="22" t="n">
        <v>0.00899010024415989</v>
      </c>
      <c r="S509" s="23" t="n">
        <f aca="false">IF(A509="","",SUM(H509:R509))</f>
        <v>0.0452682962681676</v>
      </c>
      <c r="T509" s="17" t="str">
        <f aca="false">IF(A509="","",IF(AND(MIN(H509:R509)&gt;=0,MAX(H509:R509)&lt;=1,S509&lt;=1),"OK","CHECK"))</f>
        <v>OK</v>
      </c>
      <c r="U509" s="17" t="str">
        <f aca="false">IF(A509="","", "LOSS-"&amp;A509&amp;"-L"&amp;TEXT(B509,"00")&amp;"-"&amp;TEXT(C509,"yyyymmdd")&amp;"-"&amp;D509&amp;"-"&amp;E509)</f>
        <v>LOSS-KG01-L23-20251124-AM-ORD-2025-00234</v>
      </c>
      <c r="V509" s="17" t="str">
        <f aca="false">IF(U509="","",IF(COUNTIF($U$5:$U$935,U509)=1,"OK","CHECK"))</f>
        <v>OK</v>
      </c>
      <c r="W509" s="17" t="str">
        <f aca="false">IF(A509="","",IF(AND(T509="OK",V509="OK",G509&gt;=0),"OK","CHECK"))</f>
        <v>OK</v>
      </c>
    </row>
    <row r="510" customFormat="false" ht="18" hidden="false" customHeight="true" outlineLevel="0" collapsed="false">
      <c r="A510" s="18" t="s">
        <v>39</v>
      </c>
      <c r="B510" s="19" t="n">
        <v>23</v>
      </c>
      <c r="C510" s="20" t="n">
        <v>45985</v>
      </c>
      <c r="D510" s="18" t="s">
        <v>43</v>
      </c>
      <c r="E510" s="18" t="s">
        <v>130</v>
      </c>
      <c r="F510" s="18" t="s">
        <v>42</v>
      </c>
      <c r="G510" s="21" t="n">
        <v>12735</v>
      </c>
      <c r="H510" s="22" t="n">
        <v>0.0082556681268342</v>
      </c>
      <c r="I510" s="22" t="n">
        <v>0.00171167284782476</v>
      </c>
      <c r="J510" s="22" t="n">
        <v>0.000137860533598279</v>
      </c>
      <c r="K510" s="22" t="n">
        <v>0.00253221141302596</v>
      </c>
      <c r="L510" s="22" t="n">
        <v>0.00763908690281889</v>
      </c>
      <c r="M510" s="22" t="n">
        <v>0.00730335804348924</v>
      </c>
      <c r="N510" s="22" t="n">
        <v>0.0100737875749264</v>
      </c>
      <c r="O510" s="22" t="n">
        <v>0.00226050945533306</v>
      </c>
      <c r="P510" s="22" t="n">
        <v>0.00349942820702265</v>
      </c>
      <c r="Q510" s="22" t="n">
        <v>0.0111617675097171</v>
      </c>
      <c r="R510" s="22" t="n">
        <v>0.000520650977504384</v>
      </c>
      <c r="S510" s="23" t="n">
        <f aca="false">IF(A510="","",SUM(H510:R510))</f>
        <v>0.0550960015920949</v>
      </c>
      <c r="T510" s="17" t="str">
        <f aca="false">IF(A510="","",IF(AND(MIN(H510:R510)&gt;=0,MAX(H510:R510)&lt;=1,S510&lt;=1),"OK","CHECK"))</f>
        <v>OK</v>
      </c>
      <c r="U510" s="17" t="str">
        <f aca="false">IF(A510="","", "LOSS-"&amp;A510&amp;"-L"&amp;TEXT(B510,"00")&amp;"-"&amp;TEXT(C510,"yyyymmdd")&amp;"-"&amp;D510&amp;"-"&amp;E510)</f>
        <v>LOSS-KG01-L23-20251124-PM-ORD-2025-00234</v>
      </c>
      <c r="V510" s="17" t="str">
        <f aca="false">IF(U510="","",IF(COUNTIF($U$5:$U$935,U510)=1,"OK","CHECK"))</f>
        <v>OK</v>
      </c>
      <c r="W510" s="17" t="str">
        <f aca="false">IF(A510="","",IF(AND(T510="OK",V510="OK",G510&gt;=0),"OK","CHECK"))</f>
        <v>OK</v>
      </c>
    </row>
    <row r="511" customFormat="false" ht="18" hidden="false" customHeight="true" outlineLevel="0" collapsed="false">
      <c r="A511" s="18" t="s">
        <v>39</v>
      </c>
      <c r="B511" s="19" t="n">
        <v>23</v>
      </c>
      <c r="C511" s="20" t="n">
        <v>45986</v>
      </c>
      <c r="D511" s="18" t="s">
        <v>40</v>
      </c>
      <c r="E511" s="18" t="s">
        <v>131</v>
      </c>
      <c r="F511" s="18" t="s">
        <v>45</v>
      </c>
      <c r="G511" s="21" t="n">
        <v>430</v>
      </c>
      <c r="H511" s="22" t="n">
        <v>0.00281244923603702</v>
      </c>
      <c r="I511" s="22" t="n">
        <v>0.000914069559348629</v>
      </c>
      <c r="J511" s="22" t="n">
        <v>0.00537878263945925</v>
      </c>
      <c r="K511" s="22" t="n">
        <v>0.00184445556797161</v>
      </c>
      <c r="L511" s="22" t="n">
        <v>0.000239090990691566</v>
      </c>
      <c r="M511" s="22" t="n">
        <v>0.00197084477062609</v>
      </c>
      <c r="N511" s="22" t="n">
        <v>0.00116872367083561</v>
      </c>
      <c r="O511" s="22" t="n">
        <v>0.00358202909092443</v>
      </c>
      <c r="P511" s="22" t="n">
        <v>0.0121654824086862</v>
      </c>
      <c r="Q511" s="22" t="n">
        <v>0.000193224542951777</v>
      </c>
      <c r="R511" s="22" t="n">
        <v>0.005926133717754</v>
      </c>
      <c r="S511" s="23" t="n">
        <f aca="false">IF(A511="","",SUM(H511:R511))</f>
        <v>0.0361952861952862</v>
      </c>
      <c r="T511" s="17" t="str">
        <f aca="false">IF(A511="","",IF(AND(MIN(H511:R511)&gt;=0,MAX(H511:R511)&lt;=1,S511&lt;=1),"OK","CHECK"))</f>
        <v>OK</v>
      </c>
      <c r="U511" s="17" t="str">
        <f aca="false">IF(A511="","", "LOSS-"&amp;A511&amp;"-L"&amp;TEXT(B511,"00")&amp;"-"&amp;TEXT(C511,"yyyymmdd")&amp;"-"&amp;D511&amp;"-"&amp;E511)</f>
        <v>LOSS-KG01-L23-20251125-AM-ORD-2025-00235</v>
      </c>
      <c r="V511" s="17" t="str">
        <f aca="false">IF(U511="","",IF(COUNTIF($U$5:$U$935,U511)=1,"OK","CHECK"))</f>
        <v>OK</v>
      </c>
      <c r="W511" s="17" t="str">
        <f aca="false">IF(A511="","",IF(AND(T511="OK",V511="OK",G511&gt;=0),"OK","CHECK"))</f>
        <v>OK</v>
      </c>
    </row>
    <row r="512" customFormat="false" ht="18" hidden="false" customHeight="true" outlineLevel="0" collapsed="false">
      <c r="A512" s="18" t="s">
        <v>39</v>
      </c>
      <c r="B512" s="19" t="n">
        <v>23</v>
      </c>
      <c r="C512" s="20" t="n">
        <v>45986</v>
      </c>
      <c r="D512" s="18" t="s">
        <v>43</v>
      </c>
      <c r="E512" s="18" t="s">
        <v>131</v>
      </c>
      <c r="F512" s="18" t="s">
        <v>42</v>
      </c>
      <c r="G512" s="21" t="n">
        <v>8767</v>
      </c>
      <c r="H512" s="22" t="n">
        <v>0.000166049058897442</v>
      </c>
      <c r="I512" s="22" t="n">
        <v>0.00124790197766373</v>
      </c>
      <c r="J512" s="22" t="n">
        <v>0.0145210642431972</v>
      </c>
      <c r="K512" s="22" t="n">
        <v>6.96578909998636E-005</v>
      </c>
      <c r="L512" s="22" t="n">
        <v>0.00582953112901865</v>
      </c>
      <c r="M512" s="22" t="n">
        <v>0.00875378124306777</v>
      </c>
      <c r="N512" s="22" t="n">
        <v>0.000171254414997816</v>
      </c>
      <c r="O512" s="22" t="n">
        <v>5.61387262034195E-008</v>
      </c>
      <c r="P512" s="22" t="n">
        <v>0.0182267406709079</v>
      </c>
      <c r="Q512" s="22" t="n">
        <v>2.97152494034347E-006</v>
      </c>
      <c r="R512" s="22" t="n">
        <v>0.00200653025234598</v>
      </c>
      <c r="S512" s="23" t="n">
        <f aca="false">IF(A512="","",SUM(H512:R512))</f>
        <v>0.0509955385447629</v>
      </c>
      <c r="T512" s="17" t="str">
        <f aca="false">IF(A512="","",IF(AND(MIN(H512:R512)&gt;=0,MAX(H512:R512)&lt;=1,S512&lt;=1),"OK","CHECK"))</f>
        <v>OK</v>
      </c>
      <c r="U512" s="17" t="str">
        <f aca="false">IF(A512="","", "LOSS-"&amp;A512&amp;"-L"&amp;TEXT(B512,"00")&amp;"-"&amp;TEXT(C512,"yyyymmdd")&amp;"-"&amp;D512&amp;"-"&amp;E512)</f>
        <v>LOSS-KG01-L23-20251125-PM-ORD-2025-00235</v>
      </c>
      <c r="V512" s="17" t="str">
        <f aca="false">IF(U512="","",IF(COUNTIF($U$5:$U$935,U512)=1,"OK","CHECK"))</f>
        <v>OK</v>
      </c>
      <c r="W512" s="17" t="str">
        <f aca="false">IF(A512="","",IF(AND(T512="OK",V512="OK",G512&gt;=0),"OK","CHECK"))</f>
        <v>OK</v>
      </c>
    </row>
    <row r="513" customFormat="false" ht="18" hidden="false" customHeight="true" outlineLevel="0" collapsed="false">
      <c r="A513" s="18" t="s">
        <v>39</v>
      </c>
      <c r="B513" s="19" t="n">
        <v>23</v>
      </c>
      <c r="C513" s="20" t="n">
        <v>45987</v>
      </c>
      <c r="D513" s="18" t="s">
        <v>40</v>
      </c>
      <c r="E513" s="18" t="s">
        <v>131</v>
      </c>
      <c r="F513" s="18" t="s">
        <v>42</v>
      </c>
      <c r="G513" s="21" t="n">
        <v>5805</v>
      </c>
      <c r="H513" s="22" t="n">
        <v>0.000870859138771391</v>
      </c>
      <c r="I513" s="22" t="n">
        <v>0.0059426171700208</v>
      </c>
      <c r="J513" s="22" t="n">
        <v>0.00299621710615254</v>
      </c>
      <c r="K513" s="22" t="n">
        <v>0.00130448463565597</v>
      </c>
      <c r="L513" s="22" t="n">
        <v>4.47033928161099E-005</v>
      </c>
      <c r="M513" s="22" t="n">
        <v>0.000275927749779278</v>
      </c>
      <c r="N513" s="22" t="n">
        <v>0.00376121585382608</v>
      </c>
      <c r="O513" s="22" t="n">
        <v>0.00230444393316546</v>
      </c>
      <c r="P513" s="22" t="n">
        <v>0.00265956895213125</v>
      </c>
      <c r="Q513" s="22" t="n">
        <v>0.00884005872685431</v>
      </c>
      <c r="R513" s="22" t="n">
        <v>8.72957976466799E-005</v>
      </c>
      <c r="S513" s="23" t="n">
        <f aca="false">IF(A513="","",SUM(H513:R513))</f>
        <v>0.0290873924568199</v>
      </c>
      <c r="T513" s="17" t="str">
        <f aca="false">IF(A513="","",IF(AND(MIN(H513:R513)&gt;=0,MAX(H513:R513)&lt;=1,S513&lt;=1),"OK","CHECK"))</f>
        <v>OK</v>
      </c>
      <c r="U513" s="17" t="str">
        <f aca="false">IF(A513="","", "LOSS-"&amp;A513&amp;"-L"&amp;TEXT(B513,"00")&amp;"-"&amp;TEXT(C513,"yyyymmdd")&amp;"-"&amp;D513&amp;"-"&amp;E513)</f>
        <v>LOSS-KG01-L23-20251126-AM-ORD-2025-00235</v>
      </c>
      <c r="V513" s="17" t="str">
        <f aca="false">IF(U513="","",IF(COUNTIF($U$5:$U$935,U513)=1,"OK","CHECK"))</f>
        <v>OK</v>
      </c>
      <c r="W513" s="17" t="str">
        <f aca="false">IF(A513="","",IF(AND(T513="OK",V513="OK",G513&gt;=0),"OK","CHECK"))</f>
        <v>OK</v>
      </c>
    </row>
    <row r="514" customFormat="false" ht="18" hidden="false" customHeight="true" outlineLevel="0" collapsed="false">
      <c r="A514" s="18" t="s">
        <v>39</v>
      </c>
      <c r="B514" s="19" t="n">
        <v>23</v>
      </c>
      <c r="C514" s="20" t="n">
        <v>45987</v>
      </c>
      <c r="D514" s="18" t="s">
        <v>43</v>
      </c>
      <c r="E514" s="18" t="s">
        <v>131</v>
      </c>
      <c r="F514" s="18" t="s">
        <v>42</v>
      </c>
      <c r="G514" s="21" t="n">
        <v>14194</v>
      </c>
      <c r="H514" s="22" t="n">
        <v>0.00765285909811933</v>
      </c>
      <c r="I514" s="22" t="n">
        <v>0.000392257065352216</v>
      </c>
      <c r="J514" s="22" t="n">
        <v>0.00229554621501537</v>
      </c>
      <c r="K514" s="22" t="n">
        <v>0.000513270854028774</v>
      </c>
      <c r="L514" s="22" t="n">
        <v>0.00318444237235238</v>
      </c>
      <c r="M514" s="22" t="n">
        <v>0.0117345142335009</v>
      </c>
      <c r="N514" s="22" t="n">
        <v>0.00977165692680886</v>
      </c>
      <c r="O514" s="22" t="n">
        <v>0.0042201798641396</v>
      </c>
      <c r="P514" s="22" t="n">
        <v>0.0108739289443894</v>
      </c>
      <c r="Q514" s="22" t="n">
        <v>0.00324847718217218</v>
      </c>
      <c r="R514" s="22" t="n">
        <v>0.00634524182719614</v>
      </c>
      <c r="S514" s="23" t="n">
        <f aca="false">IF(A514="","",SUM(H514:R514))</f>
        <v>0.0602323745830752</v>
      </c>
      <c r="T514" s="17" t="str">
        <f aca="false">IF(A514="","",IF(AND(MIN(H514:R514)&gt;=0,MAX(H514:R514)&lt;=1,S514&lt;=1),"OK","CHECK"))</f>
        <v>OK</v>
      </c>
      <c r="U514" s="17" t="str">
        <f aca="false">IF(A514="","", "LOSS-"&amp;A514&amp;"-L"&amp;TEXT(B514,"00")&amp;"-"&amp;TEXT(C514,"yyyymmdd")&amp;"-"&amp;D514&amp;"-"&amp;E514)</f>
        <v>LOSS-KG01-L23-20251126-PM-ORD-2025-00235</v>
      </c>
      <c r="V514" s="17" t="str">
        <f aca="false">IF(U514="","",IF(COUNTIF($U$5:$U$935,U514)=1,"OK","CHECK"))</f>
        <v>OK</v>
      </c>
      <c r="W514" s="17" t="str">
        <f aca="false">IF(A514="","",IF(AND(T514="OK",V514="OK",G514&gt;=0),"OK","CHECK"))</f>
        <v>OK</v>
      </c>
    </row>
    <row r="515" customFormat="false" ht="18" hidden="false" customHeight="true" outlineLevel="0" collapsed="false">
      <c r="A515" s="18" t="s">
        <v>39</v>
      </c>
      <c r="B515" s="19" t="n">
        <v>23</v>
      </c>
      <c r="C515" s="20" t="n">
        <v>45988</v>
      </c>
      <c r="D515" s="18" t="s">
        <v>40</v>
      </c>
      <c r="E515" s="18" t="s">
        <v>131</v>
      </c>
      <c r="F515" s="18" t="s">
        <v>42</v>
      </c>
      <c r="G515" s="21" t="n">
        <v>6115</v>
      </c>
      <c r="H515" s="22" t="n">
        <v>0.00804669626987165</v>
      </c>
      <c r="I515" s="22" t="n">
        <v>0.00725732441901413</v>
      </c>
      <c r="J515" s="22" t="n">
        <v>0.00579398647038952</v>
      </c>
      <c r="K515" s="22" t="n">
        <v>0.000133085666628612</v>
      </c>
      <c r="L515" s="22" t="n">
        <v>0.00802872384749733</v>
      </c>
      <c r="M515" s="22" t="n">
        <v>0.00804221394453996</v>
      </c>
      <c r="N515" s="22" t="n">
        <v>0.000106845846529576</v>
      </c>
      <c r="O515" s="22" t="n">
        <v>0.00429145306180647</v>
      </c>
      <c r="P515" s="22" t="n">
        <v>0.00320319030528805</v>
      </c>
      <c r="Q515" s="22" t="n">
        <v>0.000257725194826932</v>
      </c>
      <c r="R515" s="22" t="n">
        <v>9.14745769527083E-005</v>
      </c>
      <c r="S515" s="23" t="n">
        <f aca="false">IF(A515="","",SUM(H515:R515))</f>
        <v>0.0452527196033449</v>
      </c>
      <c r="T515" s="17" t="str">
        <f aca="false">IF(A515="","",IF(AND(MIN(H515:R515)&gt;=0,MAX(H515:R515)&lt;=1,S515&lt;=1),"OK","CHECK"))</f>
        <v>OK</v>
      </c>
      <c r="U515" s="17" t="str">
        <f aca="false">IF(A515="","", "LOSS-"&amp;A515&amp;"-L"&amp;TEXT(B515,"00")&amp;"-"&amp;TEXT(C515,"yyyymmdd")&amp;"-"&amp;D515&amp;"-"&amp;E515)</f>
        <v>LOSS-KG01-L23-20251127-AM-ORD-2025-00235</v>
      </c>
      <c r="V515" s="17" t="str">
        <f aca="false">IF(U515="","",IF(COUNTIF($U$5:$U$935,U515)=1,"OK","CHECK"))</f>
        <v>OK</v>
      </c>
      <c r="W515" s="17" t="str">
        <f aca="false">IF(A515="","",IF(AND(T515="OK",V515="OK",G515&gt;=0),"OK","CHECK"))</f>
        <v>OK</v>
      </c>
    </row>
    <row r="516" customFormat="false" ht="18" hidden="false" customHeight="true" outlineLevel="0" collapsed="false">
      <c r="A516" s="18" t="s">
        <v>39</v>
      </c>
      <c r="B516" s="19" t="n">
        <v>23</v>
      </c>
      <c r="C516" s="20" t="n">
        <v>45988</v>
      </c>
      <c r="D516" s="18" t="s">
        <v>43</v>
      </c>
      <c r="E516" s="18" t="s">
        <v>131</v>
      </c>
      <c r="F516" s="18" t="s">
        <v>42</v>
      </c>
      <c r="G516" s="21" t="n">
        <v>19300</v>
      </c>
      <c r="H516" s="22" t="n">
        <v>0.000733102272825976</v>
      </c>
      <c r="I516" s="22" t="n">
        <v>0.000473597516497281</v>
      </c>
      <c r="J516" s="22" t="n">
        <v>0.00738794999644967</v>
      </c>
      <c r="K516" s="22" t="n">
        <v>0.00223672806713174</v>
      </c>
      <c r="L516" s="22" t="n">
        <v>0.00406180040762478</v>
      </c>
      <c r="M516" s="22" t="n">
        <v>0.00851975821472007</v>
      </c>
      <c r="N516" s="22" t="n">
        <v>0.0135937153752832</v>
      </c>
      <c r="O516" s="22" t="n">
        <v>0.0120790580689503</v>
      </c>
      <c r="P516" s="22" t="n">
        <v>0.0175099836109811</v>
      </c>
      <c r="Q516" s="22" t="n">
        <v>0.0087861938796875</v>
      </c>
      <c r="R516" s="22" t="n">
        <v>8.42036809395205E-005</v>
      </c>
      <c r="S516" s="23" t="n">
        <f aca="false">IF(A516="","",SUM(H516:R516))</f>
        <v>0.0754660910910911</v>
      </c>
      <c r="T516" s="17" t="str">
        <f aca="false">IF(A516="","",IF(AND(MIN(H516:R516)&gt;=0,MAX(H516:R516)&lt;=1,S516&lt;=1),"OK","CHECK"))</f>
        <v>OK</v>
      </c>
      <c r="U516" s="17" t="str">
        <f aca="false">IF(A516="","", "LOSS-"&amp;A516&amp;"-L"&amp;TEXT(B516,"00")&amp;"-"&amp;TEXT(C516,"yyyymmdd")&amp;"-"&amp;D516&amp;"-"&amp;E516)</f>
        <v>LOSS-KG01-L23-20251127-PM-ORD-2025-00235</v>
      </c>
      <c r="V516" s="17" t="str">
        <f aca="false">IF(U516="","",IF(COUNTIF($U$5:$U$935,U516)=1,"OK","CHECK"))</f>
        <v>OK</v>
      </c>
      <c r="W516" s="17" t="str">
        <f aca="false">IF(A516="","",IF(AND(T516="OK",V516="OK",G516&gt;=0),"OK","CHECK"))</f>
        <v>OK</v>
      </c>
    </row>
    <row r="517" customFormat="false" ht="18" hidden="false" customHeight="true" outlineLevel="0" collapsed="false">
      <c r="A517" s="18" t="s">
        <v>39</v>
      </c>
      <c r="B517" s="19" t="n">
        <v>23</v>
      </c>
      <c r="C517" s="20" t="n">
        <v>45989</v>
      </c>
      <c r="D517" s="18" t="s">
        <v>40</v>
      </c>
      <c r="E517" s="18" t="s">
        <v>131</v>
      </c>
      <c r="F517" s="18" t="s">
        <v>42</v>
      </c>
      <c r="G517" s="21" t="n">
        <v>21141</v>
      </c>
      <c r="H517" s="22" t="n">
        <v>0.00128596270966001</v>
      </c>
      <c r="I517" s="22" t="n">
        <v>0.000423992797257694</v>
      </c>
      <c r="J517" s="22" t="n">
        <v>0.0195644060003875</v>
      </c>
      <c r="K517" s="22" t="n">
        <v>0.00510889296998048</v>
      </c>
      <c r="L517" s="22" t="n">
        <v>0.0133743934305043</v>
      </c>
      <c r="M517" s="22" t="n">
        <v>3.66910383771858E-005</v>
      </c>
      <c r="N517" s="22" t="n">
        <v>7.29000286702847E-005</v>
      </c>
      <c r="O517" s="22" t="n">
        <v>0.0204692862864522</v>
      </c>
      <c r="P517" s="22" t="n">
        <v>0.0048957852787264</v>
      </c>
      <c r="Q517" s="22" t="n">
        <v>0.0150955386047225</v>
      </c>
      <c r="R517" s="22" t="n">
        <v>0.00923026980010151</v>
      </c>
      <c r="S517" s="23" t="n">
        <f aca="false">IF(A517="","",SUM(H517:R517))</f>
        <v>0.0895581189448401</v>
      </c>
      <c r="T517" s="17" t="str">
        <f aca="false">IF(A517="","",IF(AND(MIN(H517:R517)&gt;=0,MAX(H517:R517)&lt;=1,S517&lt;=1),"OK","CHECK"))</f>
        <v>OK</v>
      </c>
      <c r="U517" s="17" t="str">
        <f aca="false">IF(A517="","", "LOSS-"&amp;A517&amp;"-L"&amp;TEXT(B517,"00")&amp;"-"&amp;TEXT(C517,"yyyymmdd")&amp;"-"&amp;D517&amp;"-"&amp;E517)</f>
        <v>LOSS-KG01-L23-20251128-AM-ORD-2025-00235</v>
      </c>
      <c r="V517" s="17" t="str">
        <f aca="false">IF(U517="","",IF(COUNTIF($U$5:$U$935,U517)=1,"OK","CHECK"))</f>
        <v>OK</v>
      </c>
      <c r="W517" s="17" t="str">
        <f aca="false">IF(A517="","",IF(AND(T517="OK",V517="OK",G517&gt;=0),"OK","CHECK"))</f>
        <v>OK</v>
      </c>
    </row>
    <row r="518" customFormat="false" ht="18" hidden="false" customHeight="true" outlineLevel="0" collapsed="false">
      <c r="A518" s="18" t="s">
        <v>39</v>
      </c>
      <c r="B518" s="19" t="n">
        <v>23</v>
      </c>
      <c r="C518" s="20" t="n">
        <v>45989</v>
      </c>
      <c r="D518" s="18" t="s">
        <v>43</v>
      </c>
      <c r="E518" s="18" t="s">
        <v>131</v>
      </c>
      <c r="F518" s="18" t="s">
        <v>42</v>
      </c>
      <c r="G518" s="21" t="n">
        <v>13736</v>
      </c>
      <c r="H518" s="22" t="n">
        <v>0.00600713483651009</v>
      </c>
      <c r="I518" s="22" t="n">
        <v>0.00368630473685793</v>
      </c>
      <c r="J518" s="22" t="n">
        <v>0.00758194899813633</v>
      </c>
      <c r="K518" s="22" t="n">
        <v>8.72688181623056E-005</v>
      </c>
      <c r="L518" s="22" t="n">
        <v>0.00452317442807884</v>
      </c>
      <c r="M518" s="22" t="n">
        <v>0.00877169520034505</v>
      </c>
      <c r="N518" s="22" t="n">
        <v>0.00334373771082019</v>
      </c>
      <c r="O518" s="22" t="n">
        <v>0.00520174989255374</v>
      </c>
      <c r="P518" s="22" t="n">
        <v>0.00287089246486561</v>
      </c>
      <c r="Q518" s="22" t="n">
        <v>0.00604399996890686</v>
      </c>
      <c r="R518" s="22" t="n">
        <v>0.0043642594770658</v>
      </c>
      <c r="S518" s="23" t="n">
        <f aca="false">IF(A518="","",SUM(H518:R518))</f>
        <v>0.0524821665323028</v>
      </c>
      <c r="T518" s="17" t="str">
        <f aca="false">IF(A518="","",IF(AND(MIN(H518:R518)&gt;=0,MAX(H518:R518)&lt;=1,S518&lt;=1),"OK","CHECK"))</f>
        <v>OK</v>
      </c>
      <c r="U518" s="17" t="str">
        <f aca="false">IF(A518="","", "LOSS-"&amp;A518&amp;"-L"&amp;TEXT(B518,"00")&amp;"-"&amp;TEXT(C518,"yyyymmdd")&amp;"-"&amp;D518&amp;"-"&amp;E518)</f>
        <v>LOSS-KG01-L23-20251128-PM-ORD-2025-00235</v>
      </c>
      <c r="V518" s="17" t="str">
        <f aca="false">IF(U518="","",IF(COUNTIF($U$5:$U$935,U518)=1,"OK","CHECK"))</f>
        <v>OK</v>
      </c>
      <c r="W518" s="17" t="str">
        <f aca="false">IF(A518="","",IF(AND(T518="OK",V518="OK",G518&gt;=0),"OK","CHECK"))</f>
        <v>OK</v>
      </c>
    </row>
    <row r="519" customFormat="false" ht="18" hidden="false" customHeight="true" outlineLevel="0" collapsed="false">
      <c r="A519" s="18" t="s">
        <v>39</v>
      </c>
      <c r="B519" s="19" t="n">
        <v>23</v>
      </c>
      <c r="C519" s="20" t="n">
        <v>45990</v>
      </c>
      <c r="D519" s="18" t="s">
        <v>40</v>
      </c>
      <c r="E519" s="18" t="s">
        <v>131</v>
      </c>
      <c r="F519" s="18" t="s">
        <v>42</v>
      </c>
      <c r="G519" s="21" t="n">
        <v>11225</v>
      </c>
      <c r="H519" s="22" t="n">
        <v>0.00215550806626273</v>
      </c>
      <c r="I519" s="22" t="n">
        <v>0.000495502792224409</v>
      </c>
      <c r="J519" s="22" t="n">
        <v>0.0157386437793891</v>
      </c>
      <c r="K519" s="22" t="n">
        <v>0.00231706193712986</v>
      </c>
      <c r="L519" s="22" t="n">
        <v>0.0105911419784574</v>
      </c>
      <c r="M519" s="22" t="n">
        <v>0.00441161857745463</v>
      </c>
      <c r="N519" s="22" t="n">
        <v>0.00383849015882241</v>
      </c>
      <c r="O519" s="22" t="n">
        <v>0.0064944166859856</v>
      </c>
      <c r="P519" s="22" t="n">
        <v>0.00651493214000673</v>
      </c>
      <c r="Q519" s="22" t="n">
        <v>0.00279077371961389</v>
      </c>
      <c r="R519" s="22" t="n">
        <v>0.00632705659161558</v>
      </c>
      <c r="S519" s="23" t="n">
        <f aca="false">IF(A519="","",SUM(H519:R519))</f>
        <v>0.0616751464269623</v>
      </c>
      <c r="T519" s="17" t="str">
        <f aca="false">IF(A519="","",IF(AND(MIN(H519:R519)&gt;=0,MAX(H519:R519)&lt;=1,S519&lt;=1),"OK","CHECK"))</f>
        <v>OK</v>
      </c>
      <c r="U519" s="17" t="str">
        <f aca="false">IF(A519="","", "LOSS-"&amp;A519&amp;"-L"&amp;TEXT(B519,"00")&amp;"-"&amp;TEXT(C519,"yyyymmdd")&amp;"-"&amp;D519&amp;"-"&amp;E519)</f>
        <v>LOSS-KG01-L23-20251129-AM-ORD-2025-00235</v>
      </c>
      <c r="V519" s="17" t="str">
        <f aca="false">IF(U519="","",IF(COUNTIF($U$5:$U$935,U519)=1,"OK","CHECK"))</f>
        <v>OK</v>
      </c>
      <c r="W519" s="17" t="str">
        <f aca="false">IF(A519="","",IF(AND(T519="OK",V519="OK",G519&gt;=0),"OK","CHECK"))</f>
        <v>OK</v>
      </c>
    </row>
    <row r="520" customFormat="false" ht="18" hidden="false" customHeight="true" outlineLevel="0" collapsed="false">
      <c r="A520" s="18" t="s">
        <v>39</v>
      </c>
      <c r="B520" s="19" t="n">
        <v>23</v>
      </c>
      <c r="C520" s="20" t="n">
        <v>45990</v>
      </c>
      <c r="D520" s="18" t="s">
        <v>43</v>
      </c>
      <c r="E520" s="18" t="s">
        <v>131</v>
      </c>
      <c r="F520" s="18" t="s">
        <v>42</v>
      </c>
      <c r="G520" s="21" t="n">
        <v>13070</v>
      </c>
      <c r="H520" s="22" t="n">
        <v>0.00230642629772969</v>
      </c>
      <c r="I520" s="22" t="n">
        <v>0.00377793058448928</v>
      </c>
      <c r="J520" s="22" t="n">
        <v>0.00943431823646659</v>
      </c>
      <c r="K520" s="22" t="n">
        <v>0.00125839872300695</v>
      </c>
      <c r="L520" s="22" t="n">
        <v>0.00713914943790577</v>
      </c>
      <c r="M520" s="22" t="n">
        <v>4.63463848500018E-005</v>
      </c>
      <c r="N520" s="22" t="n">
        <v>0.0105423777953743</v>
      </c>
      <c r="O520" s="22" t="n">
        <v>0.000539694380454025</v>
      </c>
      <c r="P520" s="22" t="n">
        <v>0.000121360034669932</v>
      </c>
      <c r="Q520" s="22" t="n">
        <v>0.0121419250159224</v>
      </c>
      <c r="R520" s="22" t="n">
        <v>0.00853293306691932</v>
      </c>
      <c r="S520" s="23" t="n">
        <f aca="false">IF(A520="","",SUM(H520:R520))</f>
        <v>0.0558408599577883</v>
      </c>
      <c r="T520" s="17" t="str">
        <f aca="false">IF(A520="","",IF(AND(MIN(H520:R520)&gt;=0,MAX(H520:R520)&lt;=1,S520&lt;=1),"OK","CHECK"))</f>
        <v>OK</v>
      </c>
      <c r="U520" s="17" t="str">
        <f aca="false">IF(A520="","", "LOSS-"&amp;A520&amp;"-L"&amp;TEXT(B520,"00")&amp;"-"&amp;TEXT(C520,"yyyymmdd")&amp;"-"&amp;D520&amp;"-"&amp;E520)</f>
        <v>LOSS-KG01-L23-20251129-PM-ORD-2025-00235</v>
      </c>
      <c r="V520" s="17" t="str">
        <f aca="false">IF(U520="","",IF(COUNTIF($U$5:$U$935,U520)=1,"OK","CHECK"))</f>
        <v>OK</v>
      </c>
      <c r="W520" s="17" t="str">
        <f aca="false">IF(A520="","",IF(AND(T520="OK",V520="OK",G520&gt;=0),"OK","CHECK"))</f>
        <v>OK</v>
      </c>
    </row>
    <row r="521" customFormat="false" ht="18" hidden="false" customHeight="true" outlineLevel="0" collapsed="false">
      <c r="A521" s="18" t="s">
        <v>39</v>
      </c>
      <c r="B521" s="19" t="n">
        <v>23</v>
      </c>
      <c r="C521" s="20" t="n">
        <v>45991</v>
      </c>
      <c r="D521" s="18" t="s">
        <v>40</v>
      </c>
      <c r="E521" s="18" t="s">
        <v>132</v>
      </c>
      <c r="F521" s="18" t="s">
        <v>45</v>
      </c>
      <c r="G521" s="21" t="n">
        <v>6092</v>
      </c>
      <c r="H521" s="22" t="n">
        <v>0.00425884925307076</v>
      </c>
      <c r="I521" s="22" t="n">
        <v>0.000392187313041365</v>
      </c>
      <c r="J521" s="22" t="n">
        <v>0.00128381547206289</v>
      </c>
      <c r="K521" s="22" t="n">
        <v>3.00115504207815E-005</v>
      </c>
      <c r="L521" s="22" t="n">
        <v>1.02040520818313E-005</v>
      </c>
      <c r="M521" s="22" t="n">
        <v>0.0121968218240947</v>
      </c>
      <c r="N521" s="22" t="n">
        <v>0.00193330746166091</v>
      </c>
      <c r="O521" s="22" t="n">
        <v>0.00161476275570277</v>
      </c>
      <c r="P521" s="22" t="n">
        <v>0.00377385217923299</v>
      </c>
      <c r="Q521" s="22" t="n">
        <v>0.00885500354145816</v>
      </c>
      <c r="R521" s="22" t="n">
        <v>0.00610835325946977</v>
      </c>
      <c r="S521" s="23" t="n">
        <f aca="false">IF(A521="","",SUM(H521:R521))</f>
        <v>0.0404571686622969</v>
      </c>
      <c r="T521" s="17" t="str">
        <f aca="false">IF(A521="","",IF(AND(MIN(H521:R521)&gt;=0,MAX(H521:R521)&lt;=1,S521&lt;=1),"OK","CHECK"))</f>
        <v>OK</v>
      </c>
      <c r="U521" s="17" t="str">
        <f aca="false">IF(A521="","", "LOSS-"&amp;A521&amp;"-L"&amp;TEXT(B521,"00")&amp;"-"&amp;TEXT(C521,"yyyymmdd")&amp;"-"&amp;D521&amp;"-"&amp;E521)</f>
        <v>LOSS-KG01-L23-20251130-AM-ORD-2025-00236</v>
      </c>
      <c r="V521" s="17" t="str">
        <f aca="false">IF(U521="","",IF(COUNTIF($U$5:$U$935,U521)=1,"OK","CHECK"))</f>
        <v>OK</v>
      </c>
      <c r="W521" s="17" t="str">
        <f aca="false">IF(A521="","",IF(AND(T521="OK",V521="OK",G521&gt;=0),"OK","CHECK"))</f>
        <v>OK</v>
      </c>
    </row>
    <row r="522" customFormat="false" ht="18" hidden="false" customHeight="true" outlineLevel="0" collapsed="false">
      <c r="A522" s="18" t="s">
        <v>39</v>
      </c>
      <c r="B522" s="19" t="n">
        <v>23</v>
      </c>
      <c r="C522" s="20" t="n">
        <v>45991</v>
      </c>
      <c r="D522" s="18" t="s">
        <v>43</v>
      </c>
      <c r="E522" s="18" t="s">
        <v>132</v>
      </c>
      <c r="F522" s="18" t="s">
        <v>42</v>
      </c>
      <c r="G522" s="21" t="n">
        <v>19280</v>
      </c>
      <c r="H522" s="22" t="n">
        <v>0.0044594728091847</v>
      </c>
      <c r="I522" s="22" t="n">
        <v>0.00612441157006357</v>
      </c>
      <c r="J522" s="22" t="n">
        <v>0.0170898217875884</v>
      </c>
      <c r="K522" s="22" t="n">
        <v>0.00613334781918029</v>
      </c>
      <c r="L522" s="22" t="n">
        <v>0.0109941238987428</v>
      </c>
      <c r="M522" s="22" t="n">
        <v>4.7392939189304E-005</v>
      </c>
      <c r="N522" s="22" t="n">
        <v>0.00109024272994654</v>
      </c>
      <c r="O522" s="22" t="n">
        <v>0.00495419231283081</v>
      </c>
      <c r="P522" s="22" t="n">
        <v>0.000817231918790524</v>
      </c>
      <c r="Q522" s="22" t="n">
        <v>0.00116334093547266</v>
      </c>
      <c r="R522" s="22" t="n">
        <v>0.00243130090197343</v>
      </c>
      <c r="S522" s="23" t="n">
        <f aca="false">IF(A522="","",SUM(H522:R522))</f>
        <v>0.055304879622963</v>
      </c>
      <c r="T522" s="17" t="str">
        <f aca="false">IF(A522="","",IF(AND(MIN(H522:R522)&gt;=0,MAX(H522:R522)&lt;=1,S522&lt;=1),"OK","CHECK"))</f>
        <v>OK</v>
      </c>
      <c r="U522" s="17" t="str">
        <f aca="false">IF(A522="","", "LOSS-"&amp;A522&amp;"-L"&amp;TEXT(B522,"00")&amp;"-"&amp;TEXT(C522,"yyyymmdd")&amp;"-"&amp;D522&amp;"-"&amp;E522)</f>
        <v>LOSS-KG01-L23-20251130-PM-ORD-2025-00236</v>
      </c>
      <c r="V522" s="17" t="str">
        <f aca="false">IF(U522="","",IF(COUNTIF($U$5:$U$935,U522)=1,"OK","CHECK"))</f>
        <v>OK</v>
      </c>
      <c r="W522" s="17" t="str">
        <f aca="false">IF(A522="","",IF(AND(T522="OK",V522="OK",G522&gt;=0),"OK","CHECK"))</f>
        <v>OK</v>
      </c>
    </row>
    <row r="523" customFormat="false" ht="18" hidden="false" customHeight="true" outlineLevel="0" collapsed="false">
      <c r="A523" s="18" t="s">
        <v>39</v>
      </c>
      <c r="B523" s="19" t="n">
        <v>23</v>
      </c>
      <c r="C523" s="20" t="n">
        <v>45992</v>
      </c>
      <c r="D523" s="18" t="s">
        <v>40</v>
      </c>
      <c r="E523" s="18" t="s">
        <v>132</v>
      </c>
      <c r="F523" s="18" t="s">
        <v>42</v>
      </c>
      <c r="G523" s="21" t="n">
        <v>12810</v>
      </c>
      <c r="H523" s="22" t="n">
        <v>0.00863740159508017</v>
      </c>
      <c r="I523" s="22" t="n">
        <v>0.00415563896203891</v>
      </c>
      <c r="J523" s="22" t="n">
        <v>0.00552634370489841</v>
      </c>
      <c r="K523" s="22" t="n">
        <v>0.00636633857140602</v>
      </c>
      <c r="L523" s="22" t="n">
        <v>3.46634958418245E-005</v>
      </c>
      <c r="M523" s="22" t="n">
        <v>0.00246551727009508</v>
      </c>
      <c r="N523" s="22" t="n">
        <v>0.0137321677675807</v>
      </c>
      <c r="O523" s="22" t="n">
        <v>0.000229263935420195</v>
      </c>
      <c r="P523" s="22" t="n">
        <v>0.00142909961445594</v>
      </c>
      <c r="Q523" s="22" t="n">
        <v>0.0138567602388836</v>
      </c>
      <c r="R523" s="22" t="n">
        <v>0.00737052249417065</v>
      </c>
      <c r="S523" s="23" t="n">
        <f aca="false">IF(A523="","",SUM(H523:R523))</f>
        <v>0.0638037176498715</v>
      </c>
      <c r="T523" s="17" t="str">
        <f aca="false">IF(A523="","",IF(AND(MIN(H523:R523)&gt;=0,MAX(H523:R523)&lt;=1,S523&lt;=1),"OK","CHECK"))</f>
        <v>OK</v>
      </c>
      <c r="U523" s="17" t="str">
        <f aca="false">IF(A523="","", "LOSS-"&amp;A523&amp;"-L"&amp;TEXT(B523,"00")&amp;"-"&amp;TEXT(C523,"yyyymmdd")&amp;"-"&amp;D523&amp;"-"&amp;E523)</f>
        <v>LOSS-KG01-L23-20251201-AM-ORD-2025-00236</v>
      </c>
      <c r="V523" s="17" t="str">
        <f aca="false">IF(U523="","",IF(COUNTIF($U$5:$U$935,U523)=1,"OK","CHECK"))</f>
        <v>OK</v>
      </c>
      <c r="W523" s="17" t="str">
        <f aca="false">IF(A523="","",IF(AND(T523="OK",V523="OK",G523&gt;=0),"OK","CHECK"))</f>
        <v>OK</v>
      </c>
    </row>
    <row r="524" customFormat="false" ht="18" hidden="false" customHeight="true" outlineLevel="0" collapsed="false">
      <c r="A524" s="18" t="s">
        <v>39</v>
      </c>
      <c r="B524" s="19" t="n">
        <v>23</v>
      </c>
      <c r="C524" s="20" t="n">
        <v>45992</v>
      </c>
      <c r="D524" s="18" t="s">
        <v>43</v>
      </c>
      <c r="E524" s="18" t="s">
        <v>132</v>
      </c>
      <c r="F524" s="18" t="s">
        <v>42</v>
      </c>
      <c r="G524" s="21" t="n">
        <v>10548</v>
      </c>
      <c r="H524" s="22" t="n">
        <v>0.0180290096594545</v>
      </c>
      <c r="I524" s="22" t="n">
        <v>0.00235449995830638</v>
      </c>
      <c r="J524" s="22" t="n">
        <v>0.000674725365264457</v>
      </c>
      <c r="K524" s="22" t="n">
        <v>0.0032721918219186</v>
      </c>
      <c r="L524" s="22" t="n">
        <v>0.00112248926061566</v>
      </c>
      <c r="M524" s="22" t="n">
        <v>0.0181212657258539</v>
      </c>
      <c r="N524" s="22" t="n">
        <v>0.00347744358136468</v>
      </c>
      <c r="O524" s="22" t="n">
        <v>0.000523300199339153</v>
      </c>
      <c r="P524" s="22" t="n">
        <v>0.00771597086964067</v>
      </c>
      <c r="Q524" s="22" t="n">
        <v>0.008320471690285</v>
      </c>
      <c r="R524" s="22" t="n">
        <v>0.00143469691402206</v>
      </c>
      <c r="S524" s="23" t="n">
        <f aca="false">IF(A524="","",SUM(H524:R524))</f>
        <v>0.0650460650460651</v>
      </c>
      <c r="T524" s="17" t="str">
        <f aca="false">IF(A524="","",IF(AND(MIN(H524:R524)&gt;=0,MAX(H524:R524)&lt;=1,S524&lt;=1),"OK","CHECK"))</f>
        <v>OK</v>
      </c>
      <c r="U524" s="17" t="str">
        <f aca="false">IF(A524="","", "LOSS-"&amp;A524&amp;"-L"&amp;TEXT(B524,"00")&amp;"-"&amp;TEXT(C524,"yyyymmdd")&amp;"-"&amp;D524&amp;"-"&amp;E524)</f>
        <v>LOSS-KG01-L23-20251201-PM-ORD-2025-00236</v>
      </c>
      <c r="V524" s="17" t="str">
        <f aca="false">IF(U524="","",IF(COUNTIF($U$5:$U$935,U524)=1,"OK","CHECK"))</f>
        <v>OK</v>
      </c>
      <c r="W524" s="17" t="str">
        <f aca="false">IF(A524="","",IF(AND(T524="OK",V524="OK",G524&gt;=0),"OK","CHECK"))</f>
        <v>OK</v>
      </c>
    </row>
    <row r="525" customFormat="false" ht="18" hidden="false" customHeight="true" outlineLevel="0" collapsed="false">
      <c r="A525" s="18" t="s">
        <v>39</v>
      </c>
      <c r="B525" s="19" t="n">
        <v>23</v>
      </c>
      <c r="C525" s="20" t="n">
        <v>45993</v>
      </c>
      <c r="D525" s="18" t="s">
        <v>40</v>
      </c>
      <c r="E525" s="18" t="s">
        <v>132</v>
      </c>
      <c r="F525" s="18" t="s">
        <v>42</v>
      </c>
      <c r="G525" s="21" t="n">
        <v>20905</v>
      </c>
      <c r="H525" s="22" t="n">
        <v>0.0107921411637209</v>
      </c>
      <c r="I525" s="22" t="n">
        <v>0.0058749132120008</v>
      </c>
      <c r="J525" s="22" t="n">
        <v>0.0064003824433956</v>
      </c>
      <c r="K525" s="22" t="n">
        <v>0.0103270419429815</v>
      </c>
      <c r="L525" s="22" t="n">
        <v>0.00121750510497487</v>
      </c>
      <c r="M525" s="22" t="n">
        <v>0.0112198241281608</v>
      </c>
      <c r="N525" s="22" t="n">
        <v>0.00541691431803989</v>
      </c>
      <c r="O525" s="22" t="n">
        <v>0.010595463374003</v>
      </c>
      <c r="P525" s="22" t="n">
        <v>0.00212498952703319</v>
      </c>
      <c r="Q525" s="22" t="n">
        <v>1.3274213834479E-006</v>
      </c>
      <c r="R525" s="22" t="n">
        <v>0.00860723070319415</v>
      </c>
      <c r="S525" s="23" t="n">
        <f aca="false">IF(A525="","",SUM(H525:R525))</f>
        <v>0.0725777333388882</v>
      </c>
      <c r="T525" s="17" t="str">
        <f aca="false">IF(A525="","",IF(AND(MIN(H525:R525)&gt;=0,MAX(H525:R525)&lt;=1,S525&lt;=1),"OK","CHECK"))</f>
        <v>OK</v>
      </c>
      <c r="U525" s="17" t="str">
        <f aca="false">IF(A525="","", "LOSS-"&amp;A525&amp;"-L"&amp;TEXT(B525,"00")&amp;"-"&amp;TEXT(C525,"yyyymmdd")&amp;"-"&amp;D525&amp;"-"&amp;E525)</f>
        <v>LOSS-KG01-L23-20251202-AM-ORD-2025-00236</v>
      </c>
      <c r="V525" s="17" t="str">
        <f aca="false">IF(U525="","",IF(COUNTIF($U$5:$U$935,U525)=1,"OK","CHECK"))</f>
        <v>OK</v>
      </c>
      <c r="W525" s="17" t="str">
        <f aca="false">IF(A525="","",IF(AND(T525="OK",V525="OK",G525&gt;=0),"OK","CHECK"))</f>
        <v>OK</v>
      </c>
    </row>
    <row r="526" customFormat="false" ht="18" hidden="false" customHeight="true" outlineLevel="0" collapsed="false">
      <c r="A526" s="18" t="s">
        <v>39</v>
      </c>
      <c r="B526" s="19" t="n">
        <v>23</v>
      </c>
      <c r="C526" s="20" t="n">
        <v>45993</v>
      </c>
      <c r="D526" s="18" t="s">
        <v>43</v>
      </c>
      <c r="E526" s="18" t="s">
        <v>133</v>
      </c>
      <c r="F526" s="18" t="s">
        <v>45</v>
      </c>
      <c r="G526" s="21" t="n">
        <v>3370</v>
      </c>
      <c r="H526" s="22" t="n">
        <v>0.0019580125690217</v>
      </c>
      <c r="I526" s="22" t="n">
        <v>0.00977479064798192</v>
      </c>
      <c r="J526" s="22" t="n">
        <v>0.000494346783726264</v>
      </c>
      <c r="K526" s="22" t="n">
        <v>0.00835902059087976</v>
      </c>
      <c r="L526" s="22" t="n">
        <v>0.000884157879544682</v>
      </c>
      <c r="M526" s="22" t="n">
        <v>1.49752299954356E-006</v>
      </c>
      <c r="N526" s="22" t="n">
        <v>0.00660233920586653</v>
      </c>
      <c r="O526" s="22" t="n">
        <v>2.40529471381905E-005</v>
      </c>
      <c r="P526" s="22" t="n">
        <v>0.00810146104492565</v>
      </c>
      <c r="Q526" s="22" t="n">
        <v>0.000228694588176803</v>
      </c>
      <c r="R526" s="22" t="n">
        <v>0.00654480942321765</v>
      </c>
      <c r="S526" s="23" t="n">
        <f aca="false">IF(A526="","",SUM(H526:R526))</f>
        <v>0.0429731832034787</v>
      </c>
      <c r="T526" s="17" t="str">
        <f aca="false">IF(A526="","",IF(AND(MIN(H526:R526)&gt;=0,MAX(H526:R526)&lt;=1,S526&lt;=1),"OK","CHECK"))</f>
        <v>OK</v>
      </c>
      <c r="U526" s="17" t="str">
        <f aca="false">IF(A526="","", "LOSS-"&amp;A526&amp;"-L"&amp;TEXT(B526,"00")&amp;"-"&amp;TEXT(C526,"yyyymmdd")&amp;"-"&amp;D526&amp;"-"&amp;E526)</f>
        <v>LOSS-KG01-L23-20251202-PM-ORD-2025-00237</v>
      </c>
      <c r="V526" s="17" t="str">
        <f aca="false">IF(U526="","",IF(COUNTIF($U$5:$U$935,U526)=1,"OK","CHECK"))</f>
        <v>OK</v>
      </c>
      <c r="W526" s="17" t="str">
        <f aca="false">IF(A526="","",IF(AND(T526="OK",V526="OK",G526&gt;=0),"OK","CHECK"))</f>
        <v>OK</v>
      </c>
    </row>
    <row r="527" customFormat="false" ht="18" hidden="false" customHeight="true" outlineLevel="0" collapsed="false">
      <c r="A527" s="18" t="s">
        <v>39</v>
      </c>
      <c r="B527" s="19" t="n">
        <v>23</v>
      </c>
      <c r="C527" s="20" t="n">
        <v>45994</v>
      </c>
      <c r="D527" s="18" t="s">
        <v>40</v>
      </c>
      <c r="E527" s="18" t="s">
        <v>133</v>
      </c>
      <c r="F527" s="18" t="s">
        <v>42</v>
      </c>
      <c r="G527" s="21" t="n">
        <v>16041</v>
      </c>
      <c r="H527" s="22" t="n">
        <v>9.19761401237663E-005</v>
      </c>
      <c r="I527" s="22" t="n">
        <v>0.000241935709670951</v>
      </c>
      <c r="J527" s="22" t="n">
        <v>0.000467062507168395</v>
      </c>
      <c r="K527" s="22" t="n">
        <v>0.0115760013815351</v>
      </c>
      <c r="L527" s="22" t="n">
        <v>8.17794798446419E-005</v>
      </c>
      <c r="M527" s="22" t="n">
        <v>0.00533148240108425</v>
      </c>
      <c r="N527" s="22" t="n">
        <v>0.000518006523094621</v>
      </c>
      <c r="O527" s="22" t="n">
        <v>0.0101290675010608</v>
      </c>
      <c r="P527" s="22" t="n">
        <v>0.0168768790388972</v>
      </c>
      <c r="Q527" s="22" t="n">
        <v>0.00945447503944553</v>
      </c>
      <c r="R527" s="22" t="n">
        <v>0.00893286119267472</v>
      </c>
      <c r="S527" s="23" t="n">
        <f aca="false">IF(A527="","",SUM(H527:R527))</f>
        <v>0.0637015269146</v>
      </c>
      <c r="T527" s="17" t="str">
        <f aca="false">IF(A527="","",IF(AND(MIN(H527:R527)&gt;=0,MAX(H527:R527)&lt;=1,S527&lt;=1),"OK","CHECK"))</f>
        <v>OK</v>
      </c>
      <c r="U527" s="17" t="str">
        <f aca="false">IF(A527="","", "LOSS-"&amp;A527&amp;"-L"&amp;TEXT(B527,"00")&amp;"-"&amp;TEXT(C527,"yyyymmdd")&amp;"-"&amp;D527&amp;"-"&amp;E527)</f>
        <v>LOSS-KG01-L23-20251203-AM-ORD-2025-00237</v>
      </c>
      <c r="V527" s="17" t="str">
        <f aca="false">IF(U527="","",IF(COUNTIF($U$5:$U$935,U527)=1,"OK","CHECK"))</f>
        <v>OK</v>
      </c>
      <c r="W527" s="17" t="str">
        <f aca="false">IF(A527="","",IF(AND(T527="OK",V527="OK",G527&gt;=0),"OK","CHECK"))</f>
        <v>OK</v>
      </c>
    </row>
    <row r="528" customFormat="false" ht="18" hidden="false" customHeight="true" outlineLevel="0" collapsed="false">
      <c r="A528" s="18" t="s">
        <v>39</v>
      </c>
      <c r="B528" s="19" t="n">
        <v>23</v>
      </c>
      <c r="C528" s="20" t="n">
        <v>45994</v>
      </c>
      <c r="D528" s="18" t="s">
        <v>43</v>
      </c>
      <c r="E528" s="18" t="s">
        <v>133</v>
      </c>
      <c r="F528" s="18" t="s">
        <v>42</v>
      </c>
      <c r="G528" s="21" t="n">
        <v>7463</v>
      </c>
      <c r="H528" s="22" t="n">
        <v>0.00119483316553393</v>
      </c>
      <c r="I528" s="22" t="n">
        <v>0.00120856713773683</v>
      </c>
      <c r="J528" s="22" t="n">
        <v>0.0107808959027056</v>
      </c>
      <c r="K528" s="22" t="n">
        <v>0.00100727325449194</v>
      </c>
      <c r="L528" s="22" t="n">
        <v>0.00853028798904884</v>
      </c>
      <c r="M528" s="22" t="n">
        <v>0.00229717778945324</v>
      </c>
      <c r="N528" s="22" t="n">
        <v>0.0115526459857762</v>
      </c>
      <c r="O528" s="22" t="n">
        <v>0.000601798961371618</v>
      </c>
      <c r="P528" s="22" t="n">
        <v>0.000110222327441281</v>
      </c>
      <c r="Q528" s="22" t="n">
        <v>0.0105539160434292</v>
      </c>
      <c r="R528" s="22" t="n">
        <v>0.000593858333740368</v>
      </c>
      <c r="S528" s="23" t="n">
        <f aca="false">IF(A528="","",SUM(H528:R528))</f>
        <v>0.0484314768907291</v>
      </c>
      <c r="T528" s="17" t="str">
        <f aca="false">IF(A528="","",IF(AND(MIN(H528:R528)&gt;=0,MAX(H528:R528)&lt;=1,S528&lt;=1),"OK","CHECK"))</f>
        <v>OK</v>
      </c>
      <c r="U528" s="17" t="str">
        <f aca="false">IF(A528="","", "LOSS-"&amp;A528&amp;"-L"&amp;TEXT(B528,"00")&amp;"-"&amp;TEXT(C528,"yyyymmdd")&amp;"-"&amp;D528&amp;"-"&amp;E528)</f>
        <v>LOSS-KG01-L23-20251203-PM-ORD-2025-00237</v>
      </c>
      <c r="V528" s="17" t="str">
        <f aca="false">IF(U528="","",IF(COUNTIF($U$5:$U$935,U528)=1,"OK","CHECK"))</f>
        <v>OK</v>
      </c>
      <c r="W528" s="17" t="str">
        <f aca="false">IF(A528="","",IF(AND(T528="OK",V528="OK",G528&gt;=0),"OK","CHECK"))</f>
        <v>OK</v>
      </c>
    </row>
    <row r="529" customFormat="false" ht="18" hidden="false" customHeight="true" outlineLevel="0" collapsed="false">
      <c r="A529" s="18" t="s">
        <v>39</v>
      </c>
      <c r="B529" s="19" t="n">
        <v>23</v>
      </c>
      <c r="C529" s="20" t="n">
        <v>45995</v>
      </c>
      <c r="D529" s="18" t="s">
        <v>40</v>
      </c>
      <c r="E529" s="18" t="s">
        <v>133</v>
      </c>
      <c r="F529" s="18" t="s">
        <v>42</v>
      </c>
      <c r="G529" s="21" t="n">
        <v>8130</v>
      </c>
      <c r="H529" s="22" t="n">
        <v>0.00826843071342031</v>
      </c>
      <c r="I529" s="22" t="n">
        <v>3.9228769038535E-005</v>
      </c>
      <c r="J529" s="22" t="n">
        <v>0.00705877950965587</v>
      </c>
      <c r="K529" s="22" t="n">
        <v>0.000382126783858456</v>
      </c>
      <c r="L529" s="22" t="n">
        <v>4.45314444844102E-005</v>
      </c>
      <c r="M529" s="22" t="n">
        <v>0.00463651650802551</v>
      </c>
      <c r="N529" s="22" t="n">
        <v>0.000215219397708855</v>
      </c>
      <c r="O529" s="22" t="n">
        <v>0.0148123727270068</v>
      </c>
      <c r="P529" s="22" t="n">
        <v>0.00013986532716506</v>
      </c>
      <c r="Q529" s="22" t="n">
        <v>0.00585134991079169</v>
      </c>
      <c r="R529" s="22" t="n">
        <v>0.00423548895705706</v>
      </c>
      <c r="S529" s="23" t="n">
        <f aca="false">IF(A529="","",SUM(H529:R529))</f>
        <v>0.0456839100482126</v>
      </c>
      <c r="T529" s="17" t="str">
        <f aca="false">IF(A529="","",IF(AND(MIN(H529:R529)&gt;=0,MAX(H529:R529)&lt;=1,S529&lt;=1),"OK","CHECK"))</f>
        <v>OK</v>
      </c>
      <c r="U529" s="17" t="str">
        <f aca="false">IF(A529="","", "LOSS-"&amp;A529&amp;"-L"&amp;TEXT(B529,"00")&amp;"-"&amp;TEXT(C529,"yyyymmdd")&amp;"-"&amp;D529&amp;"-"&amp;E529)</f>
        <v>LOSS-KG01-L23-20251204-AM-ORD-2025-00237</v>
      </c>
      <c r="V529" s="17" t="str">
        <f aca="false">IF(U529="","",IF(COUNTIF($U$5:$U$935,U529)=1,"OK","CHECK"))</f>
        <v>OK</v>
      </c>
      <c r="W529" s="17" t="str">
        <f aca="false">IF(A529="","",IF(AND(T529="OK",V529="OK",G529&gt;=0),"OK","CHECK"))</f>
        <v>OK</v>
      </c>
    </row>
    <row r="530" customFormat="false" ht="18" hidden="false" customHeight="true" outlineLevel="0" collapsed="false">
      <c r="A530" s="18" t="s">
        <v>39</v>
      </c>
      <c r="B530" s="19" t="n">
        <v>23</v>
      </c>
      <c r="C530" s="20" t="n">
        <v>45995</v>
      </c>
      <c r="D530" s="18" t="s">
        <v>43</v>
      </c>
      <c r="E530" s="18" t="s">
        <v>133</v>
      </c>
      <c r="F530" s="18" t="s">
        <v>42</v>
      </c>
      <c r="G530" s="21" t="n">
        <v>5002</v>
      </c>
      <c r="H530" s="22" t="n">
        <v>0.00363973959501864</v>
      </c>
      <c r="I530" s="22" t="n">
        <v>0.00130449197945828</v>
      </c>
      <c r="J530" s="22" t="n">
        <v>0.00394953250988913</v>
      </c>
      <c r="K530" s="22" t="n">
        <v>0.00293369971668425</v>
      </c>
      <c r="L530" s="22" t="n">
        <v>0.00169338138475441</v>
      </c>
      <c r="M530" s="22" t="n">
        <v>0.00634045656986902</v>
      </c>
      <c r="N530" s="22" t="n">
        <v>0.00394360523217196</v>
      </c>
      <c r="O530" s="22" t="n">
        <v>0.00350847543410908</v>
      </c>
      <c r="P530" s="22" t="n">
        <v>1.2783888110194E-005</v>
      </c>
      <c r="Q530" s="22" t="n">
        <v>1.34836638606695E-006</v>
      </c>
      <c r="R530" s="22" t="n">
        <v>0.000155699793719627</v>
      </c>
      <c r="S530" s="23" t="n">
        <f aca="false">IF(A530="","",SUM(H530:R530))</f>
        <v>0.0274832144701707</v>
      </c>
      <c r="T530" s="17" t="str">
        <f aca="false">IF(A530="","",IF(AND(MIN(H530:R530)&gt;=0,MAX(H530:R530)&lt;=1,S530&lt;=1),"OK","CHECK"))</f>
        <v>OK</v>
      </c>
      <c r="U530" s="17" t="str">
        <f aca="false">IF(A530="","", "LOSS-"&amp;A530&amp;"-L"&amp;TEXT(B530,"00")&amp;"-"&amp;TEXT(C530,"yyyymmdd")&amp;"-"&amp;D530&amp;"-"&amp;E530)</f>
        <v>LOSS-KG01-L23-20251204-PM-ORD-2025-00237</v>
      </c>
      <c r="V530" s="17" t="str">
        <f aca="false">IF(U530="","",IF(COUNTIF($U$5:$U$935,U530)=1,"OK","CHECK"))</f>
        <v>OK</v>
      </c>
      <c r="W530" s="17" t="str">
        <f aca="false">IF(A530="","",IF(AND(T530="OK",V530="OK",G530&gt;=0),"OK","CHECK"))</f>
        <v>OK</v>
      </c>
    </row>
    <row r="531" customFormat="false" ht="18" hidden="false" customHeight="true" outlineLevel="0" collapsed="false">
      <c r="A531" s="18" t="s">
        <v>39</v>
      </c>
      <c r="B531" s="19" t="n">
        <v>23</v>
      </c>
      <c r="C531" s="20" t="n">
        <v>45996</v>
      </c>
      <c r="D531" s="18" t="s">
        <v>40</v>
      </c>
      <c r="E531" s="18" t="s">
        <v>133</v>
      </c>
      <c r="F531" s="18" t="s">
        <v>42</v>
      </c>
      <c r="G531" s="21" t="n">
        <v>8443</v>
      </c>
      <c r="H531" s="22" t="n">
        <v>0.00656924048810241</v>
      </c>
      <c r="I531" s="22" t="n">
        <v>0.000559369189411758</v>
      </c>
      <c r="J531" s="22" t="n">
        <v>0.000273989399620367</v>
      </c>
      <c r="K531" s="22" t="n">
        <v>0.00189839476495807</v>
      </c>
      <c r="L531" s="22" t="n">
        <v>0.00722816331505671</v>
      </c>
      <c r="M531" s="22" t="n">
        <v>2.83157290983062E-005</v>
      </c>
      <c r="N531" s="22" t="n">
        <v>0.00128434490083645</v>
      </c>
      <c r="O531" s="22" t="n">
        <v>0.00797208653302291</v>
      </c>
      <c r="P531" s="22" t="n">
        <v>0.00227321662220287</v>
      </c>
      <c r="Q531" s="22" t="n">
        <v>0.000451138649915801</v>
      </c>
      <c r="R531" s="22" t="n">
        <v>0.00349837972902106</v>
      </c>
      <c r="S531" s="23" t="n">
        <f aca="false">IF(A531="","",SUM(H531:R531))</f>
        <v>0.0320366393212467</v>
      </c>
      <c r="T531" s="17" t="str">
        <f aca="false">IF(A531="","",IF(AND(MIN(H531:R531)&gt;=0,MAX(H531:R531)&lt;=1,S531&lt;=1),"OK","CHECK"))</f>
        <v>OK</v>
      </c>
      <c r="U531" s="17" t="str">
        <f aca="false">IF(A531="","", "LOSS-"&amp;A531&amp;"-L"&amp;TEXT(B531,"00")&amp;"-"&amp;TEXT(C531,"yyyymmdd")&amp;"-"&amp;D531&amp;"-"&amp;E531)</f>
        <v>LOSS-KG01-L23-20251205-AM-ORD-2025-00237</v>
      </c>
      <c r="V531" s="17" t="str">
        <f aca="false">IF(U531="","",IF(COUNTIF($U$5:$U$935,U531)=1,"OK","CHECK"))</f>
        <v>OK</v>
      </c>
      <c r="W531" s="17" t="str">
        <f aca="false">IF(A531="","",IF(AND(T531="OK",V531="OK",G531&gt;=0),"OK","CHECK"))</f>
        <v>OK</v>
      </c>
    </row>
    <row r="532" customFormat="false" ht="18" hidden="false" customHeight="true" outlineLevel="0" collapsed="false">
      <c r="A532" s="18" t="s">
        <v>39</v>
      </c>
      <c r="B532" s="19" t="n">
        <v>23</v>
      </c>
      <c r="C532" s="20" t="n">
        <v>45996</v>
      </c>
      <c r="D532" s="18" t="s">
        <v>43</v>
      </c>
      <c r="E532" s="18" t="s">
        <v>133</v>
      </c>
      <c r="F532" s="18" t="s">
        <v>42</v>
      </c>
      <c r="G532" s="21" t="n">
        <v>16795</v>
      </c>
      <c r="H532" s="22" t="n">
        <v>0.00261285413607809</v>
      </c>
      <c r="I532" s="22" t="n">
        <v>0.012045177794724</v>
      </c>
      <c r="J532" s="22" t="n">
        <v>1.48353448790276E-005</v>
      </c>
      <c r="K532" s="22" t="n">
        <v>0.00449444960339947</v>
      </c>
      <c r="L532" s="22" t="n">
        <v>0.016474594132236</v>
      </c>
      <c r="M532" s="22" t="n">
        <v>0.0083835299326874</v>
      </c>
      <c r="N532" s="22" t="n">
        <v>0.00191834127493</v>
      </c>
      <c r="O532" s="22" t="n">
        <v>0.000601042031074322</v>
      </c>
      <c r="P532" s="22" t="n">
        <v>0.00693258293113284</v>
      </c>
      <c r="Q532" s="22" t="n">
        <v>0.00233538522309078</v>
      </c>
      <c r="R532" s="22" t="n">
        <v>0.000287228973567249</v>
      </c>
      <c r="S532" s="23" t="n">
        <f aca="false">IF(A532="","",SUM(H532:R532))</f>
        <v>0.0561000213777992</v>
      </c>
      <c r="T532" s="17" t="str">
        <f aca="false">IF(A532="","",IF(AND(MIN(H532:R532)&gt;=0,MAX(H532:R532)&lt;=1,S532&lt;=1),"OK","CHECK"))</f>
        <v>OK</v>
      </c>
      <c r="U532" s="17" t="str">
        <f aca="false">IF(A532="","", "LOSS-"&amp;A532&amp;"-L"&amp;TEXT(B532,"00")&amp;"-"&amp;TEXT(C532,"yyyymmdd")&amp;"-"&amp;D532&amp;"-"&amp;E532)</f>
        <v>LOSS-KG01-L23-20251205-PM-ORD-2025-00237</v>
      </c>
      <c r="V532" s="17" t="str">
        <f aca="false">IF(U532="","",IF(COUNTIF($U$5:$U$935,U532)=1,"OK","CHECK"))</f>
        <v>OK</v>
      </c>
      <c r="W532" s="17" t="str">
        <f aca="false">IF(A532="","",IF(AND(T532="OK",V532="OK",G532&gt;=0),"OK","CHECK"))</f>
        <v>OK</v>
      </c>
    </row>
    <row r="533" customFormat="false" ht="18" hidden="false" customHeight="true" outlineLevel="0" collapsed="false">
      <c r="A533" s="18" t="s">
        <v>39</v>
      </c>
      <c r="B533" s="19" t="n">
        <v>23</v>
      </c>
      <c r="C533" s="20" t="n">
        <v>45997</v>
      </c>
      <c r="D533" s="18" t="s">
        <v>40</v>
      </c>
      <c r="E533" s="18" t="s">
        <v>133</v>
      </c>
      <c r="F533" s="18" t="s">
        <v>42</v>
      </c>
      <c r="G533" s="21" t="n">
        <v>16554</v>
      </c>
      <c r="H533" s="22" t="n">
        <v>0.000107951101790912</v>
      </c>
      <c r="I533" s="22" t="n">
        <v>0.00682945130886626</v>
      </c>
      <c r="J533" s="22" t="n">
        <v>7.75935342240335E-006</v>
      </c>
      <c r="K533" s="22" t="n">
        <v>0.0132097253370437</v>
      </c>
      <c r="L533" s="22" t="n">
        <v>0.0133419496967633</v>
      </c>
      <c r="M533" s="22" t="n">
        <v>0.00263287945023244</v>
      </c>
      <c r="N533" s="22" t="n">
        <v>3.75827201165599E-005</v>
      </c>
      <c r="O533" s="22" t="n">
        <v>0.0206822278339449</v>
      </c>
      <c r="P533" s="22" t="n">
        <v>0.0119168402929128</v>
      </c>
      <c r="Q533" s="22" t="n">
        <v>8.86314059546468E-007</v>
      </c>
      <c r="R533" s="22" t="n">
        <v>2.97811332107367E-007</v>
      </c>
      <c r="S533" s="23" t="n">
        <f aca="false">IF(A533="","",SUM(H533:R533))</f>
        <v>0.0687675512204849</v>
      </c>
      <c r="T533" s="17" t="str">
        <f aca="false">IF(A533="","",IF(AND(MIN(H533:R533)&gt;=0,MAX(H533:R533)&lt;=1,S533&lt;=1),"OK","CHECK"))</f>
        <v>OK</v>
      </c>
      <c r="U533" s="17" t="str">
        <f aca="false">IF(A533="","", "LOSS-"&amp;A533&amp;"-L"&amp;TEXT(B533,"00")&amp;"-"&amp;TEXT(C533,"yyyymmdd")&amp;"-"&amp;D533&amp;"-"&amp;E533)</f>
        <v>LOSS-KG01-L23-20251206-AM-ORD-2025-00237</v>
      </c>
      <c r="V533" s="17" t="str">
        <f aca="false">IF(U533="","",IF(COUNTIF($U$5:$U$935,U533)=1,"OK","CHECK"))</f>
        <v>OK</v>
      </c>
      <c r="W533" s="17" t="str">
        <f aca="false">IF(A533="","",IF(AND(T533="OK",V533="OK",G533&gt;=0),"OK","CHECK"))</f>
        <v>OK</v>
      </c>
    </row>
    <row r="534" customFormat="false" ht="18" hidden="false" customHeight="true" outlineLevel="0" collapsed="false">
      <c r="A534" s="18" t="s">
        <v>39</v>
      </c>
      <c r="B534" s="19" t="n">
        <v>23</v>
      </c>
      <c r="C534" s="20" t="n">
        <v>45997</v>
      </c>
      <c r="D534" s="18" t="s">
        <v>43</v>
      </c>
      <c r="E534" s="18" t="s">
        <v>133</v>
      </c>
      <c r="F534" s="18" t="s">
        <v>42</v>
      </c>
      <c r="G534" s="21" t="n">
        <v>8051</v>
      </c>
      <c r="H534" s="22" t="n">
        <v>3.87454508510916E-005</v>
      </c>
      <c r="I534" s="22" t="n">
        <v>0.00170505617874259</v>
      </c>
      <c r="J534" s="22" t="n">
        <v>0.00364948004068356</v>
      </c>
      <c r="K534" s="22" t="n">
        <v>0.00833870963260854</v>
      </c>
      <c r="L534" s="22" t="n">
        <v>0.00659545828330799</v>
      </c>
      <c r="M534" s="22" t="n">
        <v>1.40637630563249E-005</v>
      </c>
      <c r="N534" s="22" t="n">
        <v>0.00337952038548042</v>
      </c>
      <c r="O534" s="22" t="n">
        <v>4.44808573231432E-006</v>
      </c>
      <c r="P534" s="22" t="n">
        <v>0.00770880211010167</v>
      </c>
      <c r="Q534" s="22" t="n">
        <v>0.00257708739403643</v>
      </c>
      <c r="R534" s="22" t="n">
        <v>0.00370812418710237</v>
      </c>
      <c r="S534" s="23" t="n">
        <f aca="false">IF(A534="","",SUM(H534:R534))</f>
        <v>0.0377194955117033</v>
      </c>
      <c r="T534" s="17" t="str">
        <f aca="false">IF(A534="","",IF(AND(MIN(H534:R534)&gt;=0,MAX(H534:R534)&lt;=1,S534&lt;=1),"OK","CHECK"))</f>
        <v>OK</v>
      </c>
      <c r="U534" s="17" t="str">
        <f aca="false">IF(A534="","", "LOSS-"&amp;A534&amp;"-L"&amp;TEXT(B534,"00")&amp;"-"&amp;TEXT(C534,"yyyymmdd")&amp;"-"&amp;D534&amp;"-"&amp;E534)</f>
        <v>LOSS-KG01-L23-20251206-PM-ORD-2025-00237</v>
      </c>
      <c r="V534" s="17" t="str">
        <f aca="false">IF(U534="","",IF(COUNTIF($U$5:$U$935,U534)=1,"OK","CHECK"))</f>
        <v>OK</v>
      </c>
      <c r="W534" s="17" t="str">
        <f aca="false">IF(A534="","",IF(AND(T534="OK",V534="OK",G534&gt;=0),"OK","CHECK"))</f>
        <v>OK</v>
      </c>
    </row>
    <row r="535" customFormat="false" ht="18" hidden="false" customHeight="true" outlineLevel="0" collapsed="false">
      <c r="A535" s="18" t="s">
        <v>39</v>
      </c>
      <c r="B535" s="19" t="n">
        <v>23</v>
      </c>
      <c r="C535" s="20" t="n">
        <v>45998</v>
      </c>
      <c r="D535" s="18" t="s">
        <v>40</v>
      </c>
      <c r="E535" s="18" t="s">
        <v>134</v>
      </c>
      <c r="F535" s="18" t="s">
        <v>45</v>
      </c>
      <c r="G535" s="21" t="n">
        <v>8469</v>
      </c>
      <c r="H535" s="22" t="n">
        <v>0.00257778849632676</v>
      </c>
      <c r="I535" s="22" t="n">
        <v>0.00813024722862142</v>
      </c>
      <c r="J535" s="22" t="n">
        <v>0.00258731088275691</v>
      </c>
      <c r="K535" s="22" t="n">
        <v>0.0143305331084554</v>
      </c>
      <c r="L535" s="22" t="n">
        <v>0.000977000390645714</v>
      </c>
      <c r="M535" s="22" t="n">
        <v>0.00416234324501408</v>
      </c>
      <c r="N535" s="22" t="n">
        <v>0.00108137544376125</v>
      </c>
      <c r="O535" s="22" t="n">
        <v>0.0166156687885667</v>
      </c>
      <c r="P535" s="22" t="n">
        <v>0.00701157961294176</v>
      </c>
      <c r="Q535" s="22" t="n">
        <v>0.00397058547146258</v>
      </c>
      <c r="R535" s="22" t="n">
        <v>0.0139656077567141</v>
      </c>
      <c r="S535" s="23" t="n">
        <f aca="false">IF(A535="","",SUM(H535:R535))</f>
        <v>0.0754100404252667</v>
      </c>
      <c r="T535" s="17" t="str">
        <f aca="false">IF(A535="","",IF(AND(MIN(H535:R535)&gt;=0,MAX(H535:R535)&lt;=1,S535&lt;=1),"OK","CHECK"))</f>
        <v>OK</v>
      </c>
      <c r="U535" s="17" t="str">
        <f aca="false">IF(A535="","", "LOSS-"&amp;A535&amp;"-L"&amp;TEXT(B535,"00")&amp;"-"&amp;TEXT(C535,"yyyymmdd")&amp;"-"&amp;D535&amp;"-"&amp;E535)</f>
        <v>LOSS-KG01-L23-20251207-AM-ORD-2025-00238</v>
      </c>
      <c r="V535" s="17" t="str">
        <f aca="false">IF(U535="","",IF(COUNTIF($U$5:$U$935,U535)=1,"OK","CHECK"))</f>
        <v>OK</v>
      </c>
      <c r="W535" s="17" t="str">
        <f aca="false">IF(A535="","",IF(AND(T535="OK",V535="OK",G535&gt;=0),"OK","CHECK"))</f>
        <v>OK</v>
      </c>
    </row>
    <row r="536" customFormat="false" ht="18" hidden="false" customHeight="true" outlineLevel="0" collapsed="false">
      <c r="A536" s="18" t="s">
        <v>39</v>
      </c>
      <c r="B536" s="19" t="n">
        <v>23</v>
      </c>
      <c r="C536" s="20" t="n">
        <v>45998</v>
      </c>
      <c r="D536" s="18" t="s">
        <v>43</v>
      </c>
      <c r="E536" s="18" t="s">
        <v>134</v>
      </c>
      <c r="F536" s="18" t="s">
        <v>42</v>
      </c>
      <c r="G536" s="21" t="n">
        <v>12088</v>
      </c>
      <c r="H536" s="22" t="n">
        <v>0.00455971861196043</v>
      </c>
      <c r="I536" s="22" t="n">
        <v>0.0170929141193191</v>
      </c>
      <c r="J536" s="22" t="n">
        <v>0.00110732263682793</v>
      </c>
      <c r="K536" s="22" t="n">
        <v>0.00181865382553034</v>
      </c>
      <c r="L536" s="22" t="n">
        <v>0.0118088789537048</v>
      </c>
      <c r="M536" s="22" t="n">
        <v>0.0204968816573807</v>
      </c>
      <c r="N536" s="22" t="n">
        <v>0.0033348296064278</v>
      </c>
      <c r="O536" s="22" t="n">
        <v>0.00146210426349694</v>
      </c>
      <c r="P536" s="22" t="n">
        <v>0.00056801090644907</v>
      </c>
      <c r="Q536" s="22" t="n">
        <v>0.0121023415718786</v>
      </c>
      <c r="R536" s="22" t="n">
        <v>0.00411943003019271</v>
      </c>
      <c r="S536" s="23" t="n">
        <f aca="false">IF(A536="","",SUM(H536:R536))</f>
        <v>0.0784710861831684</v>
      </c>
      <c r="T536" s="17" t="str">
        <f aca="false">IF(A536="","",IF(AND(MIN(H536:R536)&gt;=0,MAX(H536:R536)&lt;=1,S536&lt;=1),"OK","CHECK"))</f>
        <v>OK</v>
      </c>
      <c r="U536" s="17" t="str">
        <f aca="false">IF(A536="","", "LOSS-"&amp;A536&amp;"-L"&amp;TEXT(B536,"00")&amp;"-"&amp;TEXT(C536,"yyyymmdd")&amp;"-"&amp;D536&amp;"-"&amp;E536)</f>
        <v>LOSS-KG01-L23-20251207-PM-ORD-2025-00238</v>
      </c>
      <c r="V536" s="17" t="str">
        <f aca="false">IF(U536="","",IF(COUNTIF($U$5:$U$935,U536)=1,"OK","CHECK"))</f>
        <v>OK</v>
      </c>
      <c r="W536" s="17" t="str">
        <f aca="false">IF(A536="","",IF(AND(T536="OK",V536="OK",G536&gt;=0),"OK","CHECK"))</f>
        <v>OK</v>
      </c>
    </row>
    <row r="537" customFormat="false" ht="18" hidden="false" customHeight="true" outlineLevel="0" collapsed="false">
      <c r="A537" s="18" t="s">
        <v>39</v>
      </c>
      <c r="B537" s="19" t="n">
        <v>23</v>
      </c>
      <c r="C537" s="20" t="n">
        <v>45999</v>
      </c>
      <c r="D537" s="18" t="s">
        <v>40</v>
      </c>
      <c r="E537" s="18" t="s">
        <v>134</v>
      </c>
      <c r="F537" s="18" t="s">
        <v>42</v>
      </c>
      <c r="G537" s="21" t="n">
        <v>12740</v>
      </c>
      <c r="H537" s="22" t="n">
        <v>0.00118661595092767</v>
      </c>
      <c r="I537" s="22" t="n">
        <v>2.38989486384905E-005</v>
      </c>
      <c r="J537" s="22" t="n">
        <v>0.00222246105273021</v>
      </c>
      <c r="K537" s="22" t="n">
        <v>0.0102153383719713</v>
      </c>
      <c r="L537" s="22" t="n">
        <v>0.00957274518549939</v>
      </c>
      <c r="M537" s="22" t="n">
        <v>0.0128689981168503</v>
      </c>
      <c r="N537" s="22" t="n">
        <v>0.000206285257945949</v>
      </c>
      <c r="O537" s="22" t="n">
        <v>0.00517990631085857</v>
      </c>
      <c r="P537" s="22" t="n">
        <v>0.000571515336534533</v>
      </c>
      <c r="Q537" s="22" t="n">
        <v>0.00217313952072758</v>
      </c>
      <c r="R537" s="22" t="n">
        <v>0.0103041629266958</v>
      </c>
      <c r="S537" s="23" t="n">
        <f aca="false">IF(A537="","",SUM(H537:R537))</f>
        <v>0.0545250669793798</v>
      </c>
      <c r="T537" s="17" t="str">
        <f aca="false">IF(A537="","",IF(AND(MIN(H537:R537)&gt;=0,MAX(H537:R537)&lt;=1,S537&lt;=1),"OK","CHECK"))</f>
        <v>OK</v>
      </c>
      <c r="U537" s="17" t="str">
        <f aca="false">IF(A537="","", "LOSS-"&amp;A537&amp;"-L"&amp;TEXT(B537,"00")&amp;"-"&amp;TEXT(C537,"yyyymmdd")&amp;"-"&amp;D537&amp;"-"&amp;E537)</f>
        <v>LOSS-KG01-L23-20251208-AM-ORD-2025-00238</v>
      </c>
      <c r="V537" s="17" t="str">
        <f aca="false">IF(U537="","",IF(COUNTIF($U$5:$U$935,U537)=1,"OK","CHECK"))</f>
        <v>OK</v>
      </c>
      <c r="W537" s="17" t="str">
        <f aca="false">IF(A537="","",IF(AND(T537="OK",V537="OK",G537&gt;=0),"OK","CHECK"))</f>
        <v>OK</v>
      </c>
    </row>
    <row r="538" customFormat="false" ht="18" hidden="false" customHeight="true" outlineLevel="0" collapsed="false">
      <c r="A538" s="18" t="s">
        <v>39</v>
      </c>
      <c r="B538" s="19" t="n">
        <v>23</v>
      </c>
      <c r="C538" s="20" t="n">
        <v>45999</v>
      </c>
      <c r="D538" s="18" t="s">
        <v>43</v>
      </c>
      <c r="E538" s="18" t="s">
        <v>134</v>
      </c>
      <c r="F538" s="18" t="s">
        <v>42</v>
      </c>
      <c r="G538" s="21" t="n">
        <v>16178</v>
      </c>
      <c r="H538" s="22" t="n">
        <v>0.00529639737286152</v>
      </c>
      <c r="I538" s="22" t="n">
        <v>0.00510791148085443</v>
      </c>
      <c r="J538" s="22" t="n">
        <v>0.0226455408582624</v>
      </c>
      <c r="K538" s="22" t="n">
        <v>0.00536412798841379</v>
      </c>
      <c r="L538" s="22" t="n">
        <v>0.00284898540310206</v>
      </c>
      <c r="M538" s="22" t="n">
        <v>0.0110534642427977</v>
      </c>
      <c r="N538" s="22" t="n">
        <v>0.000442404365546791</v>
      </c>
      <c r="O538" s="22" t="n">
        <v>0.00701157552267638</v>
      </c>
      <c r="P538" s="22" t="n">
        <v>0.0015109943778489</v>
      </c>
      <c r="Q538" s="22" t="n">
        <v>0.0126778843597857</v>
      </c>
      <c r="R538" s="22" t="n">
        <v>0.00806594319958719</v>
      </c>
      <c r="S538" s="23" t="n">
        <f aca="false">IF(A538="","",SUM(H538:R538))</f>
        <v>0.0820252291717369</v>
      </c>
      <c r="T538" s="17" t="str">
        <f aca="false">IF(A538="","",IF(AND(MIN(H538:R538)&gt;=0,MAX(H538:R538)&lt;=1,S538&lt;=1),"OK","CHECK"))</f>
        <v>OK</v>
      </c>
      <c r="U538" s="17" t="str">
        <f aca="false">IF(A538="","", "LOSS-"&amp;A538&amp;"-L"&amp;TEXT(B538,"00")&amp;"-"&amp;TEXT(C538,"yyyymmdd")&amp;"-"&amp;D538&amp;"-"&amp;E538)</f>
        <v>LOSS-KG01-L23-20251208-PM-ORD-2025-00238</v>
      </c>
      <c r="V538" s="17" t="str">
        <f aca="false">IF(U538="","",IF(COUNTIF($U$5:$U$935,U538)=1,"OK","CHECK"))</f>
        <v>OK</v>
      </c>
      <c r="W538" s="17" t="str">
        <f aca="false">IF(A538="","",IF(AND(T538="OK",V538="OK",G538&gt;=0),"OK","CHECK"))</f>
        <v>OK</v>
      </c>
    </row>
    <row r="539" customFormat="false" ht="18" hidden="false" customHeight="true" outlineLevel="0" collapsed="false">
      <c r="A539" s="18" t="s">
        <v>39</v>
      </c>
      <c r="B539" s="19" t="n">
        <v>23</v>
      </c>
      <c r="C539" s="20" t="n">
        <v>46000</v>
      </c>
      <c r="D539" s="18" t="s">
        <v>40</v>
      </c>
      <c r="E539" s="18" t="s">
        <v>134</v>
      </c>
      <c r="F539" s="18" t="s">
        <v>42</v>
      </c>
      <c r="G539" s="21" t="n">
        <v>11864</v>
      </c>
      <c r="H539" s="22" t="n">
        <v>0.0121310045026932</v>
      </c>
      <c r="I539" s="22" t="n">
        <v>0.00717953024001549</v>
      </c>
      <c r="J539" s="22" t="n">
        <v>0.0082994051989047</v>
      </c>
      <c r="K539" s="22" t="n">
        <v>0.00178271112621089</v>
      </c>
      <c r="L539" s="22" t="n">
        <v>0.00289829405002158</v>
      </c>
      <c r="M539" s="22" t="n">
        <v>0.0100399594921997</v>
      </c>
      <c r="N539" s="22" t="n">
        <v>0.00846860232252744</v>
      </c>
      <c r="O539" s="22" t="n">
        <v>0.00189632699176405</v>
      </c>
      <c r="P539" s="22" t="n">
        <v>0.00127135373146445</v>
      </c>
      <c r="Q539" s="22" t="n">
        <v>0.00208297389209004</v>
      </c>
      <c r="R539" s="22" t="n">
        <v>0.00298470007049165</v>
      </c>
      <c r="S539" s="23" t="n">
        <f aca="false">IF(A539="","",SUM(H539:R539))</f>
        <v>0.0590348616183832</v>
      </c>
      <c r="T539" s="17" t="str">
        <f aca="false">IF(A539="","",IF(AND(MIN(H539:R539)&gt;=0,MAX(H539:R539)&lt;=1,S539&lt;=1),"OK","CHECK"))</f>
        <v>OK</v>
      </c>
      <c r="U539" s="17" t="str">
        <f aca="false">IF(A539="","", "LOSS-"&amp;A539&amp;"-L"&amp;TEXT(B539,"00")&amp;"-"&amp;TEXT(C539,"yyyymmdd")&amp;"-"&amp;D539&amp;"-"&amp;E539)</f>
        <v>LOSS-KG01-L23-20251209-AM-ORD-2025-00238</v>
      </c>
      <c r="V539" s="17" t="str">
        <f aca="false">IF(U539="","",IF(COUNTIF($U$5:$U$935,U539)=1,"OK","CHECK"))</f>
        <v>OK</v>
      </c>
      <c r="W539" s="17" t="str">
        <f aca="false">IF(A539="","",IF(AND(T539="OK",V539="OK",G539&gt;=0),"OK","CHECK"))</f>
        <v>OK</v>
      </c>
    </row>
    <row r="540" customFormat="false" ht="18" hidden="false" customHeight="true" outlineLevel="0" collapsed="false">
      <c r="A540" s="18" t="s">
        <v>39</v>
      </c>
      <c r="B540" s="19" t="n">
        <v>23</v>
      </c>
      <c r="C540" s="20" t="n">
        <v>46000</v>
      </c>
      <c r="D540" s="18" t="s">
        <v>43</v>
      </c>
      <c r="E540" s="18" t="s">
        <v>134</v>
      </c>
      <c r="F540" s="18" t="s">
        <v>42</v>
      </c>
      <c r="G540" s="21" t="n">
        <v>7666</v>
      </c>
      <c r="H540" s="22" t="n">
        <v>0.00207338014471945</v>
      </c>
      <c r="I540" s="22" t="n">
        <v>0.00143960896056024</v>
      </c>
      <c r="J540" s="22" t="n">
        <v>0.00575889979746851</v>
      </c>
      <c r="K540" s="22" t="n">
        <v>0.00642726703009006</v>
      </c>
      <c r="L540" s="22" t="n">
        <v>0.00532724364192957</v>
      </c>
      <c r="M540" s="22" t="n">
        <v>0.00119507776619015</v>
      </c>
      <c r="N540" s="22" t="n">
        <v>0.000279798955397118</v>
      </c>
      <c r="O540" s="22" t="n">
        <v>0.000802365248665921</v>
      </c>
      <c r="P540" s="22" t="n">
        <v>0.00557262475082647</v>
      </c>
      <c r="Q540" s="22" t="n">
        <v>0.0030618392087888</v>
      </c>
      <c r="R540" s="22" t="n">
        <v>0.00617938946093069</v>
      </c>
      <c r="S540" s="23" t="n">
        <f aca="false">IF(A540="","",SUM(H540:R540))</f>
        <v>0.038117494965567</v>
      </c>
      <c r="T540" s="17" t="str">
        <f aca="false">IF(A540="","",IF(AND(MIN(H540:R540)&gt;=0,MAX(H540:R540)&lt;=1,S540&lt;=1),"OK","CHECK"))</f>
        <v>OK</v>
      </c>
      <c r="U540" s="17" t="str">
        <f aca="false">IF(A540="","", "LOSS-"&amp;A540&amp;"-L"&amp;TEXT(B540,"00")&amp;"-"&amp;TEXT(C540,"yyyymmdd")&amp;"-"&amp;D540&amp;"-"&amp;E540)</f>
        <v>LOSS-KG01-L23-20251209-PM-ORD-2025-00238</v>
      </c>
      <c r="V540" s="17" t="str">
        <f aca="false">IF(U540="","",IF(COUNTIF($U$5:$U$935,U540)=1,"OK","CHECK"))</f>
        <v>OK</v>
      </c>
      <c r="W540" s="17" t="str">
        <f aca="false">IF(A540="","",IF(AND(T540="OK",V540="OK",G540&gt;=0),"OK","CHECK"))</f>
        <v>OK</v>
      </c>
    </row>
    <row r="541" customFormat="false" ht="18" hidden="false" customHeight="true" outlineLevel="0" collapsed="false">
      <c r="A541" s="18" t="s">
        <v>39</v>
      </c>
      <c r="B541" s="19" t="n">
        <v>23</v>
      </c>
      <c r="C541" s="20" t="n">
        <v>46001</v>
      </c>
      <c r="D541" s="18" t="s">
        <v>40</v>
      </c>
      <c r="E541" s="18" t="s">
        <v>135</v>
      </c>
      <c r="F541" s="18" t="s">
        <v>45</v>
      </c>
      <c r="G541" s="21" t="n">
        <v>6069</v>
      </c>
      <c r="H541" s="22" t="n">
        <v>0.00277095839947443</v>
      </c>
      <c r="I541" s="22" t="n">
        <v>0.0132222145680603</v>
      </c>
      <c r="J541" s="22" t="n">
        <v>8.44387939695292E-006</v>
      </c>
      <c r="K541" s="22" t="n">
        <v>0.000633491598863798</v>
      </c>
      <c r="L541" s="22" t="n">
        <v>0.00478481423803486</v>
      </c>
      <c r="M541" s="22" t="n">
        <v>0.000441441783656546</v>
      </c>
      <c r="N541" s="22" t="n">
        <v>0.014380138451275</v>
      </c>
      <c r="O541" s="22" t="n">
        <v>0.00688524925265748</v>
      </c>
      <c r="P541" s="22" t="n">
        <v>0.00879470004464504</v>
      </c>
      <c r="Q541" s="22" t="n">
        <v>0.00611133333050285</v>
      </c>
      <c r="R541" s="22" t="n">
        <v>0.00491515715825464</v>
      </c>
      <c r="S541" s="23" t="n">
        <f aca="false">IF(A541="","",SUM(H541:R541))</f>
        <v>0.0629479427048219</v>
      </c>
      <c r="T541" s="17" t="str">
        <f aca="false">IF(A541="","",IF(AND(MIN(H541:R541)&gt;=0,MAX(H541:R541)&lt;=1,S541&lt;=1),"OK","CHECK"))</f>
        <v>OK</v>
      </c>
      <c r="U541" s="17" t="str">
        <f aca="false">IF(A541="","", "LOSS-"&amp;A541&amp;"-L"&amp;TEXT(B541,"00")&amp;"-"&amp;TEXT(C541,"yyyymmdd")&amp;"-"&amp;D541&amp;"-"&amp;E541)</f>
        <v>LOSS-KG01-L23-20251210-AM-ORD-2025-00239</v>
      </c>
      <c r="V541" s="17" t="str">
        <f aca="false">IF(U541="","",IF(COUNTIF($U$5:$U$935,U541)=1,"OK","CHECK"))</f>
        <v>OK</v>
      </c>
      <c r="W541" s="17" t="str">
        <f aca="false">IF(A541="","",IF(AND(T541="OK",V541="OK",G541&gt;=0),"OK","CHECK"))</f>
        <v>OK</v>
      </c>
    </row>
    <row r="542" customFormat="false" ht="18" hidden="false" customHeight="true" outlineLevel="0" collapsed="false">
      <c r="A542" s="18" t="s">
        <v>39</v>
      </c>
      <c r="B542" s="19" t="n">
        <v>23</v>
      </c>
      <c r="C542" s="20" t="n">
        <v>46001</v>
      </c>
      <c r="D542" s="18" t="s">
        <v>43</v>
      </c>
      <c r="E542" s="18" t="s">
        <v>135</v>
      </c>
      <c r="F542" s="18" t="s">
        <v>42</v>
      </c>
      <c r="G542" s="21" t="n">
        <v>9217</v>
      </c>
      <c r="H542" s="22" t="n">
        <v>0.00566228326405172</v>
      </c>
      <c r="I542" s="22" t="n">
        <v>0.000200462685196835</v>
      </c>
      <c r="J542" s="22" t="n">
        <v>0.000884352537374289</v>
      </c>
      <c r="K542" s="22" t="n">
        <v>0.000532977024242848</v>
      </c>
      <c r="L542" s="22" t="n">
        <v>0.0048146440087597</v>
      </c>
      <c r="M542" s="22" t="n">
        <v>0.00513476099827428</v>
      </c>
      <c r="N542" s="22" t="n">
        <v>0.00209121866212881</v>
      </c>
      <c r="O542" s="22" t="n">
        <v>0.00328906828840327</v>
      </c>
      <c r="P542" s="22" t="n">
        <v>0.00514516687057734</v>
      </c>
      <c r="Q542" s="22" t="n">
        <v>0.00248552750745226</v>
      </c>
      <c r="R542" s="22" t="n">
        <v>0.00348290192827228</v>
      </c>
      <c r="S542" s="23" t="n">
        <f aca="false">IF(A542="","",SUM(H542:R542))</f>
        <v>0.0337233637747336</v>
      </c>
      <c r="T542" s="17" t="str">
        <f aca="false">IF(A542="","",IF(AND(MIN(H542:R542)&gt;=0,MAX(H542:R542)&lt;=1,S542&lt;=1),"OK","CHECK"))</f>
        <v>OK</v>
      </c>
      <c r="U542" s="17" t="str">
        <f aca="false">IF(A542="","", "LOSS-"&amp;A542&amp;"-L"&amp;TEXT(B542,"00")&amp;"-"&amp;TEXT(C542,"yyyymmdd")&amp;"-"&amp;D542&amp;"-"&amp;E542)</f>
        <v>LOSS-KG01-L23-20251210-PM-ORD-2025-00239</v>
      </c>
      <c r="V542" s="17" t="str">
        <f aca="false">IF(U542="","",IF(COUNTIF($U$5:$U$935,U542)=1,"OK","CHECK"))</f>
        <v>OK</v>
      </c>
      <c r="W542" s="17" t="str">
        <f aca="false">IF(A542="","",IF(AND(T542="OK",V542="OK",G542&gt;=0),"OK","CHECK"))</f>
        <v>OK</v>
      </c>
    </row>
    <row r="543" customFormat="false" ht="18" hidden="false" customHeight="true" outlineLevel="0" collapsed="false">
      <c r="A543" s="18" t="s">
        <v>39</v>
      </c>
      <c r="B543" s="19" t="n">
        <v>23</v>
      </c>
      <c r="C543" s="20" t="n">
        <v>46002</v>
      </c>
      <c r="D543" s="18" t="s">
        <v>40</v>
      </c>
      <c r="E543" s="18" t="s">
        <v>135</v>
      </c>
      <c r="F543" s="18" t="s">
        <v>42</v>
      </c>
      <c r="G543" s="21" t="n">
        <v>9179</v>
      </c>
      <c r="H543" s="22" t="n">
        <v>2.27381826864601E-005</v>
      </c>
      <c r="I543" s="22" t="n">
        <v>0.000171904825222215</v>
      </c>
      <c r="J543" s="22" t="n">
        <v>7.79430807092352E-005</v>
      </c>
      <c r="K543" s="22" t="n">
        <v>8.4075848049306E-006</v>
      </c>
      <c r="L543" s="22" t="n">
        <v>0.0154491305670805</v>
      </c>
      <c r="M543" s="22" t="n">
        <v>0.0137933312863101</v>
      </c>
      <c r="N543" s="22" t="n">
        <v>0.0020051917378294</v>
      </c>
      <c r="O543" s="22" t="n">
        <v>0.000147618000017982</v>
      </c>
      <c r="P543" s="22" t="n">
        <v>0.0158339892986684</v>
      </c>
      <c r="Q543" s="22" t="n">
        <v>0.00232147256270047</v>
      </c>
      <c r="R543" s="22" t="n">
        <v>0.0100885010917695</v>
      </c>
      <c r="S543" s="23" t="n">
        <f aca="false">IF(A543="","",SUM(H543:R543))</f>
        <v>0.0599202282177992</v>
      </c>
      <c r="T543" s="17" t="str">
        <f aca="false">IF(A543="","",IF(AND(MIN(H543:R543)&gt;=0,MAX(H543:R543)&lt;=1,S543&lt;=1),"OK","CHECK"))</f>
        <v>OK</v>
      </c>
      <c r="U543" s="17" t="str">
        <f aca="false">IF(A543="","", "LOSS-"&amp;A543&amp;"-L"&amp;TEXT(B543,"00")&amp;"-"&amp;TEXT(C543,"yyyymmdd")&amp;"-"&amp;D543&amp;"-"&amp;E543)</f>
        <v>LOSS-KG01-L23-20251211-AM-ORD-2025-00239</v>
      </c>
      <c r="V543" s="17" t="str">
        <f aca="false">IF(U543="","",IF(COUNTIF($U$5:$U$935,U543)=1,"OK","CHECK"))</f>
        <v>OK</v>
      </c>
      <c r="W543" s="17" t="str">
        <f aca="false">IF(A543="","",IF(AND(T543="OK",V543="OK",G543&gt;=0),"OK","CHECK"))</f>
        <v>OK</v>
      </c>
    </row>
    <row r="544" customFormat="false" ht="18" hidden="false" customHeight="true" outlineLevel="0" collapsed="false">
      <c r="A544" s="18" t="s">
        <v>39</v>
      </c>
      <c r="B544" s="19" t="n">
        <v>23</v>
      </c>
      <c r="C544" s="20" t="n">
        <v>46002</v>
      </c>
      <c r="D544" s="18" t="s">
        <v>43</v>
      </c>
      <c r="E544" s="18" t="s">
        <v>135</v>
      </c>
      <c r="F544" s="18" t="s">
        <v>42</v>
      </c>
      <c r="G544" s="21" t="n">
        <v>5906</v>
      </c>
      <c r="H544" s="22" t="n">
        <v>0.0102236250047012</v>
      </c>
      <c r="I544" s="22" t="n">
        <v>0.00105384846847111</v>
      </c>
      <c r="J544" s="22" t="n">
        <v>4.85629292635553E-005</v>
      </c>
      <c r="K544" s="22" t="n">
        <v>0.00432725321241281</v>
      </c>
      <c r="L544" s="22" t="n">
        <v>0.00110895028194157</v>
      </c>
      <c r="M544" s="22" t="n">
        <v>0.00911475385831979</v>
      </c>
      <c r="N544" s="22" t="n">
        <v>0.00222220340266547</v>
      </c>
      <c r="O544" s="22" t="n">
        <v>0.00127743982040955</v>
      </c>
      <c r="P544" s="22" t="n">
        <v>0.000342035098903096</v>
      </c>
      <c r="Q544" s="22" t="n">
        <v>0.00102444254326628</v>
      </c>
      <c r="R544" s="22" t="n">
        <v>0.00717175987409255</v>
      </c>
      <c r="S544" s="23" t="n">
        <f aca="false">IF(A544="","",SUM(H544:R544))</f>
        <v>0.037914874494447</v>
      </c>
      <c r="T544" s="17" t="str">
        <f aca="false">IF(A544="","",IF(AND(MIN(H544:R544)&gt;=0,MAX(H544:R544)&lt;=1,S544&lt;=1),"OK","CHECK"))</f>
        <v>OK</v>
      </c>
      <c r="U544" s="17" t="str">
        <f aca="false">IF(A544="","", "LOSS-"&amp;A544&amp;"-L"&amp;TEXT(B544,"00")&amp;"-"&amp;TEXT(C544,"yyyymmdd")&amp;"-"&amp;D544&amp;"-"&amp;E544)</f>
        <v>LOSS-KG01-L23-20251211-PM-ORD-2025-00239</v>
      </c>
      <c r="V544" s="17" t="str">
        <f aca="false">IF(U544="","",IF(COUNTIF($U$5:$U$935,U544)=1,"OK","CHECK"))</f>
        <v>OK</v>
      </c>
      <c r="W544" s="17" t="str">
        <f aca="false">IF(A544="","",IF(AND(T544="OK",V544="OK",G544&gt;=0),"OK","CHECK"))</f>
        <v>OK</v>
      </c>
    </row>
    <row r="545" customFormat="false" ht="18" hidden="false" customHeight="true" outlineLevel="0" collapsed="false">
      <c r="A545" s="18" t="s">
        <v>39</v>
      </c>
      <c r="B545" s="19" t="n">
        <v>23</v>
      </c>
      <c r="C545" s="20" t="n">
        <v>46003</v>
      </c>
      <c r="D545" s="18" t="s">
        <v>40</v>
      </c>
      <c r="E545" s="18" t="s">
        <v>135</v>
      </c>
      <c r="F545" s="18" t="s">
        <v>42</v>
      </c>
      <c r="G545" s="21" t="n">
        <v>14154</v>
      </c>
      <c r="H545" s="22" t="n">
        <v>0.00036250791650521</v>
      </c>
      <c r="I545" s="22" t="n">
        <v>0.0110056510908962</v>
      </c>
      <c r="J545" s="22" t="n">
        <v>0.000378302131630713</v>
      </c>
      <c r="K545" s="22" t="n">
        <v>0.000199111686674894</v>
      </c>
      <c r="L545" s="22" t="n">
        <v>0.0117598080695727</v>
      </c>
      <c r="M545" s="22" t="n">
        <v>0.00238224166015542</v>
      </c>
      <c r="N545" s="22" t="n">
        <v>0.00447764654472868</v>
      </c>
      <c r="O545" s="22" t="n">
        <v>0.00560995335762858</v>
      </c>
      <c r="P545" s="22" t="n">
        <v>0.00695219764481093</v>
      </c>
      <c r="Q545" s="22" t="n">
        <v>0.00112262332043194</v>
      </c>
      <c r="R545" s="22" t="n">
        <v>0.0102066401595481</v>
      </c>
      <c r="S545" s="23" t="n">
        <f aca="false">IF(A545="","",SUM(H545:R545))</f>
        <v>0.0544566835825834</v>
      </c>
      <c r="T545" s="17" t="str">
        <f aca="false">IF(A545="","",IF(AND(MIN(H545:R545)&gt;=0,MAX(H545:R545)&lt;=1,S545&lt;=1),"OK","CHECK"))</f>
        <v>OK</v>
      </c>
      <c r="U545" s="17" t="str">
        <f aca="false">IF(A545="","", "LOSS-"&amp;A545&amp;"-L"&amp;TEXT(B545,"00")&amp;"-"&amp;TEXT(C545,"yyyymmdd")&amp;"-"&amp;D545&amp;"-"&amp;E545)</f>
        <v>LOSS-KG01-L23-20251212-AM-ORD-2025-00239</v>
      </c>
      <c r="V545" s="17" t="str">
        <f aca="false">IF(U545="","",IF(COUNTIF($U$5:$U$935,U545)=1,"OK","CHECK"))</f>
        <v>OK</v>
      </c>
      <c r="W545" s="17" t="str">
        <f aca="false">IF(A545="","",IF(AND(T545="OK",V545="OK",G545&gt;=0),"OK","CHECK"))</f>
        <v>OK</v>
      </c>
    </row>
    <row r="546" customFormat="false" ht="18" hidden="false" customHeight="true" outlineLevel="0" collapsed="false">
      <c r="A546" s="18" t="s">
        <v>39</v>
      </c>
      <c r="B546" s="19" t="n">
        <v>23</v>
      </c>
      <c r="C546" s="20" t="n">
        <v>46003</v>
      </c>
      <c r="D546" s="18" t="s">
        <v>43</v>
      </c>
      <c r="E546" s="18" t="s">
        <v>135</v>
      </c>
      <c r="F546" s="18" t="s">
        <v>42</v>
      </c>
      <c r="G546" s="21" t="n">
        <v>17187</v>
      </c>
      <c r="H546" s="22" t="n">
        <v>0.00113157549238651</v>
      </c>
      <c r="I546" s="22" t="n">
        <v>0.000233802533160735</v>
      </c>
      <c r="J546" s="22" t="n">
        <v>0.0162614412862955</v>
      </c>
      <c r="K546" s="22" t="n">
        <v>0.0150394004971434</v>
      </c>
      <c r="L546" s="22" t="n">
        <v>0.000171429945655071</v>
      </c>
      <c r="M546" s="22" t="n">
        <v>2.82124700024802E-005</v>
      </c>
      <c r="N546" s="22" t="n">
        <v>0.0140967915389919</v>
      </c>
      <c r="O546" s="22" t="n">
        <v>0.00406729007882704</v>
      </c>
      <c r="P546" s="22" t="n">
        <v>0.00413756155821713</v>
      </c>
      <c r="Q546" s="22" t="n">
        <v>0.0107071347113221</v>
      </c>
      <c r="R546" s="22" t="n">
        <v>0.00625145781028646</v>
      </c>
      <c r="S546" s="23" t="n">
        <f aca="false">IF(A546="","",SUM(H546:R546))</f>
        <v>0.0721260979222883</v>
      </c>
      <c r="T546" s="17" t="str">
        <f aca="false">IF(A546="","",IF(AND(MIN(H546:R546)&gt;=0,MAX(H546:R546)&lt;=1,S546&lt;=1),"OK","CHECK"))</f>
        <v>OK</v>
      </c>
      <c r="U546" s="17" t="str">
        <f aca="false">IF(A546="","", "LOSS-"&amp;A546&amp;"-L"&amp;TEXT(B546,"00")&amp;"-"&amp;TEXT(C546,"yyyymmdd")&amp;"-"&amp;D546&amp;"-"&amp;E546)</f>
        <v>LOSS-KG01-L23-20251212-PM-ORD-2025-00239</v>
      </c>
      <c r="V546" s="17" t="str">
        <f aca="false">IF(U546="","",IF(COUNTIF($U$5:$U$935,U546)=1,"OK","CHECK"))</f>
        <v>OK</v>
      </c>
      <c r="W546" s="17" t="str">
        <f aca="false">IF(A546="","",IF(AND(T546="OK",V546="OK",G546&gt;=0),"OK","CHECK"))</f>
        <v>OK</v>
      </c>
    </row>
    <row r="547" customFormat="false" ht="18" hidden="false" customHeight="true" outlineLevel="0" collapsed="false">
      <c r="A547" s="18" t="s">
        <v>39</v>
      </c>
      <c r="B547" s="19" t="n">
        <v>23</v>
      </c>
      <c r="C547" s="20" t="n">
        <v>46004</v>
      </c>
      <c r="D547" s="18" t="s">
        <v>40</v>
      </c>
      <c r="E547" s="18" t="s">
        <v>135</v>
      </c>
      <c r="F547" s="18" t="s">
        <v>42</v>
      </c>
      <c r="G547" s="21" t="n">
        <v>9365</v>
      </c>
      <c r="H547" s="22" t="n">
        <v>0.0269506435393993</v>
      </c>
      <c r="I547" s="22" t="n">
        <v>0.00362738264736046</v>
      </c>
      <c r="J547" s="22" t="n">
        <v>0.00537040363459511</v>
      </c>
      <c r="K547" s="22" t="n">
        <v>0.00903463372994303</v>
      </c>
      <c r="L547" s="22" t="n">
        <v>0.00552735651084442</v>
      </c>
      <c r="M547" s="22" t="n">
        <v>1.08909954336581E-005</v>
      </c>
      <c r="N547" s="22" t="n">
        <v>0.00667995621470888</v>
      </c>
      <c r="O547" s="22" t="n">
        <v>0.0124647996963784</v>
      </c>
      <c r="P547" s="22" t="n">
        <v>0.00326542221560086</v>
      </c>
      <c r="Q547" s="22" t="n">
        <v>0.00318890699132797</v>
      </c>
      <c r="R547" s="22" t="n">
        <v>0.000199618167517877</v>
      </c>
      <c r="S547" s="23" t="n">
        <f aca="false">IF(A547="","",SUM(H547:R547))</f>
        <v>0.07632001434311</v>
      </c>
      <c r="T547" s="17" t="str">
        <f aca="false">IF(A547="","",IF(AND(MIN(H547:R547)&gt;=0,MAX(H547:R547)&lt;=1,S547&lt;=1),"OK","CHECK"))</f>
        <v>OK</v>
      </c>
      <c r="U547" s="17" t="str">
        <f aca="false">IF(A547="","", "LOSS-"&amp;A547&amp;"-L"&amp;TEXT(B547,"00")&amp;"-"&amp;TEXT(C547,"yyyymmdd")&amp;"-"&amp;D547&amp;"-"&amp;E547)</f>
        <v>LOSS-KG01-L23-20251213-AM-ORD-2025-00239</v>
      </c>
      <c r="V547" s="17" t="str">
        <f aca="false">IF(U547="","",IF(COUNTIF($U$5:$U$935,U547)=1,"OK","CHECK"))</f>
        <v>OK</v>
      </c>
      <c r="W547" s="17" t="str">
        <f aca="false">IF(A547="","",IF(AND(T547="OK",V547="OK",G547&gt;=0),"OK","CHECK"))</f>
        <v>OK</v>
      </c>
    </row>
    <row r="548" customFormat="false" ht="18" hidden="false" customHeight="true" outlineLevel="0" collapsed="false">
      <c r="A548" s="18" t="s">
        <v>39</v>
      </c>
      <c r="B548" s="19" t="n">
        <v>23</v>
      </c>
      <c r="C548" s="20" t="n">
        <v>46004</v>
      </c>
      <c r="D548" s="18" t="s">
        <v>43</v>
      </c>
      <c r="E548" s="18" t="s">
        <v>135</v>
      </c>
      <c r="F548" s="18" t="s">
        <v>42</v>
      </c>
      <c r="G548" s="21" t="n">
        <v>14683</v>
      </c>
      <c r="H548" s="22" t="n">
        <v>0.00221705905503732</v>
      </c>
      <c r="I548" s="22" t="n">
        <v>0.000508803209609427</v>
      </c>
      <c r="J548" s="22" t="n">
        <v>0.00630755470241123</v>
      </c>
      <c r="K548" s="22" t="n">
        <v>0.00743197988899024</v>
      </c>
      <c r="L548" s="22" t="n">
        <v>0.013613307890728</v>
      </c>
      <c r="M548" s="22" t="n">
        <v>0.000199468326244784</v>
      </c>
      <c r="N548" s="22" t="n">
        <v>0.0141611527698186</v>
      </c>
      <c r="O548" s="22" t="n">
        <v>0.0149405258891644</v>
      </c>
      <c r="P548" s="22" t="n">
        <v>0.000629451181795736</v>
      </c>
      <c r="Q548" s="22" t="n">
        <v>0.00651526687046725</v>
      </c>
      <c r="R548" s="22" t="n">
        <v>0.00138437312467588</v>
      </c>
      <c r="S548" s="23" t="n">
        <f aca="false">IF(A548="","",SUM(H548:R548))</f>
        <v>0.0679089429089429</v>
      </c>
      <c r="T548" s="17" t="str">
        <f aca="false">IF(A548="","",IF(AND(MIN(H548:R548)&gt;=0,MAX(H548:R548)&lt;=1,S548&lt;=1),"OK","CHECK"))</f>
        <v>OK</v>
      </c>
      <c r="U548" s="17" t="str">
        <f aca="false">IF(A548="","", "LOSS-"&amp;A548&amp;"-L"&amp;TEXT(B548,"00")&amp;"-"&amp;TEXT(C548,"yyyymmdd")&amp;"-"&amp;D548&amp;"-"&amp;E548)</f>
        <v>LOSS-KG01-L23-20251213-PM-ORD-2025-00239</v>
      </c>
      <c r="V548" s="17" t="str">
        <f aca="false">IF(U548="","",IF(COUNTIF($U$5:$U$935,U548)=1,"OK","CHECK"))</f>
        <v>OK</v>
      </c>
      <c r="W548" s="17" t="str">
        <f aca="false">IF(A548="","",IF(AND(T548="OK",V548="OK",G548&gt;=0),"OK","CHECK"))</f>
        <v>OK</v>
      </c>
    </row>
    <row r="549" customFormat="false" ht="18" hidden="false" customHeight="true" outlineLevel="0" collapsed="false">
      <c r="A549" s="18" t="s">
        <v>39</v>
      </c>
      <c r="B549" s="19" t="n">
        <v>23</v>
      </c>
      <c r="C549" s="20" t="n">
        <v>46005</v>
      </c>
      <c r="D549" s="18" t="s">
        <v>40</v>
      </c>
      <c r="E549" s="18" t="s">
        <v>135</v>
      </c>
      <c r="F549" s="18" t="s">
        <v>42</v>
      </c>
      <c r="G549" s="21" t="n">
        <v>10846</v>
      </c>
      <c r="H549" s="22" t="n">
        <v>0.00612301298479437</v>
      </c>
      <c r="I549" s="22" t="n">
        <v>0.00602754598932508</v>
      </c>
      <c r="J549" s="22" t="n">
        <v>0.00122577048313483</v>
      </c>
      <c r="K549" s="22" t="n">
        <v>0.00942473443667822</v>
      </c>
      <c r="L549" s="22" t="n">
        <v>0.00238467494236013</v>
      </c>
      <c r="M549" s="22" t="n">
        <v>0.00376743766096893</v>
      </c>
      <c r="N549" s="22" t="n">
        <v>0.00339497659743106</v>
      </c>
      <c r="O549" s="22" t="n">
        <v>0.00958120146410219</v>
      </c>
      <c r="P549" s="22" t="n">
        <v>0.00129944321047593</v>
      </c>
      <c r="Q549" s="22" t="n">
        <v>0.000622189202472872</v>
      </c>
      <c r="R549" s="22" t="n">
        <v>0.00256807711446934</v>
      </c>
      <c r="S549" s="23" t="n">
        <f aca="false">IF(A549="","",SUM(H549:R549))</f>
        <v>0.046419064086213</v>
      </c>
      <c r="T549" s="17" t="str">
        <f aca="false">IF(A549="","",IF(AND(MIN(H549:R549)&gt;=0,MAX(H549:R549)&lt;=1,S549&lt;=1),"OK","CHECK"))</f>
        <v>OK</v>
      </c>
      <c r="U549" s="17" t="str">
        <f aca="false">IF(A549="","", "LOSS-"&amp;A549&amp;"-L"&amp;TEXT(B549,"00")&amp;"-"&amp;TEXT(C549,"yyyymmdd")&amp;"-"&amp;D549&amp;"-"&amp;E549)</f>
        <v>LOSS-KG01-L23-20251214-AM-ORD-2025-00239</v>
      </c>
      <c r="V549" s="17" t="str">
        <f aca="false">IF(U549="","",IF(COUNTIF($U$5:$U$935,U549)=1,"OK","CHECK"))</f>
        <v>OK</v>
      </c>
      <c r="W549" s="17" t="str">
        <f aca="false">IF(A549="","",IF(AND(T549="OK",V549="OK",G549&gt;=0),"OK","CHECK"))</f>
        <v>OK</v>
      </c>
    </row>
    <row r="550" customFormat="false" ht="18" hidden="false" customHeight="true" outlineLevel="0" collapsed="false">
      <c r="A550" s="18" t="s">
        <v>39</v>
      </c>
      <c r="B550" s="19" t="n">
        <v>23</v>
      </c>
      <c r="C550" s="20" t="n">
        <v>46005</v>
      </c>
      <c r="D550" s="18" t="s">
        <v>43</v>
      </c>
      <c r="E550" s="18" t="s">
        <v>136</v>
      </c>
      <c r="F550" s="18" t="s">
        <v>45</v>
      </c>
      <c r="G550" s="21" t="n">
        <v>11919</v>
      </c>
      <c r="H550" s="22" t="n">
        <v>0.0164526107157128</v>
      </c>
      <c r="I550" s="22" t="n">
        <v>0.0139503590429511</v>
      </c>
      <c r="J550" s="22" t="n">
        <v>9.37682477732444E-006</v>
      </c>
      <c r="K550" s="22" t="n">
        <v>0.00173134146551491</v>
      </c>
      <c r="L550" s="22" t="n">
        <v>0.000475114438466397</v>
      </c>
      <c r="M550" s="22" t="n">
        <v>0.00719467313915884</v>
      </c>
      <c r="N550" s="22" t="n">
        <v>0.00837171418179092</v>
      </c>
      <c r="O550" s="22" t="n">
        <v>0.00118104258694044</v>
      </c>
      <c r="P550" s="22" t="n">
        <v>0.0169290490571928</v>
      </c>
      <c r="Q550" s="22" t="n">
        <v>0.00194344874842095</v>
      </c>
      <c r="R550" s="22" t="n">
        <v>0.00126994453299981</v>
      </c>
      <c r="S550" s="23" t="n">
        <f aca="false">IF(A550="","",SUM(H550:R550))</f>
        <v>0.0695086747339263</v>
      </c>
      <c r="T550" s="17" t="str">
        <f aca="false">IF(A550="","",IF(AND(MIN(H550:R550)&gt;=0,MAX(H550:R550)&lt;=1,S550&lt;=1),"OK","CHECK"))</f>
        <v>OK</v>
      </c>
      <c r="U550" s="17" t="str">
        <f aca="false">IF(A550="","", "LOSS-"&amp;A550&amp;"-L"&amp;TEXT(B550,"00")&amp;"-"&amp;TEXT(C550,"yyyymmdd")&amp;"-"&amp;D550&amp;"-"&amp;E550)</f>
        <v>LOSS-KG01-L23-20251214-PM-ORD-2025-00240</v>
      </c>
      <c r="V550" s="17" t="str">
        <f aca="false">IF(U550="","",IF(COUNTIF($U$5:$U$935,U550)=1,"OK","CHECK"))</f>
        <v>OK</v>
      </c>
      <c r="W550" s="17" t="str">
        <f aca="false">IF(A550="","",IF(AND(T550="OK",V550="OK",G550&gt;=0),"OK","CHECK"))</f>
        <v>OK</v>
      </c>
    </row>
    <row r="551" customFormat="false" ht="18" hidden="false" customHeight="true" outlineLevel="0" collapsed="false">
      <c r="A551" s="18" t="s">
        <v>39</v>
      </c>
      <c r="B551" s="19" t="n">
        <v>23</v>
      </c>
      <c r="C551" s="20" t="n">
        <v>46006</v>
      </c>
      <c r="D551" s="18" t="s">
        <v>40</v>
      </c>
      <c r="E551" s="18" t="s">
        <v>136</v>
      </c>
      <c r="F551" s="18" t="s">
        <v>42</v>
      </c>
      <c r="G551" s="21" t="n">
        <v>5641</v>
      </c>
      <c r="H551" s="22" t="n">
        <v>0.00578628506284385</v>
      </c>
      <c r="I551" s="22" t="n">
        <v>0.00251996519700379</v>
      </c>
      <c r="J551" s="22" t="n">
        <v>0.00254086155383941</v>
      </c>
      <c r="K551" s="22" t="n">
        <v>0.00064765849278403</v>
      </c>
      <c r="L551" s="22" t="n">
        <v>5.75179905511058E-006</v>
      </c>
      <c r="M551" s="22" t="n">
        <v>0.0044436730187979</v>
      </c>
      <c r="N551" s="22" t="n">
        <v>0.00501651869981135</v>
      </c>
      <c r="O551" s="22" t="n">
        <v>6.66253176301076E-007</v>
      </c>
      <c r="P551" s="22" t="n">
        <v>0.00192294646394726</v>
      </c>
      <c r="Q551" s="22" t="n">
        <v>0.000535456429928589</v>
      </c>
      <c r="R551" s="22" t="n">
        <v>0.000232902851876408</v>
      </c>
      <c r="S551" s="23" t="n">
        <f aca="false">IF(A551="","",SUM(H551:R551))</f>
        <v>0.023652685823064</v>
      </c>
      <c r="T551" s="17" t="str">
        <f aca="false">IF(A551="","",IF(AND(MIN(H551:R551)&gt;=0,MAX(H551:R551)&lt;=1,S551&lt;=1),"OK","CHECK"))</f>
        <v>OK</v>
      </c>
      <c r="U551" s="17" t="str">
        <f aca="false">IF(A551="","", "LOSS-"&amp;A551&amp;"-L"&amp;TEXT(B551,"00")&amp;"-"&amp;TEXT(C551,"yyyymmdd")&amp;"-"&amp;D551&amp;"-"&amp;E551)</f>
        <v>LOSS-KG01-L23-20251215-AM-ORD-2025-00240</v>
      </c>
      <c r="V551" s="17" t="str">
        <f aca="false">IF(U551="","",IF(COUNTIF($U$5:$U$935,U551)=1,"OK","CHECK"))</f>
        <v>OK</v>
      </c>
      <c r="W551" s="17" t="str">
        <f aca="false">IF(A551="","",IF(AND(T551="OK",V551="OK",G551&gt;=0),"OK","CHECK"))</f>
        <v>OK</v>
      </c>
    </row>
    <row r="552" customFormat="false" ht="18" hidden="false" customHeight="true" outlineLevel="0" collapsed="false">
      <c r="A552" s="18" t="s">
        <v>39</v>
      </c>
      <c r="B552" s="19" t="n">
        <v>23</v>
      </c>
      <c r="C552" s="20" t="n">
        <v>46006</v>
      </c>
      <c r="D552" s="18" t="s">
        <v>43</v>
      </c>
      <c r="E552" s="18" t="s">
        <v>136</v>
      </c>
      <c r="F552" s="18" t="s">
        <v>61</v>
      </c>
      <c r="G552" s="21" t="n">
        <v>10588</v>
      </c>
      <c r="H552" s="22" t="n">
        <v>0.00252590354462789</v>
      </c>
      <c r="I552" s="22" t="n">
        <v>0.00172404879063585</v>
      </c>
      <c r="J552" s="22" t="n">
        <v>0.00552493710230269</v>
      </c>
      <c r="K552" s="22" t="n">
        <v>0.000834905252509196</v>
      </c>
      <c r="L552" s="22" t="n">
        <v>0.00160838050041278</v>
      </c>
      <c r="M552" s="22" t="n">
        <v>0.00153759417060367</v>
      </c>
      <c r="N552" s="22" t="n">
        <v>0.00300281083264731</v>
      </c>
      <c r="O552" s="22" t="n">
        <v>0.0112841037211358</v>
      </c>
      <c r="P552" s="22" t="n">
        <v>0.0020595958399888</v>
      </c>
      <c r="Q552" s="22" t="n">
        <v>0.00571716740858542</v>
      </c>
      <c r="R552" s="22" t="n">
        <v>0.000200161546845809</v>
      </c>
      <c r="S552" s="23" t="n">
        <f aca="false">IF(A552="","",SUM(H552:R552))</f>
        <v>0.0360196087102952</v>
      </c>
      <c r="T552" s="17" t="str">
        <f aca="false">IF(A552="","",IF(AND(MIN(H552:R552)&gt;=0,MAX(H552:R552)&lt;=1,S552&lt;=1),"OK","CHECK"))</f>
        <v>OK</v>
      </c>
      <c r="U552" s="17" t="str">
        <f aca="false">IF(A552="","", "LOSS-"&amp;A552&amp;"-L"&amp;TEXT(B552,"00")&amp;"-"&amp;TEXT(C552,"yyyymmdd")&amp;"-"&amp;D552&amp;"-"&amp;E552)</f>
        <v>LOSS-KG01-L23-20251215-PM-ORD-2025-00240</v>
      </c>
      <c r="V552" s="17" t="str">
        <f aca="false">IF(U552="","",IF(COUNTIF($U$5:$U$935,U552)=1,"OK","CHECK"))</f>
        <v>OK</v>
      </c>
      <c r="W552" s="17" t="str">
        <f aca="false">IF(A552="","",IF(AND(T552="OK",V552="OK",G552&gt;=0),"OK","CHECK"))</f>
        <v>OK</v>
      </c>
    </row>
    <row r="553" customFormat="false" ht="18" hidden="false" customHeight="true" outlineLevel="0" collapsed="false">
      <c r="A553" s="18" t="s">
        <v>39</v>
      </c>
      <c r="B553" s="19" t="n">
        <v>23</v>
      </c>
      <c r="C553" s="20" t="n">
        <v>46007</v>
      </c>
      <c r="D553" s="18" t="s">
        <v>40</v>
      </c>
      <c r="E553" s="18" t="s">
        <v>136</v>
      </c>
      <c r="F553" s="18" t="s">
        <v>42</v>
      </c>
      <c r="G553" s="21" t="n">
        <v>4181</v>
      </c>
      <c r="H553" s="22" t="n">
        <v>0.000867057151277001</v>
      </c>
      <c r="I553" s="22" t="n">
        <v>0.000494915369492234</v>
      </c>
      <c r="J553" s="22" t="n">
        <v>0.000269138252796186</v>
      </c>
      <c r="K553" s="22" t="n">
        <v>0.000573703749006559</v>
      </c>
      <c r="L553" s="22" t="n">
        <v>5.01937207250919E-005</v>
      </c>
      <c r="M553" s="22" t="n">
        <v>0.00146378648298595</v>
      </c>
      <c r="N553" s="22" t="n">
        <v>0.00326426763285346</v>
      </c>
      <c r="O553" s="22" t="n">
        <v>0.00469245194053001</v>
      </c>
      <c r="P553" s="22" t="n">
        <v>0.00603339952775719</v>
      </c>
      <c r="Q553" s="22" t="n">
        <v>0.00536766056666866</v>
      </c>
      <c r="R553" s="22" t="n">
        <v>0.00580411747151333</v>
      </c>
      <c r="S553" s="23" t="n">
        <f aca="false">IF(A553="","",SUM(H553:R553))</f>
        <v>0.0288806918656057</v>
      </c>
      <c r="T553" s="17" t="str">
        <f aca="false">IF(A553="","",IF(AND(MIN(H553:R553)&gt;=0,MAX(H553:R553)&lt;=1,S553&lt;=1),"OK","CHECK"))</f>
        <v>OK</v>
      </c>
      <c r="U553" s="17" t="str">
        <f aca="false">IF(A553="","", "LOSS-"&amp;A553&amp;"-L"&amp;TEXT(B553,"00")&amp;"-"&amp;TEXT(C553,"yyyymmdd")&amp;"-"&amp;D553&amp;"-"&amp;E553)</f>
        <v>LOSS-KG01-L23-20251216-AM-ORD-2025-00240</v>
      </c>
      <c r="V553" s="17" t="str">
        <f aca="false">IF(U553="","",IF(COUNTIF($U$5:$U$935,U553)=1,"OK","CHECK"))</f>
        <v>OK</v>
      </c>
      <c r="W553" s="17" t="str">
        <f aca="false">IF(A553="","",IF(AND(T553="OK",V553="OK",G553&gt;=0),"OK","CHECK"))</f>
        <v>OK</v>
      </c>
    </row>
    <row r="554" customFormat="false" ht="18" hidden="false" customHeight="true" outlineLevel="0" collapsed="false">
      <c r="A554" s="18" t="s">
        <v>39</v>
      </c>
      <c r="B554" s="19" t="n">
        <v>23</v>
      </c>
      <c r="C554" s="20" t="n">
        <v>46007</v>
      </c>
      <c r="D554" s="18" t="s">
        <v>43</v>
      </c>
      <c r="E554" s="18" t="s">
        <v>136</v>
      </c>
      <c r="F554" s="18" t="s">
        <v>42</v>
      </c>
      <c r="G554" s="21" t="n">
        <v>17418</v>
      </c>
      <c r="H554" s="22" t="n">
        <v>1.48858182180167E-005</v>
      </c>
      <c r="I554" s="22" t="n">
        <v>0.000464532651439631</v>
      </c>
      <c r="J554" s="22" t="n">
        <v>0.0163311802534919</v>
      </c>
      <c r="K554" s="22" t="n">
        <v>0.00166000213199746</v>
      </c>
      <c r="L554" s="22" t="n">
        <v>0.000882079921407786</v>
      </c>
      <c r="M554" s="22" t="n">
        <v>0.000118663278796604</v>
      </c>
      <c r="N554" s="22" t="n">
        <v>0.00919790639342927</v>
      </c>
      <c r="O554" s="22" t="n">
        <v>0.0015788167325862</v>
      </c>
      <c r="P554" s="22" t="n">
        <v>0.000214748350306011</v>
      </c>
      <c r="Q554" s="22" t="n">
        <v>0.000159923053405214</v>
      </c>
      <c r="R554" s="22" t="n">
        <v>0.0147041757340944</v>
      </c>
      <c r="S554" s="23" t="n">
        <f aca="false">IF(A554="","",SUM(H554:R554))</f>
        <v>0.0453269143191725</v>
      </c>
      <c r="T554" s="17" t="str">
        <f aca="false">IF(A554="","",IF(AND(MIN(H554:R554)&gt;=0,MAX(H554:R554)&lt;=1,S554&lt;=1),"OK","CHECK"))</f>
        <v>OK</v>
      </c>
      <c r="U554" s="17" t="str">
        <f aca="false">IF(A554="","", "LOSS-"&amp;A554&amp;"-L"&amp;TEXT(B554,"00")&amp;"-"&amp;TEXT(C554,"yyyymmdd")&amp;"-"&amp;D554&amp;"-"&amp;E554)</f>
        <v>LOSS-KG01-L23-20251216-PM-ORD-2025-00240</v>
      </c>
      <c r="V554" s="17" t="str">
        <f aca="false">IF(U554="","",IF(COUNTIF($U$5:$U$935,U554)=1,"OK","CHECK"))</f>
        <v>OK</v>
      </c>
      <c r="W554" s="17" t="str">
        <f aca="false">IF(A554="","",IF(AND(T554="OK",V554="OK",G554&gt;=0),"OK","CHECK"))</f>
        <v>OK</v>
      </c>
    </row>
    <row r="555" customFormat="false" ht="18" hidden="false" customHeight="true" outlineLevel="0" collapsed="false">
      <c r="A555" s="18" t="s">
        <v>39</v>
      </c>
      <c r="B555" s="19" t="n">
        <v>23</v>
      </c>
      <c r="C555" s="20" t="n">
        <v>46008</v>
      </c>
      <c r="D555" s="18" t="s">
        <v>40</v>
      </c>
      <c r="E555" s="18" t="s">
        <v>136</v>
      </c>
      <c r="F555" s="18" t="s">
        <v>42</v>
      </c>
      <c r="G555" s="21" t="n">
        <v>9699</v>
      </c>
      <c r="H555" s="22" t="n">
        <v>0.00836242741034936</v>
      </c>
      <c r="I555" s="22" t="n">
        <v>0.00179405094671001</v>
      </c>
      <c r="J555" s="22" t="n">
        <v>0.0127357881914036</v>
      </c>
      <c r="K555" s="22" t="n">
        <v>7.63687133055028E-005</v>
      </c>
      <c r="L555" s="22" t="n">
        <v>0.00523545692634566</v>
      </c>
      <c r="M555" s="22" t="n">
        <v>0.0143753059455119</v>
      </c>
      <c r="N555" s="22" t="n">
        <v>0.014478668719635</v>
      </c>
      <c r="O555" s="22" t="n">
        <v>0.00613826218981123</v>
      </c>
      <c r="P555" s="22" t="n">
        <v>0.00168802124973996</v>
      </c>
      <c r="Q555" s="22" t="n">
        <v>0.00681624354061097</v>
      </c>
      <c r="R555" s="22" t="n">
        <v>0.0057847862835359</v>
      </c>
      <c r="S555" s="23" t="n">
        <f aca="false">IF(A555="","",SUM(H555:R555))</f>
        <v>0.0774853801169591</v>
      </c>
      <c r="T555" s="17" t="str">
        <f aca="false">IF(A555="","",IF(AND(MIN(H555:R555)&gt;=0,MAX(H555:R555)&lt;=1,S555&lt;=1),"OK","CHECK"))</f>
        <v>OK</v>
      </c>
      <c r="U555" s="17" t="str">
        <f aca="false">IF(A555="","", "LOSS-"&amp;A555&amp;"-L"&amp;TEXT(B555,"00")&amp;"-"&amp;TEXT(C555,"yyyymmdd")&amp;"-"&amp;D555&amp;"-"&amp;E555)</f>
        <v>LOSS-KG01-L23-20251217-AM-ORD-2025-00240</v>
      </c>
      <c r="V555" s="17" t="str">
        <f aca="false">IF(U555="","",IF(COUNTIF($U$5:$U$935,U555)=1,"OK","CHECK"))</f>
        <v>OK</v>
      </c>
      <c r="W555" s="17" t="str">
        <f aca="false">IF(A555="","",IF(AND(T555="OK",V555="OK",G555&gt;=0),"OK","CHECK"))</f>
        <v>OK</v>
      </c>
    </row>
    <row r="556" customFormat="false" ht="18" hidden="false" customHeight="true" outlineLevel="0" collapsed="false">
      <c r="A556" s="18" t="s">
        <v>39</v>
      </c>
      <c r="B556" s="19" t="n">
        <v>23</v>
      </c>
      <c r="C556" s="20" t="n">
        <v>46008</v>
      </c>
      <c r="D556" s="18" t="s">
        <v>43</v>
      </c>
      <c r="E556" s="18" t="s">
        <v>136</v>
      </c>
      <c r="F556" s="18" t="s">
        <v>42</v>
      </c>
      <c r="G556" s="21" t="n">
        <v>16406</v>
      </c>
      <c r="H556" s="22" t="n">
        <v>6.7724469222558E-005</v>
      </c>
      <c r="I556" s="22" t="n">
        <v>0.000413084283909192</v>
      </c>
      <c r="J556" s="22" t="n">
        <v>0.0180917095645245</v>
      </c>
      <c r="K556" s="22" t="n">
        <v>0.0184306687857785</v>
      </c>
      <c r="L556" s="22" t="n">
        <v>0.00073931621188879</v>
      </c>
      <c r="M556" s="22" t="n">
        <v>0.0110751287292618</v>
      </c>
      <c r="N556" s="22" t="n">
        <v>0.000180073447363161</v>
      </c>
      <c r="O556" s="22" t="n">
        <v>0.00402444996700787</v>
      </c>
      <c r="P556" s="22" t="n">
        <v>0.0100910201208114</v>
      </c>
      <c r="Q556" s="22" t="n">
        <v>0.000948716143918383</v>
      </c>
      <c r="R556" s="22" t="n">
        <v>0.0110358369430843</v>
      </c>
      <c r="S556" s="23" t="n">
        <f aca="false">IF(A556="","",SUM(H556:R556))</f>
        <v>0.0750977286667705</v>
      </c>
      <c r="T556" s="17" t="str">
        <f aca="false">IF(A556="","",IF(AND(MIN(H556:R556)&gt;=0,MAX(H556:R556)&lt;=1,S556&lt;=1),"OK","CHECK"))</f>
        <v>OK</v>
      </c>
      <c r="U556" s="17" t="str">
        <f aca="false">IF(A556="","", "LOSS-"&amp;A556&amp;"-L"&amp;TEXT(B556,"00")&amp;"-"&amp;TEXT(C556,"yyyymmdd")&amp;"-"&amp;D556&amp;"-"&amp;E556)</f>
        <v>LOSS-KG01-L23-20251217-PM-ORD-2025-00240</v>
      </c>
      <c r="V556" s="17" t="str">
        <f aca="false">IF(U556="","",IF(COUNTIF($U$5:$U$935,U556)=1,"OK","CHECK"))</f>
        <v>OK</v>
      </c>
      <c r="W556" s="17" t="str">
        <f aca="false">IF(A556="","",IF(AND(T556="OK",V556="OK",G556&gt;=0),"OK","CHECK"))</f>
        <v>OK</v>
      </c>
    </row>
    <row r="557" customFormat="false" ht="18" hidden="false" customHeight="true" outlineLevel="0" collapsed="false">
      <c r="A557" s="18" t="s">
        <v>39</v>
      </c>
      <c r="B557" s="19" t="n">
        <v>23</v>
      </c>
      <c r="C557" s="20" t="n">
        <v>46009</v>
      </c>
      <c r="D557" s="18" t="s">
        <v>40</v>
      </c>
      <c r="E557" s="18" t="s">
        <v>136</v>
      </c>
      <c r="F557" s="18" t="s">
        <v>42</v>
      </c>
      <c r="G557" s="21" t="n">
        <v>9631</v>
      </c>
      <c r="H557" s="22" t="n">
        <v>0.00212943721753999</v>
      </c>
      <c r="I557" s="22" t="n">
        <v>0.00556484229072585</v>
      </c>
      <c r="J557" s="22" t="n">
        <v>0.000527900190571992</v>
      </c>
      <c r="K557" s="22" t="n">
        <v>0.00950812501208435</v>
      </c>
      <c r="L557" s="22" t="n">
        <v>0.00713548078479942</v>
      </c>
      <c r="M557" s="22" t="n">
        <v>0.00348981634127662</v>
      </c>
      <c r="N557" s="22" t="n">
        <v>0.00709596828884703</v>
      </c>
      <c r="O557" s="22" t="n">
        <v>0.00313184754235502</v>
      </c>
      <c r="P557" s="22" t="n">
        <v>0.00761326215091308</v>
      </c>
      <c r="Q557" s="22" t="n">
        <v>0.00498233424317166</v>
      </c>
      <c r="R557" s="22" t="n">
        <v>0.0105431305435162</v>
      </c>
      <c r="S557" s="23" t="n">
        <f aca="false">IF(A557="","",SUM(H557:R557))</f>
        <v>0.0617221446058012</v>
      </c>
      <c r="T557" s="17" t="str">
        <f aca="false">IF(A557="","",IF(AND(MIN(H557:R557)&gt;=0,MAX(H557:R557)&lt;=1,S557&lt;=1),"OK","CHECK"))</f>
        <v>OK</v>
      </c>
      <c r="U557" s="17" t="str">
        <f aca="false">IF(A557="","", "LOSS-"&amp;A557&amp;"-L"&amp;TEXT(B557,"00")&amp;"-"&amp;TEXT(C557,"yyyymmdd")&amp;"-"&amp;D557&amp;"-"&amp;E557)</f>
        <v>LOSS-KG01-L23-20251218-AM-ORD-2025-00240</v>
      </c>
      <c r="V557" s="17" t="str">
        <f aca="false">IF(U557="","",IF(COUNTIF($U$5:$U$935,U557)=1,"OK","CHECK"))</f>
        <v>OK</v>
      </c>
      <c r="W557" s="17" t="str">
        <f aca="false">IF(A557="","",IF(AND(T557="OK",V557="OK",G557&gt;=0),"OK","CHECK"))</f>
        <v>OK</v>
      </c>
    </row>
    <row r="558" customFormat="false" ht="18" hidden="false" customHeight="true" outlineLevel="0" collapsed="false">
      <c r="A558" s="18" t="s">
        <v>39</v>
      </c>
      <c r="B558" s="19" t="n">
        <v>23</v>
      </c>
      <c r="C558" s="20" t="n">
        <v>46009</v>
      </c>
      <c r="D558" s="18" t="s">
        <v>43</v>
      </c>
      <c r="E558" s="18" t="s">
        <v>137</v>
      </c>
      <c r="F558" s="18" t="s">
        <v>45</v>
      </c>
      <c r="G558" s="21" t="n">
        <v>4773</v>
      </c>
      <c r="H558" s="22" t="n">
        <v>0.00419172395552017</v>
      </c>
      <c r="I558" s="22" t="n">
        <v>0.00551506448106833</v>
      </c>
      <c r="J558" s="22" t="n">
        <v>0.000135489317662345</v>
      </c>
      <c r="K558" s="22" t="n">
        <v>0.0203152291726702</v>
      </c>
      <c r="L558" s="22" t="n">
        <v>0.0014835735789683</v>
      </c>
      <c r="M558" s="22" t="n">
        <v>0.0165081285997211</v>
      </c>
      <c r="N558" s="22" t="n">
        <v>0.00708802489789191</v>
      </c>
      <c r="O558" s="22" t="n">
        <v>0.000767440044211007</v>
      </c>
      <c r="P558" s="22" t="n">
        <v>0.000329192280067091</v>
      </c>
      <c r="Q558" s="22" t="n">
        <v>0.0124183475022326</v>
      </c>
      <c r="R558" s="22" t="n">
        <v>0.000758169765944232</v>
      </c>
      <c r="S558" s="23" t="n">
        <f aca="false">IF(A558="","",SUM(H558:R558))</f>
        <v>0.0695103835959573</v>
      </c>
      <c r="T558" s="17" t="str">
        <f aca="false">IF(A558="","",IF(AND(MIN(H558:R558)&gt;=0,MAX(H558:R558)&lt;=1,S558&lt;=1),"OK","CHECK"))</f>
        <v>OK</v>
      </c>
      <c r="U558" s="17" t="str">
        <f aca="false">IF(A558="","", "LOSS-"&amp;A558&amp;"-L"&amp;TEXT(B558,"00")&amp;"-"&amp;TEXT(C558,"yyyymmdd")&amp;"-"&amp;D558&amp;"-"&amp;E558)</f>
        <v>LOSS-KG01-L23-20251218-PM-ORD-2025-00241</v>
      </c>
      <c r="V558" s="17" t="str">
        <f aca="false">IF(U558="","",IF(COUNTIF($U$5:$U$935,U558)=1,"OK","CHECK"))</f>
        <v>OK</v>
      </c>
      <c r="W558" s="17" t="str">
        <f aca="false">IF(A558="","",IF(AND(T558="OK",V558="OK",G558&gt;=0),"OK","CHECK"))</f>
        <v>OK</v>
      </c>
    </row>
    <row r="559" customFormat="false" ht="18" hidden="false" customHeight="true" outlineLevel="0" collapsed="false">
      <c r="A559" s="18" t="s">
        <v>39</v>
      </c>
      <c r="B559" s="19" t="n">
        <v>23</v>
      </c>
      <c r="C559" s="20" t="n">
        <v>46010</v>
      </c>
      <c r="D559" s="18" t="s">
        <v>40</v>
      </c>
      <c r="E559" s="18" t="s">
        <v>137</v>
      </c>
      <c r="F559" s="18" t="s">
        <v>42</v>
      </c>
      <c r="G559" s="21" t="n">
        <v>5324</v>
      </c>
      <c r="H559" s="22" t="n">
        <v>0.00720825489355096</v>
      </c>
      <c r="I559" s="22" t="n">
        <v>0.00572505668673447</v>
      </c>
      <c r="J559" s="22" t="n">
        <v>0.000519030348105814</v>
      </c>
      <c r="K559" s="22" t="n">
        <v>0.00155908991530836</v>
      </c>
      <c r="L559" s="22" t="n">
        <v>0.00699619531969399</v>
      </c>
      <c r="M559" s="22" t="n">
        <v>0.000881250867439995</v>
      </c>
      <c r="N559" s="22" t="n">
        <v>0.00170135958424231</v>
      </c>
      <c r="O559" s="22" t="n">
        <v>0.00410747046495893</v>
      </c>
      <c r="P559" s="22" t="n">
        <v>0.000476813607067441</v>
      </c>
      <c r="Q559" s="22" t="n">
        <v>0.000630349039823616</v>
      </c>
      <c r="R559" s="22" t="n">
        <v>0.00118970347608742</v>
      </c>
      <c r="S559" s="23" t="n">
        <f aca="false">IF(A559="","",SUM(H559:R559))</f>
        <v>0.0309945742030133</v>
      </c>
      <c r="T559" s="17" t="str">
        <f aca="false">IF(A559="","",IF(AND(MIN(H559:R559)&gt;=0,MAX(H559:R559)&lt;=1,S559&lt;=1),"OK","CHECK"))</f>
        <v>OK</v>
      </c>
      <c r="U559" s="17" t="str">
        <f aca="false">IF(A559="","", "LOSS-"&amp;A559&amp;"-L"&amp;TEXT(B559,"00")&amp;"-"&amp;TEXT(C559,"yyyymmdd")&amp;"-"&amp;D559&amp;"-"&amp;E559)</f>
        <v>LOSS-KG01-L23-20251219-AM-ORD-2025-00241</v>
      </c>
      <c r="V559" s="17" t="str">
        <f aca="false">IF(U559="","",IF(COUNTIF($U$5:$U$935,U559)=1,"OK","CHECK"))</f>
        <v>OK</v>
      </c>
      <c r="W559" s="17" t="str">
        <f aca="false">IF(A559="","",IF(AND(T559="OK",V559="OK",G559&gt;=0),"OK","CHECK"))</f>
        <v>OK</v>
      </c>
    </row>
    <row r="560" customFormat="false" ht="18" hidden="false" customHeight="true" outlineLevel="0" collapsed="false">
      <c r="A560" s="18" t="s">
        <v>39</v>
      </c>
      <c r="B560" s="19" t="n">
        <v>23</v>
      </c>
      <c r="C560" s="20" t="n">
        <v>46010</v>
      </c>
      <c r="D560" s="18" t="s">
        <v>43</v>
      </c>
      <c r="E560" s="18" t="s">
        <v>137</v>
      </c>
      <c r="F560" s="18" t="s">
        <v>42</v>
      </c>
      <c r="G560" s="21" t="n">
        <v>7186</v>
      </c>
      <c r="H560" s="22" t="n">
        <v>0.000813371938698282</v>
      </c>
      <c r="I560" s="22" t="n">
        <v>6.84186659049325E-007</v>
      </c>
      <c r="J560" s="22" t="n">
        <v>0.0111276761096564</v>
      </c>
      <c r="K560" s="22" t="n">
        <v>0.00655538796686992</v>
      </c>
      <c r="L560" s="22" t="n">
        <v>0.00111142914023092</v>
      </c>
      <c r="M560" s="22" t="n">
        <v>0.000364886410641536</v>
      </c>
      <c r="N560" s="22" t="n">
        <v>5.32744901362888E-005</v>
      </c>
      <c r="O560" s="22" t="n">
        <v>0.00342294972552426</v>
      </c>
      <c r="P560" s="22" t="n">
        <v>0.0114330612715071</v>
      </c>
      <c r="Q560" s="22" t="n">
        <v>5.11932863169633E-005</v>
      </c>
      <c r="R560" s="22" t="n">
        <v>0.00801167736513435</v>
      </c>
      <c r="S560" s="23" t="n">
        <f aca="false">IF(A560="","",SUM(H560:R560))</f>
        <v>0.0429455918913751</v>
      </c>
      <c r="T560" s="17" t="str">
        <f aca="false">IF(A560="","",IF(AND(MIN(H560:R560)&gt;=0,MAX(H560:R560)&lt;=1,S560&lt;=1),"OK","CHECK"))</f>
        <v>OK</v>
      </c>
      <c r="U560" s="17" t="str">
        <f aca="false">IF(A560="","", "LOSS-"&amp;A560&amp;"-L"&amp;TEXT(B560,"00")&amp;"-"&amp;TEXT(C560,"yyyymmdd")&amp;"-"&amp;D560&amp;"-"&amp;E560)</f>
        <v>LOSS-KG01-L23-20251219-PM-ORD-2025-00241</v>
      </c>
      <c r="V560" s="17" t="str">
        <f aca="false">IF(U560="","",IF(COUNTIF($U$5:$U$935,U560)=1,"OK","CHECK"))</f>
        <v>OK</v>
      </c>
      <c r="W560" s="17" t="str">
        <f aca="false">IF(A560="","",IF(AND(T560="OK",V560="OK",G560&gt;=0),"OK","CHECK"))</f>
        <v>OK</v>
      </c>
    </row>
    <row r="561" customFormat="false" ht="18" hidden="false" customHeight="true" outlineLevel="0" collapsed="false">
      <c r="A561" s="18" t="s">
        <v>39</v>
      </c>
      <c r="B561" s="19" t="n">
        <v>23</v>
      </c>
      <c r="C561" s="20" t="n">
        <v>46011</v>
      </c>
      <c r="D561" s="18" t="s">
        <v>40</v>
      </c>
      <c r="E561" s="18" t="s">
        <v>137</v>
      </c>
      <c r="F561" s="18" t="s">
        <v>42</v>
      </c>
      <c r="G561" s="21" t="n">
        <v>16951</v>
      </c>
      <c r="H561" s="22" t="n">
        <v>0.0030217709003449</v>
      </c>
      <c r="I561" s="22" t="n">
        <v>0.00742160990402566</v>
      </c>
      <c r="J561" s="22" t="n">
        <v>0.0131918097616858</v>
      </c>
      <c r="K561" s="22" t="n">
        <v>0.00324840736336879</v>
      </c>
      <c r="L561" s="22" t="n">
        <v>0.015598088040652</v>
      </c>
      <c r="M561" s="22" t="n">
        <v>0.007431877552841</v>
      </c>
      <c r="N561" s="22" t="n">
        <v>0.00165605206275464</v>
      </c>
      <c r="O561" s="22" t="n">
        <v>0.00972023624988248</v>
      </c>
      <c r="P561" s="22" t="n">
        <v>0.013660872862948</v>
      </c>
      <c r="Q561" s="22" t="n">
        <v>0.00796046760794971</v>
      </c>
      <c r="R561" s="22" t="n">
        <v>0.00598923460020456</v>
      </c>
      <c r="S561" s="23" t="n">
        <f aca="false">IF(A561="","",SUM(H561:R561))</f>
        <v>0.0889004269066576</v>
      </c>
      <c r="T561" s="17" t="str">
        <f aca="false">IF(A561="","",IF(AND(MIN(H561:R561)&gt;=0,MAX(H561:R561)&lt;=1,S561&lt;=1),"OK","CHECK"))</f>
        <v>OK</v>
      </c>
      <c r="U561" s="17" t="str">
        <f aca="false">IF(A561="","", "LOSS-"&amp;A561&amp;"-L"&amp;TEXT(B561,"00")&amp;"-"&amp;TEXT(C561,"yyyymmdd")&amp;"-"&amp;D561&amp;"-"&amp;E561)</f>
        <v>LOSS-KG01-L23-20251220-AM-ORD-2025-00241</v>
      </c>
      <c r="V561" s="17" t="str">
        <f aca="false">IF(U561="","",IF(COUNTIF($U$5:$U$935,U561)=1,"OK","CHECK"))</f>
        <v>OK</v>
      </c>
      <c r="W561" s="17" t="str">
        <f aca="false">IF(A561="","",IF(AND(T561="OK",V561="OK",G561&gt;=0),"OK","CHECK"))</f>
        <v>OK</v>
      </c>
    </row>
    <row r="562" customFormat="false" ht="18" hidden="false" customHeight="true" outlineLevel="0" collapsed="false">
      <c r="A562" s="18" t="s">
        <v>39</v>
      </c>
      <c r="B562" s="19" t="n">
        <v>23</v>
      </c>
      <c r="C562" s="20" t="n">
        <v>46011</v>
      </c>
      <c r="D562" s="18" t="s">
        <v>43</v>
      </c>
      <c r="E562" s="18" t="s">
        <v>137</v>
      </c>
      <c r="F562" s="18" t="s">
        <v>42</v>
      </c>
      <c r="G562" s="21" t="n">
        <v>14326</v>
      </c>
      <c r="H562" s="22" t="n">
        <v>0.0138295790915377</v>
      </c>
      <c r="I562" s="22" t="n">
        <v>0.00486894769911344</v>
      </c>
      <c r="J562" s="22" t="n">
        <v>0.00794603253690977</v>
      </c>
      <c r="K562" s="22" t="n">
        <v>0.00152988631660851</v>
      </c>
      <c r="L562" s="22" t="n">
        <v>0.00192727030848109</v>
      </c>
      <c r="M562" s="22" t="n">
        <v>0.00988344211833316</v>
      </c>
      <c r="N562" s="22" t="n">
        <v>0.00206227848072577</v>
      </c>
      <c r="O562" s="22" t="n">
        <v>0.00135475719492188</v>
      </c>
      <c r="P562" s="22" t="n">
        <v>0.00359481591112809</v>
      </c>
      <c r="Q562" s="22" t="n">
        <v>0.0044787485693339</v>
      </c>
      <c r="R562" s="22" t="n">
        <v>0.00834027594395397</v>
      </c>
      <c r="S562" s="23" t="n">
        <f aca="false">IF(A562="","",SUM(H562:R562))</f>
        <v>0.0598160341710473</v>
      </c>
      <c r="T562" s="17" t="str">
        <f aca="false">IF(A562="","",IF(AND(MIN(H562:R562)&gt;=0,MAX(H562:R562)&lt;=1,S562&lt;=1),"OK","CHECK"))</f>
        <v>OK</v>
      </c>
      <c r="U562" s="17" t="str">
        <f aca="false">IF(A562="","", "LOSS-"&amp;A562&amp;"-L"&amp;TEXT(B562,"00")&amp;"-"&amp;TEXT(C562,"yyyymmdd")&amp;"-"&amp;D562&amp;"-"&amp;E562)</f>
        <v>LOSS-KG01-L23-20251220-PM-ORD-2025-00241</v>
      </c>
      <c r="V562" s="17" t="str">
        <f aca="false">IF(U562="","",IF(COUNTIF($U$5:$U$935,U562)=1,"OK","CHECK"))</f>
        <v>OK</v>
      </c>
      <c r="W562" s="17" t="str">
        <f aca="false">IF(A562="","",IF(AND(T562="OK",V562="OK",G562&gt;=0),"OK","CHECK"))</f>
        <v>OK</v>
      </c>
    </row>
    <row r="563" customFormat="false" ht="18" hidden="false" customHeight="true" outlineLevel="0" collapsed="false">
      <c r="A563" s="18" t="s">
        <v>39</v>
      </c>
      <c r="B563" s="19" t="n">
        <v>23</v>
      </c>
      <c r="C563" s="20" t="n">
        <v>46012</v>
      </c>
      <c r="D563" s="18" t="s">
        <v>40</v>
      </c>
      <c r="E563" s="18" t="s">
        <v>137</v>
      </c>
      <c r="F563" s="18" t="s">
        <v>42</v>
      </c>
      <c r="G563" s="21" t="n">
        <v>9706</v>
      </c>
      <c r="H563" s="22" t="n">
        <v>0.000642629980601708</v>
      </c>
      <c r="I563" s="22" t="n">
        <v>0.000359239884790655</v>
      </c>
      <c r="J563" s="22" t="n">
        <v>0.0058945686886953</v>
      </c>
      <c r="K563" s="22" t="n">
        <v>0.00207332192470446</v>
      </c>
      <c r="L563" s="22" t="n">
        <v>0.00956327082905163</v>
      </c>
      <c r="M563" s="22" t="n">
        <v>0.00129939603346318</v>
      </c>
      <c r="N563" s="22" t="n">
        <v>0.00783009128153203</v>
      </c>
      <c r="O563" s="22" t="n">
        <v>0.0110338132810017</v>
      </c>
      <c r="P563" s="22" t="n">
        <v>0.00200815377949374</v>
      </c>
      <c r="Q563" s="22" t="n">
        <v>0.00931940332017063</v>
      </c>
      <c r="R563" s="22" t="n">
        <v>0.00266340166683846</v>
      </c>
      <c r="S563" s="23" t="n">
        <f aca="false">IF(A563="","",SUM(H563:R563))</f>
        <v>0.0526872906703435</v>
      </c>
      <c r="T563" s="17" t="str">
        <f aca="false">IF(A563="","",IF(AND(MIN(H563:R563)&gt;=0,MAX(H563:R563)&lt;=1,S563&lt;=1),"OK","CHECK"))</f>
        <v>OK</v>
      </c>
      <c r="U563" s="17" t="str">
        <f aca="false">IF(A563="","", "LOSS-"&amp;A563&amp;"-L"&amp;TEXT(B563,"00")&amp;"-"&amp;TEXT(C563,"yyyymmdd")&amp;"-"&amp;D563&amp;"-"&amp;E563)</f>
        <v>LOSS-KG01-L23-20251221-AM-ORD-2025-00241</v>
      </c>
      <c r="V563" s="17" t="str">
        <f aca="false">IF(U563="","",IF(COUNTIF($U$5:$U$935,U563)=1,"OK","CHECK"))</f>
        <v>OK</v>
      </c>
      <c r="W563" s="17" t="str">
        <f aca="false">IF(A563="","",IF(AND(T563="OK",V563="OK",G563&gt;=0),"OK","CHECK"))</f>
        <v>OK</v>
      </c>
    </row>
    <row r="564" customFormat="false" ht="18" hidden="false" customHeight="true" outlineLevel="0" collapsed="false">
      <c r="A564" s="18" t="s">
        <v>39</v>
      </c>
      <c r="B564" s="19" t="n">
        <v>23</v>
      </c>
      <c r="C564" s="20" t="n">
        <v>46012</v>
      </c>
      <c r="D564" s="18" t="s">
        <v>43</v>
      </c>
      <c r="E564" s="18" t="s">
        <v>137</v>
      </c>
      <c r="F564" s="18" t="s">
        <v>42</v>
      </c>
      <c r="G564" s="21" t="n">
        <v>5122</v>
      </c>
      <c r="H564" s="22" t="n">
        <v>0.000204485763895402</v>
      </c>
      <c r="I564" s="22" t="n">
        <v>0.00477549279857165</v>
      </c>
      <c r="J564" s="22" t="n">
        <v>0.00130396080166949</v>
      </c>
      <c r="K564" s="22" t="n">
        <v>0.0079101335129996</v>
      </c>
      <c r="L564" s="22" t="n">
        <v>0.00669051504836333</v>
      </c>
      <c r="M564" s="22" t="n">
        <v>0.00545024506908868</v>
      </c>
      <c r="N564" s="22" t="n">
        <v>0.00127633060765683</v>
      </c>
      <c r="O564" s="22" t="n">
        <v>0.00664293151838286</v>
      </c>
      <c r="P564" s="22" t="n">
        <v>0.000195739716961776</v>
      </c>
      <c r="Q564" s="22" t="n">
        <v>0.00117312691092428</v>
      </c>
      <c r="R564" s="22" t="n">
        <v>0.00165505862994316</v>
      </c>
      <c r="S564" s="23" t="n">
        <f aca="false">IF(A564="","",SUM(H564:R564))</f>
        <v>0.0372780203784571</v>
      </c>
      <c r="T564" s="17" t="str">
        <f aca="false">IF(A564="","",IF(AND(MIN(H564:R564)&gt;=0,MAX(H564:R564)&lt;=1,S564&lt;=1),"OK","CHECK"))</f>
        <v>OK</v>
      </c>
      <c r="U564" s="17" t="str">
        <f aca="false">IF(A564="","", "LOSS-"&amp;A564&amp;"-L"&amp;TEXT(B564,"00")&amp;"-"&amp;TEXT(C564,"yyyymmdd")&amp;"-"&amp;D564&amp;"-"&amp;E564)</f>
        <v>LOSS-KG01-L23-20251221-PM-ORD-2025-00241</v>
      </c>
      <c r="V564" s="17" t="str">
        <f aca="false">IF(U564="","",IF(COUNTIF($U$5:$U$935,U564)=1,"OK","CHECK"))</f>
        <v>OK</v>
      </c>
      <c r="W564" s="17" t="str">
        <f aca="false">IF(A564="","",IF(AND(T564="OK",V564="OK",G564&gt;=0),"OK","CHECK"))</f>
        <v>OK</v>
      </c>
    </row>
    <row r="565" customFormat="false" ht="18" hidden="false" customHeight="true" outlineLevel="0" collapsed="false">
      <c r="A565" s="18" t="s">
        <v>39</v>
      </c>
      <c r="B565" s="19" t="n">
        <v>23</v>
      </c>
      <c r="C565" s="20" t="n">
        <v>46013</v>
      </c>
      <c r="D565" s="18" t="s">
        <v>40</v>
      </c>
      <c r="E565" s="18" t="s">
        <v>137</v>
      </c>
      <c r="F565" s="18" t="s">
        <v>42</v>
      </c>
      <c r="G565" s="21" t="n">
        <v>8918</v>
      </c>
      <c r="H565" s="22" t="n">
        <v>0.00855865596660608</v>
      </c>
      <c r="I565" s="22" t="n">
        <v>0.010499679120488</v>
      </c>
      <c r="J565" s="22" t="n">
        <v>0.000292218294953111</v>
      </c>
      <c r="K565" s="22" t="n">
        <v>0.011464441383477</v>
      </c>
      <c r="L565" s="22" t="n">
        <v>0.000603150655927392</v>
      </c>
      <c r="M565" s="22" t="n">
        <v>3.44076873235058E-006</v>
      </c>
      <c r="N565" s="22" t="n">
        <v>0.00285723154600692</v>
      </c>
      <c r="O565" s="22" t="n">
        <v>0.000939977406077285</v>
      </c>
      <c r="P565" s="22" t="n">
        <v>0.000500948027471495</v>
      </c>
      <c r="Q565" s="22" t="n">
        <v>0.00316816148081708</v>
      </c>
      <c r="R565" s="22" t="n">
        <v>0.000321057397911505</v>
      </c>
      <c r="S565" s="23" t="n">
        <f aca="false">IF(A565="","",SUM(H565:R565))</f>
        <v>0.0392089620484682</v>
      </c>
      <c r="T565" s="17" t="str">
        <f aca="false">IF(A565="","",IF(AND(MIN(H565:R565)&gt;=0,MAX(H565:R565)&lt;=1,S565&lt;=1),"OK","CHECK"))</f>
        <v>OK</v>
      </c>
      <c r="U565" s="17" t="str">
        <f aca="false">IF(A565="","", "LOSS-"&amp;A565&amp;"-L"&amp;TEXT(B565,"00")&amp;"-"&amp;TEXT(C565,"yyyymmdd")&amp;"-"&amp;D565&amp;"-"&amp;E565)</f>
        <v>LOSS-KG01-L23-20251222-AM-ORD-2025-00241</v>
      </c>
      <c r="V565" s="17" t="str">
        <f aca="false">IF(U565="","",IF(COUNTIF($U$5:$U$935,U565)=1,"OK","CHECK"))</f>
        <v>OK</v>
      </c>
      <c r="W565" s="17" t="str">
        <f aca="false">IF(A565="","",IF(AND(T565="OK",V565="OK",G565&gt;=0),"OK","CHECK"))</f>
        <v>OK</v>
      </c>
    </row>
    <row r="566" customFormat="false" ht="18" hidden="false" customHeight="true" outlineLevel="0" collapsed="false">
      <c r="A566" s="18" t="s">
        <v>39</v>
      </c>
      <c r="B566" s="19" t="n">
        <v>23</v>
      </c>
      <c r="C566" s="20" t="n">
        <v>46013</v>
      </c>
      <c r="D566" s="18" t="s">
        <v>43</v>
      </c>
      <c r="E566" s="18" t="s">
        <v>137</v>
      </c>
      <c r="F566" s="18" t="s">
        <v>42</v>
      </c>
      <c r="G566" s="21" t="n">
        <v>18950</v>
      </c>
      <c r="H566" s="22" t="n">
        <v>0.0135553365027823</v>
      </c>
      <c r="I566" s="22" t="n">
        <v>0.0143520358895757</v>
      </c>
      <c r="J566" s="22" t="n">
        <v>0.00151789927573315</v>
      </c>
      <c r="K566" s="22" t="n">
        <v>0.000710308273945659</v>
      </c>
      <c r="L566" s="22" t="n">
        <v>0.00724958635231602</v>
      </c>
      <c r="M566" s="22" t="n">
        <v>0.00490484895188748</v>
      </c>
      <c r="N566" s="22" t="n">
        <v>0.0037271732819484</v>
      </c>
      <c r="O566" s="22" t="n">
        <v>0.0142775810122618</v>
      </c>
      <c r="P566" s="22" t="n">
        <v>0.00467578176910325</v>
      </c>
      <c r="Q566" s="22" t="n">
        <v>0.00872689586964005</v>
      </c>
      <c r="R566" s="22" t="n">
        <v>0.00245835271792565</v>
      </c>
      <c r="S566" s="23" t="n">
        <f aca="false">IF(A566="","",SUM(H566:R566))</f>
        <v>0.0761557998971195</v>
      </c>
      <c r="T566" s="17" t="str">
        <f aca="false">IF(A566="","",IF(AND(MIN(H566:R566)&gt;=0,MAX(H566:R566)&lt;=1,S566&lt;=1),"OK","CHECK"))</f>
        <v>OK</v>
      </c>
      <c r="U566" s="17" t="str">
        <f aca="false">IF(A566="","", "LOSS-"&amp;A566&amp;"-L"&amp;TEXT(B566,"00")&amp;"-"&amp;TEXT(C566,"yyyymmdd")&amp;"-"&amp;D566&amp;"-"&amp;E566)</f>
        <v>LOSS-KG01-L23-20251222-PM-ORD-2025-00241</v>
      </c>
      <c r="V566" s="17" t="str">
        <f aca="false">IF(U566="","",IF(COUNTIF($U$5:$U$935,U566)=1,"OK","CHECK"))</f>
        <v>OK</v>
      </c>
      <c r="W566" s="17" t="str">
        <f aca="false">IF(A566="","",IF(AND(T566="OK",V566="OK",G566&gt;=0),"OK","CHECK"))</f>
        <v>OK</v>
      </c>
    </row>
    <row r="567" customFormat="false" ht="18" hidden="false" customHeight="true" outlineLevel="0" collapsed="false">
      <c r="A567" s="18" t="s">
        <v>39</v>
      </c>
      <c r="B567" s="19" t="n">
        <v>23</v>
      </c>
      <c r="C567" s="20" t="n">
        <v>46014</v>
      </c>
      <c r="D567" s="18" t="s">
        <v>40</v>
      </c>
      <c r="E567" s="18" t="s">
        <v>137</v>
      </c>
      <c r="F567" s="18" t="s">
        <v>42</v>
      </c>
      <c r="G567" s="21" t="n">
        <v>17034</v>
      </c>
      <c r="H567" s="22" t="n">
        <v>0.000195965834988681</v>
      </c>
      <c r="I567" s="22" t="n">
        <v>0.0158348843547945</v>
      </c>
      <c r="J567" s="22" t="n">
        <v>0.00869187433390225</v>
      </c>
      <c r="K567" s="22" t="n">
        <v>0.00644200408911098</v>
      </c>
      <c r="L567" s="22" t="n">
        <v>0.000349020507254364</v>
      </c>
      <c r="M567" s="22" t="n">
        <v>0.00469258191721627</v>
      </c>
      <c r="N567" s="22" t="n">
        <v>0.00425927201531042</v>
      </c>
      <c r="O567" s="22" t="n">
        <v>0.000816590560137343</v>
      </c>
      <c r="P567" s="22" t="n">
        <v>0.00419531497878285</v>
      </c>
      <c r="Q567" s="22" t="n">
        <v>0.0159649733189876</v>
      </c>
      <c r="R567" s="22" t="n">
        <v>0.00695397178518785</v>
      </c>
      <c r="S567" s="23" t="n">
        <f aca="false">IF(A567="","",SUM(H567:R567))</f>
        <v>0.0683964536956731</v>
      </c>
      <c r="T567" s="17" t="str">
        <f aca="false">IF(A567="","",IF(AND(MIN(H567:R567)&gt;=0,MAX(H567:R567)&lt;=1,S567&lt;=1),"OK","CHECK"))</f>
        <v>OK</v>
      </c>
      <c r="U567" s="17" t="str">
        <f aca="false">IF(A567="","", "LOSS-"&amp;A567&amp;"-L"&amp;TEXT(B567,"00")&amp;"-"&amp;TEXT(C567,"yyyymmdd")&amp;"-"&amp;D567&amp;"-"&amp;E567)</f>
        <v>LOSS-KG01-L23-20251223-AM-ORD-2025-00241</v>
      </c>
      <c r="V567" s="17" t="str">
        <f aca="false">IF(U567="","",IF(COUNTIF($U$5:$U$935,U567)=1,"OK","CHECK"))</f>
        <v>OK</v>
      </c>
      <c r="W567" s="17" t="str">
        <f aca="false">IF(A567="","",IF(AND(T567="OK",V567="OK",G567&gt;=0),"OK","CHECK"))</f>
        <v>OK</v>
      </c>
    </row>
    <row r="568" customFormat="false" ht="18" hidden="false" customHeight="true" outlineLevel="0" collapsed="false">
      <c r="A568" s="18" t="s">
        <v>39</v>
      </c>
      <c r="B568" s="19" t="n">
        <v>23</v>
      </c>
      <c r="C568" s="20" t="n">
        <v>46014</v>
      </c>
      <c r="D568" s="18" t="s">
        <v>43</v>
      </c>
      <c r="E568" s="18" t="s">
        <v>138</v>
      </c>
      <c r="F568" s="18" t="s">
        <v>45</v>
      </c>
      <c r="G568" s="21" t="n">
        <v>609</v>
      </c>
      <c r="H568" s="22" t="n">
        <v>0.00219851038414259</v>
      </c>
      <c r="I568" s="22" t="n">
        <v>0.00185029451456475</v>
      </c>
      <c r="J568" s="22" t="n">
        <v>0.00733594720323155</v>
      </c>
      <c r="K568" s="22" t="n">
        <v>0.00717426760076418</v>
      </c>
      <c r="L568" s="22" t="n">
        <v>0.00688376743453933</v>
      </c>
      <c r="M568" s="22" t="n">
        <v>0.00537973384642633</v>
      </c>
      <c r="N568" s="22" t="n">
        <v>0.0022313157355718</v>
      </c>
      <c r="O568" s="22" t="n">
        <v>0.00267330091606624</v>
      </c>
      <c r="P568" s="22" t="n">
        <v>0.00909140063200978</v>
      </c>
      <c r="Q568" s="22" t="n">
        <v>0.000314869141581702</v>
      </c>
      <c r="R568" s="22" t="n">
        <v>0.00612921885372801</v>
      </c>
      <c r="S568" s="23" t="n">
        <f aca="false">IF(A568="","",SUM(H568:R568))</f>
        <v>0.0512626262626263</v>
      </c>
      <c r="T568" s="17" t="str">
        <f aca="false">IF(A568="","",IF(AND(MIN(H568:R568)&gt;=0,MAX(H568:R568)&lt;=1,S568&lt;=1),"OK","CHECK"))</f>
        <v>OK</v>
      </c>
      <c r="U568" s="17" t="str">
        <f aca="false">IF(A568="","", "LOSS-"&amp;A568&amp;"-L"&amp;TEXT(B568,"00")&amp;"-"&amp;TEXT(C568,"yyyymmdd")&amp;"-"&amp;D568&amp;"-"&amp;E568)</f>
        <v>LOSS-KG01-L23-20251223-PM-ORD-2025-00242</v>
      </c>
      <c r="V568" s="17" t="str">
        <f aca="false">IF(U568="","",IF(COUNTIF($U$5:$U$935,U568)=1,"OK","CHECK"))</f>
        <v>OK</v>
      </c>
      <c r="W568" s="17" t="str">
        <f aca="false">IF(A568="","",IF(AND(T568="OK",V568="OK",G568&gt;=0),"OK","CHECK"))</f>
        <v>OK</v>
      </c>
    </row>
    <row r="569" customFormat="false" ht="18" hidden="false" customHeight="true" outlineLevel="0" collapsed="false">
      <c r="A569" s="18" t="s">
        <v>39</v>
      </c>
      <c r="B569" s="19" t="n">
        <v>23</v>
      </c>
      <c r="C569" s="20" t="n">
        <v>46015</v>
      </c>
      <c r="D569" s="18" t="s">
        <v>40</v>
      </c>
      <c r="E569" s="18" t="s">
        <v>138</v>
      </c>
      <c r="F569" s="18" t="s">
        <v>42</v>
      </c>
      <c r="G569" s="21" t="n">
        <v>15550</v>
      </c>
      <c r="H569" s="22" t="n">
        <v>0.00262328240430117</v>
      </c>
      <c r="I569" s="22" t="n">
        <v>3.66935315027748E-006</v>
      </c>
      <c r="J569" s="22" t="n">
        <v>0.00160171871480951</v>
      </c>
      <c r="K569" s="22" t="n">
        <v>0.000708632079635317</v>
      </c>
      <c r="L569" s="22" t="n">
        <v>0.010438481183439</v>
      </c>
      <c r="M569" s="22" t="n">
        <v>0.00554236790505424</v>
      </c>
      <c r="N569" s="22" t="n">
        <v>0.00969136737733923</v>
      </c>
      <c r="O569" s="22" t="n">
        <v>0.00953035925304683</v>
      </c>
      <c r="P569" s="22" t="n">
        <v>0.00470072843032651</v>
      </c>
      <c r="Q569" s="22" t="n">
        <v>0.00951528447991814</v>
      </c>
      <c r="R569" s="22" t="n">
        <v>0.00265288927101722</v>
      </c>
      <c r="S569" s="23" t="n">
        <f aca="false">IF(A569="","",SUM(H569:R569))</f>
        <v>0.0570087804520374</v>
      </c>
      <c r="T569" s="17" t="str">
        <f aca="false">IF(A569="","",IF(AND(MIN(H569:R569)&gt;=0,MAX(H569:R569)&lt;=1,S569&lt;=1),"OK","CHECK"))</f>
        <v>OK</v>
      </c>
      <c r="U569" s="17" t="str">
        <f aca="false">IF(A569="","", "LOSS-"&amp;A569&amp;"-L"&amp;TEXT(B569,"00")&amp;"-"&amp;TEXT(C569,"yyyymmdd")&amp;"-"&amp;D569&amp;"-"&amp;E569)</f>
        <v>LOSS-KG01-L23-20251224-AM-ORD-2025-00242</v>
      </c>
      <c r="V569" s="17" t="str">
        <f aca="false">IF(U569="","",IF(COUNTIF($U$5:$U$935,U569)=1,"OK","CHECK"))</f>
        <v>OK</v>
      </c>
      <c r="W569" s="17" t="str">
        <f aca="false">IF(A569="","",IF(AND(T569="OK",V569="OK",G569&gt;=0),"OK","CHECK"))</f>
        <v>OK</v>
      </c>
    </row>
    <row r="570" customFormat="false" ht="18" hidden="false" customHeight="true" outlineLevel="0" collapsed="false">
      <c r="A570" s="18" t="s">
        <v>39</v>
      </c>
      <c r="B570" s="19" t="n">
        <v>23</v>
      </c>
      <c r="C570" s="20" t="n">
        <v>46015</v>
      </c>
      <c r="D570" s="18" t="s">
        <v>43</v>
      </c>
      <c r="E570" s="18" t="s">
        <v>138</v>
      </c>
      <c r="F570" s="18" t="s">
        <v>42</v>
      </c>
      <c r="G570" s="21" t="n">
        <v>17167</v>
      </c>
      <c r="H570" s="22" t="n">
        <v>0.00118971035573873</v>
      </c>
      <c r="I570" s="22" t="n">
        <v>0.00175537088196922</v>
      </c>
      <c r="J570" s="22" t="n">
        <v>0.00952621456606113</v>
      </c>
      <c r="K570" s="22" t="n">
        <v>0.00737223710369256</v>
      </c>
      <c r="L570" s="22" t="n">
        <v>0.0122956835115947</v>
      </c>
      <c r="M570" s="22" t="n">
        <v>0.0140915749377281</v>
      </c>
      <c r="N570" s="22" t="n">
        <v>0.00923511143907557</v>
      </c>
      <c r="O570" s="22" t="n">
        <v>0.00495094323130847</v>
      </c>
      <c r="P570" s="22" t="n">
        <v>0.0125567794148164</v>
      </c>
      <c r="Q570" s="22" t="n">
        <v>0.00758007734866439</v>
      </c>
      <c r="R570" s="22" t="n">
        <v>0.0056139041722274</v>
      </c>
      <c r="S570" s="23" t="n">
        <f aca="false">IF(A570="","",SUM(H570:R570))</f>
        <v>0.0861676069628767</v>
      </c>
      <c r="T570" s="17" t="str">
        <f aca="false">IF(A570="","",IF(AND(MIN(H570:R570)&gt;=0,MAX(H570:R570)&lt;=1,S570&lt;=1),"OK","CHECK"))</f>
        <v>OK</v>
      </c>
      <c r="U570" s="17" t="str">
        <f aca="false">IF(A570="","", "LOSS-"&amp;A570&amp;"-L"&amp;TEXT(B570,"00")&amp;"-"&amp;TEXT(C570,"yyyymmdd")&amp;"-"&amp;D570&amp;"-"&amp;E570)</f>
        <v>LOSS-KG01-L23-20251224-PM-ORD-2025-00242</v>
      </c>
      <c r="V570" s="17" t="str">
        <f aca="false">IF(U570="","",IF(COUNTIF($U$5:$U$935,U570)=1,"OK","CHECK"))</f>
        <v>OK</v>
      </c>
      <c r="W570" s="17" t="str">
        <f aca="false">IF(A570="","",IF(AND(T570="OK",V570="OK",G570&gt;=0),"OK","CHECK"))</f>
        <v>OK</v>
      </c>
    </row>
    <row r="571" customFormat="false" ht="18" hidden="false" customHeight="true" outlineLevel="0" collapsed="false">
      <c r="A571" s="18" t="s">
        <v>39</v>
      </c>
      <c r="B571" s="19" t="n">
        <v>23</v>
      </c>
      <c r="C571" s="20" t="n">
        <v>46016</v>
      </c>
      <c r="D571" s="18" t="s">
        <v>40</v>
      </c>
      <c r="E571" s="18" t="s">
        <v>138</v>
      </c>
      <c r="F571" s="18" t="s">
        <v>42</v>
      </c>
      <c r="G571" s="21" t="n">
        <v>12787</v>
      </c>
      <c r="H571" s="22" t="n">
        <v>0.0106832545495826</v>
      </c>
      <c r="I571" s="22" t="n">
        <v>0.00100212718232238</v>
      </c>
      <c r="J571" s="22" t="n">
        <v>0.00512454249682652</v>
      </c>
      <c r="K571" s="22" t="n">
        <v>0.0128086141218955</v>
      </c>
      <c r="L571" s="22" t="n">
        <v>0.00158687618209041</v>
      </c>
      <c r="M571" s="22" t="n">
        <v>0.0125274424893372</v>
      </c>
      <c r="N571" s="22" t="n">
        <v>0.00238322624375522</v>
      </c>
      <c r="O571" s="22" t="n">
        <v>0.000355455887114393</v>
      </c>
      <c r="P571" s="22" t="n">
        <v>0.00167093315768348</v>
      </c>
      <c r="Q571" s="22" t="n">
        <v>0.00452352176611545</v>
      </c>
      <c r="R571" s="22" t="n">
        <v>0.00345746260502739</v>
      </c>
      <c r="S571" s="23" t="n">
        <f aca="false">IF(A571="","",SUM(H571:R571))</f>
        <v>0.0561234566817506</v>
      </c>
      <c r="T571" s="17" t="str">
        <f aca="false">IF(A571="","",IF(AND(MIN(H571:R571)&gt;=0,MAX(H571:R571)&lt;=1,S571&lt;=1),"OK","CHECK"))</f>
        <v>OK</v>
      </c>
      <c r="U571" s="17" t="str">
        <f aca="false">IF(A571="","", "LOSS-"&amp;A571&amp;"-L"&amp;TEXT(B571,"00")&amp;"-"&amp;TEXT(C571,"yyyymmdd")&amp;"-"&amp;D571&amp;"-"&amp;E571)</f>
        <v>LOSS-KG01-L23-20251225-AM-ORD-2025-00242</v>
      </c>
      <c r="V571" s="17" t="str">
        <f aca="false">IF(U571="","",IF(COUNTIF($U$5:$U$935,U571)=1,"OK","CHECK"))</f>
        <v>OK</v>
      </c>
      <c r="W571" s="17" t="str">
        <f aca="false">IF(A571="","",IF(AND(T571="OK",V571="OK",G571&gt;=0),"OK","CHECK"))</f>
        <v>OK</v>
      </c>
    </row>
    <row r="572" customFormat="false" ht="18" hidden="false" customHeight="true" outlineLevel="0" collapsed="false">
      <c r="A572" s="18" t="s">
        <v>39</v>
      </c>
      <c r="B572" s="19" t="n">
        <v>23</v>
      </c>
      <c r="C572" s="20" t="n">
        <v>46016</v>
      </c>
      <c r="D572" s="18" t="s">
        <v>43</v>
      </c>
      <c r="E572" s="18" t="s">
        <v>138</v>
      </c>
      <c r="F572" s="18" t="s">
        <v>42</v>
      </c>
      <c r="G572" s="21" t="n">
        <v>15518</v>
      </c>
      <c r="H572" s="22" t="n">
        <v>0.0130545222192773</v>
      </c>
      <c r="I572" s="22" t="n">
        <v>0.0144441781856298</v>
      </c>
      <c r="J572" s="22" t="n">
        <v>0.00852936444527977</v>
      </c>
      <c r="K572" s="22" t="n">
        <v>7.2117906868686E-005</v>
      </c>
      <c r="L572" s="22" t="n">
        <v>0.00244368940465898</v>
      </c>
      <c r="M572" s="22" t="n">
        <v>0.000600886734822988</v>
      </c>
      <c r="N572" s="22" t="n">
        <v>0.00954510558238861</v>
      </c>
      <c r="O572" s="22" t="n">
        <v>0.0081603320910124</v>
      </c>
      <c r="P572" s="22" t="n">
        <v>0.0021308067062477</v>
      </c>
      <c r="Q572" s="22" t="n">
        <v>0.00973982045902228</v>
      </c>
      <c r="R572" s="22" t="n">
        <v>0.00361371066774489</v>
      </c>
      <c r="S572" s="23" t="n">
        <f aca="false">IF(A572="","",SUM(H572:R572))</f>
        <v>0.0723345344029534</v>
      </c>
      <c r="T572" s="17" t="str">
        <f aca="false">IF(A572="","",IF(AND(MIN(H572:R572)&gt;=0,MAX(H572:R572)&lt;=1,S572&lt;=1),"OK","CHECK"))</f>
        <v>OK</v>
      </c>
      <c r="U572" s="17" t="str">
        <f aca="false">IF(A572="","", "LOSS-"&amp;A572&amp;"-L"&amp;TEXT(B572,"00")&amp;"-"&amp;TEXT(C572,"yyyymmdd")&amp;"-"&amp;D572&amp;"-"&amp;E572)</f>
        <v>LOSS-KG01-L23-20251225-PM-ORD-2025-00242</v>
      </c>
      <c r="V572" s="17" t="str">
        <f aca="false">IF(U572="","",IF(COUNTIF($U$5:$U$935,U572)=1,"OK","CHECK"))</f>
        <v>OK</v>
      </c>
      <c r="W572" s="17" t="str">
        <f aca="false">IF(A572="","",IF(AND(T572="OK",V572="OK",G572&gt;=0),"OK","CHECK"))</f>
        <v>OK</v>
      </c>
    </row>
    <row r="573" customFormat="false" ht="18" hidden="false" customHeight="true" outlineLevel="0" collapsed="false">
      <c r="A573" s="18" t="s">
        <v>39</v>
      </c>
      <c r="B573" s="19" t="n">
        <v>23</v>
      </c>
      <c r="C573" s="20" t="n">
        <v>46017</v>
      </c>
      <c r="D573" s="18" t="s">
        <v>40</v>
      </c>
      <c r="E573" s="18" t="s">
        <v>138</v>
      </c>
      <c r="F573" s="18" t="s">
        <v>42</v>
      </c>
      <c r="G573" s="21" t="n">
        <v>6604</v>
      </c>
      <c r="H573" s="22" t="n">
        <v>0.000652740666682371</v>
      </c>
      <c r="I573" s="22" t="n">
        <v>1.21997830749403E-007</v>
      </c>
      <c r="J573" s="22" t="n">
        <v>0.0016601423083686</v>
      </c>
      <c r="K573" s="22" t="n">
        <v>0.00504116231866354</v>
      </c>
      <c r="L573" s="22" t="n">
        <v>0.00413159299556649</v>
      </c>
      <c r="M573" s="22" t="n">
        <v>0.00803740571897605</v>
      </c>
      <c r="N573" s="22" t="n">
        <v>0.0119772133889274</v>
      </c>
      <c r="O573" s="22" t="n">
        <v>0.00307450762777586</v>
      </c>
      <c r="P573" s="22" t="n">
        <v>0.00129168999916257</v>
      </c>
      <c r="Q573" s="22" t="n">
        <v>0.0102085728037888</v>
      </c>
      <c r="R573" s="22" t="n">
        <v>0.000523777636859854</v>
      </c>
      <c r="S573" s="23" t="n">
        <f aca="false">IF(A573="","",SUM(H573:R573))</f>
        <v>0.0465989274626023</v>
      </c>
      <c r="T573" s="17" t="str">
        <f aca="false">IF(A573="","",IF(AND(MIN(H573:R573)&gt;=0,MAX(H573:R573)&lt;=1,S573&lt;=1),"OK","CHECK"))</f>
        <v>OK</v>
      </c>
      <c r="U573" s="17" t="str">
        <f aca="false">IF(A573="","", "LOSS-"&amp;A573&amp;"-L"&amp;TEXT(B573,"00")&amp;"-"&amp;TEXT(C573,"yyyymmdd")&amp;"-"&amp;D573&amp;"-"&amp;E573)</f>
        <v>LOSS-KG01-L23-20251226-AM-ORD-2025-00242</v>
      </c>
      <c r="V573" s="17" t="str">
        <f aca="false">IF(U573="","",IF(COUNTIF($U$5:$U$935,U573)=1,"OK","CHECK"))</f>
        <v>OK</v>
      </c>
      <c r="W573" s="17" t="str">
        <f aca="false">IF(A573="","",IF(AND(T573="OK",V573="OK",G573&gt;=0),"OK","CHECK"))</f>
        <v>OK</v>
      </c>
    </row>
    <row r="574" customFormat="false" ht="18" hidden="false" customHeight="true" outlineLevel="0" collapsed="false">
      <c r="A574" s="18" t="s">
        <v>39</v>
      </c>
      <c r="B574" s="19" t="n">
        <v>23</v>
      </c>
      <c r="C574" s="20" t="n">
        <v>46017</v>
      </c>
      <c r="D574" s="18" t="s">
        <v>43</v>
      </c>
      <c r="E574" s="18" t="s">
        <v>139</v>
      </c>
      <c r="F574" s="18" t="s">
        <v>45</v>
      </c>
      <c r="G574" s="21" t="n">
        <v>5826</v>
      </c>
      <c r="H574" s="22" t="n">
        <v>0.0103360589201507</v>
      </c>
      <c r="I574" s="22" t="n">
        <v>0.000556955403070968</v>
      </c>
      <c r="J574" s="22" t="n">
        <v>0.0134175895822537</v>
      </c>
      <c r="K574" s="22" t="n">
        <v>0.00575746912672581</v>
      </c>
      <c r="L574" s="22" t="n">
        <v>0.00137426464664993</v>
      </c>
      <c r="M574" s="22" t="n">
        <v>5.76790448104081E-005</v>
      </c>
      <c r="N574" s="22" t="n">
        <v>0.0123102375773442</v>
      </c>
      <c r="O574" s="22" t="n">
        <v>0.0043096401240453</v>
      </c>
      <c r="P574" s="22" t="n">
        <v>0.00399657333346795</v>
      </c>
      <c r="Q574" s="22" t="n">
        <v>0.000968947348480227</v>
      </c>
      <c r="R574" s="22" t="n">
        <v>0.00222331125435875</v>
      </c>
      <c r="S574" s="23" t="n">
        <f aca="false">IF(A574="","",SUM(H574:R574))</f>
        <v>0.0553087263613579</v>
      </c>
      <c r="T574" s="17" t="str">
        <f aca="false">IF(A574="","",IF(AND(MIN(H574:R574)&gt;=0,MAX(H574:R574)&lt;=1,S574&lt;=1),"OK","CHECK"))</f>
        <v>OK</v>
      </c>
      <c r="U574" s="17" t="str">
        <f aca="false">IF(A574="","", "LOSS-"&amp;A574&amp;"-L"&amp;TEXT(B574,"00")&amp;"-"&amp;TEXT(C574,"yyyymmdd")&amp;"-"&amp;D574&amp;"-"&amp;E574)</f>
        <v>LOSS-KG01-L23-20251226-PM-ORD-2025-00243</v>
      </c>
      <c r="V574" s="17" t="str">
        <f aca="false">IF(U574="","",IF(COUNTIF($U$5:$U$935,U574)=1,"OK","CHECK"))</f>
        <v>OK</v>
      </c>
      <c r="W574" s="17" t="str">
        <f aca="false">IF(A574="","",IF(AND(T574="OK",V574="OK",G574&gt;=0),"OK","CHECK"))</f>
        <v>OK</v>
      </c>
    </row>
    <row r="575" customFormat="false" ht="18" hidden="false" customHeight="true" outlineLevel="0" collapsed="false">
      <c r="A575" s="18" t="s">
        <v>39</v>
      </c>
      <c r="B575" s="19" t="n">
        <v>23</v>
      </c>
      <c r="C575" s="20" t="n">
        <v>46018</v>
      </c>
      <c r="D575" s="18" t="s">
        <v>40</v>
      </c>
      <c r="E575" s="18" t="s">
        <v>139</v>
      </c>
      <c r="F575" s="18" t="s">
        <v>42</v>
      </c>
      <c r="G575" s="21" t="n">
        <v>16964</v>
      </c>
      <c r="H575" s="22" t="n">
        <v>0.00920150025261056</v>
      </c>
      <c r="I575" s="22" t="n">
        <v>0.0136287111017013</v>
      </c>
      <c r="J575" s="22" t="n">
        <v>0.00166651625041915</v>
      </c>
      <c r="K575" s="22" t="n">
        <v>0.000781885110681475</v>
      </c>
      <c r="L575" s="22" t="n">
        <v>0.00164341763384662</v>
      </c>
      <c r="M575" s="22" t="n">
        <v>1.55699206466615E-005</v>
      </c>
      <c r="N575" s="22" t="n">
        <v>0.00777350996009137</v>
      </c>
      <c r="O575" s="22" t="n">
        <v>0.00332888022634227</v>
      </c>
      <c r="P575" s="22" t="n">
        <v>0.00254710279002233</v>
      </c>
      <c r="Q575" s="22" t="n">
        <v>0.0112812524310051</v>
      </c>
      <c r="R575" s="22" t="n">
        <v>0.0184817042942261</v>
      </c>
      <c r="S575" s="23" t="n">
        <f aca="false">IF(A575="","",SUM(H575:R575))</f>
        <v>0.0703500499715929</v>
      </c>
      <c r="T575" s="17" t="str">
        <f aca="false">IF(A575="","",IF(AND(MIN(H575:R575)&gt;=0,MAX(H575:R575)&lt;=1,S575&lt;=1),"OK","CHECK"))</f>
        <v>OK</v>
      </c>
      <c r="U575" s="17" t="str">
        <f aca="false">IF(A575="","", "LOSS-"&amp;A575&amp;"-L"&amp;TEXT(B575,"00")&amp;"-"&amp;TEXT(C575,"yyyymmdd")&amp;"-"&amp;D575&amp;"-"&amp;E575)</f>
        <v>LOSS-KG01-L23-20251227-AM-ORD-2025-00243</v>
      </c>
      <c r="V575" s="17" t="str">
        <f aca="false">IF(U575="","",IF(COUNTIF($U$5:$U$935,U575)=1,"OK","CHECK"))</f>
        <v>OK</v>
      </c>
      <c r="W575" s="17" t="str">
        <f aca="false">IF(A575="","",IF(AND(T575="OK",V575="OK",G575&gt;=0),"OK","CHECK"))</f>
        <v>OK</v>
      </c>
    </row>
    <row r="576" customFormat="false" ht="18" hidden="false" customHeight="true" outlineLevel="0" collapsed="false">
      <c r="A576" s="18" t="s">
        <v>39</v>
      </c>
      <c r="B576" s="19" t="n">
        <v>23</v>
      </c>
      <c r="C576" s="20" t="n">
        <v>46018</v>
      </c>
      <c r="D576" s="18" t="s">
        <v>43</v>
      </c>
      <c r="E576" s="18" t="s">
        <v>139</v>
      </c>
      <c r="F576" s="18" t="s">
        <v>42</v>
      </c>
      <c r="G576" s="21" t="n">
        <v>5768</v>
      </c>
      <c r="H576" s="22" t="n">
        <v>0.00208356223069533</v>
      </c>
      <c r="I576" s="22" t="n">
        <v>0.00152396333669868</v>
      </c>
      <c r="J576" s="22" t="n">
        <v>0.000257325869385076</v>
      </c>
      <c r="K576" s="22" t="n">
        <v>0.00205987998156077</v>
      </c>
      <c r="L576" s="22" t="n">
        <v>0.00103015721486673</v>
      </c>
      <c r="M576" s="22" t="n">
        <v>0.00916627312191813</v>
      </c>
      <c r="N576" s="22" t="n">
        <v>0.00217082646952732</v>
      </c>
      <c r="O576" s="22" t="n">
        <v>0.000408480495088751</v>
      </c>
      <c r="P576" s="22" t="n">
        <v>0.00384172245744819</v>
      </c>
      <c r="Q576" s="22" t="n">
        <v>0.000846778840460927</v>
      </c>
      <c r="R576" s="22" t="n">
        <v>0.0035917860796829</v>
      </c>
      <c r="S576" s="23" t="n">
        <f aca="false">IF(A576="","",SUM(H576:R576))</f>
        <v>0.0269807560973328</v>
      </c>
      <c r="T576" s="17" t="str">
        <f aca="false">IF(A576="","",IF(AND(MIN(H576:R576)&gt;=0,MAX(H576:R576)&lt;=1,S576&lt;=1),"OK","CHECK"))</f>
        <v>OK</v>
      </c>
      <c r="U576" s="17" t="str">
        <f aca="false">IF(A576="","", "LOSS-"&amp;A576&amp;"-L"&amp;TEXT(B576,"00")&amp;"-"&amp;TEXT(C576,"yyyymmdd")&amp;"-"&amp;D576&amp;"-"&amp;E576)</f>
        <v>LOSS-KG01-L23-20251227-PM-ORD-2025-00243</v>
      </c>
      <c r="V576" s="17" t="str">
        <f aca="false">IF(U576="","",IF(COUNTIF($U$5:$U$935,U576)=1,"OK","CHECK"))</f>
        <v>OK</v>
      </c>
      <c r="W576" s="17" t="str">
        <f aca="false">IF(A576="","",IF(AND(T576="OK",V576="OK",G576&gt;=0),"OK","CHECK"))</f>
        <v>OK</v>
      </c>
    </row>
    <row r="577" customFormat="false" ht="18" hidden="false" customHeight="true" outlineLevel="0" collapsed="false">
      <c r="A577" s="18" t="s">
        <v>39</v>
      </c>
      <c r="B577" s="19" t="n">
        <v>23</v>
      </c>
      <c r="C577" s="20" t="n">
        <v>46019</v>
      </c>
      <c r="D577" s="18" t="s">
        <v>40</v>
      </c>
      <c r="E577" s="18" t="s">
        <v>140</v>
      </c>
      <c r="F577" s="18" t="s">
        <v>45</v>
      </c>
      <c r="G577" s="21" t="n">
        <v>2907</v>
      </c>
      <c r="H577" s="22" t="n">
        <v>0.00439147498361926</v>
      </c>
      <c r="I577" s="22" t="n">
        <v>1.21168954070115E-005</v>
      </c>
      <c r="J577" s="22" t="n">
        <v>0.000115820411718896</v>
      </c>
      <c r="K577" s="22" t="n">
        <v>0.00449366722165317</v>
      </c>
      <c r="L577" s="22" t="n">
        <v>0.00959301097221604</v>
      </c>
      <c r="M577" s="22" t="n">
        <v>0.000846831289043599</v>
      </c>
      <c r="N577" s="22" t="n">
        <v>0.0291592073695792</v>
      </c>
      <c r="O577" s="22" t="n">
        <v>0.00592738533449327</v>
      </c>
      <c r="P577" s="22" t="n">
        <v>2.73293720311921E-005</v>
      </c>
      <c r="Q577" s="22" t="n">
        <v>0.00794753130475246</v>
      </c>
      <c r="R577" s="22" t="n">
        <v>0.00442092302646685</v>
      </c>
      <c r="S577" s="23" t="n">
        <f aca="false">IF(A577="","",SUM(H577:R577))</f>
        <v>0.0669352981809809</v>
      </c>
      <c r="T577" s="17" t="str">
        <f aca="false">IF(A577="","",IF(AND(MIN(H577:R577)&gt;=0,MAX(H577:R577)&lt;=1,S577&lt;=1),"OK","CHECK"))</f>
        <v>OK</v>
      </c>
      <c r="U577" s="17" t="str">
        <f aca="false">IF(A577="","", "LOSS-"&amp;A577&amp;"-L"&amp;TEXT(B577,"00")&amp;"-"&amp;TEXT(C577,"yyyymmdd")&amp;"-"&amp;D577&amp;"-"&amp;E577)</f>
        <v>LOSS-KG01-L23-20251228-AM-ORD-2025-00244</v>
      </c>
      <c r="V577" s="17" t="str">
        <f aca="false">IF(U577="","",IF(COUNTIF($U$5:$U$935,U577)=1,"OK","CHECK"))</f>
        <v>OK</v>
      </c>
      <c r="W577" s="17" t="str">
        <f aca="false">IF(A577="","",IF(AND(T577="OK",V577="OK",G577&gt;=0),"OK","CHECK"))</f>
        <v>OK</v>
      </c>
    </row>
    <row r="578" customFormat="false" ht="18" hidden="false" customHeight="true" outlineLevel="0" collapsed="false">
      <c r="A578" s="18" t="s">
        <v>39</v>
      </c>
      <c r="B578" s="19" t="n">
        <v>23</v>
      </c>
      <c r="C578" s="20" t="n">
        <v>46019</v>
      </c>
      <c r="D578" s="18" t="s">
        <v>43</v>
      </c>
      <c r="E578" s="18" t="s">
        <v>140</v>
      </c>
      <c r="F578" s="18" t="s">
        <v>42</v>
      </c>
      <c r="G578" s="21" t="n">
        <v>12362</v>
      </c>
      <c r="H578" s="22" t="n">
        <v>0.00059802082728186</v>
      </c>
      <c r="I578" s="22" t="n">
        <v>0.00709448968440531</v>
      </c>
      <c r="J578" s="22" t="n">
        <v>0.0109173783778264</v>
      </c>
      <c r="K578" s="22" t="n">
        <v>0.00781887608119583</v>
      </c>
      <c r="L578" s="22" t="n">
        <v>0.00198158147091585</v>
      </c>
      <c r="M578" s="22" t="n">
        <v>0.0108016950069284</v>
      </c>
      <c r="N578" s="22" t="n">
        <v>2.92730429545041E-005</v>
      </c>
      <c r="O578" s="22" t="n">
        <v>0.00494229874696302</v>
      </c>
      <c r="P578" s="22" t="n">
        <v>0.00986034709219081</v>
      </c>
      <c r="Q578" s="22" t="n">
        <v>0.00961328191208614</v>
      </c>
      <c r="R578" s="22" t="n">
        <v>0.00465619719138102</v>
      </c>
      <c r="S578" s="23" t="n">
        <f aca="false">IF(A578="","",SUM(H578:R578))</f>
        <v>0.0683134394341292</v>
      </c>
      <c r="T578" s="17" t="str">
        <f aca="false">IF(A578="","",IF(AND(MIN(H578:R578)&gt;=0,MAX(H578:R578)&lt;=1,S578&lt;=1),"OK","CHECK"))</f>
        <v>OK</v>
      </c>
      <c r="U578" s="17" t="str">
        <f aca="false">IF(A578="","", "LOSS-"&amp;A578&amp;"-L"&amp;TEXT(B578,"00")&amp;"-"&amp;TEXT(C578,"yyyymmdd")&amp;"-"&amp;D578&amp;"-"&amp;E578)</f>
        <v>LOSS-KG01-L23-20251228-PM-ORD-2025-00244</v>
      </c>
      <c r="V578" s="17" t="str">
        <f aca="false">IF(U578="","",IF(COUNTIF($U$5:$U$935,U578)=1,"OK","CHECK"))</f>
        <v>OK</v>
      </c>
      <c r="W578" s="17" t="str">
        <f aca="false">IF(A578="","",IF(AND(T578="OK",V578="OK",G578&gt;=0),"OK","CHECK"))</f>
        <v>OK</v>
      </c>
    </row>
    <row r="579" customFormat="false" ht="18" hidden="false" customHeight="true" outlineLevel="0" collapsed="false">
      <c r="A579" s="18" t="s">
        <v>39</v>
      </c>
      <c r="B579" s="19" t="n">
        <v>23</v>
      </c>
      <c r="C579" s="20" t="n">
        <v>46020</v>
      </c>
      <c r="D579" s="18" t="s">
        <v>40</v>
      </c>
      <c r="E579" s="18" t="s">
        <v>140</v>
      </c>
      <c r="F579" s="18" t="s">
        <v>42</v>
      </c>
      <c r="G579" s="21" t="n">
        <v>12898</v>
      </c>
      <c r="H579" s="22" t="n">
        <v>0.025000991807916</v>
      </c>
      <c r="I579" s="22" t="n">
        <v>0.000569576730991516</v>
      </c>
      <c r="J579" s="22" t="n">
        <v>0.000304228412001526</v>
      </c>
      <c r="K579" s="22" t="n">
        <v>0.00077669909782763</v>
      </c>
      <c r="L579" s="22" t="n">
        <v>0.0148273776615749</v>
      </c>
      <c r="M579" s="22" t="n">
        <v>0.00024552350254159</v>
      </c>
      <c r="N579" s="22" t="n">
        <v>0.00377759285490244</v>
      </c>
      <c r="O579" s="22" t="n">
        <v>0.00371004671601547</v>
      </c>
      <c r="P579" s="22" t="n">
        <v>0.000191653262520941</v>
      </c>
      <c r="Q579" s="22" t="n">
        <v>0.00343466283530902</v>
      </c>
      <c r="R579" s="22" t="n">
        <v>0.000140854689439152</v>
      </c>
      <c r="S579" s="23" t="n">
        <f aca="false">IF(A579="","",SUM(H579:R579))</f>
        <v>0.0529792075710402</v>
      </c>
      <c r="T579" s="17" t="str">
        <f aca="false">IF(A579="","",IF(AND(MIN(H579:R579)&gt;=0,MAX(H579:R579)&lt;=1,S579&lt;=1),"OK","CHECK"))</f>
        <v>OK</v>
      </c>
      <c r="U579" s="17" t="str">
        <f aca="false">IF(A579="","", "LOSS-"&amp;A579&amp;"-L"&amp;TEXT(B579,"00")&amp;"-"&amp;TEXT(C579,"yyyymmdd")&amp;"-"&amp;D579&amp;"-"&amp;E579)</f>
        <v>LOSS-KG01-L23-20251229-AM-ORD-2025-00244</v>
      </c>
      <c r="V579" s="17" t="str">
        <f aca="false">IF(U579="","",IF(COUNTIF($U$5:$U$935,U579)=1,"OK","CHECK"))</f>
        <v>OK</v>
      </c>
      <c r="W579" s="17" t="str">
        <f aca="false">IF(A579="","",IF(AND(T579="OK",V579="OK",G579&gt;=0),"OK","CHECK"))</f>
        <v>OK</v>
      </c>
    </row>
    <row r="580" customFormat="false" ht="18" hidden="false" customHeight="true" outlineLevel="0" collapsed="false">
      <c r="A580" s="18" t="s">
        <v>39</v>
      </c>
      <c r="B580" s="19" t="n">
        <v>23</v>
      </c>
      <c r="C580" s="20" t="n">
        <v>46020</v>
      </c>
      <c r="D580" s="18" t="s">
        <v>43</v>
      </c>
      <c r="E580" s="18" t="s">
        <v>140</v>
      </c>
      <c r="F580" s="18" t="s">
        <v>42</v>
      </c>
      <c r="G580" s="21" t="n">
        <v>9958</v>
      </c>
      <c r="H580" s="22" t="n">
        <v>0.00227182095448492</v>
      </c>
      <c r="I580" s="22" t="n">
        <v>5.46925032957283E-005</v>
      </c>
      <c r="J580" s="22" t="n">
        <v>0.00245449661062198</v>
      </c>
      <c r="K580" s="22" t="n">
        <v>0.00883069837180979</v>
      </c>
      <c r="L580" s="22" t="n">
        <v>0.00683112167304379</v>
      </c>
      <c r="M580" s="22" t="n">
        <v>0.00425358274683484</v>
      </c>
      <c r="N580" s="22" t="n">
        <v>0.000113352271986924</v>
      </c>
      <c r="O580" s="22" t="n">
        <v>0.000608201436595495</v>
      </c>
      <c r="P580" s="22" t="n">
        <v>0.000358231409951387</v>
      </c>
      <c r="Q580" s="22" t="n">
        <v>0.00823795984421429</v>
      </c>
      <c r="R580" s="22" t="n">
        <v>0.0106842468956749</v>
      </c>
      <c r="S580" s="23" t="n">
        <f aca="false">IF(A580="","",SUM(H580:R580))</f>
        <v>0.044698404718514</v>
      </c>
      <c r="T580" s="17" t="str">
        <f aca="false">IF(A580="","",IF(AND(MIN(H580:R580)&gt;=0,MAX(H580:R580)&lt;=1,S580&lt;=1),"OK","CHECK"))</f>
        <v>OK</v>
      </c>
      <c r="U580" s="17" t="str">
        <f aca="false">IF(A580="","", "LOSS-"&amp;A580&amp;"-L"&amp;TEXT(B580,"00")&amp;"-"&amp;TEXT(C580,"yyyymmdd")&amp;"-"&amp;D580&amp;"-"&amp;E580)</f>
        <v>LOSS-KG01-L23-20251229-PM-ORD-2025-00244</v>
      </c>
      <c r="V580" s="17" t="str">
        <f aca="false">IF(U580="","",IF(COUNTIF($U$5:$U$935,U580)=1,"OK","CHECK"))</f>
        <v>OK</v>
      </c>
      <c r="W580" s="17" t="str">
        <f aca="false">IF(A580="","",IF(AND(T580="OK",V580="OK",G580&gt;=0),"OK","CHECK"))</f>
        <v>OK</v>
      </c>
    </row>
    <row r="581" customFormat="false" ht="18" hidden="false" customHeight="true" outlineLevel="0" collapsed="false">
      <c r="A581" s="18" t="s">
        <v>39</v>
      </c>
      <c r="B581" s="19" t="n">
        <v>23</v>
      </c>
      <c r="C581" s="20" t="n">
        <v>46021</v>
      </c>
      <c r="D581" s="18" t="s">
        <v>40</v>
      </c>
      <c r="E581" s="18" t="s">
        <v>140</v>
      </c>
      <c r="F581" s="18" t="s">
        <v>61</v>
      </c>
      <c r="G581" s="21" t="n">
        <v>5630</v>
      </c>
      <c r="H581" s="22" t="n">
        <v>0.000305383263166973</v>
      </c>
      <c r="I581" s="22" t="n">
        <v>1.8862264795519E-005</v>
      </c>
      <c r="J581" s="22" t="n">
        <v>0.00275920465892589</v>
      </c>
      <c r="K581" s="22" t="n">
        <v>3.46588121118401E-006</v>
      </c>
      <c r="L581" s="22" t="n">
        <v>0.00244100859110041</v>
      </c>
      <c r="M581" s="22" t="n">
        <v>0.00287146213896682</v>
      </c>
      <c r="N581" s="22" t="n">
        <v>0.00135329841621044</v>
      </c>
      <c r="O581" s="22" t="n">
        <v>1.05052699499844E-005</v>
      </c>
      <c r="P581" s="22" t="n">
        <v>0.0033979887554499</v>
      </c>
      <c r="Q581" s="22" t="n">
        <v>0.00532960646779286</v>
      </c>
      <c r="R581" s="22" t="n">
        <v>0.00537971154499091</v>
      </c>
      <c r="S581" s="23" t="n">
        <f aca="false">IF(A581="","",SUM(H581:R581))</f>
        <v>0.0238704972525609</v>
      </c>
      <c r="T581" s="17" t="str">
        <f aca="false">IF(A581="","",IF(AND(MIN(H581:R581)&gt;=0,MAX(H581:R581)&lt;=1,S581&lt;=1),"OK","CHECK"))</f>
        <v>OK</v>
      </c>
      <c r="U581" s="17" t="str">
        <f aca="false">IF(A581="","", "LOSS-"&amp;A581&amp;"-L"&amp;TEXT(B581,"00")&amp;"-"&amp;TEXT(C581,"yyyymmdd")&amp;"-"&amp;D581&amp;"-"&amp;E581)</f>
        <v>LOSS-KG01-L23-20251230-AM-ORD-2025-00244</v>
      </c>
      <c r="V581" s="17" t="str">
        <f aca="false">IF(U581="","",IF(COUNTIF($U$5:$U$935,U581)=1,"OK","CHECK"))</f>
        <v>OK</v>
      </c>
      <c r="W581" s="17" t="str">
        <f aca="false">IF(A581="","",IF(AND(T581="OK",V581="OK",G581&gt;=0),"OK","CHECK"))</f>
        <v>OK</v>
      </c>
    </row>
    <row r="582" customFormat="false" ht="18" hidden="false" customHeight="true" outlineLevel="0" collapsed="false">
      <c r="A582" s="18" t="s">
        <v>39</v>
      </c>
      <c r="B582" s="19" t="n">
        <v>23</v>
      </c>
      <c r="C582" s="20" t="n">
        <v>46021</v>
      </c>
      <c r="D582" s="18" t="s">
        <v>43</v>
      </c>
      <c r="E582" s="18" t="s">
        <v>140</v>
      </c>
      <c r="F582" s="18" t="s">
        <v>42</v>
      </c>
      <c r="G582" s="21" t="n">
        <v>15892</v>
      </c>
      <c r="H582" s="22" t="n">
        <v>0.000581215568511239</v>
      </c>
      <c r="I582" s="22" t="n">
        <v>0.00312945902711603</v>
      </c>
      <c r="J582" s="22" t="n">
        <v>0.00460509948482796</v>
      </c>
      <c r="K582" s="22" t="n">
        <v>0.0123387252060596</v>
      </c>
      <c r="L582" s="22" t="n">
        <v>0.00480407540347905</v>
      </c>
      <c r="M582" s="22" t="n">
        <v>0.00798361890576602</v>
      </c>
      <c r="N582" s="22" t="n">
        <v>0.00257249331693796</v>
      </c>
      <c r="O582" s="22" t="n">
        <v>1.69535275358973E-005</v>
      </c>
      <c r="P582" s="22" t="n">
        <v>0.015665266518241</v>
      </c>
      <c r="Q582" s="22" t="n">
        <v>0.00527967130086853</v>
      </c>
      <c r="R582" s="22" t="n">
        <v>0.000141633292250741</v>
      </c>
      <c r="S582" s="23" t="n">
        <f aca="false">IF(A582="","",SUM(H582:R582))</f>
        <v>0.057118211551594</v>
      </c>
      <c r="T582" s="17" t="str">
        <f aca="false">IF(A582="","",IF(AND(MIN(H582:R582)&gt;=0,MAX(H582:R582)&lt;=1,S582&lt;=1),"OK","CHECK"))</f>
        <v>OK</v>
      </c>
      <c r="U582" s="17" t="str">
        <f aca="false">IF(A582="","", "LOSS-"&amp;A582&amp;"-L"&amp;TEXT(B582,"00")&amp;"-"&amp;TEXT(C582,"yyyymmdd")&amp;"-"&amp;D582&amp;"-"&amp;E582)</f>
        <v>LOSS-KG01-L23-20251230-PM-ORD-2025-00244</v>
      </c>
      <c r="V582" s="17" t="str">
        <f aca="false">IF(U582="","",IF(COUNTIF($U$5:$U$935,U582)=1,"OK","CHECK"))</f>
        <v>OK</v>
      </c>
      <c r="W582" s="17" t="str">
        <f aca="false">IF(A582="","",IF(AND(T582="OK",V582="OK",G582&gt;=0),"OK","CHECK"))</f>
        <v>OK</v>
      </c>
    </row>
    <row r="583" customFormat="false" ht="18" hidden="false" customHeight="true" outlineLevel="0" collapsed="false">
      <c r="A583" s="18" t="s">
        <v>39</v>
      </c>
      <c r="B583" s="19" t="n">
        <v>23</v>
      </c>
      <c r="C583" s="20" t="n">
        <v>46022</v>
      </c>
      <c r="D583" s="18" t="s">
        <v>40</v>
      </c>
      <c r="E583" s="18" t="s">
        <v>141</v>
      </c>
      <c r="F583" s="18" t="s">
        <v>45</v>
      </c>
      <c r="G583" s="21" t="n">
        <v>973</v>
      </c>
      <c r="H583" s="22" t="n">
        <v>0.00113292292084066</v>
      </c>
      <c r="I583" s="22" t="n">
        <v>3.6672463228387E-005</v>
      </c>
      <c r="J583" s="22" t="n">
        <v>0.00149000703464874</v>
      </c>
      <c r="K583" s="22" t="n">
        <v>0.00683259282206566</v>
      </c>
      <c r="L583" s="22" t="n">
        <v>0.00345302849704104</v>
      </c>
      <c r="M583" s="22" t="n">
        <v>0.000183893335776254</v>
      </c>
      <c r="N583" s="22" t="n">
        <v>0.0219882007235376</v>
      </c>
      <c r="O583" s="22" t="n">
        <v>0.00733313084258252</v>
      </c>
      <c r="P583" s="22" t="n">
        <v>0.019442305194751</v>
      </c>
      <c r="Q583" s="22" t="n">
        <v>0.0044625004155317</v>
      </c>
      <c r="R583" s="22" t="n">
        <v>0.000655765033742966</v>
      </c>
      <c r="S583" s="23" t="n">
        <f aca="false">IF(A583="","",SUM(H583:R583))</f>
        <v>0.0670110192837465</v>
      </c>
      <c r="T583" s="17" t="str">
        <f aca="false">IF(A583="","",IF(AND(MIN(H583:R583)&gt;=0,MAX(H583:R583)&lt;=1,S583&lt;=1),"OK","CHECK"))</f>
        <v>OK</v>
      </c>
      <c r="U583" s="17" t="str">
        <f aca="false">IF(A583="","", "LOSS-"&amp;A583&amp;"-L"&amp;TEXT(B583,"00")&amp;"-"&amp;TEXT(C583,"yyyymmdd")&amp;"-"&amp;D583&amp;"-"&amp;E583)</f>
        <v>LOSS-KG01-L23-20251231-AM-ORD-2025-00245</v>
      </c>
      <c r="V583" s="17" t="str">
        <f aca="false">IF(U583="","",IF(COUNTIF($U$5:$U$935,U583)=1,"OK","CHECK"))</f>
        <v>OK</v>
      </c>
      <c r="W583" s="17" t="str">
        <f aca="false">IF(A583="","",IF(AND(T583="OK",V583="OK",G583&gt;=0),"OK","CHECK"))</f>
        <v>OK</v>
      </c>
    </row>
    <row r="584" customFormat="false" ht="18" hidden="false" customHeight="true" outlineLevel="0" collapsed="false">
      <c r="A584" s="18" t="s">
        <v>39</v>
      </c>
      <c r="B584" s="19" t="n">
        <v>23</v>
      </c>
      <c r="C584" s="20" t="n">
        <v>46022</v>
      </c>
      <c r="D584" s="18" t="s">
        <v>43</v>
      </c>
      <c r="E584" s="18" t="s">
        <v>141</v>
      </c>
      <c r="F584" s="18" t="s">
        <v>42</v>
      </c>
      <c r="G584" s="21" t="n">
        <v>10147</v>
      </c>
      <c r="H584" s="22" t="n">
        <v>6.03171584153858E-007</v>
      </c>
      <c r="I584" s="22" t="n">
        <v>0.00439894967323349</v>
      </c>
      <c r="J584" s="22" t="n">
        <v>0.00433070439863965</v>
      </c>
      <c r="K584" s="22" t="n">
        <v>0.000787919089286707</v>
      </c>
      <c r="L584" s="22" t="n">
        <v>0.00156427714319001</v>
      </c>
      <c r="M584" s="22" t="n">
        <v>0.00168451695633772</v>
      </c>
      <c r="N584" s="22" t="n">
        <v>0.00778145528608004</v>
      </c>
      <c r="O584" s="22" t="n">
        <v>0.00635057281230845</v>
      </c>
      <c r="P584" s="22" t="n">
        <v>0.000733324371853914</v>
      </c>
      <c r="Q584" s="22" t="n">
        <v>0.000427933001469661</v>
      </c>
      <c r="R584" s="22" t="n">
        <v>0.00900234910733917</v>
      </c>
      <c r="S584" s="23" t="n">
        <f aca="false">IF(A584="","",SUM(H584:R584))</f>
        <v>0.037062605011323</v>
      </c>
      <c r="T584" s="17" t="str">
        <f aca="false">IF(A584="","",IF(AND(MIN(H584:R584)&gt;=0,MAX(H584:R584)&lt;=1,S584&lt;=1),"OK","CHECK"))</f>
        <v>OK</v>
      </c>
      <c r="U584" s="17" t="str">
        <f aca="false">IF(A584="","", "LOSS-"&amp;A584&amp;"-L"&amp;TEXT(B584,"00")&amp;"-"&amp;TEXT(C584,"yyyymmdd")&amp;"-"&amp;D584&amp;"-"&amp;E584)</f>
        <v>LOSS-KG01-L23-20251231-PM-ORD-2025-00245</v>
      </c>
      <c r="V584" s="17" t="str">
        <f aca="false">IF(U584="","",IF(COUNTIF($U$5:$U$935,U584)=1,"OK","CHECK"))</f>
        <v>OK</v>
      </c>
      <c r="W584" s="17" t="str">
        <f aca="false">IF(A584="","",IF(AND(T584="OK",V584="OK",G584&gt;=0),"OK","CHECK"))</f>
        <v>OK</v>
      </c>
    </row>
    <row r="585" customFormat="false" ht="18" hidden="false" customHeight="true" outlineLevel="0" collapsed="false">
      <c r="A585" s="18" t="s">
        <v>39</v>
      </c>
      <c r="B585" s="19" t="n">
        <v>24</v>
      </c>
      <c r="C585" s="20" t="n">
        <v>45931</v>
      </c>
      <c r="D585" s="18" t="s">
        <v>40</v>
      </c>
      <c r="E585" s="18" t="s">
        <v>142</v>
      </c>
      <c r="F585" s="18" t="s">
        <v>42</v>
      </c>
      <c r="G585" s="21" t="n">
        <v>15746</v>
      </c>
      <c r="H585" s="22" t="n">
        <v>0.00337695039804017</v>
      </c>
      <c r="I585" s="22" t="n">
        <v>0.00926823492019465</v>
      </c>
      <c r="J585" s="22" t="n">
        <v>0.00446843978416618</v>
      </c>
      <c r="K585" s="22" t="n">
        <v>0.00434842951586379</v>
      </c>
      <c r="L585" s="22" t="n">
        <v>0.0205146927180523</v>
      </c>
      <c r="M585" s="22" t="n">
        <v>0.0098876315347758</v>
      </c>
      <c r="N585" s="22" t="n">
        <v>0.0129883078013465</v>
      </c>
      <c r="O585" s="22" t="n">
        <v>0.000916898763027207</v>
      </c>
      <c r="P585" s="22" t="n">
        <v>0.000278195417184395</v>
      </c>
      <c r="Q585" s="22" t="n">
        <v>0.00328842757250713</v>
      </c>
      <c r="R585" s="22" t="n">
        <v>0.000249529724584291</v>
      </c>
      <c r="S585" s="23" t="n">
        <f aca="false">IF(A585="","",SUM(H585:R585))</f>
        <v>0.0695857381497424</v>
      </c>
      <c r="T585" s="17" t="str">
        <f aca="false">IF(A585="","",IF(AND(MIN(H585:R585)&gt;=0,MAX(H585:R585)&lt;=1,S585&lt;=1),"OK","CHECK"))</f>
        <v>OK</v>
      </c>
      <c r="U585" s="17" t="str">
        <f aca="false">IF(A585="","", "LOSS-"&amp;A585&amp;"-L"&amp;TEXT(B585,"00")&amp;"-"&amp;TEXT(C585,"yyyymmdd")&amp;"-"&amp;D585&amp;"-"&amp;E585)</f>
        <v>LOSS-KG01-L24-20251001-AM-ORD-2025-00246</v>
      </c>
      <c r="V585" s="17" t="str">
        <f aca="false">IF(U585="","",IF(COUNTIF($U$5:$U$935,U585)=1,"OK","CHECK"))</f>
        <v>OK</v>
      </c>
      <c r="W585" s="17" t="str">
        <f aca="false">IF(A585="","",IF(AND(T585="OK",V585="OK",G585&gt;=0),"OK","CHECK"))</f>
        <v>OK</v>
      </c>
    </row>
    <row r="586" customFormat="false" ht="18" hidden="false" customHeight="true" outlineLevel="0" collapsed="false">
      <c r="A586" s="18" t="s">
        <v>39</v>
      </c>
      <c r="B586" s="19" t="n">
        <v>24</v>
      </c>
      <c r="C586" s="20" t="n">
        <v>45931</v>
      </c>
      <c r="D586" s="18" t="s">
        <v>43</v>
      </c>
      <c r="E586" s="18" t="s">
        <v>142</v>
      </c>
      <c r="F586" s="18" t="s">
        <v>42</v>
      </c>
      <c r="G586" s="21" t="n">
        <v>9224</v>
      </c>
      <c r="H586" s="22" t="n">
        <v>0.0153695747705665</v>
      </c>
      <c r="I586" s="22" t="n">
        <v>0.000746098180612648</v>
      </c>
      <c r="J586" s="22" t="n">
        <v>0.0101899680676149</v>
      </c>
      <c r="K586" s="22" t="n">
        <v>0.00955488118495817</v>
      </c>
      <c r="L586" s="22" t="n">
        <v>0.00157408747330725</v>
      </c>
      <c r="M586" s="22" t="n">
        <v>0.00839854368950362</v>
      </c>
      <c r="N586" s="22" t="n">
        <v>0.000811030323290493</v>
      </c>
      <c r="O586" s="22" t="n">
        <v>0.00621309868235765</v>
      </c>
      <c r="P586" s="22" t="n">
        <v>0.00162467983548859</v>
      </c>
      <c r="Q586" s="22" t="n">
        <v>0.00379703322046102</v>
      </c>
      <c r="R586" s="22" t="n">
        <v>0.00740871732340234</v>
      </c>
      <c r="S586" s="23" t="n">
        <f aca="false">IF(A586="","",SUM(H586:R586))</f>
        <v>0.0656877127515632</v>
      </c>
      <c r="T586" s="17" t="str">
        <f aca="false">IF(A586="","",IF(AND(MIN(H586:R586)&gt;=0,MAX(H586:R586)&lt;=1,S586&lt;=1),"OK","CHECK"))</f>
        <v>OK</v>
      </c>
      <c r="U586" s="17" t="str">
        <f aca="false">IF(A586="","", "LOSS-"&amp;A586&amp;"-L"&amp;TEXT(B586,"00")&amp;"-"&amp;TEXT(C586,"yyyymmdd")&amp;"-"&amp;D586&amp;"-"&amp;E586)</f>
        <v>LOSS-KG01-L24-20251001-PM-ORD-2025-00246</v>
      </c>
      <c r="V586" s="17" t="str">
        <f aca="false">IF(U586="","",IF(COUNTIF($U$5:$U$935,U586)=1,"OK","CHECK"))</f>
        <v>OK</v>
      </c>
      <c r="W586" s="17" t="str">
        <f aca="false">IF(A586="","",IF(AND(T586="OK",V586="OK",G586&gt;=0),"OK","CHECK"))</f>
        <v>OK</v>
      </c>
    </row>
    <row r="587" customFormat="false" ht="18" hidden="false" customHeight="true" outlineLevel="0" collapsed="false">
      <c r="A587" s="18" t="s">
        <v>39</v>
      </c>
      <c r="B587" s="19" t="n">
        <v>24</v>
      </c>
      <c r="C587" s="20" t="n">
        <v>45932</v>
      </c>
      <c r="D587" s="18" t="s">
        <v>40</v>
      </c>
      <c r="E587" s="18" t="s">
        <v>142</v>
      </c>
      <c r="F587" s="18" t="s">
        <v>42</v>
      </c>
      <c r="G587" s="21" t="n">
        <v>16689</v>
      </c>
      <c r="H587" s="22" t="n">
        <v>0.000846859952099207</v>
      </c>
      <c r="I587" s="22" t="n">
        <v>0.0127073532758021</v>
      </c>
      <c r="J587" s="22" t="n">
        <v>0.011410580259023</v>
      </c>
      <c r="K587" s="22" t="n">
        <v>0.000753731026910944</v>
      </c>
      <c r="L587" s="22" t="n">
        <v>9.0925259344184E-006</v>
      </c>
      <c r="M587" s="22" t="n">
        <v>2.44981969154889E-006</v>
      </c>
      <c r="N587" s="22" t="n">
        <v>0.011035643049326</v>
      </c>
      <c r="O587" s="22" t="n">
        <v>0.0118694878361241</v>
      </c>
      <c r="P587" s="22" t="n">
        <v>0.000682800572804399</v>
      </c>
      <c r="Q587" s="22" t="n">
        <v>0.0143742616756212</v>
      </c>
      <c r="R587" s="22" t="n">
        <v>0.00242111797283199</v>
      </c>
      <c r="S587" s="23" t="n">
        <f aca="false">IF(A587="","",SUM(H587:R587))</f>
        <v>0.0661133779661689</v>
      </c>
      <c r="T587" s="17" t="str">
        <f aca="false">IF(A587="","",IF(AND(MIN(H587:R587)&gt;=0,MAX(H587:R587)&lt;=1,S587&lt;=1),"OK","CHECK"))</f>
        <v>OK</v>
      </c>
      <c r="U587" s="17" t="str">
        <f aca="false">IF(A587="","", "LOSS-"&amp;A587&amp;"-L"&amp;TEXT(B587,"00")&amp;"-"&amp;TEXT(C587,"yyyymmdd")&amp;"-"&amp;D587&amp;"-"&amp;E587)</f>
        <v>LOSS-KG01-L24-20251002-AM-ORD-2025-00246</v>
      </c>
      <c r="V587" s="17" t="str">
        <f aca="false">IF(U587="","",IF(COUNTIF($U$5:$U$935,U587)=1,"OK","CHECK"))</f>
        <v>OK</v>
      </c>
      <c r="W587" s="17" t="str">
        <f aca="false">IF(A587="","",IF(AND(T587="OK",V587="OK",G587&gt;=0),"OK","CHECK"))</f>
        <v>OK</v>
      </c>
    </row>
    <row r="588" customFormat="false" ht="18" hidden="false" customHeight="true" outlineLevel="0" collapsed="false">
      <c r="A588" s="18" t="s">
        <v>39</v>
      </c>
      <c r="B588" s="19" t="n">
        <v>24</v>
      </c>
      <c r="C588" s="20" t="n">
        <v>45932</v>
      </c>
      <c r="D588" s="18" t="s">
        <v>43</v>
      </c>
      <c r="E588" s="18" t="s">
        <v>143</v>
      </c>
      <c r="F588" s="18" t="s">
        <v>45</v>
      </c>
      <c r="G588" s="21" t="n">
        <v>1492</v>
      </c>
      <c r="H588" s="22" t="n">
        <v>0.00172113102072469</v>
      </c>
      <c r="I588" s="22" t="n">
        <v>0.0155581750398758</v>
      </c>
      <c r="J588" s="22" t="n">
        <v>0.00581686533984003</v>
      </c>
      <c r="K588" s="22" t="n">
        <v>0.000438618717217124</v>
      </c>
      <c r="L588" s="22" t="n">
        <v>0.00388271026450148</v>
      </c>
      <c r="M588" s="22" t="n">
        <v>0.00505159097547807</v>
      </c>
      <c r="N588" s="22" t="n">
        <v>0.00130767180609089</v>
      </c>
      <c r="O588" s="22" t="n">
        <v>0.0156389518895598</v>
      </c>
      <c r="P588" s="22" t="n">
        <v>0.011805689639008</v>
      </c>
      <c r="Q588" s="22" t="n">
        <v>0.000991934889230168</v>
      </c>
      <c r="R588" s="22" t="n">
        <v>0.00610167873349235</v>
      </c>
      <c r="S588" s="23" t="n">
        <f aca="false">IF(A588="","",SUM(H588:R588))</f>
        <v>0.0683150183150184</v>
      </c>
      <c r="T588" s="17" t="str">
        <f aca="false">IF(A588="","",IF(AND(MIN(H588:R588)&gt;=0,MAX(H588:R588)&lt;=1,S588&lt;=1),"OK","CHECK"))</f>
        <v>OK</v>
      </c>
      <c r="U588" s="17" t="str">
        <f aca="false">IF(A588="","", "LOSS-"&amp;A588&amp;"-L"&amp;TEXT(B588,"00")&amp;"-"&amp;TEXT(C588,"yyyymmdd")&amp;"-"&amp;D588&amp;"-"&amp;E588)</f>
        <v>LOSS-KG01-L24-20251002-PM-ORD-2025-00247</v>
      </c>
      <c r="V588" s="17" t="str">
        <f aca="false">IF(U588="","",IF(COUNTIF($U$5:$U$935,U588)=1,"OK","CHECK"))</f>
        <v>OK</v>
      </c>
      <c r="W588" s="17" t="str">
        <f aca="false">IF(A588="","",IF(AND(T588="OK",V588="OK",G588&gt;=0),"OK","CHECK"))</f>
        <v>OK</v>
      </c>
    </row>
    <row r="589" customFormat="false" ht="18" hidden="false" customHeight="true" outlineLevel="0" collapsed="false">
      <c r="A589" s="18" t="s">
        <v>39</v>
      </c>
      <c r="B589" s="19" t="n">
        <v>24</v>
      </c>
      <c r="C589" s="20" t="n">
        <v>45933</v>
      </c>
      <c r="D589" s="18" t="s">
        <v>40</v>
      </c>
      <c r="E589" s="18" t="s">
        <v>143</v>
      </c>
      <c r="F589" s="18" t="s">
        <v>42</v>
      </c>
      <c r="G589" s="21" t="n">
        <v>4244</v>
      </c>
      <c r="H589" s="22" t="n">
        <v>0.00530036990320551</v>
      </c>
      <c r="I589" s="22" t="n">
        <v>0.00492685923776954</v>
      </c>
      <c r="J589" s="22" t="n">
        <v>0.00259875963941323</v>
      </c>
      <c r="K589" s="22" t="n">
        <v>0.00497882000849626</v>
      </c>
      <c r="L589" s="22" t="n">
        <v>0.00607437015623206</v>
      </c>
      <c r="M589" s="22" t="n">
        <v>0.00586288479966034</v>
      </c>
      <c r="N589" s="22" t="n">
        <v>0.000623966083562246</v>
      </c>
      <c r="O589" s="22" t="n">
        <v>0.000985838071323808</v>
      </c>
      <c r="P589" s="22" t="n">
        <v>0.00218707078864882</v>
      </c>
      <c r="Q589" s="22" t="n">
        <v>0.000172364658076851</v>
      </c>
      <c r="R589" s="22" t="n">
        <v>1.94230882004256E-005</v>
      </c>
      <c r="S589" s="23" t="n">
        <f aca="false">IF(A589="","",SUM(H589:R589))</f>
        <v>0.0337307264345891</v>
      </c>
      <c r="T589" s="17" t="str">
        <f aca="false">IF(A589="","",IF(AND(MIN(H589:R589)&gt;=0,MAX(H589:R589)&lt;=1,S589&lt;=1),"OK","CHECK"))</f>
        <v>OK</v>
      </c>
      <c r="U589" s="17" t="str">
        <f aca="false">IF(A589="","", "LOSS-"&amp;A589&amp;"-L"&amp;TEXT(B589,"00")&amp;"-"&amp;TEXT(C589,"yyyymmdd")&amp;"-"&amp;D589&amp;"-"&amp;E589)</f>
        <v>LOSS-KG01-L24-20251003-AM-ORD-2025-00247</v>
      </c>
      <c r="V589" s="17" t="str">
        <f aca="false">IF(U589="","",IF(COUNTIF($U$5:$U$935,U589)=1,"OK","CHECK"))</f>
        <v>OK</v>
      </c>
      <c r="W589" s="17" t="str">
        <f aca="false">IF(A589="","",IF(AND(T589="OK",V589="OK",G589&gt;=0),"OK","CHECK"))</f>
        <v>OK</v>
      </c>
    </row>
    <row r="590" customFormat="false" ht="18" hidden="false" customHeight="true" outlineLevel="0" collapsed="false">
      <c r="A590" s="18" t="s">
        <v>39</v>
      </c>
      <c r="B590" s="19" t="n">
        <v>24</v>
      </c>
      <c r="C590" s="20" t="n">
        <v>45933</v>
      </c>
      <c r="D590" s="18" t="s">
        <v>43</v>
      </c>
      <c r="E590" s="18" t="s">
        <v>143</v>
      </c>
      <c r="F590" s="18" t="s">
        <v>42</v>
      </c>
      <c r="G590" s="21" t="n">
        <v>23222</v>
      </c>
      <c r="H590" s="22" t="n">
        <v>0.00156024393469751</v>
      </c>
      <c r="I590" s="22" t="n">
        <v>0.00122506762109125</v>
      </c>
      <c r="J590" s="22" t="n">
        <v>0.0060268505415568</v>
      </c>
      <c r="K590" s="22" t="n">
        <v>0.0258534533549675</v>
      </c>
      <c r="L590" s="22" t="n">
        <v>0.000194909592562377</v>
      </c>
      <c r="M590" s="22" t="n">
        <v>0.00586618234538873</v>
      </c>
      <c r="N590" s="22" t="n">
        <v>1.68792673243678E-005</v>
      </c>
      <c r="O590" s="22" t="n">
        <v>0.0199779712027757</v>
      </c>
      <c r="P590" s="22" t="n">
        <v>0.0271723201356064</v>
      </c>
      <c r="Q590" s="22" t="n">
        <v>0.00307063073480782</v>
      </c>
      <c r="R590" s="22" t="n">
        <v>0.00232313553726587</v>
      </c>
      <c r="S590" s="23" t="n">
        <f aca="false">IF(A590="","",SUM(H590:R590))</f>
        <v>0.0932876442680443</v>
      </c>
      <c r="T590" s="17" t="str">
        <f aca="false">IF(A590="","",IF(AND(MIN(H590:R590)&gt;=0,MAX(H590:R590)&lt;=1,S590&lt;=1),"OK","CHECK"))</f>
        <v>OK</v>
      </c>
      <c r="U590" s="17" t="str">
        <f aca="false">IF(A590="","", "LOSS-"&amp;A590&amp;"-L"&amp;TEXT(B590,"00")&amp;"-"&amp;TEXT(C590,"yyyymmdd")&amp;"-"&amp;D590&amp;"-"&amp;E590)</f>
        <v>LOSS-KG01-L24-20251003-PM-ORD-2025-00247</v>
      </c>
      <c r="V590" s="17" t="str">
        <f aca="false">IF(U590="","",IF(COUNTIF($U$5:$U$935,U590)=1,"OK","CHECK"))</f>
        <v>OK</v>
      </c>
      <c r="W590" s="17" t="str">
        <f aca="false">IF(A590="","",IF(AND(T590="OK",V590="OK",G590&gt;=0),"OK","CHECK"))</f>
        <v>OK</v>
      </c>
    </row>
    <row r="591" customFormat="false" ht="18" hidden="false" customHeight="true" outlineLevel="0" collapsed="false">
      <c r="A591" s="18" t="s">
        <v>39</v>
      </c>
      <c r="B591" s="19" t="n">
        <v>24</v>
      </c>
      <c r="C591" s="20" t="n">
        <v>45934</v>
      </c>
      <c r="D591" s="18" t="s">
        <v>40</v>
      </c>
      <c r="E591" s="18" t="s">
        <v>144</v>
      </c>
      <c r="F591" s="18" t="s">
        <v>45</v>
      </c>
      <c r="G591" s="21" t="n">
        <v>6954</v>
      </c>
      <c r="H591" s="22" t="n">
        <v>0.00514843563143317</v>
      </c>
      <c r="I591" s="22" t="n">
        <v>0.00468590599550404</v>
      </c>
      <c r="J591" s="22" t="n">
        <v>0.00381396041590942</v>
      </c>
      <c r="K591" s="22" t="n">
        <v>0.00024927755977359</v>
      </c>
      <c r="L591" s="22" t="n">
        <v>0.00503045140846928</v>
      </c>
      <c r="M591" s="22" t="n">
        <v>0.00329641538588773</v>
      </c>
      <c r="N591" s="22" t="n">
        <v>0.00276657470091905</v>
      </c>
      <c r="O591" s="22" t="n">
        <v>5.48798633028054E-006</v>
      </c>
      <c r="P591" s="22" t="n">
        <v>0.00515859569539822</v>
      </c>
      <c r="Q591" s="22" t="n">
        <v>0.00135122145435657</v>
      </c>
      <c r="R591" s="22" t="n">
        <v>1.22443228055278E-006</v>
      </c>
      <c r="S591" s="23" t="n">
        <f aca="false">IF(A591="","",SUM(H591:R591))</f>
        <v>0.0315075506662619</v>
      </c>
      <c r="T591" s="17" t="str">
        <f aca="false">IF(A591="","",IF(AND(MIN(H591:R591)&gt;=0,MAX(H591:R591)&lt;=1,S591&lt;=1),"OK","CHECK"))</f>
        <v>OK</v>
      </c>
      <c r="U591" s="17" t="str">
        <f aca="false">IF(A591="","", "LOSS-"&amp;A591&amp;"-L"&amp;TEXT(B591,"00")&amp;"-"&amp;TEXT(C591,"yyyymmdd")&amp;"-"&amp;D591&amp;"-"&amp;E591)</f>
        <v>LOSS-KG01-L24-20251004-AM-ORD-2025-00248</v>
      </c>
      <c r="V591" s="17" t="str">
        <f aca="false">IF(U591="","",IF(COUNTIF($U$5:$U$935,U591)=1,"OK","CHECK"))</f>
        <v>OK</v>
      </c>
      <c r="W591" s="17" t="str">
        <f aca="false">IF(A591="","",IF(AND(T591="OK",V591="OK",G591&gt;=0),"OK","CHECK"))</f>
        <v>OK</v>
      </c>
    </row>
    <row r="592" customFormat="false" ht="18" hidden="false" customHeight="true" outlineLevel="0" collapsed="false">
      <c r="A592" s="18" t="s">
        <v>39</v>
      </c>
      <c r="B592" s="19" t="n">
        <v>24</v>
      </c>
      <c r="C592" s="20" t="n">
        <v>45934</v>
      </c>
      <c r="D592" s="18" t="s">
        <v>43</v>
      </c>
      <c r="E592" s="18" t="s">
        <v>144</v>
      </c>
      <c r="F592" s="18" t="s">
        <v>42</v>
      </c>
      <c r="G592" s="21" t="n">
        <v>9138</v>
      </c>
      <c r="H592" s="22" t="n">
        <v>0.000105566710723717</v>
      </c>
      <c r="I592" s="22" t="n">
        <v>0.00078519046925895</v>
      </c>
      <c r="J592" s="22" t="n">
        <v>0.0107745464726637</v>
      </c>
      <c r="K592" s="22" t="n">
        <v>0.0047872969529201</v>
      </c>
      <c r="L592" s="22" t="n">
        <v>0.00442559989304655</v>
      </c>
      <c r="M592" s="22" t="n">
        <v>0.00103874967469822</v>
      </c>
      <c r="N592" s="22" t="n">
        <v>0.00703601440118651</v>
      </c>
      <c r="O592" s="22" t="n">
        <v>0.00327757838546287</v>
      </c>
      <c r="P592" s="22" t="n">
        <v>0.00761936372418509</v>
      </c>
      <c r="Q592" s="22" t="n">
        <v>0.000334675215154388</v>
      </c>
      <c r="R592" s="22" t="n">
        <v>6.0464542373706E-005</v>
      </c>
      <c r="S592" s="23" t="n">
        <f aca="false">IF(A592="","",SUM(H592:R592))</f>
        <v>0.0402450464416738</v>
      </c>
      <c r="T592" s="17" t="str">
        <f aca="false">IF(A592="","",IF(AND(MIN(H592:R592)&gt;=0,MAX(H592:R592)&lt;=1,S592&lt;=1),"OK","CHECK"))</f>
        <v>OK</v>
      </c>
      <c r="U592" s="17" t="str">
        <f aca="false">IF(A592="","", "LOSS-"&amp;A592&amp;"-L"&amp;TEXT(B592,"00")&amp;"-"&amp;TEXT(C592,"yyyymmdd")&amp;"-"&amp;D592&amp;"-"&amp;E592)</f>
        <v>LOSS-KG01-L24-20251004-PM-ORD-2025-00248</v>
      </c>
      <c r="V592" s="17" t="str">
        <f aca="false">IF(U592="","",IF(COUNTIF($U$5:$U$935,U592)=1,"OK","CHECK"))</f>
        <v>OK</v>
      </c>
      <c r="W592" s="17" t="str">
        <f aca="false">IF(A592="","",IF(AND(T592="OK",V592="OK",G592&gt;=0),"OK","CHECK"))</f>
        <v>OK</v>
      </c>
    </row>
    <row r="593" customFormat="false" ht="18" hidden="false" customHeight="true" outlineLevel="0" collapsed="false">
      <c r="A593" s="18" t="s">
        <v>39</v>
      </c>
      <c r="B593" s="19" t="n">
        <v>24</v>
      </c>
      <c r="C593" s="20" t="n">
        <v>45935</v>
      </c>
      <c r="D593" s="18" t="s">
        <v>40</v>
      </c>
      <c r="E593" s="18" t="s">
        <v>144</v>
      </c>
      <c r="F593" s="18" t="s">
        <v>42</v>
      </c>
      <c r="G593" s="21" t="n">
        <v>5018</v>
      </c>
      <c r="H593" s="22" t="n">
        <v>0.00526609098338312</v>
      </c>
      <c r="I593" s="22" t="n">
        <v>1.02398100187524E-005</v>
      </c>
      <c r="J593" s="22" t="n">
        <v>0.00283437152130227</v>
      </c>
      <c r="K593" s="22" t="n">
        <v>0.00790009912473206</v>
      </c>
      <c r="L593" s="22" t="n">
        <v>0.00194846532693496</v>
      </c>
      <c r="M593" s="22" t="n">
        <v>0.0108429399266154</v>
      </c>
      <c r="N593" s="22" t="n">
        <v>0.00381061953210612</v>
      </c>
      <c r="O593" s="22" t="n">
        <v>2.22113454458072E-005</v>
      </c>
      <c r="P593" s="22" t="n">
        <v>4.54806465150397E-005</v>
      </c>
      <c r="Q593" s="22" t="n">
        <v>0.00678357834794758</v>
      </c>
      <c r="R593" s="22" t="n">
        <v>0.000903377772933664</v>
      </c>
      <c r="S593" s="23" t="n">
        <f aca="false">IF(A593="","",SUM(H593:R593))</f>
        <v>0.0403674743379348</v>
      </c>
      <c r="T593" s="17" t="str">
        <f aca="false">IF(A593="","",IF(AND(MIN(H593:R593)&gt;=0,MAX(H593:R593)&lt;=1,S593&lt;=1),"OK","CHECK"))</f>
        <v>OK</v>
      </c>
      <c r="U593" s="17" t="str">
        <f aca="false">IF(A593="","", "LOSS-"&amp;A593&amp;"-L"&amp;TEXT(B593,"00")&amp;"-"&amp;TEXT(C593,"yyyymmdd")&amp;"-"&amp;D593&amp;"-"&amp;E593)</f>
        <v>LOSS-KG01-L24-20251005-AM-ORD-2025-00248</v>
      </c>
      <c r="V593" s="17" t="str">
        <f aca="false">IF(U593="","",IF(COUNTIF($U$5:$U$935,U593)=1,"OK","CHECK"))</f>
        <v>OK</v>
      </c>
      <c r="W593" s="17" t="str">
        <f aca="false">IF(A593="","",IF(AND(T593="OK",V593="OK",G593&gt;=0),"OK","CHECK"))</f>
        <v>OK</v>
      </c>
    </row>
    <row r="594" customFormat="false" ht="18" hidden="false" customHeight="true" outlineLevel="0" collapsed="false">
      <c r="A594" s="18" t="s">
        <v>39</v>
      </c>
      <c r="B594" s="19" t="n">
        <v>24</v>
      </c>
      <c r="C594" s="20" t="n">
        <v>45935</v>
      </c>
      <c r="D594" s="18" t="s">
        <v>43</v>
      </c>
      <c r="E594" s="18" t="s">
        <v>144</v>
      </c>
      <c r="F594" s="18" t="s">
        <v>61</v>
      </c>
      <c r="G594" s="21" t="n">
        <v>14113</v>
      </c>
      <c r="H594" s="22" t="n">
        <v>0.00171442683545977</v>
      </c>
      <c r="I594" s="22" t="n">
        <v>0.00496514425886684</v>
      </c>
      <c r="J594" s="22" t="n">
        <v>0.0139070605309401</v>
      </c>
      <c r="K594" s="22" t="n">
        <v>1.28880840768702E-005</v>
      </c>
      <c r="L594" s="22" t="n">
        <v>0.00159944147317852</v>
      </c>
      <c r="M594" s="22" t="n">
        <v>0.0164427730573802</v>
      </c>
      <c r="N594" s="22" t="n">
        <v>0.0011923811826722</v>
      </c>
      <c r="O594" s="22" t="n">
        <v>0.00433995711848512</v>
      </c>
      <c r="P594" s="22" t="n">
        <v>8.21089209643231E-008</v>
      </c>
      <c r="Q594" s="22" t="n">
        <v>0.00914156741127184</v>
      </c>
      <c r="R594" s="22" t="n">
        <v>0.0165004989682067</v>
      </c>
      <c r="S594" s="23" t="n">
        <f aca="false">IF(A594="","",SUM(H594:R594))</f>
        <v>0.0698162210294591</v>
      </c>
      <c r="T594" s="17" t="str">
        <f aca="false">IF(A594="","",IF(AND(MIN(H594:R594)&gt;=0,MAX(H594:R594)&lt;=1,S594&lt;=1),"OK","CHECK"))</f>
        <v>OK</v>
      </c>
      <c r="U594" s="17" t="str">
        <f aca="false">IF(A594="","", "LOSS-"&amp;A594&amp;"-L"&amp;TEXT(B594,"00")&amp;"-"&amp;TEXT(C594,"yyyymmdd")&amp;"-"&amp;D594&amp;"-"&amp;E594)</f>
        <v>LOSS-KG01-L24-20251005-PM-ORD-2025-00248</v>
      </c>
      <c r="V594" s="17" t="str">
        <f aca="false">IF(U594="","",IF(COUNTIF($U$5:$U$935,U594)=1,"OK","CHECK"))</f>
        <v>OK</v>
      </c>
      <c r="W594" s="17" t="str">
        <f aca="false">IF(A594="","",IF(AND(T594="OK",V594="OK",G594&gt;=0),"OK","CHECK"))</f>
        <v>OK</v>
      </c>
    </row>
    <row r="595" customFormat="false" ht="18" hidden="false" customHeight="true" outlineLevel="0" collapsed="false">
      <c r="A595" s="18" t="s">
        <v>39</v>
      </c>
      <c r="B595" s="19" t="n">
        <v>24</v>
      </c>
      <c r="C595" s="20" t="n">
        <v>45936</v>
      </c>
      <c r="D595" s="18" t="s">
        <v>40</v>
      </c>
      <c r="E595" s="18" t="s">
        <v>145</v>
      </c>
      <c r="F595" s="18" t="s">
        <v>45</v>
      </c>
      <c r="G595" s="21" t="n">
        <v>918</v>
      </c>
      <c r="H595" s="22" t="n">
        <v>0.00722893090351026</v>
      </c>
      <c r="I595" s="22" t="n">
        <v>0.00196317525483498</v>
      </c>
      <c r="J595" s="22" t="n">
        <v>0.00939075341289732</v>
      </c>
      <c r="K595" s="22" t="n">
        <v>0.00247212941221413</v>
      </c>
      <c r="L595" s="22" t="n">
        <v>0.000555230460711646</v>
      </c>
      <c r="M595" s="22" t="n">
        <v>0.00745679459125599</v>
      </c>
      <c r="N595" s="22" t="n">
        <v>2.31693988784994E-005</v>
      </c>
      <c r="O595" s="22" t="n">
        <v>0.00137270982199675</v>
      </c>
      <c r="P595" s="22" t="n">
        <v>0.00370481561213564</v>
      </c>
      <c r="Q595" s="22" t="n">
        <v>0.00215631870699694</v>
      </c>
      <c r="R595" s="22" t="n">
        <v>0.00231233606093148</v>
      </c>
      <c r="S595" s="23" t="n">
        <f aca="false">IF(A595="","",SUM(H595:R595))</f>
        <v>0.0386363636363636</v>
      </c>
      <c r="T595" s="17" t="str">
        <f aca="false">IF(A595="","",IF(AND(MIN(H595:R595)&gt;=0,MAX(H595:R595)&lt;=1,S595&lt;=1),"OK","CHECK"))</f>
        <v>OK</v>
      </c>
      <c r="U595" s="17" t="str">
        <f aca="false">IF(A595="","", "LOSS-"&amp;A595&amp;"-L"&amp;TEXT(B595,"00")&amp;"-"&amp;TEXT(C595,"yyyymmdd")&amp;"-"&amp;D595&amp;"-"&amp;E595)</f>
        <v>LOSS-KG01-L24-20251006-AM-ORD-2025-00249</v>
      </c>
      <c r="V595" s="17" t="str">
        <f aca="false">IF(U595="","",IF(COUNTIF($U$5:$U$935,U595)=1,"OK","CHECK"))</f>
        <v>OK</v>
      </c>
      <c r="W595" s="17" t="str">
        <f aca="false">IF(A595="","",IF(AND(T595="OK",V595="OK",G595&gt;=0),"OK","CHECK"))</f>
        <v>OK</v>
      </c>
    </row>
    <row r="596" customFormat="false" ht="18" hidden="false" customHeight="true" outlineLevel="0" collapsed="false">
      <c r="A596" s="18" t="s">
        <v>39</v>
      </c>
      <c r="B596" s="19" t="n">
        <v>24</v>
      </c>
      <c r="C596" s="20" t="n">
        <v>45936</v>
      </c>
      <c r="D596" s="18" t="s">
        <v>43</v>
      </c>
      <c r="E596" s="18" t="s">
        <v>145</v>
      </c>
      <c r="F596" s="18" t="s">
        <v>42</v>
      </c>
      <c r="G596" s="21" t="n">
        <v>10072</v>
      </c>
      <c r="H596" s="22" t="n">
        <v>0.000850139713229326</v>
      </c>
      <c r="I596" s="22" t="n">
        <v>0.0137279480004648</v>
      </c>
      <c r="J596" s="22" t="n">
        <v>0.00436260054105367</v>
      </c>
      <c r="K596" s="22" t="n">
        <v>0.00960951630376301</v>
      </c>
      <c r="L596" s="22" t="n">
        <v>0.000671821421676122</v>
      </c>
      <c r="M596" s="22" t="n">
        <v>0.0171066684910766</v>
      </c>
      <c r="N596" s="22" t="n">
        <v>0.00380616742745728</v>
      </c>
      <c r="O596" s="22" t="n">
        <v>0.00095779560099052</v>
      </c>
      <c r="P596" s="22" t="n">
        <v>0.00510899273072844</v>
      </c>
      <c r="Q596" s="22" t="n">
        <v>0.0069166250227096</v>
      </c>
      <c r="R596" s="22" t="n">
        <v>0.00382043515318824</v>
      </c>
      <c r="S596" s="23" t="n">
        <f aca="false">IF(A596="","",SUM(H596:R596))</f>
        <v>0.0669387104063376</v>
      </c>
      <c r="T596" s="17" t="str">
        <f aca="false">IF(A596="","",IF(AND(MIN(H596:R596)&gt;=0,MAX(H596:R596)&lt;=1,S596&lt;=1),"OK","CHECK"))</f>
        <v>OK</v>
      </c>
      <c r="U596" s="17" t="str">
        <f aca="false">IF(A596="","", "LOSS-"&amp;A596&amp;"-L"&amp;TEXT(B596,"00")&amp;"-"&amp;TEXT(C596,"yyyymmdd")&amp;"-"&amp;D596&amp;"-"&amp;E596)</f>
        <v>LOSS-KG01-L24-20251006-PM-ORD-2025-00249</v>
      </c>
      <c r="V596" s="17" t="str">
        <f aca="false">IF(U596="","",IF(COUNTIF($U$5:$U$935,U596)=1,"OK","CHECK"))</f>
        <v>OK</v>
      </c>
      <c r="W596" s="17" t="str">
        <f aca="false">IF(A596="","",IF(AND(T596="OK",V596="OK",G596&gt;=0),"OK","CHECK"))</f>
        <v>OK</v>
      </c>
    </row>
    <row r="597" customFormat="false" ht="18" hidden="false" customHeight="true" outlineLevel="0" collapsed="false">
      <c r="A597" s="18" t="s">
        <v>39</v>
      </c>
      <c r="B597" s="19" t="n">
        <v>24</v>
      </c>
      <c r="C597" s="20" t="n">
        <v>45937</v>
      </c>
      <c r="D597" s="18" t="s">
        <v>40</v>
      </c>
      <c r="E597" s="18" t="s">
        <v>145</v>
      </c>
      <c r="F597" s="18" t="s">
        <v>42</v>
      </c>
      <c r="G597" s="21" t="n">
        <v>10734</v>
      </c>
      <c r="H597" s="22" t="n">
        <v>0.00139060225600206</v>
      </c>
      <c r="I597" s="22" t="n">
        <v>0.0107793499704486</v>
      </c>
      <c r="J597" s="22" t="n">
        <v>0.00918635124805291</v>
      </c>
      <c r="K597" s="22" t="n">
        <v>0.00397605521508699</v>
      </c>
      <c r="L597" s="22" t="n">
        <v>0.00478112349375394</v>
      </c>
      <c r="M597" s="22" t="n">
        <v>0.00211105300222541</v>
      </c>
      <c r="N597" s="22" t="n">
        <v>0.00303031625675765</v>
      </c>
      <c r="O597" s="22" t="n">
        <v>0.00589539860038361</v>
      </c>
      <c r="P597" s="22" t="n">
        <v>0.0127281164424909</v>
      </c>
      <c r="Q597" s="22" t="n">
        <v>0.00180085328320262</v>
      </c>
      <c r="R597" s="22" t="n">
        <v>0.0020916450723137</v>
      </c>
      <c r="S597" s="23" t="n">
        <f aca="false">IF(A597="","",SUM(H597:R597))</f>
        <v>0.0577708648407184</v>
      </c>
      <c r="T597" s="17" t="str">
        <f aca="false">IF(A597="","",IF(AND(MIN(H597:R597)&gt;=0,MAX(H597:R597)&lt;=1,S597&lt;=1),"OK","CHECK"))</f>
        <v>OK</v>
      </c>
      <c r="U597" s="17" t="str">
        <f aca="false">IF(A597="","", "LOSS-"&amp;A597&amp;"-L"&amp;TEXT(B597,"00")&amp;"-"&amp;TEXT(C597,"yyyymmdd")&amp;"-"&amp;D597&amp;"-"&amp;E597)</f>
        <v>LOSS-KG01-L24-20251007-AM-ORD-2025-00249</v>
      </c>
      <c r="V597" s="17" t="str">
        <f aca="false">IF(U597="","",IF(COUNTIF($U$5:$U$935,U597)=1,"OK","CHECK"))</f>
        <v>OK</v>
      </c>
      <c r="W597" s="17" t="str">
        <f aca="false">IF(A597="","",IF(AND(T597="OK",V597="OK",G597&gt;=0),"OK","CHECK"))</f>
        <v>OK</v>
      </c>
    </row>
    <row r="598" customFormat="false" ht="18" hidden="false" customHeight="true" outlineLevel="0" collapsed="false">
      <c r="A598" s="18" t="s">
        <v>39</v>
      </c>
      <c r="B598" s="19" t="n">
        <v>24</v>
      </c>
      <c r="C598" s="20" t="n">
        <v>45937</v>
      </c>
      <c r="D598" s="18" t="s">
        <v>43</v>
      </c>
      <c r="E598" s="18" t="s">
        <v>145</v>
      </c>
      <c r="F598" s="18" t="s">
        <v>42</v>
      </c>
      <c r="G598" s="21" t="n">
        <v>12855</v>
      </c>
      <c r="H598" s="22" t="n">
        <v>0.00237897061634831</v>
      </c>
      <c r="I598" s="22" t="n">
        <v>0.00620846030473182</v>
      </c>
      <c r="J598" s="22" t="n">
        <v>0.00811700843657199</v>
      </c>
      <c r="K598" s="22" t="n">
        <v>0.000294938930218714</v>
      </c>
      <c r="L598" s="22" t="n">
        <v>1.99789090837514E-005</v>
      </c>
      <c r="M598" s="22" t="n">
        <v>0.00280213867387709</v>
      </c>
      <c r="N598" s="22" t="n">
        <v>0.00807771587148853</v>
      </c>
      <c r="O598" s="22" t="n">
        <v>0.00427002459977472</v>
      </c>
      <c r="P598" s="22" t="n">
        <v>0.00391864418930579</v>
      </c>
      <c r="Q598" s="22" t="n">
        <v>0.00318940720463558</v>
      </c>
      <c r="R598" s="22" t="n">
        <v>0.00756560001594238</v>
      </c>
      <c r="S598" s="23" t="n">
        <f aca="false">IF(A598="","",SUM(H598:R598))</f>
        <v>0.0468428877519787</v>
      </c>
      <c r="T598" s="17" t="str">
        <f aca="false">IF(A598="","",IF(AND(MIN(H598:R598)&gt;=0,MAX(H598:R598)&lt;=1,S598&lt;=1),"OK","CHECK"))</f>
        <v>OK</v>
      </c>
      <c r="U598" s="17" t="str">
        <f aca="false">IF(A598="","", "LOSS-"&amp;A598&amp;"-L"&amp;TEXT(B598,"00")&amp;"-"&amp;TEXT(C598,"yyyymmdd")&amp;"-"&amp;D598&amp;"-"&amp;E598)</f>
        <v>LOSS-KG01-L24-20251007-PM-ORD-2025-00249</v>
      </c>
      <c r="V598" s="17" t="str">
        <f aca="false">IF(U598="","",IF(COUNTIF($U$5:$U$935,U598)=1,"OK","CHECK"))</f>
        <v>OK</v>
      </c>
      <c r="W598" s="17" t="str">
        <f aca="false">IF(A598="","",IF(AND(T598="OK",V598="OK",G598&gt;=0),"OK","CHECK"))</f>
        <v>OK</v>
      </c>
    </row>
    <row r="599" customFormat="false" ht="18" hidden="false" customHeight="true" outlineLevel="0" collapsed="false">
      <c r="A599" s="18" t="s">
        <v>39</v>
      </c>
      <c r="B599" s="19" t="n">
        <v>24</v>
      </c>
      <c r="C599" s="20" t="n">
        <v>45938</v>
      </c>
      <c r="D599" s="18" t="s">
        <v>40</v>
      </c>
      <c r="E599" s="18" t="s">
        <v>145</v>
      </c>
      <c r="F599" s="18" t="s">
        <v>42</v>
      </c>
      <c r="G599" s="21" t="n">
        <v>17935</v>
      </c>
      <c r="H599" s="22" t="n">
        <v>0.00100224719426378</v>
      </c>
      <c r="I599" s="22" t="n">
        <v>0.0251565943092026</v>
      </c>
      <c r="J599" s="22" t="n">
        <v>0.000767585657735649</v>
      </c>
      <c r="K599" s="22" t="n">
        <v>0.0262724730423856</v>
      </c>
      <c r="L599" s="22" t="n">
        <v>0.0016702848099219</v>
      </c>
      <c r="M599" s="22" t="n">
        <v>0.0189487898920757</v>
      </c>
      <c r="N599" s="22" t="n">
        <v>0.000263482130578625</v>
      </c>
      <c r="O599" s="22" t="n">
        <v>0.00692188296064489</v>
      </c>
      <c r="P599" s="22" t="n">
        <v>0.000493571893912293</v>
      </c>
      <c r="Q599" s="22" t="n">
        <v>0.00991256718453001</v>
      </c>
      <c r="R599" s="22" t="n">
        <v>6.94861183670288E-005</v>
      </c>
      <c r="S599" s="23" t="n">
        <f aca="false">IF(A599="","",SUM(H599:R599))</f>
        <v>0.0914789651936181</v>
      </c>
      <c r="T599" s="17" t="str">
        <f aca="false">IF(A599="","",IF(AND(MIN(H599:R599)&gt;=0,MAX(H599:R599)&lt;=1,S599&lt;=1),"OK","CHECK"))</f>
        <v>OK</v>
      </c>
      <c r="U599" s="17" t="str">
        <f aca="false">IF(A599="","", "LOSS-"&amp;A599&amp;"-L"&amp;TEXT(B599,"00")&amp;"-"&amp;TEXT(C599,"yyyymmdd")&amp;"-"&amp;D599&amp;"-"&amp;E599)</f>
        <v>LOSS-KG01-L24-20251008-AM-ORD-2025-00249</v>
      </c>
      <c r="V599" s="17" t="str">
        <f aca="false">IF(U599="","",IF(COUNTIF($U$5:$U$935,U599)=1,"OK","CHECK"))</f>
        <v>OK</v>
      </c>
      <c r="W599" s="17" t="str">
        <f aca="false">IF(A599="","",IF(AND(T599="OK",V599="OK",G599&gt;=0),"OK","CHECK"))</f>
        <v>OK</v>
      </c>
    </row>
    <row r="600" customFormat="false" ht="18" hidden="false" customHeight="true" outlineLevel="0" collapsed="false">
      <c r="A600" s="18" t="s">
        <v>39</v>
      </c>
      <c r="B600" s="19" t="n">
        <v>24</v>
      </c>
      <c r="C600" s="20" t="n">
        <v>45938</v>
      </c>
      <c r="D600" s="18" t="s">
        <v>43</v>
      </c>
      <c r="E600" s="18" t="s">
        <v>145</v>
      </c>
      <c r="F600" s="18" t="s">
        <v>42</v>
      </c>
      <c r="G600" s="21" t="n">
        <v>5789</v>
      </c>
      <c r="H600" s="22" t="n">
        <v>0.000125855434565597</v>
      </c>
      <c r="I600" s="22" t="n">
        <v>1.90642002375261E-007</v>
      </c>
      <c r="J600" s="22" t="n">
        <v>0.0101979442988428</v>
      </c>
      <c r="K600" s="22" t="n">
        <v>0.00515843639292125</v>
      </c>
      <c r="L600" s="22" t="n">
        <v>0.000316771678166869</v>
      </c>
      <c r="M600" s="22" t="n">
        <v>0.000600575407329637</v>
      </c>
      <c r="N600" s="22" t="n">
        <v>0.00588252205809776</v>
      </c>
      <c r="O600" s="22" t="n">
        <v>0.00130972083622493</v>
      </c>
      <c r="P600" s="22" t="n">
        <v>0.000159638168883262</v>
      </c>
      <c r="Q600" s="22" t="n">
        <v>0.00625459020518121</v>
      </c>
      <c r="R600" s="22" t="n">
        <v>0.0074160207704498</v>
      </c>
      <c r="S600" s="23" t="n">
        <f aca="false">IF(A600="","",SUM(H600:R600))</f>
        <v>0.0374222658926655</v>
      </c>
      <c r="T600" s="17" t="str">
        <f aca="false">IF(A600="","",IF(AND(MIN(H600:R600)&gt;=0,MAX(H600:R600)&lt;=1,S600&lt;=1),"OK","CHECK"))</f>
        <v>OK</v>
      </c>
      <c r="U600" s="17" t="str">
        <f aca="false">IF(A600="","", "LOSS-"&amp;A600&amp;"-L"&amp;TEXT(B600,"00")&amp;"-"&amp;TEXT(C600,"yyyymmdd")&amp;"-"&amp;D600&amp;"-"&amp;E600)</f>
        <v>LOSS-KG01-L24-20251008-PM-ORD-2025-00249</v>
      </c>
      <c r="V600" s="17" t="str">
        <f aca="false">IF(U600="","",IF(COUNTIF($U$5:$U$935,U600)=1,"OK","CHECK"))</f>
        <v>OK</v>
      </c>
      <c r="W600" s="17" t="str">
        <f aca="false">IF(A600="","",IF(AND(T600="OK",V600="OK",G600&gt;=0),"OK","CHECK"))</f>
        <v>OK</v>
      </c>
    </row>
    <row r="601" customFormat="false" ht="18" hidden="false" customHeight="true" outlineLevel="0" collapsed="false">
      <c r="A601" s="18" t="s">
        <v>39</v>
      </c>
      <c r="B601" s="19" t="n">
        <v>24</v>
      </c>
      <c r="C601" s="20" t="n">
        <v>45939</v>
      </c>
      <c r="D601" s="18" t="s">
        <v>40</v>
      </c>
      <c r="E601" s="18" t="s">
        <v>145</v>
      </c>
      <c r="F601" s="18" t="s">
        <v>42</v>
      </c>
      <c r="G601" s="21" t="n">
        <v>14683</v>
      </c>
      <c r="H601" s="22" t="n">
        <v>0.00570854621936432</v>
      </c>
      <c r="I601" s="22" t="n">
        <v>0.00296044971624907</v>
      </c>
      <c r="J601" s="22" t="n">
        <v>0.00818913681690665</v>
      </c>
      <c r="K601" s="22" t="n">
        <v>0.00292814567088886</v>
      </c>
      <c r="L601" s="22" t="n">
        <v>0.00631875037520936</v>
      </c>
      <c r="M601" s="22" t="n">
        <v>0.0106701782527694</v>
      </c>
      <c r="N601" s="22" t="n">
        <v>0.0089779224865457</v>
      </c>
      <c r="O601" s="22" t="n">
        <v>0.0185234023062062</v>
      </c>
      <c r="P601" s="22" t="n">
        <v>0.000967732190754309</v>
      </c>
      <c r="Q601" s="22" t="n">
        <v>0.00786846882328697</v>
      </c>
      <c r="R601" s="22" t="n">
        <v>0.000460080827174278</v>
      </c>
      <c r="S601" s="23" t="n">
        <f aca="false">IF(A601="","",SUM(H601:R601))</f>
        <v>0.0735728136853551</v>
      </c>
      <c r="T601" s="17" t="str">
        <f aca="false">IF(A601="","",IF(AND(MIN(H601:R601)&gt;=0,MAX(H601:R601)&lt;=1,S601&lt;=1),"OK","CHECK"))</f>
        <v>OK</v>
      </c>
      <c r="U601" s="17" t="str">
        <f aca="false">IF(A601="","", "LOSS-"&amp;A601&amp;"-L"&amp;TEXT(B601,"00")&amp;"-"&amp;TEXT(C601,"yyyymmdd")&amp;"-"&amp;D601&amp;"-"&amp;E601)</f>
        <v>LOSS-KG01-L24-20251009-AM-ORD-2025-00249</v>
      </c>
      <c r="V601" s="17" t="str">
        <f aca="false">IF(U601="","",IF(COUNTIF($U$5:$U$935,U601)=1,"OK","CHECK"))</f>
        <v>OK</v>
      </c>
      <c r="W601" s="17" t="str">
        <f aca="false">IF(A601="","",IF(AND(T601="OK",V601="OK",G601&gt;=0),"OK","CHECK"))</f>
        <v>OK</v>
      </c>
    </row>
    <row r="602" customFormat="false" ht="18" hidden="false" customHeight="true" outlineLevel="0" collapsed="false">
      <c r="A602" s="18" t="s">
        <v>39</v>
      </c>
      <c r="B602" s="19" t="n">
        <v>24</v>
      </c>
      <c r="C602" s="20" t="n">
        <v>45939</v>
      </c>
      <c r="D602" s="18" t="s">
        <v>43</v>
      </c>
      <c r="E602" s="18" t="s">
        <v>146</v>
      </c>
      <c r="F602" s="18" t="s">
        <v>45</v>
      </c>
      <c r="G602" s="21" t="n">
        <v>1039</v>
      </c>
      <c r="H602" s="22" t="n">
        <v>0.00221370399756793</v>
      </c>
      <c r="I602" s="22" t="n">
        <v>0.00260873470925086</v>
      </c>
      <c r="J602" s="22" t="n">
        <v>0.00235799606795786</v>
      </c>
      <c r="K602" s="22" t="n">
        <v>0.00366736024535608</v>
      </c>
      <c r="L602" s="22" t="n">
        <v>0.00431887936247408</v>
      </c>
      <c r="M602" s="22" t="n">
        <v>0.00294158755110109</v>
      </c>
      <c r="N602" s="22" t="n">
        <v>0.00112729749035017</v>
      </c>
      <c r="O602" s="22" t="n">
        <v>0.0038558033471179</v>
      </c>
      <c r="P602" s="22" t="n">
        <v>0.00222005388782288</v>
      </c>
      <c r="Q602" s="22" t="n">
        <v>0.000432007806119507</v>
      </c>
      <c r="R602" s="22" t="n">
        <v>0.00262595080792664</v>
      </c>
      <c r="S602" s="23" t="n">
        <f aca="false">IF(A602="","",SUM(H602:R602))</f>
        <v>0.028369375273045</v>
      </c>
      <c r="T602" s="17" t="str">
        <f aca="false">IF(A602="","",IF(AND(MIN(H602:R602)&gt;=0,MAX(H602:R602)&lt;=1,S602&lt;=1),"OK","CHECK"))</f>
        <v>OK</v>
      </c>
      <c r="U602" s="17" t="str">
        <f aca="false">IF(A602="","", "LOSS-"&amp;A602&amp;"-L"&amp;TEXT(B602,"00")&amp;"-"&amp;TEXT(C602,"yyyymmdd")&amp;"-"&amp;D602&amp;"-"&amp;E602)</f>
        <v>LOSS-KG01-L24-20251009-PM-ORD-2025-00250</v>
      </c>
      <c r="V602" s="17" t="str">
        <f aca="false">IF(U602="","",IF(COUNTIF($U$5:$U$935,U602)=1,"OK","CHECK"))</f>
        <v>OK</v>
      </c>
      <c r="W602" s="17" t="str">
        <f aca="false">IF(A602="","",IF(AND(T602="OK",V602="OK",G602&gt;=0),"OK","CHECK"))</f>
        <v>OK</v>
      </c>
    </row>
    <row r="603" customFormat="false" ht="18" hidden="false" customHeight="true" outlineLevel="0" collapsed="false">
      <c r="A603" s="18" t="s">
        <v>39</v>
      </c>
      <c r="B603" s="19" t="n">
        <v>24</v>
      </c>
      <c r="C603" s="20" t="n">
        <v>45940</v>
      </c>
      <c r="D603" s="18" t="s">
        <v>40</v>
      </c>
      <c r="E603" s="18" t="s">
        <v>146</v>
      </c>
      <c r="F603" s="18" t="s">
        <v>42</v>
      </c>
      <c r="G603" s="21" t="n">
        <v>12037</v>
      </c>
      <c r="H603" s="22" t="n">
        <v>0.00223939855399601</v>
      </c>
      <c r="I603" s="22" t="n">
        <v>0.00106895777544857</v>
      </c>
      <c r="J603" s="22" t="n">
        <v>0.00994567321502875</v>
      </c>
      <c r="K603" s="22" t="n">
        <v>0.0221064075091058</v>
      </c>
      <c r="L603" s="22" t="n">
        <v>0.000890740172880484</v>
      </c>
      <c r="M603" s="22" t="n">
        <v>6.42326612643901E-006</v>
      </c>
      <c r="N603" s="22" t="n">
        <v>0.00213601348148291</v>
      </c>
      <c r="O603" s="22" t="n">
        <v>0.00104703637367182</v>
      </c>
      <c r="P603" s="22" t="n">
        <v>0.0167245634500861</v>
      </c>
      <c r="Q603" s="22" t="n">
        <v>0.0113054300892413</v>
      </c>
      <c r="R603" s="22" t="n">
        <v>0.000109669844586816</v>
      </c>
      <c r="S603" s="23" t="n">
        <f aca="false">IF(A603="","",SUM(H603:R603))</f>
        <v>0.067580313731655</v>
      </c>
      <c r="T603" s="17" t="str">
        <f aca="false">IF(A603="","",IF(AND(MIN(H603:R603)&gt;=0,MAX(H603:R603)&lt;=1,S603&lt;=1),"OK","CHECK"))</f>
        <v>OK</v>
      </c>
      <c r="U603" s="17" t="str">
        <f aca="false">IF(A603="","", "LOSS-"&amp;A603&amp;"-L"&amp;TEXT(B603,"00")&amp;"-"&amp;TEXT(C603,"yyyymmdd")&amp;"-"&amp;D603&amp;"-"&amp;E603)</f>
        <v>LOSS-KG01-L24-20251010-AM-ORD-2025-00250</v>
      </c>
      <c r="V603" s="17" t="str">
        <f aca="false">IF(U603="","",IF(COUNTIF($U$5:$U$935,U603)=1,"OK","CHECK"))</f>
        <v>OK</v>
      </c>
      <c r="W603" s="17" t="str">
        <f aca="false">IF(A603="","",IF(AND(T603="OK",V603="OK",G603&gt;=0),"OK","CHECK"))</f>
        <v>OK</v>
      </c>
    </row>
    <row r="604" customFormat="false" ht="18" hidden="false" customHeight="true" outlineLevel="0" collapsed="false">
      <c r="A604" s="18" t="s">
        <v>39</v>
      </c>
      <c r="B604" s="19" t="n">
        <v>24</v>
      </c>
      <c r="C604" s="20" t="n">
        <v>45940</v>
      </c>
      <c r="D604" s="18" t="s">
        <v>43</v>
      </c>
      <c r="E604" s="18" t="s">
        <v>146</v>
      </c>
      <c r="F604" s="18" t="s">
        <v>42</v>
      </c>
      <c r="G604" s="21" t="n">
        <v>12524</v>
      </c>
      <c r="H604" s="22" t="n">
        <v>0.00443979211990449</v>
      </c>
      <c r="I604" s="22" t="n">
        <v>0.000306679730739897</v>
      </c>
      <c r="J604" s="22" t="n">
        <v>0.0193500958526652</v>
      </c>
      <c r="K604" s="22" t="n">
        <v>0.00948650258690338</v>
      </c>
      <c r="L604" s="22" t="n">
        <v>2.42079253499686E-006</v>
      </c>
      <c r="M604" s="22" t="n">
        <v>0.00773925316747857</v>
      </c>
      <c r="N604" s="22" t="n">
        <v>0.00255242123319618</v>
      </c>
      <c r="O604" s="22" t="n">
        <v>0.00304650970356559</v>
      </c>
      <c r="P604" s="22" t="n">
        <v>0.00200019351291714</v>
      </c>
      <c r="Q604" s="22" t="n">
        <v>0.00831146726292378</v>
      </c>
      <c r="R604" s="22" t="n">
        <v>0.0183269770017426</v>
      </c>
      <c r="S604" s="23" t="n">
        <f aca="false">IF(A604="","",SUM(H604:R604))</f>
        <v>0.0755623129645718</v>
      </c>
      <c r="T604" s="17" t="str">
        <f aca="false">IF(A604="","",IF(AND(MIN(H604:R604)&gt;=0,MAX(H604:R604)&lt;=1,S604&lt;=1),"OK","CHECK"))</f>
        <v>OK</v>
      </c>
      <c r="U604" s="17" t="str">
        <f aca="false">IF(A604="","", "LOSS-"&amp;A604&amp;"-L"&amp;TEXT(B604,"00")&amp;"-"&amp;TEXT(C604,"yyyymmdd")&amp;"-"&amp;D604&amp;"-"&amp;E604)</f>
        <v>LOSS-KG01-L24-20251010-PM-ORD-2025-00250</v>
      </c>
      <c r="V604" s="17" t="str">
        <f aca="false">IF(U604="","",IF(COUNTIF($U$5:$U$935,U604)=1,"OK","CHECK"))</f>
        <v>OK</v>
      </c>
      <c r="W604" s="17" t="str">
        <f aca="false">IF(A604="","",IF(AND(T604="OK",V604="OK",G604&gt;=0),"OK","CHECK"))</f>
        <v>OK</v>
      </c>
    </row>
    <row r="605" customFormat="false" ht="18" hidden="false" customHeight="true" outlineLevel="0" collapsed="false">
      <c r="A605" s="18" t="s">
        <v>39</v>
      </c>
      <c r="B605" s="19" t="n">
        <v>24</v>
      </c>
      <c r="C605" s="20" t="n">
        <v>45941</v>
      </c>
      <c r="D605" s="18" t="s">
        <v>40</v>
      </c>
      <c r="E605" s="18" t="s">
        <v>146</v>
      </c>
      <c r="F605" s="18" t="s">
        <v>42</v>
      </c>
      <c r="G605" s="21" t="n">
        <v>17453</v>
      </c>
      <c r="H605" s="22" t="n">
        <v>0.00740840192347514</v>
      </c>
      <c r="I605" s="22" t="n">
        <v>0.00646365887627204</v>
      </c>
      <c r="J605" s="22" t="n">
        <v>0.00846772019998429</v>
      </c>
      <c r="K605" s="22" t="n">
        <v>0.017525799936737</v>
      </c>
      <c r="L605" s="22" t="n">
        <v>0.00458994848015281</v>
      </c>
      <c r="M605" s="22" t="n">
        <v>0.00226840133877029</v>
      </c>
      <c r="N605" s="22" t="n">
        <v>0.00120120550657028</v>
      </c>
      <c r="O605" s="22" t="n">
        <v>0.00411808717113253</v>
      </c>
      <c r="P605" s="22" t="n">
        <v>0.0116869012243989</v>
      </c>
      <c r="Q605" s="22" t="n">
        <v>0.0104081145824456</v>
      </c>
      <c r="R605" s="22" t="n">
        <v>0.0108797356828518</v>
      </c>
      <c r="S605" s="23" t="n">
        <f aca="false">IF(A605="","",SUM(H605:R605))</f>
        <v>0.0850179749227907</v>
      </c>
      <c r="T605" s="17" t="str">
        <f aca="false">IF(A605="","",IF(AND(MIN(H605:R605)&gt;=0,MAX(H605:R605)&lt;=1,S605&lt;=1),"OK","CHECK"))</f>
        <v>OK</v>
      </c>
      <c r="U605" s="17" t="str">
        <f aca="false">IF(A605="","", "LOSS-"&amp;A605&amp;"-L"&amp;TEXT(B605,"00")&amp;"-"&amp;TEXT(C605,"yyyymmdd")&amp;"-"&amp;D605&amp;"-"&amp;E605)</f>
        <v>LOSS-KG01-L24-20251011-AM-ORD-2025-00250</v>
      </c>
      <c r="V605" s="17" t="str">
        <f aca="false">IF(U605="","",IF(COUNTIF($U$5:$U$935,U605)=1,"OK","CHECK"))</f>
        <v>OK</v>
      </c>
      <c r="W605" s="17" t="str">
        <f aca="false">IF(A605="","",IF(AND(T605="OK",V605="OK",G605&gt;=0),"OK","CHECK"))</f>
        <v>OK</v>
      </c>
    </row>
    <row r="606" customFormat="false" ht="18" hidden="false" customHeight="true" outlineLevel="0" collapsed="false">
      <c r="A606" s="18" t="s">
        <v>39</v>
      </c>
      <c r="B606" s="19" t="n">
        <v>24</v>
      </c>
      <c r="C606" s="20" t="n">
        <v>45941</v>
      </c>
      <c r="D606" s="18" t="s">
        <v>43</v>
      </c>
      <c r="E606" s="18" t="s">
        <v>146</v>
      </c>
      <c r="F606" s="18" t="s">
        <v>42</v>
      </c>
      <c r="G606" s="21" t="n">
        <v>10592</v>
      </c>
      <c r="H606" s="22" t="n">
        <v>0.0017790390026747</v>
      </c>
      <c r="I606" s="22" t="n">
        <v>0.00343224492609807</v>
      </c>
      <c r="J606" s="22" t="n">
        <v>0.00772165094839267</v>
      </c>
      <c r="K606" s="22" t="n">
        <v>0.00896936932350982</v>
      </c>
      <c r="L606" s="22" t="n">
        <v>0.00466988454433313</v>
      </c>
      <c r="M606" s="22" t="n">
        <v>0.00985026500337896</v>
      </c>
      <c r="N606" s="22" t="n">
        <v>0.00143750703061951</v>
      </c>
      <c r="O606" s="22" t="n">
        <v>0.00922913656130868</v>
      </c>
      <c r="P606" s="22" t="n">
        <v>0.00573664151176234</v>
      </c>
      <c r="Q606" s="22" t="n">
        <v>7.50660162588226E-005</v>
      </c>
      <c r="R606" s="22" t="n">
        <v>0.000633078359869665</v>
      </c>
      <c r="S606" s="23" t="n">
        <f aca="false">IF(A606="","",SUM(H606:R606))</f>
        <v>0.0535338832282064</v>
      </c>
      <c r="T606" s="17" t="str">
        <f aca="false">IF(A606="","",IF(AND(MIN(H606:R606)&gt;=0,MAX(H606:R606)&lt;=1,S606&lt;=1),"OK","CHECK"))</f>
        <v>OK</v>
      </c>
      <c r="U606" s="17" t="str">
        <f aca="false">IF(A606="","", "LOSS-"&amp;A606&amp;"-L"&amp;TEXT(B606,"00")&amp;"-"&amp;TEXT(C606,"yyyymmdd")&amp;"-"&amp;D606&amp;"-"&amp;E606)</f>
        <v>LOSS-KG01-L24-20251011-PM-ORD-2025-00250</v>
      </c>
      <c r="V606" s="17" t="str">
        <f aca="false">IF(U606="","",IF(COUNTIF($U$5:$U$935,U606)=1,"OK","CHECK"))</f>
        <v>OK</v>
      </c>
      <c r="W606" s="17" t="str">
        <f aca="false">IF(A606="","",IF(AND(T606="OK",V606="OK",G606&gt;=0),"OK","CHECK"))</f>
        <v>OK</v>
      </c>
    </row>
    <row r="607" customFormat="false" ht="18" hidden="false" customHeight="true" outlineLevel="0" collapsed="false">
      <c r="A607" s="18" t="s">
        <v>39</v>
      </c>
      <c r="B607" s="19" t="n">
        <v>24</v>
      </c>
      <c r="C607" s="20" t="n">
        <v>45942</v>
      </c>
      <c r="D607" s="18" t="s">
        <v>40</v>
      </c>
      <c r="E607" s="18" t="s">
        <v>146</v>
      </c>
      <c r="F607" s="18" t="s">
        <v>42</v>
      </c>
      <c r="G607" s="21" t="n">
        <v>16424</v>
      </c>
      <c r="H607" s="22" t="n">
        <v>0.000275997963643499</v>
      </c>
      <c r="I607" s="22" t="n">
        <v>0.00196146816129345</v>
      </c>
      <c r="J607" s="22" t="n">
        <v>0.0224742151384643</v>
      </c>
      <c r="K607" s="22" t="n">
        <v>0.0129819279739558</v>
      </c>
      <c r="L607" s="22" t="n">
        <v>0.000287857089382512</v>
      </c>
      <c r="M607" s="22" t="n">
        <v>0.00469998051198106</v>
      </c>
      <c r="N607" s="22" t="n">
        <v>0.00370778769516115</v>
      </c>
      <c r="O607" s="22" t="n">
        <v>0.0118680748233755</v>
      </c>
      <c r="P607" s="22" t="n">
        <v>0.00717352153571617</v>
      </c>
      <c r="Q607" s="22" t="n">
        <v>0.00339571611427512</v>
      </c>
      <c r="R607" s="22" t="n">
        <v>0.00994790213757094</v>
      </c>
      <c r="S607" s="23" t="n">
        <f aca="false">IF(A607="","",SUM(H607:R607))</f>
        <v>0.0787744491448195</v>
      </c>
      <c r="T607" s="17" t="str">
        <f aca="false">IF(A607="","",IF(AND(MIN(H607:R607)&gt;=0,MAX(H607:R607)&lt;=1,S607&lt;=1),"OK","CHECK"))</f>
        <v>OK</v>
      </c>
      <c r="U607" s="17" t="str">
        <f aca="false">IF(A607="","", "LOSS-"&amp;A607&amp;"-L"&amp;TEXT(B607,"00")&amp;"-"&amp;TEXT(C607,"yyyymmdd")&amp;"-"&amp;D607&amp;"-"&amp;E607)</f>
        <v>LOSS-KG01-L24-20251012-AM-ORD-2025-00250</v>
      </c>
      <c r="V607" s="17" t="str">
        <f aca="false">IF(U607="","",IF(COUNTIF($U$5:$U$935,U607)=1,"OK","CHECK"))</f>
        <v>OK</v>
      </c>
      <c r="W607" s="17" t="str">
        <f aca="false">IF(A607="","",IF(AND(T607="OK",V607="OK",G607&gt;=0),"OK","CHECK"))</f>
        <v>OK</v>
      </c>
    </row>
    <row r="608" customFormat="false" ht="18" hidden="false" customHeight="true" outlineLevel="0" collapsed="false">
      <c r="A608" s="18" t="s">
        <v>39</v>
      </c>
      <c r="B608" s="19" t="n">
        <v>24</v>
      </c>
      <c r="C608" s="20" t="n">
        <v>45942</v>
      </c>
      <c r="D608" s="18" t="s">
        <v>43</v>
      </c>
      <c r="E608" s="18" t="s">
        <v>147</v>
      </c>
      <c r="F608" s="18" t="s">
        <v>45</v>
      </c>
      <c r="G608" s="21" t="n">
        <v>1143</v>
      </c>
      <c r="H608" s="22" t="n">
        <v>0.00848921377526801</v>
      </c>
      <c r="I608" s="22" t="n">
        <v>0.0034866546328673</v>
      </c>
      <c r="J608" s="22" t="n">
        <v>0.00645073736518922</v>
      </c>
      <c r="K608" s="22" t="n">
        <v>0.000154417683602642</v>
      </c>
      <c r="L608" s="22" t="n">
        <v>0.00800868281203201</v>
      </c>
      <c r="M608" s="22" t="n">
        <v>0.00603129153874334</v>
      </c>
      <c r="N608" s="22" t="n">
        <v>0.00780894705097593</v>
      </c>
      <c r="O608" s="22" t="n">
        <v>1.3654358051339E-005</v>
      </c>
      <c r="P608" s="22" t="n">
        <v>0.00439014815942333</v>
      </c>
      <c r="Q608" s="22" t="n">
        <v>8.17756250442495E-005</v>
      </c>
      <c r="R608" s="22" t="n">
        <v>0.000562533736955657</v>
      </c>
      <c r="S608" s="23" t="n">
        <f aca="false">IF(A608="","",SUM(H608:R608))</f>
        <v>0.045478056738153</v>
      </c>
      <c r="T608" s="17" t="str">
        <f aca="false">IF(A608="","",IF(AND(MIN(H608:R608)&gt;=0,MAX(H608:R608)&lt;=1,S608&lt;=1),"OK","CHECK"))</f>
        <v>OK</v>
      </c>
      <c r="U608" s="17" t="str">
        <f aca="false">IF(A608="","", "LOSS-"&amp;A608&amp;"-L"&amp;TEXT(B608,"00")&amp;"-"&amp;TEXT(C608,"yyyymmdd")&amp;"-"&amp;D608&amp;"-"&amp;E608)</f>
        <v>LOSS-KG01-L24-20251012-PM-ORD-2025-00251</v>
      </c>
      <c r="V608" s="17" t="str">
        <f aca="false">IF(U608="","",IF(COUNTIF($U$5:$U$935,U608)=1,"OK","CHECK"))</f>
        <v>OK</v>
      </c>
      <c r="W608" s="17" t="str">
        <f aca="false">IF(A608="","",IF(AND(T608="OK",V608="OK",G608&gt;=0),"OK","CHECK"))</f>
        <v>OK</v>
      </c>
    </row>
    <row r="609" customFormat="false" ht="18" hidden="false" customHeight="true" outlineLevel="0" collapsed="false">
      <c r="A609" s="18" t="s">
        <v>39</v>
      </c>
      <c r="B609" s="19" t="n">
        <v>24</v>
      </c>
      <c r="C609" s="20" t="n">
        <v>45943</v>
      </c>
      <c r="D609" s="18" t="s">
        <v>40</v>
      </c>
      <c r="E609" s="18" t="s">
        <v>147</v>
      </c>
      <c r="F609" s="18" t="s">
        <v>42</v>
      </c>
      <c r="G609" s="21" t="n">
        <v>6828</v>
      </c>
      <c r="H609" s="22" t="n">
        <v>0.00133419414339197</v>
      </c>
      <c r="I609" s="22" t="n">
        <v>0.00564345808785428</v>
      </c>
      <c r="J609" s="22" t="n">
        <v>0.0113493298948274</v>
      </c>
      <c r="K609" s="22" t="n">
        <v>0.00507171437962487</v>
      </c>
      <c r="L609" s="22" t="n">
        <v>0.00927354251073273</v>
      </c>
      <c r="M609" s="22" t="n">
        <v>0.00113321883447323</v>
      </c>
      <c r="N609" s="22" t="n">
        <v>0.000244733003432589</v>
      </c>
      <c r="O609" s="22" t="n">
        <v>0.00471964785738106</v>
      </c>
      <c r="P609" s="22" t="n">
        <v>0.000534643223293848</v>
      </c>
      <c r="Q609" s="22" t="n">
        <v>0.00360679665019516</v>
      </c>
      <c r="R609" s="22" t="n">
        <v>0.0128775930546327</v>
      </c>
      <c r="S609" s="23" t="n">
        <f aca="false">IF(A609="","",SUM(H609:R609))</f>
        <v>0.0557888716398398</v>
      </c>
      <c r="T609" s="17" t="str">
        <f aca="false">IF(A609="","",IF(AND(MIN(H609:R609)&gt;=0,MAX(H609:R609)&lt;=1,S609&lt;=1),"OK","CHECK"))</f>
        <v>OK</v>
      </c>
      <c r="U609" s="17" t="str">
        <f aca="false">IF(A609="","", "LOSS-"&amp;A609&amp;"-L"&amp;TEXT(B609,"00")&amp;"-"&amp;TEXT(C609,"yyyymmdd")&amp;"-"&amp;D609&amp;"-"&amp;E609)</f>
        <v>LOSS-KG01-L24-20251013-AM-ORD-2025-00251</v>
      </c>
      <c r="V609" s="17" t="str">
        <f aca="false">IF(U609="","",IF(COUNTIF($U$5:$U$935,U609)=1,"OK","CHECK"))</f>
        <v>OK</v>
      </c>
      <c r="W609" s="17" t="str">
        <f aca="false">IF(A609="","",IF(AND(T609="OK",V609="OK",G609&gt;=0),"OK","CHECK"))</f>
        <v>OK</v>
      </c>
    </row>
    <row r="610" customFormat="false" ht="18" hidden="false" customHeight="true" outlineLevel="0" collapsed="false">
      <c r="A610" s="18" t="s">
        <v>39</v>
      </c>
      <c r="B610" s="19" t="n">
        <v>24</v>
      </c>
      <c r="C610" s="20" t="n">
        <v>45943</v>
      </c>
      <c r="D610" s="18" t="s">
        <v>43</v>
      </c>
      <c r="E610" s="18" t="s">
        <v>147</v>
      </c>
      <c r="F610" s="18" t="s">
        <v>42</v>
      </c>
      <c r="G610" s="21" t="n">
        <v>18074</v>
      </c>
      <c r="H610" s="22" t="n">
        <v>3.31408451297185E-005</v>
      </c>
      <c r="I610" s="22" t="n">
        <v>0.00755371189966262</v>
      </c>
      <c r="J610" s="22" t="n">
        <v>0.00380668702113857</v>
      </c>
      <c r="K610" s="22" t="n">
        <v>0.00986069298609536</v>
      </c>
      <c r="L610" s="22" t="n">
        <v>0.0196107812411448</v>
      </c>
      <c r="M610" s="22" t="n">
        <v>0.000123365442721004</v>
      </c>
      <c r="N610" s="22" t="n">
        <v>0.00485953865771443</v>
      </c>
      <c r="O610" s="22" t="n">
        <v>0.0012965374079234</v>
      </c>
      <c r="P610" s="22" t="n">
        <v>0.00313574546186576</v>
      </c>
      <c r="Q610" s="22" t="n">
        <v>0.0115878499925567</v>
      </c>
      <c r="R610" s="22" t="n">
        <v>0.00893763104920313</v>
      </c>
      <c r="S610" s="23" t="n">
        <f aca="false">IF(A610="","",SUM(H610:R610))</f>
        <v>0.0708056820051555</v>
      </c>
      <c r="T610" s="17" t="str">
        <f aca="false">IF(A610="","",IF(AND(MIN(H610:R610)&gt;=0,MAX(H610:R610)&lt;=1,S610&lt;=1),"OK","CHECK"))</f>
        <v>OK</v>
      </c>
      <c r="U610" s="17" t="str">
        <f aca="false">IF(A610="","", "LOSS-"&amp;A610&amp;"-L"&amp;TEXT(B610,"00")&amp;"-"&amp;TEXT(C610,"yyyymmdd")&amp;"-"&amp;D610&amp;"-"&amp;E610)</f>
        <v>LOSS-KG01-L24-20251013-PM-ORD-2025-00251</v>
      </c>
      <c r="V610" s="17" t="str">
        <f aca="false">IF(U610="","",IF(COUNTIF($U$5:$U$935,U610)=1,"OK","CHECK"))</f>
        <v>OK</v>
      </c>
      <c r="W610" s="17" t="str">
        <f aca="false">IF(A610="","",IF(AND(T610="OK",V610="OK",G610&gt;=0),"OK","CHECK"))</f>
        <v>OK</v>
      </c>
    </row>
    <row r="611" customFormat="false" ht="18" hidden="false" customHeight="true" outlineLevel="0" collapsed="false">
      <c r="A611" s="18" t="s">
        <v>39</v>
      </c>
      <c r="B611" s="19" t="n">
        <v>24</v>
      </c>
      <c r="C611" s="20" t="n">
        <v>45944</v>
      </c>
      <c r="D611" s="18" t="s">
        <v>40</v>
      </c>
      <c r="E611" s="18" t="s">
        <v>147</v>
      </c>
      <c r="F611" s="18" t="s">
        <v>42</v>
      </c>
      <c r="G611" s="21" t="n">
        <v>13181</v>
      </c>
      <c r="H611" s="22" t="n">
        <v>0.000652278584527423</v>
      </c>
      <c r="I611" s="22" t="n">
        <v>0.0029671038110583</v>
      </c>
      <c r="J611" s="22" t="n">
        <v>0.0019103169276664</v>
      </c>
      <c r="K611" s="22" t="n">
        <v>0.00104363991588907</v>
      </c>
      <c r="L611" s="22" t="n">
        <v>0.0156637683482011</v>
      </c>
      <c r="M611" s="22" t="n">
        <v>0.00712003173239932</v>
      </c>
      <c r="N611" s="22" t="n">
        <v>0.00508871807294581</v>
      </c>
      <c r="O611" s="22" t="n">
        <v>0.0106532810221115</v>
      </c>
      <c r="P611" s="22" t="n">
        <v>0.01366371469748</v>
      </c>
      <c r="Q611" s="22" t="n">
        <v>0.0187910330127954</v>
      </c>
      <c r="R611" s="22" t="n">
        <v>0.00028176202307383</v>
      </c>
      <c r="S611" s="23" t="n">
        <f aca="false">IF(A611="","",SUM(H611:R611))</f>
        <v>0.0778356481481482</v>
      </c>
      <c r="T611" s="17" t="str">
        <f aca="false">IF(A611="","",IF(AND(MIN(H611:R611)&gt;=0,MAX(H611:R611)&lt;=1,S611&lt;=1),"OK","CHECK"))</f>
        <v>OK</v>
      </c>
      <c r="U611" s="17" t="str">
        <f aca="false">IF(A611="","", "LOSS-"&amp;A611&amp;"-L"&amp;TEXT(B611,"00")&amp;"-"&amp;TEXT(C611,"yyyymmdd")&amp;"-"&amp;D611&amp;"-"&amp;E611)</f>
        <v>LOSS-KG01-L24-20251014-AM-ORD-2025-00251</v>
      </c>
      <c r="V611" s="17" t="str">
        <f aca="false">IF(U611="","",IF(COUNTIF($U$5:$U$935,U611)=1,"OK","CHECK"))</f>
        <v>OK</v>
      </c>
      <c r="W611" s="17" t="str">
        <f aca="false">IF(A611="","",IF(AND(T611="OK",V611="OK",G611&gt;=0),"OK","CHECK"))</f>
        <v>OK</v>
      </c>
    </row>
    <row r="612" customFormat="false" ht="18" hidden="false" customHeight="true" outlineLevel="0" collapsed="false">
      <c r="A612" s="18" t="s">
        <v>39</v>
      </c>
      <c r="B612" s="19" t="n">
        <v>24</v>
      </c>
      <c r="C612" s="20" t="n">
        <v>45944</v>
      </c>
      <c r="D612" s="18" t="s">
        <v>43</v>
      </c>
      <c r="E612" s="18" t="s">
        <v>147</v>
      </c>
      <c r="F612" s="18" t="s">
        <v>42</v>
      </c>
      <c r="G612" s="21" t="n">
        <v>10889</v>
      </c>
      <c r="H612" s="22" t="n">
        <v>0.000426977318390603</v>
      </c>
      <c r="I612" s="22" t="n">
        <v>0.000275148211592605</v>
      </c>
      <c r="J612" s="22" t="n">
        <v>0.015129012176155</v>
      </c>
      <c r="K612" s="22" t="n">
        <v>0.00578404655583095</v>
      </c>
      <c r="L612" s="22" t="n">
        <v>8.85365922565698E-006</v>
      </c>
      <c r="M612" s="22" t="n">
        <v>0.00388726157136631</v>
      </c>
      <c r="N612" s="22" t="n">
        <v>0.0099640371907196</v>
      </c>
      <c r="O612" s="22" t="n">
        <v>0.00291950128725958</v>
      </c>
      <c r="P612" s="22" t="n">
        <v>0.00792489055058745</v>
      </c>
      <c r="Q612" s="22" t="n">
        <v>0.0127255812641649</v>
      </c>
      <c r="R612" s="22" t="n">
        <v>0.00214190995824819</v>
      </c>
      <c r="S612" s="23" t="n">
        <f aca="false">IF(A612="","",SUM(H612:R612))</f>
        <v>0.0611872197435408</v>
      </c>
      <c r="T612" s="17" t="str">
        <f aca="false">IF(A612="","",IF(AND(MIN(H612:R612)&gt;=0,MAX(H612:R612)&lt;=1,S612&lt;=1),"OK","CHECK"))</f>
        <v>OK</v>
      </c>
      <c r="U612" s="17" t="str">
        <f aca="false">IF(A612="","", "LOSS-"&amp;A612&amp;"-L"&amp;TEXT(B612,"00")&amp;"-"&amp;TEXT(C612,"yyyymmdd")&amp;"-"&amp;D612&amp;"-"&amp;E612)</f>
        <v>LOSS-KG01-L24-20251014-PM-ORD-2025-00251</v>
      </c>
      <c r="V612" s="17" t="str">
        <f aca="false">IF(U612="","",IF(COUNTIF($U$5:$U$935,U612)=1,"OK","CHECK"))</f>
        <v>OK</v>
      </c>
      <c r="W612" s="17" t="str">
        <f aca="false">IF(A612="","",IF(AND(T612="OK",V612="OK",G612&gt;=0),"OK","CHECK"))</f>
        <v>OK</v>
      </c>
    </row>
    <row r="613" customFormat="false" ht="18" hidden="false" customHeight="true" outlineLevel="0" collapsed="false">
      <c r="A613" s="18" t="s">
        <v>39</v>
      </c>
      <c r="B613" s="19" t="n">
        <v>24</v>
      </c>
      <c r="C613" s="20" t="n">
        <v>45945</v>
      </c>
      <c r="D613" s="18" t="s">
        <v>40</v>
      </c>
      <c r="E613" s="18" t="s">
        <v>147</v>
      </c>
      <c r="F613" s="18" t="s">
        <v>61</v>
      </c>
      <c r="G613" s="21" t="n">
        <v>12389</v>
      </c>
      <c r="H613" s="22" t="n">
        <v>0.00676946857547963</v>
      </c>
      <c r="I613" s="22" t="n">
        <v>0.00401633118453154</v>
      </c>
      <c r="J613" s="22" t="n">
        <v>2.57765544679339E-005</v>
      </c>
      <c r="K613" s="22" t="n">
        <v>0.00436247350810856</v>
      </c>
      <c r="L613" s="22" t="n">
        <v>0.0112957055323194</v>
      </c>
      <c r="M613" s="22" t="n">
        <v>0.000102691061520429</v>
      </c>
      <c r="N613" s="22" t="n">
        <v>0.000174437873465804</v>
      </c>
      <c r="O613" s="22" t="n">
        <v>0.017658443603217</v>
      </c>
      <c r="P613" s="22" t="n">
        <v>0.0101259184671064</v>
      </c>
      <c r="Q613" s="22" t="n">
        <v>0.00516276324533847</v>
      </c>
      <c r="R613" s="22" t="n">
        <v>0.00589373365514409</v>
      </c>
      <c r="S613" s="23" t="n">
        <f aca="false">IF(A613="","",SUM(H613:R613))</f>
        <v>0.0655877432606993</v>
      </c>
      <c r="T613" s="17" t="str">
        <f aca="false">IF(A613="","",IF(AND(MIN(H613:R613)&gt;=0,MAX(H613:R613)&lt;=1,S613&lt;=1),"OK","CHECK"))</f>
        <v>OK</v>
      </c>
      <c r="U613" s="17" t="str">
        <f aca="false">IF(A613="","", "LOSS-"&amp;A613&amp;"-L"&amp;TEXT(B613,"00")&amp;"-"&amp;TEXT(C613,"yyyymmdd")&amp;"-"&amp;D613&amp;"-"&amp;E613)</f>
        <v>LOSS-KG01-L24-20251015-AM-ORD-2025-00251</v>
      </c>
      <c r="V613" s="17" t="str">
        <f aca="false">IF(U613="","",IF(COUNTIF($U$5:$U$935,U613)=1,"OK","CHECK"))</f>
        <v>OK</v>
      </c>
      <c r="W613" s="17" t="str">
        <f aca="false">IF(A613="","",IF(AND(T613="OK",V613="OK",G613&gt;=0),"OK","CHECK"))</f>
        <v>OK</v>
      </c>
    </row>
    <row r="614" customFormat="false" ht="18" hidden="false" customHeight="true" outlineLevel="0" collapsed="false">
      <c r="A614" s="18" t="s">
        <v>39</v>
      </c>
      <c r="B614" s="19" t="n">
        <v>24</v>
      </c>
      <c r="C614" s="20" t="n">
        <v>45945</v>
      </c>
      <c r="D614" s="18" t="s">
        <v>43</v>
      </c>
      <c r="E614" s="18" t="s">
        <v>147</v>
      </c>
      <c r="F614" s="18" t="s">
        <v>42</v>
      </c>
      <c r="G614" s="21" t="n">
        <v>23544</v>
      </c>
      <c r="H614" s="22" t="n">
        <v>0.00173039244523478</v>
      </c>
      <c r="I614" s="22" t="n">
        <v>0.0251811469024731</v>
      </c>
      <c r="J614" s="22" t="n">
        <v>0.000553198505752864</v>
      </c>
      <c r="K614" s="22" t="n">
        <v>1.70008896921288E-005</v>
      </c>
      <c r="L614" s="22" t="n">
        <v>0.000218225188929859</v>
      </c>
      <c r="M614" s="22" t="n">
        <v>0.00102050212679521</v>
      </c>
      <c r="N614" s="22" t="n">
        <v>0.00112954565793338</v>
      </c>
      <c r="O614" s="22" t="n">
        <v>0.012735310259182</v>
      </c>
      <c r="P614" s="22" t="n">
        <v>0.00871685020399146</v>
      </c>
      <c r="Q614" s="22" t="n">
        <v>0.00908632227432864</v>
      </c>
      <c r="R614" s="22" t="n">
        <v>0.00667944801492853</v>
      </c>
      <c r="S614" s="23" t="n">
        <f aca="false">IF(A614="","",SUM(H614:R614))</f>
        <v>0.067067942469242</v>
      </c>
      <c r="T614" s="17" t="str">
        <f aca="false">IF(A614="","",IF(AND(MIN(H614:R614)&gt;=0,MAX(H614:R614)&lt;=1,S614&lt;=1),"OK","CHECK"))</f>
        <v>OK</v>
      </c>
      <c r="U614" s="17" t="str">
        <f aca="false">IF(A614="","", "LOSS-"&amp;A614&amp;"-L"&amp;TEXT(B614,"00")&amp;"-"&amp;TEXT(C614,"yyyymmdd")&amp;"-"&amp;D614&amp;"-"&amp;E614)</f>
        <v>LOSS-KG01-L24-20251015-PM-ORD-2025-00251</v>
      </c>
      <c r="V614" s="17" t="str">
        <f aca="false">IF(U614="","",IF(COUNTIF($U$5:$U$935,U614)=1,"OK","CHECK"))</f>
        <v>OK</v>
      </c>
      <c r="W614" s="17" t="str">
        <f aca="false">IF(A614="","",IF(AND(T614="OK",V614="OK",G614&gt;=0),"OK","CHECK"))</f>
        <v>OK</v>
      </c>
    </row>
    <row r="615" customFormat="false" ht="18" hidden="false" customHeight="true" outlineLevel="0" collapsed="false">
      <c r="A615" s="18" t="s">
        <v>39</v>
      </c>
      <c r="B615" s="19" t="n">
        <v>24</v>
      </c>
      <c r="C615" s="20" t="n">
        <v>45946</v>
      </c>
      <c r="D615" s="18" t="s">
        <v>40</v>
      </c>
      <c r="E615" s="18" t="s">
        <v>147</v>
      </c>
      <c r="F615" s="18" t="s">
        <v>42</v>
      </c>
      <c r="G615" s="21" t="n">
        <v>15804</v>
      </c>
      <c r="H615" s="22" t="n">
        <v>0.0245189470804778</v>
      </c>
      <c r="I615" s="22" t="n">
        <v>0.0112031262310469</v>
      </c>
      <c r="J615" s="22" t="n">
        <v>0.00881474179088133</v>
      </c>
      <c r="K615" s="22" t="n">
        <v>0.000349119872151886</v>
      </c>
      <c r="L615" s="22" t="n">
        <v>4.11134559695087E-005</v>
      </c>
      <c r="M615" s="22" t="n">
        <v>0.00106612376789322</v>
      </c>
      <c r="N615" s="22" t="n">
        <v>0.00234649224308176</v>
      </c>
      <c r="O615" s="22" t="n">
        <v>0.0145013620455032</v>
      </c>
      <c r="P615" s="22" t="n">
        <v>0.0039709306895467</v>
      </c>
      <c r="Q615" s="22" t="n">
        <v>0.00359699105300579</v>
      </c>
      <c r="R615" s="22" t="n">
        <v>0.00677107989983716</v>
      </c>
      <c r="S615" s="23" t="n">
        <f aca="false">IF(A615="","",SUM(H615:R615))</f>
        <v>0.0771800281293953</v>
      </c>
      <c r="T615" s="17" t="str">
        <f aca="false">IF(A615="","",IF(AND(MIN(H615:R615)&gt;=0,MAX(H615:R615)&lt;=1,S615&lt;=1),"OK","CHECK"))</f>
        <v>OK</v>
      </c>
      <c r="U615" s="17" t="str">
        <f aca="false">IF(A615="","", "LOSS-"&amp;A615&amp;"-L"&amp;TEXT(B615,"00")&amp;"-"&amp;TEXT(C615,"yyyymmdd")&amp;"-"&amp;D615&amp;"-"&amp;E615)</f>
        <v>LOSS-KG01-L24-20251016-AM-ORD-2025-00251</v>
      </c>
      <c r="V615" s="17" t="str">
        <f aca="false">IF(U615="","",IF(COUNTIF($U$5:$U$935,U615)=1,"OK","CHECK"))</f>
        <v>OK</v>
      </c>
      <c r="W615" s="17" t="str">
        <f aca="false">IF(A615="","",IF(AND(T615="OK",V615="OK",G615&gt;=0),"OK","CHECK"))</f>
        <v>OK</v>
      </c>
    </row>
    <row r="616" customFormat="false" ht="18" hidden="false" customHeight="true" outlineLevel="0" collapsed="false">
      <c r="A616" s="18" t="s">
        <v>39</v>
      </c>
      <c r="B616" s="19" t="n">
        <v>24</v>
      </c>
      <c r="C616" s="20" t="n">
        <v>45946</v>
      </c>
      <c r="D616" s="18" t="s">
        <v>43</v>
      </c>
      <c r="E616" s="18" t="s">
        <v>147</v>
      </c>
      <c r="F616" s="18" t="s">
        <v>42</v>
      </c>
      <c r="G616" s="21" t="n">
        <v>13645</v>
      </c>
      <c r="H616" s="22" t="n">
        <v>4.14579577318175E-006</v>
      </c>
      <c r="I616" s="22" t="n">
        <v>0.00770813231984405</v>
      </c>
      <c r="J616" s="22" t="n">
        <v>0.00198038463369064</v>
      </c>
      <c r="K616" s="22" t="n">
        <v>0.0078841707638685</v>
      </c>
      <c r="L616" s="22" t="n">
        <v>0.00257765553387979</v>
      </c>
      <c r="M616" s="22" t="n">
        <v>0.0184454707551592</v>
      </c>
      <c r="N616" s="22" t="n">
        <v>0.00286005737084056</v>
      </c>
      <c r="O616" s="22" t="n">
        <v>0.00166333484881228</v>
      </c>
      <c r="P616" s="22" t="n">
        <v>0.00646457623665318</v>
      </c>
      <c r="Q616" s="22" t="n">
        <v>0.00127760837642567</v>
      </c>
      <c r="R616" s="22" t="n">
        <v>0.0123520021202535</v>
      </c>
      <c r="S616" s="23" t="n">
        <f aca="false">IF(A616="","",SUM(H616:R616))</f>
        <v>0.0632175387552006</v>
      </c>
      <c r="T616" s="17" t="str">
        <f aca="false">IF(A616="","",IF(AND(MIN(H616:R616)&gt;=0,MAX(H616:R616)&lt;=1,S616&lt;=1),"OK","CHECK"))</f>
        <v>OK</v>
      </c>
      <c r="U616" s="17" t="str">
        <f aca="false">IF(A616="","", "LOSS-"&amp;A616&amp;"-L"&amp;TEXT(B616,"00")&amp;"-"&amp;TEXT(C616,"yyyymmdd")&amp;"-"&amp;D616&amp;"-"&amp;E616)</f>
        <v>LOSS-KG01-L24-20251016-PM-ORD-2025-00251</v>
      </c>
      <c r="V616" s="17" t="str">
        <f aca="false">IF(U616="","",IF(COUNTIF($U$5:$U$935,U616)=1,"OK","CHECK"))</f>
        <v>OK</v>
      </c>
      <c r="W616" s="17" t="str">
        <f aca="false">IF(A616="","",IF(AND(T616="OK",V616="OK",G616&gt;=0),"OK","CHECK"))</f>
        <v>OK</v>
      </c>
    </row>
    <row r="617" customFormat="false" ht="18" hidden="false" customHeight="true" outlineLevel="0" collapsed="false">
      <c r="A617" s="18" t="s">
        <v>39</v>
      </c>
      <c r="B617" s="19" t="n">
        <v>24</v>
      </c>
      <c r="C617" s="20" t="n">
        <v>45947</v>
      </c>
      <c r="D617" s="18" t="s">
        <v>40</v>
      </c>
      <c r="E617" s="18" t="s">
        <v>147</v>
      </c>
      <c r="F617" s="18" t="s">
        <v>42</v>
      </c>
      <c r="G617" s="21" t="n">
        <v>5270</v>
      </c>
      <c r="H617" s="22" t="n">
        <v>0.0027078728986569</v>
      </c>
      <c r="I617" s="22" t="n">
        <v>0.000542746074800657</v>
      </c>
      <c r="J617" s="22" t="n">
        <v>0.000351914518122677</v>
      </c>
      <c r="K617" s="22" t="n">
        <v>0.00362054125123695</v>
      </c>
      <c r="L617" s="22" t="n">
        <v>0.00465423682935116</v>
      </c>
      <c r="M617" s="22" t="n">
        <v>0.00872866378935638</v>
      </c>
      <c r="N617" s="22" t="n">
        <v>5.9537648678087E-005</v>
      </c>
      <c r="O617" s="22" t="n">
        <v>0.00526782111949861</v>
      </c>
      <c r="P617" s="22" t="n">
        <v>0.00871144920839249</v>
      </c>
      <c r="Q617" s="22" t="n">
        <v>0.000250274479248226</v>
      </c>
      <c r="R617" s="22" t="n">
        <v>0.00684685518205591</v>
      </c>
      <c r="S617" s="23" t="n">
        <f aca="false">IF(A617="","",SUM(H617:R617))</f>
        <v>0.0417419129993981</v>
      </c>
      <c r="T617" s="17" t="str">
        <f aca="false">IF(A617="","",IF(AND(MIN(H617:R617)&gt;=0,MAX(H617:R617)&lt;=1,S617&lt;=1),"OK","CHECK"))</f>
        <v>OK</v>
      </c>
      <c r="U617" s="17" t="str">
        <f aca="false">IF(A617="","", "LOSS-"&amp;A617&amp;"-L"&amp;TEXT(B617,"00")&amp;"-"&amp;TEXT(C617,"yyyymmdd")&amp;"-"&amp;D617&amp;"-"&amp;E617)</f>
        <v>LOSS-KG01-L24-20251017-AM-ORD-2025-00251</v>
      </c>
      <c r="V617" s="17" t="str">
        <f aca="false">IF(U617="","",IF(COUNTIF($U$5:$U$935,U617)=1,"OK","CHECK"))</f>
        <v>OK</v>
      </c>
      <c r="W617" s="17" t="str">
        <f aca="false">IF(A617="","",IF(AND(T617="OK",V617="OK",G617&gt;=0),"OK","CHECK"))</f>
        <v>OK</v>
      </c>
    </row>
    <row r="618" customFormat="false" ht="18" hidden="false" customHeight="true" outlineLevel="0" collapsed="false">
      <c r="A618" s="18" t="s">
        <v>39</v>
      </c>
      <c r="B618" s="19" t="n">
        <v>24</v>
      </c>
      <c r="C618" s="20" t="n">
        <v>45947</v>
      </c>
      <c r="D618" s="18" t="s">
        <v>43</v>
      </c>
      <c r="E618" s="18" t="s">
        <v>148</v>
      </c>
      <c r="F618" s="18" t="s">
        <v>45</v>
      </c>
      <c r="G618" s="21" t="n">
        <v>3014</v>
      </c>
      <c r="H618" s="22" t="n">
        <v>0.00100573326880787</v>
      </c>
      <c r="I618" s="22" t="n">
        <v>0.00431864054154823</v>
      </c>
      <c r="J618" s="22" t="n">
        <v>2.32245952166502E-005</v>
      </c>
      <c r="K618" s="22" t="n">
        <v>0.000119606053777009</v>
      </c>
      <c r="L618" s="22" t="n">
        <v>0.00173239408668992</v>
      </c>
      <c r="M618" s="22" t="n">
        <v>0.000753637619861667</v>
      </c>
      <c r="N618" s="22" t="n">
        <v>0.00172512088222806</v>
      </c>
      <c r="O618" s="22" t="n">
        <v>0.00387468629332523</v>
      </c>
      <c r="P618" s="22" t="n">
        <v>0.00302154139480424</v>
      </c>
      <c r="Q618" s="22" t="n">
        <v>0.000727918211701615</v>
      </c>
      <c r="R618" s="22" t="n">
        <v>0.00249492483149589</v>
      </c>
      <c r="S618" s="23" t="n">
        <f aca="false">IF(A618="","",SUM(H618:R618))</f>
        <v>0.0197974277794564</v>
      </c>
      <c r="T618" s="17" t="str">
        <f aca="false">IF(A618="","",IF(AND(MIN(H618:R618)&gt;=0,MAX(H618:R618)&lt;=1,S618&lt;=1),"OK","CHECK"))</f>
        <v>OK</v>
      </c>
      <c r="U618" s="17" t="str">
        <f aca="false">IF(A618="","", "LOSS-"&amp;A618&amp;"-L"&amp;TEXT(B618,"00")&amp;"-"&amp;TEXT(C618,"yyyymmdd")&amp;"-"&amp;D618&amp;"-"&amp;E618)</f>
        <v>LOSS-KG01-L24-20251017-PM-ORD-2025-00252</v>
      </c>
      <c r="V618" s="17" t="str">
        <f aca="false">IF(U618="","",IF(COUNTIF($U$5:$U$935,U618)=1,"OK","CHECK"))</f>
        <v>OK</v>
      </c>
      <c r="W618" s="17" t="str">
        <f aca="false">IF(A618="","",IF(AND(T618="OK",V618="OK",G618&gt;=0),"OK","CHECK"))</f>
        <v>OK</v>
      </c>
    </row>
    <row r="619" customFormat="false" ht="18" hidden="false" customHeight="true" outlineLevel="0" collapsed="false">
      <c r="A619" s="18" t="s">
        <v>39</v>
      </c>
      <c r="B619" s="19" t="n">
        <v>24</v>
      </c>
      <c r="C619" s="20" t="n">
        <v>45948</v>
      </c>
      <c r="D619" s="18" t="s">
        <v>40</v>
      </c>
      <c r="E619" s="18" t="s">
        <v>148</v>
      </c>
      <c r="F619" s="18" t="s">
        <v>42</v>
      </c>
      <c r="G619" s="21" t="n">
        <v>8400</v>
      </c>
      <c r="H619" s="22" t="n">
        <v>2.40172477383568E-005</v>
      </c>
      <c r="I619" s="22" t="n">
        <v>0.00133983327949276</v>
      </c>
      <c r="J619" s="22" t="n">
        <v>0.00203144931776946</v>
      </c>
      <c r="K619" s="22" t="n">
        <v>0.000483912231170565</v>
      </c>
      <c r="L619" s="22" t="n">
        <v>0.0068848409739399</v>
      </c>
      <c r="M619" s="22" t="n">
        <v>0.00182151710940259</v>
      </c>
      <c r="N619" s="22" t="n">
        <v>0.00263950189731736</v>
      </c>
      <c r="O619" s="22" t="n">
        <v>0.00912489305698777</v>
      </c>
      <c r="P619" s="22" t="n">
        <v>0.000658742818519597</v>
      </c>
      <c r="Q619" s="22" t="n">
        <v>0.0107430891732865</v>
      </c>
      <c r="R619" s="22" t="n">
        <v>0.0029975224747754</v>
      </c>
      <c r="S619" s="23" t="n">
        <f aca="false">IF(A619="","",SUM(H619:R619))</f>
        <v>0.0387493195804003</v>
      </c>
      <c r="T619" s="17" t="str">
        <f aca="false">IF(A619="","",IF(AND(MIN(H619:R619)&gt;=0,MAX(H619:R619)&lt;=1,S619&lt;=1),"OK","CHECK"))</f>
        <v>OK</v>
      </c>
      <c r="U619" s="17" t="str">
        <f aca="false">IF(A619="","", "LOSS-"&amp;A619&amp;"-L"&amp;TEXT(B619,"00")&amp;"-"&amp;TEXT(C619,"yyyymmdd")&amp;"-"&amp;D619&amp;"-"&amp;E619)</f>
        <v>LOSS-KG01-L24-20251018-AM-ORD-2025-00252</v>
      </c>
      <c r="V619" s="17" t="str">
        <f aca="false">IF(U619="","",IF(COUNTIF($U$5:$U$935,U619)=1,"OK","CHECK"))</f>
        <v>OK</v>
      </c>
      <c r="W619" s="17" t="str">
        <f aca="false">IF(A619="","",IF(AND(T619="OK",V619="OK",G619&gt;=0),"OK","CHECK"))</f>
        <v>OK</v>
      </c>
    </row>
    <row r="620" customFormat="false" ht="18" hidden="false" customHeight="true" outlineLevel="0" collapsed="false">
      <c r="A620" s="18" t="s">
        <v>39</v>
      </c>
      <c r="B620" s="19" t="n">
        <v>24</v>
      </c>
      <c r="C620" s="20" t="n">
        <v>45948</v>
      </c>
      <c r="D620" s="18" t="s">
        <v>43</v>
      </c>
      <c r="E620" s="18" t="s">
        <v>148</v>
      </c>
      <c r="F620" s="18" t="s">
        <v>42</v>
      </c>
      <c r="G620" s="21" t="n">
        <v>5039</v>
      </c>
      <c r="H620" s="22" t="n">
        <v>0.00993174508569325</v>
      </c>
      <c r="I620" s="22" t="n">
        <v>0.00286092950916866</v>
      </c>
      <c r="J620" s="22" t="n">
        <v>0.00182107270331877</v>
      </c>
      <c r="K620" s="22" t="n">
        <v>0.00837611886601492</v>
      </c>
      <c r="L620" s="22" t="n">
        <v>0.00444791685768033</v>
      </c>
      <c r="M620" s="22" t="n">
        <v>0.000641798896088609</v>
      </c>
      <c r="N620" s="22" t="n">
        <v>0.00299394941001646</v>
      </c>
      <c r="O620" s="22" t="n">
        <v>0.00272322926449834</v>
      </c>
      <c r="P620" s="22" t="n">
        <v>6.2072918075663E-005</v>
      </c>
      <c r="Q620" s="22" t="n">
        <v>0.00396444723329368</v>
      </c>
      <c r="R620" s="22" t="n">
        <v>0.00191897428801453</v>
      </c>
      <c r="S620" s="23" t="n">
        <f aca="false">IF(A620="","",SUM(H620:R620))</f>
        <v>0.0397422550318632</v>
      </c>
      <c r="T620" s="17" t="str">
        <f aca="false">IF(A620="","",IF(AND(MIN(H620:R620)&gt;=0,MAX(H620:R620)&lt;=1,S620&lt;=1),"OK","CHECK"))</f>
        <v>OK</v>
      </c>
      <c r="U620" s="17" t="str">
        <f aca="false">IF(A620="","", "LOSS-"&amp;A620&amp;"-L"&amp;TEXT(B620,"00")&amp;"-"&amp;TEXT(C620,"yyyymmdd")&amp;"-"&amp;D620&amp;"-"&amp;E620)</f>
        <v>LOSS-KG01-L24-20251018-PM-ORD-2025-00252</v>
      </c>
      <c r="V620" s="17" t="str">
        <f aca="false">IF(U620="","",IF(COUNTIF($U$5:$U$935,U620)=1,"OK","CHECK"))</f>
        <v>OK</v>
      </c>
      <c r="W620" s="17" t="str">
        <f aca="false">IF(A620="","",IF(AND(T620="OK",V620="OK",G620&gt;=0),"OK","CHECK"))</f>
        <v>OK</v>
      </c>
    </row>
    <row r="621" customFormat="false" ht="18" hidden="false" customHeight="true" outlineLevel="0" collapsed="false">
      <c r="A621" s="18" t="s">
        <v>39</v>
      </c>
      <c r="B621" s="19" t="n">
        <v>24</v>
      </c>
      <c r="C621" s="20" t="n">
        <v>45949</v>
      </c>
      <c r="D621" s="18" t="s">
        <v>40</v>
      </c>
      <c r="E621" s="18" t="s">
        <v>148</v>
      </c>
      <c r="F621" s="18" t="s">
        <v>42</v>
      </c>
      <c r="G621" s="21" t="n">
        <v>7033</v>
      </c>
      <c r="H621" s="22" t="n">
        <v>0.00277688829260049</v>
      </c>
      <c r="I621" s="22" t="n">
        <v>0.00436818044057294</v>
      </c>
      <c r="J621" s="22" t="n">
        <v>0.00531454246272644</v>
      </c>
      <c r="K621" s="22" t="n">
        <v>0.00525819992868502</v>
      </c>
      <c r="L621" s="22" t="n">
        <v>1.40466309150849E-005</v>
      </c>
      <c r="M621" s="22" t="n">
        <v>0.000677251529281922</v>
      </c>
      <c r="N621" s="22" t="n">
        <v>0.000694173339133738</v>
      </c>
      <c r="O621" s="22" t="n">
        <v>0.00372065866061403</v>
      </c>
      <c r="P621" s="22" t="n">
        <v>0.00856883651386521</v>
      </c>
      <c r="Q621" s="22" t="n">
        <v>0.00102637819271311</v>
      </c>
      <c r="R621" s="22" t="n">
        <v>0.00615630008015213</v>
      </c>
      <c r="S621" s="23" t="n">
        <f aca="false">IF(A621="","",SUM(H621:R621))</f>
        <v>0.0385754560712601</v>
      </c>
      <c r="T621" s="17" t="str">
        <f aca="false">IF(A621="","",IF(AND(MIN(H621:R621)&gt;=0,MAX(H621:R621)&lt;=1,S621&lt;=1),"OK","CHECK"))</f>
        <v>OK</v>
      </c>
      <c r="U621" s="17" t="str">
        <f aca="false">IF(A621="","", "LOSS-"&amp;A621&amp;"-L"&amp;TEXT(B621,"00")&amp;"-"&amp;TEXT(C621,"yyyymmdd")&amp;"-"&amp;D621&amp;"-"&amp;E621)</f>
        <v>LOSS-KG01-L24-20251019-AM-ORD-2025-00252</v>
      </c>
      <c r="V621" s="17" t="str">
        <f aca="false">IF(U621="","",IF(COUNTIF($U$5:$U$935,U621)=1,"OK","CHECK"))</f>
        <v>OK</v>
      </c>
      <c r="W621" s="17" t="str">
        <f aca="false">IF(A621="","",IF(AND(T621="OK",V621="OK",G621&gt;=0),"OK","CHECK"))</f>
        <v>OK</v>
      </c>
    </row>
    <row r="622" customFormat="false" ht="18" hidden="false" customHeight="true" outlineLevel="0" collapsed="false">
      <c r="A622" s="18" t="s">
        <v>39</v>
      </c>
      <c r="B622" s="19" t="n">
        <v>24</v>
      </c>
      <c r="C622" s="20" t="n">
        <v>45949</v>
      </c>
      <c r="D622" s="18" t="s">
        <v>43</v>
      </c>
      <c r="E622" s="18" t="s">
        <v>148</v>
      </c>
      <c r="F622" s="18" t="s">
        <v>61</v>
      </c>
      <c r="G622" s="21" t="n">
        <v>5887</v>
      </c>
      <c r="H622" s="22" t="n">
        <v>0.00267804101770219</v>
      </c>
      <c r="I622" s="22" t="n">
        <v>0.00617762637199943</v>
      </c>
      <c r="J622" s="22" t="n">
        <v>0.00534809205104875</v>
      </c>
      <c r="K622" s="22" t="n">
        <v>0.00161404137073515</v>
      </c>
      <c r="L622" s="22" t="n">
        <v>0.00173917449009174</v>
      </c>
      <c r="M622" s="22" t="n">
        <v>0.00419326889792436</v>
      </c>
      <c r="N622" s="22" t="n">
        <v>0.00515147001578155</v>
      </c>
      <c r="O622" s="22" t="n">
        <v>0.00254061845815718</v>
      </c>
      <c r="P622" s="22" t="n">
        <v>0.00229376495945226</v>
      </c>
      <c r="Q622" s="22" t="n">
        <v>0.00340161061109945</v>
      </c>
      <c r="R622" s="22" t="n">
        <v>0.00262561508241341</v>
      </c>
      <c r="S622" s="23" t="n">
        <f aca="false">IF(A622="","",SUM(H622:R622))</f>
        <v>0.0377633233264055</v>
      </c>
      <c r="T622" s="17" t="str">
        <f aca="false">IF(A622="","",IF(AND(MIN(H622:R622)&gt;=0,MAX(H622:R622)&lt;=1,S622&lt;=1),"OK","CHECK"))</f>
        <v>OK</v>
      </c>
      <c r="U622" s="17" t="str">
        <f aca="false">IF(A622="","", "LOSS-"&amp;A622&amp;"-L"&amp;TEXT(B622,"00")&amp;"-"&amp;TEXT(C622,"yyyymmdd")&amp;"-"&amp;D622&amp;"-"&amp;E622)</f>
        <v>LOSS-KG01-L24-20251019-PM-ORD-2025-00252</v>
      </c>
      <c r="V622" s="17" t="str">
        <f aca="false">IF(U622="","",IF(COUNTIF($U$5:$U$935,U622)=1,"OK","CHECK"))</f>
        <v>OK</v>
      </c>
      <c r="W622" s="17" t="str">
        <f aca="false">IF(A622="","",IF(AND(T622="OK",V622="OK",G622&gt;=0),"OK","CHECK"))</f>
        <v>OK</v>
      </c>
    </row>
    <row r="623" customFormat="false" ht="18" hidden="false" customHeight="true" outlineLevel="0" collapsed="false">
      <c r="A623" s="18" t="s">
        <v>39</v>
      </c>
      <c r="B623" s="19" t="n">
        <v>24</v>
      </c>
      <c r="C623" s="20" t="n">
        <v>45957</v>
      </c>
      <c r="D623" s="18" t="s">
        <v>40</v>
      </c>
      <c r="E623" s="18" t="s">
        <v>149</v>
      </c>
      <c r="F623" s="18" t="s">
        <v>45</v>
      </c>
      <c r="G623" s="21" t="n">
        <v>10091</v>
      </c>
      <c r="H623" s="22" t="n">
        <v>0.0105253426646232</v>
      </c>
      <c r="I623" s="22" t="n">
        <v>0.000321165490645869</v>
      </c>
      <c r="J623" s="22" t="n">
        <v>0.00193663683150602</v>
      </c>
      <c r="K623" s="22" t="n">
        <v>0.00814860817097574</v>
      </c>
      <c r="L623" s="22" t="n">
        <v>0.0162108415883696</v>
      </c>
      <c r="M623" s="22" t="n">
        <v>0.00483752929738641</v>
      </c>
      <c r="N623" s="22" t="n">
        <v>0.00647549119589302</v>
      </c>
      <c r="O623" s="22" t="n">
        <v>6.75103295449254E-005</v>
      </c>
      <c r="P623" s="22" t="n">
        <v>0.00674626378558547</v>
      </c>
      <c r="Q623" s="22" t="n">
        <v>0.0148743426277737</v>
      </c>
      <c r="R623" s="22" t="n">
        <v>0.0130425902111572</v>
      </c>
      <c r="S623" s="23" t="n">
        <f aca="false">IF(A623="","",SUM(H623:R623))</f>
        <v>0.0831863221934611</v>
      </c>
      <c r="T623" s="17" t="str">
        <f aca="false">IF(A623="","",IF(AND(MIN(H623:R623)&gt;=0,MAX(H623:R623)&lt;=1,S623&lt;=1),"OK","CHECK"))</f>
        <v>OK</v>
      </c>
      <c r="U623" s="17" t="str">
        <f aca="false">IF(A623="","", "LOSS-"&amp;A623&amp;"-L"&amp;TEXT(B623,"00")&amp;"-"&amp;TEXT(C623,"yyyymmdd")&amp;"-"&amp;D623&amp;"-"&amp;E623)</f>
        <v>LOSS-KG01-L24-20251027-AM-ORD-2025-00253</v>
      </c>
      <c r="V623" s="17" t="str">
        <f aca="false">IF(U623="","",IF(COUNTIF($U$5:$U$935,U623)=1,"OK","CHECK"))</f>
        <v>OK</v>
      </c>
      <c r="W623" s="17" t="str">
        <f aca="false">IF(A623="","",IF(AND(T623="OK",V623="OK",G623&gt;=0),"OK","CHECK"))</f>
        <v>OK</v>
      </c>
    </row>
    <row r="624" customFormat="false" ht="18" hidden="false" customHeight="true" outlineLevel="0" collapsed="false">
      <c r="A624" s="18" t="s">
        <v>39</v>
      </c>
      <c r="B624" s="19" t="n">
        <v>24</v>
      </c>
      <c r="C624" s="20" t="n">
        <v>45957</v>
      </c>
      <c r="D624" s="18" t="s">
        <v>43</v>
      </c>
      <c r="E624" s="18" t="s">
        <v>149</v>
      </c>
      <c r="F624" s="18" t="s">
        <v>42</v>
      </c>
      <c r="G624" s="21" t="n">
        <v>11603</v>
      </c>
      <c r="H624" s="22" t="n">
        <v>0.00806924333944575</v>
      </c>
      <c r="I624" s="22" t="n">
        <v>0.00118548001133699</v>
      </c>
      <c r="J624" s="22" t="n">
        <v>0.0196162702594726</v>
      </c>
      <c r="K624" s="22" t="n">
        <v>0.00239969642505243</v>
      </c>
      <c r="L624" s="22" t="n">
        <v>0.0013089641634078</v>
      </c>
      <c r="M624" s="22" t="n">
        <v>0.000835418260021837</v>
      </c>
      <c r="N624" s="22" t="n">
        <v>0.0215905004268301</v>
      </c>
      <c r="O624" s="22" t="n">
        <v>0.000840492301376016</v>
      </c>
      <c r="P624" s="22" t="n">
        <v>0.00256278090762422</v>
      </c>
      <c r="Q624" s="22" t="n">
        <v>0.0104387336075489</v>
      </c>
      <c r="R624" s="22" t="n">
        <v>0.00177151660716362</v>
      </c>
      <c r="S624" s="23" t="n">
        <f aca="false">IF(A624="","",SUM(H624:R624))</f>
        <v>0.0706190963092803</v>
      </c>
      <c r="T624" s="17" t="str">
        <f aca="false">IF(A624="","",IF(AND(MIN(H624:R624)&gt;=0,MAX(H624:R624)&lt;=1,S624&lt;=1),"OK","CHECK"))</f>
        <v>OK</v>
      </c>
      <c r="U624" s="17" t="str">
        <f aca="false">IF(A624="","", "LOSS-"&amp;A624&amp;"-L"&amp;TEXT(B624,"00")&amp;"-"&amp;TEXT(C624,"yyyymmdd")&amp;"-"&amp;D624&amp;"-"&amp;E624)</f>
        <v>LOSS-KG01-L24-20251027-PM-ORD-2025-00253</v>
      </c>
      <c r="V624" s="17" t="str">
        <f aca="false">IF(U624="","",IF(COUNTIF($U$5:$U$935,U624)=1,"OK","CHECK"))</f>
        <v>OK</v>
      </c>
      <c r="W624" s="17" t="str">
        <f aca="false">IF(A624="","",IF(AND(T624="OK",V624="OK",G624&gt;=0),"OK","CHECK"))</f>
        <v>OK</v>
      </c>
    </row>
    <row r="625" customFormat="false" ht="18" hidden="false" customHeight="true" outlineLevel="0" collapsed="false">
      <c r="A625" s="18" t="s">
        <v>39</v>
      </c>
      <c r="B625" s="19" t="n">
        <v>24</v>
      </c>
      <c r="C625" s="20" t="n">
        <v>45958</v>
      </c>
      <c r="D625" s="18" t="s">
        <v>40</v>
      </c>
      <c r="E625" s="18" t="s">
        <v>149</v>
      </c>
      <c r="F625" s="18" t="s">
        <v>42</v>
      </c>
      <c r="G625" s="21" t="n">
        <v>9002</v>
      </c>
      <c r="H625" s="22" t="n">
        <v>0.00277265698804034</v>
      </c>
      <c r="I625" s="22" t="n">
        <v>0.00348002496760379</v>
      </c>
      <c r="J625" s="22" t="n">
        <v>0.000275287057648315</v>
      </c>
      <c r="K625" s="22" t="n">
        <v>0.00291634422995714</v>
      </c>
      <c r="L625" s="22" t="n">
        <v>0.00480477983870339</v>
      </c>
      <c r="M625" s="22" t="n">
        <v>0.00499407567061858</v>
      </c>
      <c r="N625" s="22" t="n">
        <v>0.00367652778215893</v>
      </c>
      <c r="O625" s="22" t="n">
        <v>0.000280022992208069</v>
      </c>
      <c r="P625" s="22" t="n">
        <v>0.00365144010930304</v>
      </c>
      <c r="Q625" s="22" t="n">
        <v>0.0039405694224262</v>
      </c>
      <c r="R625" s="22" t="n">
        <v>0.00237213772588864</v>
      </c>
      <c r="S625" s="23" t="n">
        <f aca="false">IF(A625="","",SUM(H625:R625))</f>
        <v>0.0331638667845564</v>
      </c>
      <c r="T625" s="17" t="str">
        <f aca="false">IF(A625="","",IF(AND(MIN(H625:R625)&gt;=0,MAX(H625:R625)&lt;=1,S625&lt;=1),"OK","CHECK"))</f>
        <v>OK</v>
      </c>
      <c r="U625" s="17" t="str">
        <f aca="false">IF(A625="","", "LOSS-"&amp;A625&amp;"-L"&amp;TEXT(B625,"00")&amp;"-"&amp;TEXT(C625,"yyyymmdd")&amp;"-"&amp;D625&amp;"-"&amp;E625)</f>
        <v>LOSS-KG01-L24-20251028-AM-ORD-2025-00253</v>
      </c>
      <c r="V625" s="17" t="str">
        <f aca="false">IF(U625="","",IF(COUNTIF($U$5:$U$935,U625)=1,"OK","CHECK"))</f>
        <v>OK</v>
      </c>
      <c r="W625" s="17" t="str">
        <f aca="false">IF(A625="","",IF(AND(T625="OK",V625="OK",G625&gt;=0),"OK","CHECK"))</f>
        <v>OK</v>
      </c>
    </row>
    <row r="626" customFormat="false" ht="18" hidden="false" customHeight="true" outlineLevel="0" collapsed="false">
      <c r="A626" s="18" t="s">
        <v>39</v>
      </c>
      <c r="B626" s="19" t="n">
        <v>24</v>
      </c>
      <c r="C626" s="20" t="n">
        <v>45958</v>
      </c>
      <c r="D626" s="18" t="s">
        <v>43</v>
      </c>
      <c r="E626" s="18" t="s">
        <v>149</v>
      </c>
      <c r="F626" s="18" t="s">
        <v>42</v>
      </c>
      <c r="G626" s="21" t="n">
        <v>20653</v>
      </c>
      <c r="H626" s="22" t="n">
        <v>0.000937676057488041</v>
      </c>
      <c r="I626" s="22" t="n">
        <v>0.00480173395451174</v>
      </c>
      <c r="J626" s="22" t="n">
        <v>0.00606753008938784</v>
      </c>
      <c r="K626" s="22" t="n">
        <v>0.000308142828664029</v>
      </c>
      <c r="L626" s="22" t="n">
        <v>0.011716133001978</v>
      </c>
      <c r="M626" s="22" t="n">
        <v>0.00190536550917602</v>
      </c>
      <c r="N626" s="22" t="n">
        <v>0.00136869399813379</v>
      </c>
      <c r="O626" s="22" t="n">
        <v>0.00802435318107213</v>
      </c>
      <c r="P626" s="22" t="n">
        <v>0.00899982033922638</v>
      </c>
      <c r="Q626" s="22" t="n">
        <v>0.00255290878041428</v>
      </c>
      <c r="R626" s="22" t="n">
        <v>0.0176576069949306</v>
      </c>
      <c r="S626" s="23" t="n">
        <f aca="false">IF(A626="","",SUM(H626:R626))</f>
        <v>0.0643399647349829</v>
      </c>
      <c r="T626" s="17" t="str">
        <f aca="false">IF(A626="","",IF(AND(MIN(H626:R626)&gt;=0,MAX(H626:R626)&lt;=1,S626&lt;=1),"OK","CHECK"))</f>
        <v>OK</v>
      </c>
      <c r="U626" s="17" t="str">
        <f aca="false">IF(A626="","", "LOSS-"&amp;A626&amp;"-L"&amp;TEXT(B626,"00")&amp;"-"&amp;TEXT(C626,"yyyymmdd")&amp;"-"&amp;D626&amp;"-"&amp;E626)</f>
        <v>LOSS-KG01-L24-20251028-PM-ORD-2025-00253</v>
      </c>
      <c r="V626" s="17" t="str">
        <f aca="false">IF(U626="","",IF(COUNTIF($U$5:$U$935,U626)=1,"OK","CHECK"))</f>
        <v>OK</v>
      </c>
      <c r="W626" s="17" t="str">
        <f aca="false">IF(A626="","",IF(AND(T626="OK",V626="OK",G626&gt;=0),"OK","CHECK"))</f>
        <v>OK</v>
      </c>
    </row>
    <row r="627" customFormat="false" ht="18" hidden="false" customHeight="true" outlineLevel="0" collapsed="false">
      <c r="A627" s="18" t="s">
        <v>39</v>
      </c>
      <c r="B627" s="19" t="n">
        <v>24</v>
      </c>
      <c r="C627" s="20" t="n">
        <v>45959</v>
      </c>
      <c r="D627" s="18" t="s">
        <v>40</v>
      </c>
      <c r="E627" s="18" t="s">
        <v>149</v>
      </c>
      <c r="F627" s="18" t="s">
        <v>42</v>
      </c>
      <c r="G627" s="21" t="n">
        <v>9315</v>
      </c>
      <c r="H627" s="22" t="n">
        <v>0.017082392407677</v>
      </c>
      <c r="I627" s="22" t="n">
        <v>0.00366514525795576</v>
      </c>
      <c r="J627" s="22" t="n">
        <v>0.00399746134492139</v>
      </c>
      <c r="K627" s="22" t="n">
        <v>0.0134004803831079</v>
      </c>
      <c r="L627" s="22" t="n">
        <v>0.0226628509888142</v>
      </c>
      <c r="M627" s="22" t="n">
        <v>0.00549296869225564</v>
      </c>
      <c r="N627" s="22" t="n">
        <v>0.00303778779966017</v>
      </c>
      <c r="O627" s="22" t="n">
        <v>0.00169113166357396</v>
      </c>
      <c r="P627" s="22" t="n">
        <v>0.000135301550717047</v>
      </c>
      <c r="Q627" s="22" t="n">
        <v>0.000403531094515788</v>
      </c>
      <c r="R627" s="22" t="n">
        <v>0.003695769482105</v>
      </c>
      <c r="S627" s="23" t="n">
        <f aca="false">IF(A627="","",SUM(H627:R627))</f>
        <v>0.0752648206653039</v>
      </c>
      <c r="T627" s="17" t="str">
        <f aca="false">IF(A627="","",IF(AND(MIN(H627:R627)&gt;=0,MAX(H627:R627)&lt;=1,S627&lt;=1),"OK","CHECK"))</f>
        <v>OK</v>
      </c>
      <c r="U627" s="17" t="str">
        <f aca="false">IF(A627="","", "LOSS-"&amp;A627&amp;"-L"&amp;TEXT(B627,"00")&amp;"-"&amp;TEXT(C627,"yyyymmdd")&amp;"-"&amp;D627&amp;"-"&amp;E627)</f>
        <v>LOSS-KG01-L24-20251029-AM-ORD-2025-00253</v>
      </c>
      <c r="V627" s="17" t="str">
        <f aca="false">IF(U627="","",IF(COUNTIF($U$5:$U$935,U627)=1,"OK","CHECK"))</f>
        <v>OK</v>
      </c>
      <c r="W627" s="17" t="str">
        <f aca="false">IF(A627="","",IF(AND(T627="OK",V627="OK",G627&gt;=0),"OK","CHECK"))</f>
        <v>OK</v>
      </c>
    </row>
    <row r="628" customFormat="false" ht="18" hidden="false" customHeight="true" outlineLevel="0" collapsed="false">
      <c r="A628" s="18" t="s">
        <v>39</v>
      </c>
      <c r="B628" s="19" t="n">
        <v>24</v>
      </c>
      <c r="C628" s="20" t="n">
        <v>45959</v>
      </c>
      <c r="D628" s="18" t="s">
        <v>43</v>
      </c>
      <c r="E628" s="18" t="s">
        <v>149</v>
      </c>
      <c r="F628" s="18" t="s">
        <v>61</v>
      </c>
      <c r="G628" s="21" t="n">
        <v>2893</v>
      </c>
      <c r="H628" s="22" t="n">
        <v>0.00170067314088699</v>
      </c>
      <c r="I628" s="22" t="n">
        <v>0.000866524550185843</v>
      </c>
      <c r="J628" s="22" t="n">
        <v>2.4835106874466E-005</v>
      </c>
      <c r="K628" s="22" t="n">
        <v>0.00369759613019652</v>
      </c>
      <c r="L628" s="22" t="n">
        <v>0.000364126861743162</v>
      </c>
      <c r="M628" s="22" t="n">
        <v>0.00137443690503947</v>
      </c>
      <c r="N628" s="22" t="n">
        <v>0.00490014283402113</v>
      </c>
      <c r="O628" s="22" t="n">
        <v>0.00170043079405072</v>
      </c>
      <c r="P628" s="22" t="n">
        <v>0.00378155616720205</v>
      </c>
      <c r="Q628" s="22" t="n">
        <v>0.00146507511347042</v>
      </c>
      <c r="R628" s="22" t="n">
        <v>0.000991596048954729</v>
      </c>
      <c r="S628" s="23" t="n">
        <f aca="false">IF(A628="","",SUM(H628:R628))</f>
        <v>0.0208669936526255</v>
      </c>
      <c r="T628" s="17" t="str">
        <f aca="false">IF(A628="","",IF(AND(MIN(H628:R628)&gt;=0,MAX(H628:R628)&lt;=1,S628&lt;=1),"OK","CHECK"))</f>
        <v>OK</v>
      </c>
      <c r="U628" s="17" t="str">
        <f aca="false">IF(A628="","", "LOSS-"&amp;A628&amp;"-L"&amp;TEXT(B628,"00")&amp;"-"&amp;TEXT(C628,"yyyymmdd")&amp;"-"&amp;D628&amp;"-"&amp;E628)</f>
        <v>LOSS-KG01-L24-20251029-PM-ORD-2025-00253</v>
      </c>
      <c r="V628" s="17" t="str">
        <f aca="false">IF(U628="","",IF(COUNTIF($U$5:$U$935,U628)=1,"OK","CHECK"))</f>
        <v>OK</v>
      </c>
      <c r="W628" s="17" t="str">
        <f aca="false">IF(A628="","",IF(AND(T628="OK",V628="OK",G628&gt;=0),"OK","CHECK"))</f>
        <v>OK</v>
      </c>
    </row>
    <row r="629" customFormat="false" ht="18" hidden="false" customHeight="true" outlineLevel="0" collapsed="false">
      <c r="A629" s="18" t="s">
        <v>39</v>
      </c>
      <c r="B629" s="19" t="n">
        <v>24</v>
      </c>
      <c r="C629" s="20" t="n">
        <v>45960</v>
      </c>
      <c r="D629" s="18" t="s">
        <v>40</v>
      </c>
      <c r="E629" s="18" t="s">
        <v>150</v>
      </c>
      <c r="F629" s="18" t="s">
        <v>45</v>
      </c>
      <c r="G629" s="21" t="n">
        <v>1742</v>
      </c>
      <c r="H629" s="22" t="n">
        <v>0.00144984983962747</v>
      </c>
      <c r="I629" s="22" t="n">
        <v>0.0197872430734967</v>
      </c>
      <c r="J629" s="22" t="n">
        <v>0.00810235302922039</v>
      </c>
      <c r="K629" s="22" t="n">
        <v>0.00492206235453586</v>
      </c>
      <c r="L629" s="22" t="n">
        <v>0.000239894355077</v>
      </c>
      <c r="M629" s="22" t="n">
        <v>0.00392501309475887</v>
      </c>
      <c r="N629" s="22" t="n">
        <v>0.00201381032943416</v>
      </c>
      <c r="O629" s="22" t="n">
        <v>0.00040095801751655</v>
      </c>
      <c r="P629" s="22" t="n">
        <v>0.000310282321549085</v>
      </c>
      <c r="Q629" s="22" t="n">
        <v>0.0118660274445073</v>
      </c>
      <c r="R629" s="22" t="n">
        <v>0.0202990044567749</v>
      </c>
      <c r="S629" s="23" t="n">
        <f aca="false">IF(A629="","",SUM(H629:R629))</f>
        <v>0.0733164983164983</v>
      </c>
      <c r="T629" s="17" t="str">
        <f aca="false">IF(A629="","",IF(AND(MIN(H629:R629)&gt;=0,MAX(H629:R629)&lt;=1,S629&lt;=1),"OK","CHECK"))</f>
        <v>OK</v>
      </c>
      <c r="U629" s="17" t="str">
        <f aca="false">IF(A629="","", "LOSS-"&amp;A629&amp;"-L"&amp;TEXT(B629,"00")&amp;"-"&amp;TEXT(C629,"yyyymmdd")&amp;"-"&amp;D629&amp;"-"&amp;E629)</f>
        <v>LOSS-KG01-L24-20251030-AM-ORD-2025-00254</v>
      </c>
      <c r="V629" s="17" t="str">
        <f aca="false">IF(U629="","",IF(COUNTIF($U$5:$U$935,U629)=1,"OK","CHECK"))</f>
        <v>OK</v>
      </c>
      <c r="W629" s="17" t="str">
        <f aca="false">IF(A629="","",IF(AND(T629="OK",V629="OK",G629&gt;=0),"OK","CHECK"))</f>
        <v>OK</v>
      </c>
    </row>
    <row r="630" customFormat="false" ht="18" hidden="false" customHeight="true" outlineLevel="0" collapsed="false">
      <c r="A630" s="18" t="s">
        <v>39</v>
      </c>
      <c r="B630" s="19" t="n">
        <v>24</v>
      </c>
      <c r="C630" s="20" t="n">
        <v>45960</v>
      </c>
      <c r="D630" s="18" t="s">
        <v>43</v>
      </c>
      <c r="E630" s="18" t="s">
        <v>150</v>
      </c>
      <c r="F630" s="18" t="s">
        <v>42</v>
      </c>
      <c r="G630" s="21" t="n">
        <v>10558</v>
      </c>
      <c r="H630" s="22" t="n">
        <v>7.61596597816814E-005</v>
      </c>
      <c r="I630" s="22" t="n">
        <v>0.000223402239713096</v>
      </c>
      <c r="J630" s="22" t="n">
        <v>0.000522313308369195</v>
      </c>
      <c r="K630" s="22" t="n">
        <v>0.0129566643183679</v>
      </c>
      <c r="L630" s="22" t="n">
        <v>0.000734368229879689</v>
      </c>
      <c r="M630" s="22" t="n">
        <v>0.000415888169378838</v>
      </c>
      <c r="N630" s="22" t="n">
        <v>0.0249705967760439</v>
      </c>
      <c r="O630" s="22" t="n">
        <v>0.0081030156295933</v>
      </c>
      <c r="P630" s="22" t="n">
        <v>7.21412196934094E-005</v>
      </c>
      <c r="Q630" s="22" t="n">
        <v>0.0197198153748342</v>
      </c>
      <c r="R630" s="22" t="n">
        <v>0.000162175843120039</v>
      </c>
      <c r="S630" s="23" t="n">
        <f aca="false">IF(A630="","",SUM(H630:R630))</f>
        <v>0.0679565407687752</v>
      </c>
      <c r="T630" s="17" t="str">
        <f aca="false">IF(A630="","",IF(AND(MIN(H630:R630)&gt;=0,MAX(H630:R630)&lt;=1,S630&lt;=1),"OK","CHECK"))</f>
        <v>OK</v>
      </c>
      <c r="U630" s="17" t="str">
        <f aca="false">IF(A630="","", "LOSS-"&amp;A630&amp;"-L"&amp;TEXT(B630,"00")&amp;"-"&amp;TEXT(C630,"yyyymmdd")&amp;"-"&amp;D630&amp;"-"&amp;E630)</f>
        <v>LOSS-KG01-L24-20251030-PM-ORD-2025-00254</v>
      </c>
      <c r="V630" s="17" t="str">
        <f aca="false">IF(U630="","",IF(COUNTIF($U$5:$U$935,U630)=1,"OK","CHECK"))</f>
        <v>OK</v>
      </c>
      <c r="W630" s="17" t="str">
        <f aca="false">IF(A630="","",IF(AND(T630="OK",V630="OK",G630&gt;=0),"OK","CHECK"))</f>
        <v>OK</v>
      </c>
    </row>
    <row r="631" customFormat="false" ht="18" hidden="false" customHeight="true" outlineLevel="0" collapsed="false">
      <c r="A631" s="18" t="s">
        <v>39</v>
      </c>
      <c r="B631" s="19" t="n">
        <v>24</v>
      </c>
      <c r="C631" s="20" t="n">
        <v>45961</v>
      </c>
      <c r="D631" s="18" t="s">
        <v>40</v>
      </c>
      <c r="E631" s="18" t="s">
        <v>150</v>
      </c>
      <c r="F631" s="18" t="s">
        <v>42</v>
      </c>
      <c r="G631" s="21" t="n">
        <v>20054</v>
      </c>
      <c r="H631" s="22" t="n">
        <v>0.000192210614107128</v>
      </c>
      <c r="I631" s="22" t="n">
        <v>0.0147706886340589</v>
      </c>
      <c r="J631" s="22" t="n">
        <v>0.00801503933408431</v>
      </c>
      <c r="K631" s="22" t="n">
        <v>0.00125016973812529</v>
      </c>
      <c r="L631" s="22" t="n">
        <v>0.000896681446307541</v>
      </c>
      <c r="M631" s="22" t="n">
        <v>0.000752191755112032</v>
      </c>
      <c r="N631" s="22" t="n">
        <v>0.00564084103066826</v>
      </c>
      <c r="O631" s="22" t="n">
        <v>0.00874735979916576</v>
      </c>
      <c r="P631" s="22" t="n">
        <v>0.0133264410682669</v>
      </c>
      <c r="Q631" s="22" t="n">
        <v>0.00193491733551929</v>
      </c>
      <c r="R631" s="22" t="n">
        <v>0.000864796113507189</v>
      </c>
      <c r="S631" s="23" t="n">
        <f aca="false">IF(A631="","",SUM(H631:R631))</f>
        <v>0.0563913368689226</v>
      </c>
      <c r="T631" s="17" t="str">
        <f aca="false">IF(A631="","",IF(AND(MIN(H631:R631)&gt;=0,MAX(H631:R631)&lt;=1,S631&lt;=1),"OK","CHECK"))</f>
        <v>OK</v>
      </c>
      <c r="U631" s="17" t="str">
        <f aca="false">IF(A631="","", "LOSS-"&amp;A631&amp;"-L"&amp;TEXT(B631,"00")&amp;"-"&amp;TEXT(C631,"yyyymmdd")&amp;"-"&amp;D631&amp;"-"&amp;E631)</f>
        <v>LOSS-KG01-L24-20251031-AM-ORD-2025-00254</v>
      </c>
      <c r="V631" s="17" t="str">
        <f aca="false">IF(U631="","",IF(COUNTIF($U$5:$U$935,U631)=1,"OK","CHECK"))</f>
        <v>OK</v>
      </c>
      <c r="W631" s="17" t="str">
        <f aca="false">IF(A631="","",IF(AND(T631="OK",V631="OK",G631&gt;=0),"OK","CHECK"))</f>
        <v>OK</v>
      </c>
    </row>
    <row r="632" customFormat="false" ht="18" hidden="false" customHeight="true" outlineLevel="0" collapsed="false">
      <c r="A632" s="18" t="s">
        <v>39</v>
      </c>
      <c r="B632" s="19" t="n">
        <v>24</v>
      </c>
      <c r="C632" s="20" t="n">
        <v>45961</v>
      </c>
      <c r="D632" s="18" t="s">
        <v>43</v>
      </c>
      <c r="E632" s="18" t="s">
        <v>150</v>
      </c>
      <c r="F632" s="18" t="s">
        <v>42</v>
      </c>
      <c r="G632" s="21" t="n">
        <v>7488</v>
      </c>
      <c r="H632" s="22" t="n">
        <v>1.01039877114346E-005</v>
      </c>
      <c r="I632" s="22" t="n">
        <v>0.00654301221691515</v>
      </c>
      <c r="J632" s="22" t="n">
        <v>0.0111450948900834</v>
      </c>
      <c r="K632" s="22" t="n">
        <v>0.000566283487738806</v>
      </c>
      <c r="L632" s="22" t="n">
        <v>0.0179096521675621</v>
      </c>
      <c r="M632" s="22" t="n">
        <v>0.00281700578151145</v>
      </c>
      <c r="N632" s="22" t="n">
        <v>0.00562741983702875</v>
      </c>
      <c r="O632" s="22" t="n">
        <v>5.83304084557222E-006</v>
      </c>
      <c r="P632" s="22" t="n">
        <v>0.000493354892134319</v>
      </c>
      <c r="Q632" s="22" t="n">
        <v>0.00625764907413028</v>
      </c>
      <c r="R632" s="22" t="n">
        <v>0.00723264923239734</v>
      </c>
      <c r="S632" s="23" t="n">
        <f aca="false">IF(A632="","",SUM(H632:R632))</f>
        <v>0.0586080586080586</v>
      </c>
      <c r="T632" s="17" t="str">
        <f aca="false">IF(A632="","",IF(AND(MIN(H632:R632)&gt;=0,MAX(H632:R632)&lt;=1,S632&lt;=1),"OK","CHECK"))</f>
        <v>OK</v>
      </c>
      <c r="U632" s="17" t="str">
        <f aca="false">IF(A632="","", "LOSS-"&amp;A632&amp;"-L"&amp;TEXT(B632,"00")&amp;"-"&amp;TEXT(C632,"yyyymmdd")&amp;"-"&amp;D632&amp;"-"&amp;E632)</f>
        <v>LOSS-KG01-L24-20251031-PM-ORD-2025-00254</v>
      </c>
      <c r="V632" s="17" t="str">
        <f aca="false">IF(U632="","",IF(COUNTIF($U$5:$U$935,U632)=1,"OK","CHECK"))</f>
        <v>OK</v>
      </c>
      <c r="W632" s="17" t="str">
        <f aca="false">IF(A632="","",IF(AND(T632="OK",V632="OK",G632&gt;=0),"OK","CHECK"))</f>
        <v>OK</v>
      </c>
    </row>
    <row r="633" customFormat="false" ht="18" hidden="false" customHeight="true" outlineLevel="0" collapsed="false">
      <c r="A633" s="18" t="s">
        <v>39</v>
      </c>
      <c r="B633" s="19" t="n">
        <v>24</v>
      </c>
      <c r="C633" s="20" t="n">
        <v>45962</v>
      </c>
      <c r="D633" s="18" t="s">
        <v>40</v>
      </c>
      <c r="E633" s="18" t="s">
        <v>150</v>
      </c>
      <c r="F633" s="18" t="s">
        <v>61</v>
      </c>
      <c r="G633" s="21" t="n">
        <v>27774</v>
      </c>
      <c r="H633" s="22" t="n">
        <v>0.0199099493206449</v>
      </c>
      <c r="I633" s="22" t="n">
        <v>0.0137519173639182</v>
      </c>
      <c r="J633" s="22" t="n">
        <v>0.000325578408028746</v>
      </c>
      <c r="K633" s="22" t="n">
        <v>0.0012718233029078</v>
      </c>
      <c r="L633" s="22" t="n">
        <v>0.00346567350984589</v>
      </c>
      <c r="M633" s="22" t="n">
        <v>0.0012291198438006</v>
      </c>
      <c r="N633" s="22" t="n">
        <v>0.00779786524488211</v>
      </c>
      <c r="O633" s="22" t="n">
        <v>0.0166914257344513</v>
      </c>
      <c r="P633" s="22" t="n">
        <v>0.017668778266024</v>
      </c>
      <c r="Q633" s="22" t="n">
        <v>0.00163888339179625</v>
      </c>
      <c r="R633" s="22" t="n">
        <v>2.10641970174872E-007</v>
      </c>
      <c r="S633" s="23" t="n">
        <f aca="false">IF(A633="","",SUM(H633:R633))</f>
        <v>0.08375122502827</v>
      </c>
      <c r="T633" s="17" t="str">
        <f aca="false">IF(A633="","",IF(AND(MIN(H633:R633)&gt;=0,MAX(H633:R633)&lt;=1,S633&lt;=1),"OK","CHECK"))</f>
        <v>OK</v>
      </c>
      <c r="U633" s="17" t="str">
        <f aca="false">IF(A633="","", "LOSS-"&amp;A633&amp;"-L"&amp;TEXT(B633,"00")&amp;"-"&amp;TEXT(C633,"yyyymmdd")&amp;"-"&amp;D633&amp;"-"&amp;E633)</f>
        <v>LOSS-KG01-L24-20251101-AM-ORD-2025-00254</v>
      </c>
      <c r="V633" s="17" t="str">
        <f aca="false">IF(U633="","",IF(COUNTIF($U$5:$U$935,U633)=1,"OK","CHECK"))</f>
        <v>OK</v>
      </c>
      <c r="W633" s="17" t="str">
        <f aca="false">IF(A633="","",IF(AND(T633="OK",V633="OK",G633&gt;=0),"OK","CHECK"))</f>
        <v>OK</v>
      </c>
    </row>
    <row r="634" customFormat="false" ht="18" hidden="false" customHeight="true" outlineLevel="0" collapsed="false">
      <c r="A634" s="18" t="s">
        <v>39</v>
      </c>
      <c r="B634" s="19" t="n">
        <v>24</v>
      </c>
      <c r="C634" s="20" t="n">
        <v>45962</v>
      </c>
      <c r="D634" s="18" t="s">
        <v>43</v>
      </c>
      <c r="E634" s="18" t="s">
        <v>150</v>
      </c>
      <c r="F634" s="18" t="s">
        <v>42</v>
      </c>
      <c r="G634" s="21" t="n">
        <v>6187</v>
      </c>
      <c r="H634" s="22" t="n">
        <v>0.00469067458470729</v>
      </c>
      <c r="I634" s="22" t="n">
        <v>0.00197217512366781</v>
      </c>
      <c r="J634" s="22" t="n">
        <v>0.00771759056789593</v>
      </c>
      <c r="K634" s="22" t="n">
        <v>0.00751621905729608</v>
      </c>
      <c r="L634" s="22" t="n">
        <v>0.00207287210926751</v>
      </c>
      <c r="M634" s="22" t="n">
        <v>0.000561349650275863</v>
      </c>
      <c r="N634" s="22" t="n">
        <v>0.00747544904468351</v>
      </c>
      <c r="O634" s="22" t="n">
        <v>0.00173795620725939</v>
      </c>
      <c r="P634" s="22" t="n">
        <v>0.00205403260105781</v>
      </c>
      <c r="Q634" s="22" t="n">
        <v>0.000235501261125505</v>
      </c>
      <c r="R634" s="22" t="n">
        <v>0.00821339780346216</v>
      </c>
      <c r="S634" s="23" t="n">
        <f aca="false">IF(A634="","",SUM(H634:R634))</f>
        <v>0.0442472180106989</v>
      </c>
      <c r="T634" s="17" t="str">
        <f aca="false">IF(A634="","",IF(AND(MIN(H634:R634)&gt;=0,MAX(H634:R634)&lt;=1,S634&lt;=1),"OK","CHECK"))</f>
        <v>OK</v>
      </c>
      <c r="U634" s="17" t="str">
        <f aca="false">IF(A634="","", "LOSS-"&amp;A634&amp;"-L"&amp;TEXT(B634,"00")&amp;"-"&amp;TEXT(C634,"yyyymmdd")&amp;"-"&amp;D634&amp;"-"&amp;E634)</f>
        <v>LOSS-KG01-L24-20251101-PM-ORD-2025-00254</v>
      </c>
      <c r="V634" s="17" t="str">
        <f aca="false">IF(U634="","",IF(COUNTIF($U$5:$U$935,U634)=1,"OK","CHECK"))</f>
        <v>OK</v>
      </c>
      <c r="W634" s="17" t="str">
        <f aca="false">IF(A634="","",IF(AND(T634="OK",V634="OK",G634&gt;=0),"OK","CHECK"))</f>
        <v>OK</v>
      </c>
    </row>
    <row r="635" customFormat="false" ht="18" hidden="false" customHeight="true" outlineLevel="0" collapsed="false">
      <c r="A635" s="18" t="s">
        <v>39</v>
      </c>
      <c r="B635" s="19" t="n">
        <v>24</v>
      </c>
      <c r="C635" s="20" t="n">
        <v>45963</v>
      </c>
      <c r="D635" s="18" t="s">
        <v>40</v>
      </c>
      <c r="E635" s="18" t="s">
        <v>150</v>
      </c>
      <c r="F635" s="18" t="s">
        <v>42</v>
      </c>
      <c r="G635" s="21" t="n">
        <v>5570</v>
      </c>
      <c r="H635" s="22" t="n">
        <v>0.00712797010439504</v>
      </c>
      <c r="I635" s="22" t="n">
        <v>0.00555207236471268</v>
      </c>
      <c r="J635" s="22" t="n">
        <v>5.22382068794088E-006</v>
      </c>
      <c r="K635" s="22" t="n">
        <v>0.00576653968887822</v>
      </c>
      <c r="L635" s="22" t="n">
        <v>0.000414554995526767</v>
      </c>
      <c r="M635" s="22" t="n">
        <v>0.0044664311984655</v>
      </c>
      <c r="N635" s="22" t="n">
        <v>0.00187843652463237</v>
      </c>
      <c r="O635" s="22" t="n">
        <v>0.007545547396338</v>
      </c>
      <c r="P635" s="22" t="n">
        <v>0.00115428813579409</v>
      </c>
      <c r="Q635" s="22" t="n">
        <v>4.22797797288467E-006</v>
      </c>
      <c r="R635" s="22" t="n">
        <v>0.00253806451192529</v>
      </c>
      <c r="S635" s="23" t="n">
        <f aca="false">IF(A635="","",SUM(H635:R635))</f>
        <v>0.0364533567193288</v>
      </c>
      <c r="T635" s="17" t="str">
        <f aca="false">IF(A635="","",IF(AND(MIN(H635:R635)&gt;=0,MAX(H635:R635)&lt;=1,S635&lt;=1),"OK","CHECK"))</f>
        <v>OK</v>
      </c>
      <c r="U635" s="17" t="str">
        <f aca="false">IF(A635="","", "LOSS-"&amp;A635&amp;"-L"&amp;TEXT(B635,"00")&amp;"-"&amp;TEXT(C635,"yyyymmdd")&amp;"-"&amp;D635&amp;"-"&amp;E635)</f>
        <v>LOSS-KG01-L24-20251102-AM-ORD-2025-00254</v>
      </c>
      <c r="V635" s="17" t="str">
        <f aca="false">IF(U635="","",IF(COUNTIF($U$5:$U$935,U635)=1,"OK","CHECK"))</f>
        <v>OK</v>
      </c>
      <c r="W635" s="17" t="str">
        <f aca="false">IF(A635="","",IF(AND(T635="OK",V635="OK",G635&gt;=0),"OK","CHECK"))</f>
        <v>OK</v>
      </c>
    </row>
    <row r="636" customFormat="false" ht="18" hidden="false" customHeight="true" outlineLevel="0" collapsed="false">
      <c r="A636" s="18" t="s">
        <v>39</v>
      </c>
      <c r="B636" s="19" t="n">
        <v>24</v>
      </c>
      <c r="C636" s="20" t="n">
        <v>45963</v>
      </c>
      <c r="D636" s="18" t="s">
        <v>43</v>
      </c>
      <c r="E636" s="18" t="s">
        <v>150</v>
      </c>
      <c r="F636" s="18" t="s">
        <v>42</v>
      </c>
      <c r="G636" s="21" t="n">
        <v>5003</v>
      </c>
      <c r="H636" s="22" t="n">
        <v>0.00200197158926938</v>
      </c>
      <c r="I636" s="22" t="n">
        <v>0.00260155881250866</v>
      </c>
      <c r="J636" s="22" t="n">
        <v>0.000561709693472408</v>
      </c>
      <c r="K636" s="22" t="n">
        <v>0.000277873494639622</v>
      </c>
      <c r="L636" s="22" t="n">
        <v>7.96187889305489E-005</v>
      </c>
      <c r="M636" s="22" t="n">
        <v>0.00931977089811458</v>
      </c>
      <c r="N636" s="22" t="n">
        <v>0.0062117259445892</v>
      </c>
      <c r="O636" s="22" t="n">
        <v>0.000377230135602884</v>
      </c>
      <c r="P636" s="22" t="n">
        <v>0.0021716665707112</v>
      </c>
      <c r="Q636" s="22" t="n">
        <v>0.000631894167982686</v>
      </c>
      <c r="R636" s="22" t="n">
        <v>0.0016604250387544</v>
      </c>
      <c r="S636" s="23" t="n">
        <f aca="false">IF(A636="","",SUM(H636:R636))</f>
        <v>0.0258954451345756</v>
      </c>
      <c r="T636" s="17" t="str">
        <f aca="false">IF(A636="","",IF(AND(MIN(H636:R636)&gt;=0,MAX(H636:R636)&lt;=1,S636&lt;=1),"OK","CHECK"))</f>
        <v>OK</v>
      </c>
      <c r="U636" s="17" t="str">
        <f aca="false">IF(A636="","", "LOSS-"&amp;A636&amp;"-L"&amp;TEXT(B636,"00")&amp;"-"&amp;TEXT(C636,"yyyymmdd")&amp;"-"&amp;D636&amp;"-"&amp;E636)</f>
        <v>LOSS-KG01-L24-20251102-PM-ORD-2025-00254</v>
      </c>
      <c r="V636" s="17" t="str">
        <f aca="false">IF(U636="","",IF(COUNTIF($U$5:$U$935,U636)=1,"OK","CHECK"))</f>
        <v>OK</v>
      </c>
      <c r="W636" s="17" t="str">
        <f aca="false">IF(A636="","",IF(AND(T636="OK",V636="OK",G636&gt;=0),"OK","CHECK"))</f>
        <v>OK</v>
      </c>
    </row>
    <row r="637" customFormat="false" ht="18" hidden="false" customHeight="true" outlineLevel="0" collapsed="false">
      <c r="A637" s="18" t="s">
        <v>39</v>
      </c>
      <c r="B637" s="19" t="n">
        <v>24</v>
      </c>
      <c r="C637" s="20" t="n">
        <v>45964</v>
      </c>
      <c r="D637" s="18" t="s">
        <v>40</v>
      </c>
      <c r="E637" s="18" t="s">
        <v>150</v>
      </c>
      <c r="F637" s="18" t="s">
        <v>42</v>
      </c>
      <c r="G637" s="21" t="n">
        <v>9548</v>
      </c>
      <c r="H637" s="22" t="n">
        <v>0.00106130740105189</v>
      </c>
      <c r="I637" s="22" t="n">
        <v>0.00721809203816685</v>
      </c>
      <c r="J637" s="22" t="n">
        <v>0.0113993770236011</v>
      </c>
      <c r="K637" s="22" t="n">
        <v>0.00203322897807742</v>
      </c>
      <c r="L637" s="22" t="n">
        <v>0.0108796073035443</v>
      </c>
      <c r="M637" s="22" t="n">
        <v>0.0130324401812689</v>
      </c>
      <c r="N637" s="22" t="n">
        <v>0.00665521294480739</v>
      </c>
      <c r="O637" s="22" t="n">
        <v>0.00448109682270284</v>
      </c>
      <c r="P637" s="22" t="n">
        <v>0.00588372900533635</v>
      </c>
      <c r="Q637" s="22" t="n">
        <v>5.91060126496475E-005</v>
      </c>
      <c r="R637" s="22" t="n">
        <v>0.00718050024015001</v>
      </c>
      <c r="S637" s="23" t="n">
        <f aca="false">IF(A637="","",SUM(H637:R637))</f>
        <v>0.0698836979513567</v>
      </c>
      <c r="T637" s="17" t="str">
        <f aca="false">IF(A637="","",IF(AND(MIN(H637:R637)&gt;=0,MAX(H637:R637)&lt;=1,S637&lt;=1),"OK","CHECK"))</f>
        <v>OK</v>
      </c>
      <c r="U637" s="17" t="str">
        <f aca="false">IF(A637="","", "LOSS-"&amp;A637&amp;"-L"&amp;TEXT(B637,"00")&amp;"-"&amp;TEXT(C637,"yyyymmdd")&amp;"-"&amp;D637&amp;"-"&amp;E637)</f>
        <v>LOSS-KG01-L24-20251103-AM-ORD-2025-00254</v>
      </c>
      <c r="V637" s="17" t="str">
        <f aca="false">IF(U637="","",IF(COUNTIF($U$5:$U$935,U637)=1,"OK","CHECK"))</f>
        <v>OK</v>
      </c>
      <c r="W637" s="17" t="str">
        <f aca="false">IF(A637="","",IF(AND(T637="OK",V637="OK",G637&gt;=0),"OK","CHECK"))</f>
        <v>OK</v>
      </c>
    </row>
    <row r="638" customFormat="false" ht="18" hidden="false" customHeight="true" outlineLevel="0" collapsed="false">
      <c r="A638" s="18" t="s">
        <v>39</v>
      </c>
      <c r="B638" s="19" t="n">
        <v>24</v>
      </c>
      <c r="C638" s="20" t="n">
        <v>45964</v>
      </c>
      <c r="D638" s="18" t="s">
        <v>43</v>
      </c>
      <c r="E638" s="18" t="s">
        <v>151</v>
      </c>
      <c r="F638" s="18" t="s">
        <v>45</v>
      </c>
      <c r="G638" s="21" t="n">
        <v>1089</v>
      </c>
      <c r="H638" s="22" t="n">
        <v>1.15363157128799E-005</v>
      </c>
      <c r="I638" s="22" t="n">
        <v>0.00787535551612326</v>
      </c>
      <c r="J638" s="22" t="n">
        <v>0.00311492324417737</v>
      </c>
      <c r="K638" s="22" t="n">
        <v>1.01218172256047E-005</v>
      </c>
      <c r="L638" s="22" t="n">
        <v>0.00458726738896843</v>
      </c>
      <c r="M638" s="22" t="n">
        <v>0.00477924172792193</v>
      </c>
      <c r="N638" s="22" t="n">
        <v>0.0043352470291804</v>
      </c>
      <c r="O638" s="22" t="n">
        <v>0.00460980585947654</v>
      </c>
      <c r="P638" s="22" t="n">
        <v>0.00292235080927152</v>
      </c>
      <c r="Q638" s="22" t="n">
        <v>0.00174540857426946</v>
      </c>
      <c r="R638" s="22" t="n">
        <v>0.0200265988605298</v>
      </c>
      <c r="S638" s="23" t="n">
        <f aca="false">IF(A638="","",SUM(H638:R638))</f>
        <v>0.0540178571428572</v>
      </c>
      <c r="T638" s="17" t="str">
        <f aca="false">IF(A638="","",IF(AND(MIN(H638:R638)&gt;=0,MAX(H638:R638)&lt;=1,S638&lt;=1),"OK","CHECK"))</f>
        <v>OK</v>
      </c>
      <c r="U638" s="17" t="str">
        <f aca="false">IF(A638="","", "LOSS-"&amp;A638&amp;"-L"&amp;TEXT(B638,"00")&amp;"-"&amp;TEXT(C638,"yyyymmdd")&amp;"-"&amp;D638&amp;"-"&amp;E638)</f>
        <v>LOSS-KG01-L24-20251103-PM-ORD-2025-00255</v>
      </c>
      <c r="V638" s="17" t="str">
        <f aca="false">IF(U638="","",IF(COUNTIF($U$5:$U$935,U638)=1,"OK","CHECK"))</f>
        <v>OK</v>
      </c>
      <c r="W638" s="17" t="str">
        <f aca="false">IF(A638="","",IF(AND(T638="OK",V638="OK",G638&gt;=0),"OK","CHECK"))</f>
        <v>OK</v>
      </c>
    </row>
    <row r="639" customFormat="false" ht="18" hidden="false" customHeight="true" outlineLevel="0" collapsed="false">
      <c r="A639" s="18" t="s">
        <v>39</v>
      </c>
      <c r="B639" s="19" t="n">
        <v>24</v>
      </c>
      <c r="C639" s="20" t="n">
        <v>45965</v>
      </c>
      <c r="D639" s="18" t="s">
        <v>40</v>
      </c>
      <c r="E639" s="18" t="s">
        <v>151</v>
      </c>
      <c r="F639" s="18" t="s">
        <v>42</v>
      </c>
      <c r="G639" s="21" t="n">
        <v>3652</v>
      </c>
      <c r="H639" s="22" t="n">
        <v>0.00139356273343005</v>
      </c>
      <c r="I639" s="22" t="n">
        <v>0.000515827570671612</v>
      </c>
      <c r="J639" s="22" t="n">
        <v>0.000991017281022499</v>
      </c>
      <c r="K639" s="22" t="n">
        <v>0.0070745116180881</v>
      </c>
      <c r="L639" s="22" t="n">
        <v>0.00551971943073925</v>
      </c>
      <c r="M639" s="22" t="n">
        <v>0.00581749428637999</v>
      </c>
      <c r="N639" s="22" t="n">
        <v>0.000790472257709701</v>
      </c>
      <c r="O639" s="22" t="n">
        <v>2.71833981384946E-005</v>
      </c>
      <c r="P639" s="22" t="n">
        <v>0.00300270363700748</v>
      </c>
      <c r="Q639" s="22" t="n">
        <v>4.75055669895274E-005</v>
      </c>
      <c r="R639" s="22" t="n">
        <v>0.00107827084219891</v>
      </c>
      <c r="S639" s="23" t="n">
        <f aca="false">IF(A639="","",SUM(H639:R639))</f>
        <v>0.0262582686223756</v>
      </c>
      <c r="T639" s="17" t="str">
        <f aca="false">IF(A639="","",IF(AND(MIN(H639:R639)&gt;=0,MAX(H639:R639)&lt;=1,S639&lt;=1),"OK","CHECK"))</f>
        <v>OK</v>
      </c>
      <c r="U639" s="17" t="str">
        <f aca="false">IF(A639="","", "LOSS-"&amp;A639&amp;"-L"&amp;TEXT(B639,"00")&amp;"-"&amp;TEXT(C639,"yyyymmdd")&amp;"-"&amp;D639&amp;"-"&amp;E639)</f>
        <v>LOSS-KG01-L24-20251104-AM-ORD-2025-00255</v>
      </c>
      <c r="V639" s="17" t="str">
        <f aca="false">IF(U639="","",IF(COUNTIF($U$5:$U$935,U639)=1,"OK","CHECK"))</f>
        <v>OK</v>
      </c>
      <c r="W639" s="17" t="str">
        <f aca="false">IF(A639="","",IF(AND(T639="OK",V639="OK",G639&gt;=0),"OK","CHECK"))</f>
        <v>OK</v>
      </c>
    </row>
    <row r="640" customFormat="false" ht="18" hidden="false" customHeight="true" outlineLevel="0" collapsed="false">
      <c r="A640" s="18" t="s">
        <v>39</v>
      </c>
      <c r="B640" s="19" t="n">
        <v>24</v>
      </c>
      <c r="C640" s="20" t="n">
        <v>45965</v>
      </c>
      <c r="D640" s="18" t="s">
        <v>43</v>
      </c>
      <c r="E640" s="18" t="s">
        <v>151</v>
      </c>
      <c r="F640" s="18" t="s">
        <v>42</v>
      </c>
      <c r="G640" s="21" t="n">
        <v>16111</v>
      </c>
      <c r="H640" s="22" t="n">
        <v>0.0156699222629929</v>
      </c>
      <c r="I640" s="22" t="n">
        <v>0.000789854571906982</v>
      </c>
      <c r="J640" s="22" t="n">
        <v>0.0118709388962906</v>
      </c>
      <c r="K640" s="22" t="n">
        <v>0.0095779682091868</v>
      </c>
      <c r="L640" s="22" t="n">
        <v>0.00196488628851254</v>
      </c>
      <c r="M640" s="22" t="n">
        <v>0.00864645530580886</v>
      </c>
      <c r="N640" s="22" t="n">
        <v>0.00204020978805281</v>
      </c>
      <c r="O640" s="22" t="n">
        <v>0.000696054316941646</v>
      </c>
      <c r="P640" s="22" t="n">
        <v>0.000628687547115597</v>
      </c>
      <c r="Q640" s="22" t="n">
        <v>0.00595471392117019</v>
      </c>
      <c r="R640" s="22" t="n">
        <v>0.0237763169973909</v>
      </c>
      <c r="S640" s="23" t="n">
        <f aca="false">IF(A640="","",SUM(H640:R640))</f>
        <v>0.0816160081053698</v>
      </c>
      <c r="T640" s="17" t="str">
        <f aca="false">IF(A640="","",IF(AND(MIN(H640:R640)&gt;=0,MAX(H640:R640)&lt;=1,S640&lt;=1),"OK","CHECK"))</f>
        <v>OK</v>
      </c>
      <c r="U640" s="17" t="str">
        <f aca="false">IF(A640="","", "LOSS-"&amp;A640&amp;"-L"&amp;TEXT(B640,"00")&amp;"-"&amp;TEXT(C640,"yyyymmdd")&amp;"-"&amp;D640&amp;"-"&amp;E640)</f>
        <v>LOSS-KG01-L24-20251104-PM-ORD-2025-00255</v>
      </c>
      <c r="V640" s="17" t="str">
        <f aca="false">IF(U640="","",IF(COUNTIF($U$5:$U$935,U640)=1,"OK","CHECK"))</f>
        <v>OK</v>
      </c>
      <c r="W640" s="17" t="str">
        <f aca="false">IF(A640="","",IF(AND(T640="OK",V640="OK",G640&gt;=0),"OK","CHECK"))</f>
        <v>OK</v>
      </c>
    </row>
    <row r="641" customFormat="false" ht="18" hidden="false" customHeight="true" outlineLevel="0" collapsed="false">
      <c r="A641" s="18" t="s">
        <v>39</v>
      </c>
      <c r="B641" s="19" t="n">
        <v>24</v>
      </c>
      <c r="C641" s="20" t="n">
        <v>45966</v>
      </c>
      <c r="D641" s="18" t="s">
        <v>40</v>
      </c>
      <c r="E641" s="18" t="s">
        <v>151</v>
      </c>
      <c r="F641" s="18" t="s">
        <v>61</v>
      </c>
      <c r="G641" s="21" t="n">
        <v>5430</v>
      </c>
      <c r="H641" s="22" t="n">
        <v>0.000273158804721989</v>
      </c>
      <c r="I641" s="22" t="n">
        <v>0.00132351187506051</v>
      </c>
      <c r="J641" s="22" t="n">
        <v>0.000219177369713515</v>
      </c>
      <c r="K641" s="22" t="n">
        <v>3.52025493306923E-005</v>
      </c>
      <c r="L641" s="22" t="n">
        <v>0.00599983622029921</v>
      </c>
      <c r="M641" s="22" t="n">
        <v>0.00304369669401063</v>
      </c>
      <c r="N641" s="22" t="n">
        <v>0.00258828448410394</v>
      </c>
      <c r="O641" s="22" t="n">
        <v>0.00484095302592903</v>
      </c>
      <c r="P641" s="22" t="n">
        <v>0.00600008089399198</v>
      </c>
      <c r="Q641" s="22" t="n">
        <v>0.00593117126514064</v>
      </c>
      <c r="R641" s="22" t="n">
        <v>0.00433554084887402</v>
      </c>
      <c r="S641" s="23" t="n">
        <f aca="false">IF(A641="","",SUM(H641:R641))</f>
        <v>0.0345906140311762</v>
      </c>
      <c r="T641" s="17" t="str">
        <f aca="false">IF(A641="","",IF(AND(MIN(H641:R641)&gt;=0,MAX(H641:R641)&lt;=1,S641&lt;=1),"OK","CHECK"))</f>
        <v>OK</v>
      </c>
      <c r="U641" s="17" t="str">
        <f aca="false">IF(A641="","", "LOSS-"&amp;A641&amp;"-L"&amp;TEXT(B641,"00")&amp;"-"&amp;TEXT(C641,"yyyymmdd")&amp;"-"&amp;D641&amp;"-"&amp;E641)</f>
        <v>LOSS-KG01-L24-20251105-AM-ORD-2025-00255</v>
      </c>
      <c r="V641" s="17" t="str">
        <f aca="false">IF(U641="","",IF(COUNTIF($U$5:$U$935,U641)=1,"OK","CHECK"))</f>
        <v>OK</v>
      </c>
      <c r="W641" s="17" t="str">
        <f aca="false">IF(A641="","",IF(AND(T641="OK",V641="OK",G641&gt;=0),"OK","CHECK"))</f>
        <v>OK</v>
      </c>
    </row>
    <row r="642" customFormat="false" ht="18" hidden="false" customHeight="true" outlineLevel="0" collapsed="false">
      <c r="A642" s="18" t="s">
        <v>39</v>
      </c>
      <c r="B642" s="19" t="n">
        <v>24</v>
      </c>
      <c r="C642" s="20" t="n">
        <v>45966</v>
      </c>
      <c r="D642" s="18" t="s">
        <v>43</v>
      </c>
      <c r="E642" s="18" t="s">
        <v>151</v>
      </c>
      <c r="F642" s="18" t="s">
        <v>42</v>
      </c>
      <c r="G642" s="21" t="n">
        <v>5397</v>
      </c>
      <c r="H642" s="22" t="n">
        <v>0.00107026577648039</v>
      </c>
      <c r="I642" s="22" t="n">
        <v>0.00284858188769398</v>
      </c>
      <c r="J642" s="22" t="n">
        <v>0.00230779277366219</v>
      </c>
      <c r="K642" s="22" t="n">
        <v>0.000363254605019799</v>
      </c>
      <c r="L642" s="22" t="n">
        <v>3.80287510819589E-006</v>
      </c>
      <c r="M642" s="22" t="n">
        <v>0.0119050185949507</v>
      </c>
      <c r="N642" s="22" t="n">
        <v>0.004678233252965</v>
      </c>
      <c r="O642" s="22" t="n">
        <v>7.64699598497099E-005</v>
      </c>
      <c r="P642" s="22" t="n">
        <v>0.00769394651995633</v>
      </c>
      <c r="Q642" s="22" t="n">
        <v>0.000932440576003946</v>
      </c>
      <c r="R642" s="22" t="n">
        <v>0.00790054255547497</v>
      </c>
      <c r="S642" s="23" t="n">
        <f aca="false">IF(A642="","",SUM(H642:R642))</f>
        <v>0.0397803493771652</v>
      </c>
      <c r="T642" s="17" t="str">
        <f aca="false">IF(A642="","",IF(AND(MIN(H642:R642)&gt;=0,MAX(H642:R642)&lt;=1,S642&lt;=1),"OK","CHECK"))</f>
        <v>OK</v>
      </c>
      <c r="U642" s="17" t="str">
        <f aca="false">IF(A642="","", "LOSS-"&amp;A642&amp;"-L"&amp;TEXT(B642,"00")&amp;"-"&amp;TEXT(C642,"yyyymmdd")&amp;"-"&amp;D642&amp;"-"&amp;E642)</f>
        <v>LOSS-KG01-L24-20251105-PM-ORD-2025-00255</v>
      </c>
      <c r="V642" s="17" t="str">
        <f aca="false">IF(U642="","",IF(COUNTIF($U$5:$U$935,U642)=1,"OK","CHECK"))</f>
        <v>OK</v>
      </c>
      <c r="W642" s="17" t="str">
        <f aca="false">IF(A642="","",IF(AND(T642="OK",V642="OK",G642&gt;=0),"OK","CHECK"))</f>
        <v>OK</v>
      </c>
    </row>
    <row r="643" customFormat="false" ht="18" hidden="false" customHeight="true" outlineLevel="0" collapsed="false">
      <c r="A643" s="18" t="s">
        <v>39</v>
      </c>
      <c r="B643" s="19" t="n">
        <v>24</v>
      </c>
      <c r="C643" s="20" t="n">
        <v>45967</v>
      </c>
      <c r="D643" s="18" t="s">
        <v>40</v>
      </c>
      <c r="E643" s="18" t="s">
        <v>151</v>
      </c>
      <c r="F643" s="18" t="s">
        <v>42</v>
      </c>
      <c r="G643" s="21" t="n">
        <v>5191</v>
      </c>
      <c r="H643" s="22" t="n">
        <v>0.00513935913241671</v>
      </c>
      <c r="I643" s="22" t="n">
        <v>0.0109406576277833</v>
      </c>
      <c r="J643" s="22" t="n">
        <v>0.00552130010774507</v>
      </c>
      <c r="K643" s="22" t="n">
        <v>0.00245353191572034</v>
      </c>
      <c r="L643" s="22" t="n">
        <v>0.000577084592359927</v>
      </c>
      <c r="M643" s="22" t="n">
        <v>0.00513366297038324</v>
      </c>
      <c r="N643" s="22" t="n">
        <v>0.000629053121684149</v>
      </c>
      <c r="O643" s="22" t="n">
        <v>0.0111622229591721</v>
      </c>
      <c r="P643" s="22" t="n">
        <v>0.00190961263518486</v>
      </c>
      <c r="Q643" s="22" t="n">
        <v>0.000532011628491659</v>
      </c>
      <c r="R643" s="22" t="n">
        <v>0.0013369559649074</v>
      </c>
      <c r="S643" s="23" t="n">
        <f aca="false">IF(A643="","",SUM(H643:R643))</f>
        <v>0.0453354526558488</v>
      </c>
      <c r="T643" s="17" t="str">
        <f aca="false">IF(A643="","",IF(AND(MIN(H643:R643)&gt;=0,MAX(H643:R643)&lt;=1,S643&lt;=1),"OK","CHECK"))</f>
        <v>OK</v>
      </c>
      <c r="U643" s="17" t="str">
        <f aca="false">IF(A643="","", "LOSS-"&amp;A643&amp;"-L"&amp;TEXT(B643,"00")&amp;"-"&amp;TEXT(C643,"yyyymmdd")&amp;"-"&amp;D643&amp;"-"&amp;E643)</f>
        <v>LOSS-KG01-L24-20251106-AM-ORD-2025-00255</v>
      </c>
      <c r="V643" s="17" t="str">
        <f aca="false">IF(U643="","",IF(COUNTIF($U$5:$U$935,U643)=1,"OK","CHECK"))</f>
        <v>OK</v>
      </c>
      <c r="W643" s="17" t="str">
        <f aca="false">IF(A643="","",IF(AND(T643="OK",V643="OK",G643&gt;=0),"OK","CHECK"))</f>
        <v>OK</v>
      </c>
    </row>
    <row r="644" customFormat="false" ht="18" hidden="false" customHeight="true" outlineLevel="0" collapsed="false">
      <c r="A644" s="18" t="s">
        <v>39</v>
      </c>
      <c r="B644" s="19" t="n">
        <v>24</v>
      </c>
      <c r="C644" s="20" t="n">
        <v>45967</v>
      </c>
      <c r="D644" s="18" t="s">
        <v>43</v>
      </c>
      <c r="E644" s="18" t="s">
        <v>151</v>
      </c>
      <c r="F644" s="18" t="s">
        <v>42</v>
      </c>
      <c r="G644" s="21" t="n">
        <v>9630</v>
      </c>
      <c r="H644" s="22" t="n">
        <v>0.00965305598650982</v>
      </c>
      <c r="I644" s="22" t="n">
        <v>0.00366169258175604</v>
      </c>
      <c r="J644" s="22" t="n">
        <v>0.0116854687694131</v>
      </c>
      <c r="K644" s="22" t="n">
        <v>0.00226319026466639</v>
      </c>
      <c r="L644" s="22" t="n">
        <v>0.000407002083598196</v>
      </c>
      <c r="M644" s="22" t="n">
        <v>0.00321089924934792</v>
      </c>
      <c r="N644" s="22" t="n">
        <v>0.0104580118521849</v>
      </c>
      <c r="O644" s="22" t="n">
        <v>0.00085412347010785</v>
      </c>
      <c r="P644" s="22" t="n">
        <v>0.00541187359792971</v>
      </c>
      <c r="Q644" s="22" t="n">
        <v>0.00196761816376722</v>
      </c>
      <c r="R644" s="22" t="n">
        <v>0.00895066485340726</v>
      </c>
      <c r="S644" s="23" t="n">
        <f aca="false">IF(A644="","",SUM(H644:R644))</f>
        <v>0.0585236008726884</v>
      </c>
      <c r="T644" s="17" t="str">
        <f aca="false">IF(A644="","",IF(AND(MIN(H644:R644)&gt;=0,MAX(H644:R644)&lt;=1,S644&lt;=1),"OK","CHECK"))</f>
        <v>OK</v>
      </c>
      <c r="U644" s="17" t="str">
        <f aca="false">IF(A644="","", "LOSS-"&amp;A644&amp;"-L"&amp;TEXT(B644,"00")&amp;"-"&amp;TEXT(C644,"yyyymmdd")&amp;"-"&amp;D644&amp;"-"&amp;E644)</f>
        <v>LOSS-KG01-L24-20251106-PM-ORD-2025-00255</v>
      </c>
      <c r="V644" s="17" t="str">
        <f aca="false">IF(U644="","",IF(COUNTIF($U$5:$U$935,U644)=1,"OK","CHECK"))</f>
        <v>OK</v>
      </c>
      <c r="W644" s="17" t="str">
        <f aca="false">IF(A644="","",IF(AND(T644="OK",V644="OK",G644&gt;=0),"OK","CHECK"))</f>
        <v>OK</v>
      </c>
    </row>
    <row r="645" customFormat="false" ht="18" hidden="false" customHeight="true" outlineLevel="0" collapsed="false">
      <c r="A645" s="18" t="s">
        <v>39</v>
      </c>
      <c r="B645" s="19" t="n">
        <v>24</v>
      </c>
      <c r="C645" s="20" t="n">
        <v>45968</v>
      </c>
      <c r="D645" s="18" t="s">
        <v>40</v>
      </c>
      <c r="E645" s="18" t="s">
        <v>151</v>
      </c>
      <c r="F645" s="18" t="s">
        <v>42</v>
      </c>
      <c r="G645" s="21" t="n">
        <v>5589</v>
      </c>
      <c r="H645" s="22" t="n">
        <v>0.00227103657664608</v>
      </c>
      <c r="I645" s="22" t="n">
        <v>0.00219834002870776</v>
      </c>
      <c r="J645" s="22" t="n">
        <v>0.00535736519870721</v>
      </c>
      <c r="K645" s="22" t="n">
        <v>0.00540606226248868</v>
      </c>
      <c r="L645" s="22" t="n">
        <v>0.000279045178945301</v>
      </c>
      <c r="M645" s="22" t="n">
        <v>0.00390067123920592</v>
      </c>
      <c r="N645" s="22" t="n">
        <v>1.89808585721786E-005</v>
      </c>
      <c r="O645" s="22" t="n">
        <v>0.0102602686996028</v>
      </c>
      <c r="P645" s="22" t="n">
        <v>0.000196175503740007</v>
      </c>
      <c r="Q645" s="22" t="n">
        <v>0.000876102870073384</v>
      </c>
      <c r="R645" s="22" t="n">
        <v>0.00297108042144365</v>
      </c>
      <c r="S645" s="23" t="n">
        <f aca="false">IF(A645="","",SUM(H645:R645))</f>
        <v>0.033735128838133</v>
      </c>
      <c r="T645" s="17" t="str">
        <f aca="false">IF(A645="","",IF(AND(MIN(H645:R645)&gt;=0,MAX(H645:R645)&lt;=1,S645&lt;=1),"OK","CHECK"))</f>
        <v>OK</v>
      </c>
      <c r="U645" s="17" t="str">
        <f aca="false">IF(A645="","", "LOSS-"&amp;A645&amp;"-L"&amp;TEXT(B645,"00")&amp;"-"&amp;TEXT(C645,"yyyymmdd")&amp;"-"&amp;D645&amp;"-"&amp;E645)</f>
        <v>LOSS-KG01-L24-20251107-AM-ORD-2025-00255</v>
      </c>
      <c r="V645" s="17" t="str">
        <f aca="false">IF(U645="","",IF(COUNTIF($U$5:$U$935,U645)=1,"OK","CHECK"))</f>
        <v>OK</v>
      </c>
      <c r="W645" s="17" t="str">
        <f aca="false">IF(A645="","",IF(AND(T645="OK",V645="OK",G645&gt;=0),"OK","CHECK"))</f>
        <v>OK</v>
      </c>
    </row>
    <row r="646" customFormat="false" ht="18" hidden="false" customHeight="true" outlineLevel="0" collapsed="false">
      <c r="A646" s="18" t="s">
        <v>39</v>
      </c>
      <c r="B646" s="19" t="n">
        <v>24</v>
      </c>
      <c r="C646" s="20" t="n">
        <v>45968</v>
      </c>
      <c r="D646" s="18" t="s">
        <v>43</v>
      </c>
      <c r="E646" s="18" t="s">
        <v>151</v>
      </c>
      <c r="F646" s="18" t="s">
        <v>42</v>
      </c>
      <c r="G646" s="21" t="n">
        <v>10395</v>
      </c>
      <c r="H646" s="22" t="n">
        <v>0.00212438825127945</v>
      </c>
      <c r="I646" s="22" t="n">
        <v>0.00503453404979552</v>
      </c>
      <c r="J646" s="22" t="n">
        <v>0.00268004875883005</v>
      </c>
      <c r="K646" s="22" t="n">
        <v>0.00466737922201495</v>
      </c>
      <c r="L646" s="22" t="n">
        <v>0.00699068554387791</v>
      </c>
      <c r="M646" s="22" t="n">
        <v>0.00192684113249936</v>
      </c>
      <c r="N646" s="22" t="n">
        <v>0.00370852731537314</v>
      </c>
      <c r="O646" s="22" t="n">
        <v>0.0023897416290245</v>
      </c>
      <c r="P646" s="22" t="n">
        <v>0.00547254001043432</v>
      </c>
      <c r="Q646" s="22" t="n">
        <v>0.00295107667744553</v>
      </c>
      <c r="R646" s="22" t="n">
        <v>0.0062089893017718</v>
      </c>
      <c r="S646" s="23" t="n">
        <f aca="false">IF(A646="","",SUM(H646:R646))</f>
        <v>0.0441547518923465</v>
      </c>
      <c r="T646" s="17" t="str">
        <f aca="false">IF(A646="","",IF(AND(MIN(H646:R646)&gt;=0,MAX(H646:R646)&lt;=1,S646&lt;=1),"OK","CHECK"))</f>
        <v>OK</v>
      </c>
      <c r="U646" s="17" t="str">
        <f aca="false">IF(A646="","", "LOSS-"&amp;A646&amp;"-L"&amp;TEXT(B646,"00")&amp;"-"&amp;TEXT(C646,"yyyymmdd")&amp;"-"&amp;D646&amp;"-"&amp;E646)</f>
        <v>LOSS-KG01-L24-20251107-PM-ORD-2025-00255</v>
      </c>
      <c r="V646" s="17" t="str">
        <f aca="false">IF(U646="","",IF(COUNTIF($U$5:$U$935,U646)=1,"OK","CHECK"))</f>
        <v>OK</v>
      </c>
      <c r="W646" s="17" t="str">
        <f aca="false">IF(A646="","",IF(AND(T646="OK",V646="OK",G646&gt;=0),"OK","CHECK"))</f>
        <v>OK</v>
      </c>
    </row>
    <row r="647" customFormat="false" ht="18" hidden="false" customHeight="true" outlineLevel="0" collapsed="false">
      <c r="A647" s="18" t="s">
        <v>39</v>
      </c>
      <c r="B647" s="19" t="n">
        <v>24</v>
      </c>
      <c r="C647" s="20" t="n">
        <v>45969</v>
      </c>
      <c r="D647" s="18" t="s">
        <v>40</v>
      </c>
      <c r="E647" s="18" t="s">
        <v>152</v>
      </c>
      <c r="F647" s="18" t="s">
        <v>45</v>
      </c>
      <c r="G647" s="21" t="n">
        <v>12109</v>
      </c>
      <c r="H647" s="22" t="n">
        <v>0.00244847278762908</v>
      </c>
      <c r="I647" s="22" t="n">
        <v>0.000942742149850723</v>
      </c>
      <c r="J647" s="22" t="n">
        <v>0.0130893517461747</v>
      </c>
      <c r="K647" s="22" t="n">
        <v>0.000415383048831213</v>
      </c>
      <c r="L647" s="22" t="n">
        <v>0.0109763987828465</v>
      </c>
      <c r="M647" s="22" t="n">
        <v>0.000237657902097891</v>
      </c>
      <c r="N647" s="22" t="n">
        <v>1.97769776577493E-005</v>
      </c>
      <c r="O647" s="22" t="n">
        <v>8.03810163517751E-005</v>
      </c>
      <c r="P647" s="22" t="n">
        <v>0.0147555821942955</v>
      </c>
      <c r="Q647" s="22" t="n">
        <v>0.0105712870328082</v>
      </c>
      <c r="R647" s="22" t="n">
        <v>0.000199065268895201</v>
      </c>
      <c r="S647" s="23" t="n">
        <f aca="false">IF(A647="","",SUM(H647:R647))</f>
        <v>0.0537360989074385</v>
      </c>
      <c r="T647" s="17" t="str">
        <f aca="false">IF(A647="","",IF(AND(MIN(H647:R647)&gt;=0,MAX(H647:R647)&lt;=1,S647&lt;=1),"OK","CHECK"))</f>
        <v>OK</v>
      </c>
      <c r="U647" s="17" t="str">
        <f aca="false">IF(A647="","", "LOSS-"&amp;A647&amp;"-L"&amp;TEXT(B647,"00")&amp;"-"&amp;TEXT(C647,"yyyymmdd")&amp;"-"&amp;D647&amp;"-"&amp;E647)</f>
        <v>LOSS-KG01-L24-20251108-AM-ORD-2025-00256</v>
      </c>
      <c r="V647" s="17" t="str">
        <f aca="false">IF(U647="","",IF(COUNTIF($U$5:$U$935,U647)=1,"OK","CHECK"))</f>
        <v>OK</v>
      </c>
      <c r="W647" s="17" t="str">
        <f aca="false">IF(A647="","",IF(AND(T647="OK",V647="OK",G647&gt;=0),"OK","CHECK"))</f>
        <v>OK</v>
      </c>
    </row>
    <row r="648" customFormat="false" ht="18" hidden="false" customHeight="true" outlineLevel="0" collapsed="false">
      <c r="A648" s="18" t="s">
        <v>39</v>
      </c>
      <c r="B648" s="19" t="n">
        <v>24</v>
      </c>
      <c r="C648" s="20" t="n">
        <v>45969</v>
      </c>
      <c r="D648" s="18" t="s">
        <v>43</v>
      </c>
      <c r="E648" s="18" t="s">
        <v>152</v>
      </c>
      <c r="F648" s="18" t="s">
        <v>42</v>
      </c>
      <c r="G648" s="21" t="n">
        <v>11809</v>
      </c>
      <c r="H648" s="22" t="n">
        <v>0.0115549806865563</v>
      </c>
      <c r="I648" s="22" t="n">
        <v>0.00206871491617763</v>
      </c>
      <c r="J648" s="22" t="n">
        <v>0.00126800039614653</v>
      </c>
      <c r="K648" s="22" t="n">
        <v>8.05733315331877E-006</v>
      </c>
      <c r="L648" s="22" t="n">
        <v>0.00335526401402579</v>
      </c>
      <c r="M648" s="22" t="n">
        <v>0.00795713462174824</v>
      </c>
      <c r="N648" s="22" t="n">
        <v>0.000656828552992368</v>
      </c>
      <c r="O648" s="22" t="n">
        <v>0.00849097975872183</v>
      </c>
      <c r="P648" s="22" t="n">
        <v>0.00795790094088707</v>
      </c>
      <c r="Q648" s="22" t="n">
        <v>0.00286143372660528</v>
      </c>
      <c r="R648" s="22" t="n">
        <v>0.00492731528555985</v>
      </c>
      <c r="S648" s="23" t="n">
        <f aca="false">IF(A648="","",SUM(H648:R648))</f>
        <v>0.0511066102325742</v>
      </c>
      <c r="T648" s="17" t="str">
        <f aca="false">IF(A648="","",IF(AND(MIN(H648:R648)&gt;=0,MAX(H648:R648)&lt;=1,S648&lt;=1),"OK","CHECK"))</f>
        <v>OK</v>
      </c>
      <c r="U648" s="17" t="str">
        <f aca="false">IF(A648="","", "LOSS-"&amp;A648&amp;"-L"&amp;TEXT(B648,"00")&amp;"-"&amp;TEXT(C648,"yyyymmdd")&amp;"-"&amp;D648&amp;"-"&amp;E648)</f>
        <v>LOSS-KG01-L24-20251108-PM-ORD-2025-00256</v>
      </c>
      <c r="V648" s="17" t="str">
        <f aca="false">IF(U648="","",IF(COUNTIF($U$5:$U$935,U648)=1,"OK","CHECK"))</f>
        <v>OK</v>
      </c>
      <c r="W648" s="17" t="str">
        <f aca="false">IF(A648="","",IF(AND(T648="OK",V648="OK",G648&gt;=0),"OK","CHECK"))</f>
        <v>OK</v>
      </c>
    </row>
    <row r="649" customFormat="false" ht="18" hidden="false" customHeight="true" outlineLevel="0" collapsed="false">
      <c r="A649" s="18" t="s">
        <v>39</v>
      </c>
      <c r="B649" s="19" t="n">
        <v>24</v>
      </c>
      <c r="C649" s="20" t="n">
        <v>45970</v>
      </c>
      <c r="D649" s="18" t="s">
        <v>40</v>
      </c>
      <c r="E649" s="18" t="s">
        <v>152</v>
      </c>
      <c r="F649" s="18" t="s">
        <v>42</v>
      </c>
      <c r="G649" s="21" t="n">
        <v>6975</v>
      </c>
      <c r="H649" s="22" t="n">
        <v>0.00564772613531876</v>
      </c>
      <c r="I649" s="22" t="n">
        <v>0.00019185085131021</v>
      </c>
      <c r="J649" s="22" t="n">
        <v>0.00618084883611002</v>
      </c>
      <c r="K649" s="22" t="n">
        <v>0.00154116968734767</v>
      </c>
      <c r="L649" s="22" t="n">
        <v>0.00019868838765958</v>
      </c>
      <c r="M649" s="22" t="n">
        <v>0.00795499686653093</v>
      </c>
      <c r="N649" s="22" t="n">
        <v>0.00801092708475484</v>
      </c>
      <c r="O649" s="22" t="n">
        <v>0.000627531185970999</v>
      </c>
      <c r="P649" s="22" t="n">
        <v>0.00156363524360365</v>
      </c>
      <c r="Q649" s="22" t="n">
        <v>0.00498556648794097</v>
      </c>
      <c r="R649" s="22" t="n">
        <v>0.00135438983163797</v>
      </c>
      <c r="S649" s="23" t="n">
        <f aca="false">IF(A649="","",SUM(H649:R649))</f>
        <v>0.0382573305981856</v>
      </c>
      <c r="T649" s="17" t="str">
        <f aca="false">IF(A649="","",IF(AND(MIN(H649:R649)&gt;=0,MAX(H649:R649)&lt;=1,S649&lt;=1),"OK","CHECK"))</f>
        <v>OK</v>
      </c>
      <c r="U649" s="17" t="str">
        <f aca="false">IF(A649="","", "LOSS-"&amp;A649&amp;"-L"&amp;TEXT(B649,"00")&amp;"-"&amp;TEXT(C649,"yyyymmdd")&amp;"-"&amp;D649&amp;"-"&amp;E649)</f>
        <v>LOSS-KG01-L24-20251109-AM-ORD-2025-00256</v>
      </c>
      <c r="V649" s="17" t="str">
        <f aca="false">IF(U649="","",IF(COUNTIF($U$5:$U$935,U649)=1,"OK","CHECK"))</f>
        <v>OK</v>
      </c>
      <c r="W649" s="17" t="str">
        <f aca="false">IF(A649="","",IF(AND(T649="OK",V649="OK",G649&gt;=0),"OK","CHECK"))</f>
        <v>OK</v>
      </c>
    </row>
    <row r="650" customFormat="false" ht="18" hidden="false" customHeight="true" outlineLevel="0" collapsed="false">
      <c r="A650" s="18" t="s">
        <v>39</v>
      </c>
      <c r="B650" s="19" t="n">
        <v>24</v>
      </c>
      <c r="C650" s="20" t="n">
        <v>45970</v>
      </c>
      <c r="D650" s="18" t="s">
        <v>43</v>
      </c>
      <c r="E650" s="18" t="s">
        <v>153</v>
      </c>
      <c r="F650" s="18" t="s">
        <v>45</v>
      </c>
      <c r="G650" s="21" t="n">
        <v>602</v>
      </c>
      <c r="H650" s="22" t="n">
        <v>0.000772847544300686</v>
      </c>
      <c r="I650" s="22" t="n">
        <v>0.00031371802375025</v>
      </c>
      <c r="J650" s="22" t="n">
        <v>0.0169858549185936</v>
      </c>
      <c r="K650" s="22" t="n">
        <v>0.00111050138056471</v>
      </c>
      <c r="L650" s="22" t="n">
        <v>0.000390696904045834</v>
      </c>
      <c r="M650" s="22" t="n">
        <v>0.00755581478242861</v>
      </c>
      <c r="N650" s="22" t="n">
        <v>0.000189225306738299</v>
      </c>
      <c r="O650" s="22" t="n">
        <v>0.00258057383425947</v>
      </c>
      <c r="P650" s="22" t="n">
        <v>0.00226674631554617</v>
      </c>
      <c r="Q650" s="22" t="n">
        <v>0.0152543112053581</v>
      </c>
      <c r="R650" s="22" t="n">
        <v>0.0145138661630151</v>
      </c>
      <c r="S650" s="23" t="n">
        <f aca="false">IF(A650="","",SUM(H650:R650))</f>
        <v>0.0619341563786008</v>
      </c>
      <c r="T650" s="17" t="str">
        <f aca="false">IF(A650="","",IF(AND(MIN(H650:R650)&gt;=0,MAX(H650:R650)&lt;=1,S650&lt;=1),"OK","CHECK"))</f>
        <v>OK</v>
      </c>
      <c r="U650" s="17" t="str">
        <f aca="false">IF(A650="","", "LOSS-"&amp;A650&amp;"-L"&amp;TEXT(B650,"00")&amp;"-"&amp;TEXT(C650,"yyyymmdd")&amp;"-"&amp;D650&amp;"-"&amp;E650)</f>
        <v>LOSS-KG01-L24-20251109-PM-ORD-2025-00257</v>
      </c>
      <c r="V650" s="17" t="str">
        <f aca="false">IF(U650="","",IF(COUNTIF($U$5:$U$935,U650)=1,"OK","CHECK"))</f>
        <v>OK</v>
      </c>
      <c r="W650" s="17" t="str">
        <f aca="false">IF(A650="","",IF(AND(T650="OK",V650="OK",G650&gt;=0),"OK","CHECK"))</f>
        <v>OK</v>
      </c>
    </row>
    <row r="651" customFormat="false" ht="18" hidden="false" customHeight="true" outlineLevel="0" collapsed="false">
      <c r="A651" s="18" t="s">
        <v>39</v>
      </c>
      <c r="B651" s="19" t="n">
        <v>24</v>
      </c>
      <c r="C651" s="20" t="n">
        <v>45971</v>
      </c>
      <c r="D651" s="18" t="s">
        <v>40</v>
      </c>
      <c r="E651" s="18" t="s">
        <v>153</v>
      </c>
      <c r="F651" s="18" t="s">
        <v>42</v>
      </c>
      <c r="G651" s="21" t="n">
        <v>13668</v>
      </c>
      <c r="H651" s="22" t="n">
        <v>0.00930653029442186</v>
      </c>
      <c r="I651" s="22" t="n">
        <v>7.46802085994937E-005</v>
      </c>
      <c r="J651" s="22" t="n">
        <v>0.00105728577050591</v>
      </c>
      <c r="K651" s="22" t="n">
        <v>0.00824951434519863</v>
      </c>
      <c r="L651" s="22" t="n">
        <v>0.0037230725500682</v>
      </c>
      <c r="M651" s="22" t="n">
        <v>2.00944399133232E-005</v>
      </c>
      <c r="N651" s="22" t="n">
        <v>0.0117841117252196</v>
      </c>
      <c r="O651" s="22" t="n">
        <v>0.00878189441451744</v>
      </c>
      <c r="P651" s="22" t="n">
        <v>5.61737628089126E-005</v>
      </c>
      <c r="Q651" s="22" t="n">
        <v>0.00134426426523533</v>
      </c>
      <c r="R651" s="22" t="n">
        <v>0.00117848178010129</v>
      </c>
      <c r="S651" s="23" t="n">
        <f aca="false">IF(A651="","",SUM(H651:R651))</f>
        <v>0.04557610355659</v>
      </c>
      <c r="T651" s="17" t="str">
        <f aca="false">IF(A651="","",IF(AND(MIN(H651:R651)&gt;=0,MAX(H651:R651)&lt;=1,S651&lt;=1),"OK","CHECK"))</f>
        <v>OK</v>
      </c>
      <c r="U651" s="17" t="str">
        <f aca="false">IF(A651="","", "LOSS-"&amp;A651&amp;"-L"&amp;TEXT(B651,"00")&amp;"-"&amp;TEXT(C651,"yyyymmdd")&amp;"-"&amp;D651&amp;"-"&amp;E651)</f>
        <v>LOSS-KG01-L24-20251110-AM-ORD-2025-00257</v>
      </c>
      <c r="V651" s="17" t="str">
        <f aca="false">IF(U651="","",IF(COUNTIF($U$5:$U$935,U651)=1,"OK","CHECK"))</f>
        <v>OK</v>
      </c>
      <c r="W651" s="17" t="str">
        <f aca="false">IF(A651="","",IF(AND(T651="OK",V651="OK",G651&gt;=0),"OK","CHECK"))</f>
        <v>OK</v>
      </c>
    </row>
    <row r="652" customFormat="false" ht="18" hidden="false" customHeight="true" outlineLevel="0" collapsed="false">
      <c r="A652" s="18" t="s">
        <v>39</v>
      </c>
      <c r="B652" s="19" t="n">
        <v>24</v>
      </c>
      <c r="C652" s="20" t="n">
        <v>45971</v>
      </c>
      <c r="D652" s="18" t="s">
        <v>43</v>
      </c>
      <c r="E652" s="18" t="s">
        <v>153</v>
      </c>
      <c r="F652" s="18" t="s">
        <v>61</v>
      </c>
      <c r="G652" s="21" t="n">
        <v>4554</v>
      </c>
      <c r="H652" s="22" t="n">
        <v>0.00288940047483991</v>
      </c>
      <c r="I652" s="22" t="n">
        <v>1.37558175705377E-006</v>
      </c>
      <c r="J652" s="22" t="n">
        <v>0.000115483018664817</v>
      </c>
      <c r="K652" s="22" t="n">
        <v>0.00623470463496915</v>
      </c>
      <c r="L652" s="22" t="n">
        <v>0.00354907137989536</v>
      </c>
      <c r="M652" s="22" t="n">
        <v>4.0359000869818E-005</v>
      </c>
      <c r="N652" s="22" t="n">
        <v>0.00292129652393587</v>
      </c>
      <c r="O652" s="22" t="n">
        <v>0.00447596199145384</v>
      </c>
      <c r="P652" s="22" t="n">
        <v>0.00155112645757782</v>
      </c>
      <c r="Q652" s="22" t="n">
        <v>0.00226217895318855</v>
      </c>
      <c r="R652" s="22" t="n">
        <v>0.00125566909923229</v>
      </c>
      <c r="S652" s="23" t="n">
        <f aca="false">IF(A652="","",SUM(H652:R652))</f>
        <v>0.0252966271163845</v>
      </c>
      <c r="T652" s="17" t="str">
        <f aca="false">IF(A652="","",IF(AND(MIN(H652:R652)&gt;=0,MAX(H652:R652)&lt;=1,S652&lt;=1),"OK","CHECK"))</f>
        <v>OK</v>
      </c>
      <c r="U652" s="17" t="str">
        <f aca="false">IF(A652="","", "LOSS-"&amp;A652&amp;"-L"&amp;TEXT(B652,"00")&amp;"-"&amp;TEXT(C652,"yyyymmdd")&amp;"-"&amp;D652&amp;"-"&amp;E652)</f>
        <v>LOSS-KG01-L24-20251110-PM-ORD-2025-00257</v>
      </c>
      <c r="V652" s="17" t="str">
        <f aca="false">IF(U652="","",IF(COUNTIF($U$5:$U$935,U652)=1,"OK","CHECK"))</f>
        <v>OK</v>
      </c>
      <c r="W652" s="17" t="str">
        <f aca="false">IF(A652="","",IF(AND(T652="OK",V652="OK",G652&gt;=0),"OK","CHECK"))</f>
        <v>OK</v>
      </c>
    </row>
    <row r="653" customFormat="false" ht="18" hidden="false" customHeight="true" outlineLevel="0" collapsed="false">
      <c r="A653" s="18" t="s">
        <v>39</v>
      </c>
      <c r="B653" s="19" t="n">
        <v>24</v>
      </c>
      <c r="C653" s="20" t="n">
        <v>45972</v>
      </c>
      <c r="D653" s="18" t="s">
        <v>40</v>
      </c>
      <c r="E653" s="18" t="s">
        <v>153</v>
      </c>
      <c r="F653" s="18" t="s">
        <v>42</v>
      </c>
      <c r="G653" s="21" t="n">
        <v>4431</v>
      </c>
      <c r="H653" s="22" t="n">
        <v>0.00262506326571948</v>
      </c>
      <c r="I653" s="22" t="n">
        <v>0.000841001355128994</v>
      </c>
      <c r="J653" s="22" t="n">
        <v>0.000745090147526274</v>
      </c>
      <c r="K653" s="22" t="n">
        <v>0.000946112169371222</v>
      </c>
      <c r="L653" s="22" t="n">
        <v>0.00448571302550062</v>
      </c>
      <c r="M653" s="22" t="n">
        <v>0.00239638811615788</v>
      </c>
      <c r="N653" s="22" t="n">
        <v>0.00545467919497615</v>
      </c>
      <c r="O653" s="22" t="n">
        <v>0.00402000126520903</v>
      </c>
      <c r="P653" s="22" t="n">
        <v>0.00131255596755527</v>
      </c>
      <c r="Q653" s="22" t="n">
        <v>0.00184587354464029</v>
      </c>
      <c r="R653" s="22" t="n">
        <v>0.00310233969752059</v>
      </c>
      <c r="S653" s="23" t="n">
        <f aca="false">IF(A653="","",SUM(H653:R653))</f>
        <v>0.0277748177493058</v>
      </c>
      <c r="T653" s="17" t="str">
        <f aca="false">IF(A653="","",IF(AND(MIN(H653:R653)&gt;=0,MAX(H653:R653)&lt;=1,S653&lt;=1),"OK","CHECK"))</f>
        <v>OK</v>
      </c>
      <c r="U653" s="17" t="str">
        <f aca="false">IF(A653="","", "LOSS-"&amp;A653&amp;"-L"&amp;TEXT(B653,"00")&amp;"-"&amp;TEXT(C653,"yyyymmdd")&amp;"-"&amp;D653&amp;"-"&amp;E653)</f>
        <v>LOSS-KG01-L24-20251111-AM-ORD-2025-00257</v>
      </c>
      <c r="V653" s="17" t="str">
        <f aca="false">IF(U653="","",IF(COUNTIF($U$5:$U$935,U653)=1,"OK","CHECK"))</f>
        <v>OK</v>
      </c>
      <c r="W653" s="17" t="str">
        <f aca="false">IF(A653="","",IF(AND(T653="OK",V653="OK",G653&gt;=0),"OK","CHECK"))</f>
        <v>OK</v>
      </c>
    </row>
    <row r="654" customFormat="false" ht="18" hidden="false" customHeight="true" outlineLevel="0" collapsed="false">
      <c r="A654" s="18" t="s">
        <v>39</v>
      </c>
      <c r="B654" s="19" t="n">
        <v>24</v>
      </c>
      <c r="C654" s="20" t="n">
        <v>45972</v>
      </c>
      <c r="D654" s="18" t="s">
        <v>43</v>
      </c>
      <c r="E654" s="18" t="s">
        <v>154</v>
      </c>
      <c r="F654" s="18" t="s">
        <v>45</v>
      </c>
      <c r="G654" s="21" t="n">
        <v>3603</v>
      </c>
      <c r="H654" s="22" t="n">
        <v>0.00506873307592911</v>
      </c>
      <c r="I654" s="22" t="n">
        <v>0.00946772210041022</v>
      </c>
      <c r="J654" s="22" t="n">
        <v>0.00432081703374737</v>
      </c>
      <c r="K654" s="22" t="n">
        <v>0.0168335770952092</v>
      </c>
      <c r="L654" s="22" t="n">
        <v>0.000396833984481195</v>
      </c>
      <c r="M654" s="22" t="n">
        <v>0.0114804842827701</v>
      </c>
      <c r="N654" s="22" t="n">
        <v>0.00183985071112472</v>
      </c>
      <c r="O654" s="22" t="n">
        <v>0.0086115394901118</v>
      </c>
      <c r="P654" s="22" t="n">
        <v>0.00903074640504918</v>
      </c>
      <c r="Q654" s="22" t="n">
        <v>0.0068105462796455</v>
      </c>
      <c r="R654" s="22" t="n">
        <v>0.000349773421565304</v>
      </c>
      <c r="S654" s="23" t="n">
        <f aca="false">IF(A654="","",SUM(H654:R654))</f>
        <v>0.0742106238800437</v>
      </c>
      <c r="T654" s="17" t="str">
        <f aca="false">IF(A654="","",IF(AND(MIN(H654:R654)&gt;=0,MAX(H654:R654)&lt;=1,S654&lt;=1),"OK","CHECK"))</f>
        <v>OK</v>
      </c>
      <c r="U654" s="17" t="str">
        <f aca="false">IF(A654="","", "LOSS-"&amp;A654&amp;"-L"&amp;TEXT(B654,"00")&amp;"-"&amp;TEXT(C654,"yyyymmdd")&amp;"-"&amp;D654&amp;"-"&amp;E654)</f>
        <v>LOSS-KG01-L24-20251111-PM-ORD-2025-00258</v>
      </c>
      <c r="V654" s="17" t="str">
        <f aca="false">IF(U654="","",IF(COUNTIF($U$5:$U$935,U654)=1,"OK","CHECK"))</f>
        <v>OK</v>
      </c>
      <c r="W654" s="17" t="str">
        <f aca="false">IF(A654="","",IF(AND(T654="OK",V654="OK",G654&gt;=0),"OK","CHECK"))</f>
        <v>OK</v>
      </c>
    </row>
    <row r="655" customFormat="false" ht="18" hidden="false" customHeight="true" outlineLevel="0" collapsed="false">
      <c r="A655" s="18" t="s">
        <v>39</v>
      </c>
      <c r="B655" s="19" t="n">
        <v>24</v>
      </c>
      <c r="C655" s="20" t="n">
        <v>45973</v>
      </c>
      <c r="D655" s="18" t="s">
        <v>40</v>
      </c>
      <c r="E655" s="18" t="s">
        <v>154</v>
      </c>
      <c r="F655" s="18" t="s">
        <v>42</v>
      </c>
      <c r="G655" s="21" t="n">
        <v>19272</v>
      </c>
      <c r="H655" s="22" t="n">
        <v>0.0209910992765006</v>
      </c>
      <c r="I655" s="22" t="n">
        <v>0.00139313555614312</v>
      </c>
      <c r="J655" s="22" t="n">
        <v>0.0137529131860451</v>
      </c>
      <c r="K655" s="22" t="n">
        <v>0.00274829447177694</v>
      </c>
      <c r="L655" s="22" t="n">
        <v>0.001753008364197</v>
      </c>
      <c r="M655" s="22" t="n">
        <v>7.00118433091605E-005</v>
      </c>
      <c r="N655" s="22" t="n">
        <v>5.30431090664034E-006</v>
      </c>
      <c r="O655" s="22" t="n">
        <v>0.000638742526695366</v>
      </c>
      <c r="P655" s="22" t="n">
        <v>0.00632607796221649</v>
      </c>
      <c r="Q655" s="22" t="n">
        <v>0.00135550215605137</v>
      </c>
      <c r="R655" s="22" t="n">
        <v>0.0230997577092604</v>
      </c>
      <c r="S655" s="23" t="n">
        <f aca="false">IF(A655="","",SUM(H655:R655))</f>
        <v>0.0721338473631022</v>
      </c>
      <c r="T655" s="17" t="str">
        <f aca="false">IF(A655="","",IF(AND(MIN(H655:R655)&gt;=0,MAX(H655:R655)&lt;=1,S655&lt;=1),"OK","CHECK"))</f>
        <v>OK</v>
      </c>
      <c r="U655" s="17" t="str">
        <f aca="false">IF(A655="","", "LOSS-"&amp;A655&amp;"-L"&amp;TEXT(B655,"00")&amp;"-"&amp;TEXT(C655,"yyyymmdd")&amp;"-"&amp;D655&amp;"-"&amp;E655)</f>
        <v>LOSS-KG01-L24-20251112-AM-ORD-2025-00258</v>
      </c>
      <c r="V655" s="17" t="str">
        <f aca="false">IF(U655="","",IF(COUNTIF($U$5:$U$935,U655)=1,"OK","CHECK"))</f>
        <v>OK</v>
      </c>
      <c r="W655" s="17" t="str">
        <f aca="false">IF(A655="","",IF(AND(T655="OK",V655="OK",G655&gt;=0),"OK","CHECK"))</f>
        <v>OK</v>
      </c>
    </row>
    <row r="656" customFormat="false" ht="18" hidden="false" customHeight="true" outlineLevel="0" collapsed="false">
      <c r="A656" s="18" t="s">
        <v>39</v>
      </c>
      <c r="B656" s="19" t="n">
        <v>24</v>
      </c>
      <c r="C656" s="20" t="n">
        <v>45973</v>
      </c>
      <c r="D656" s="18" t="s">
        <v>43</v>
      </c>
      <c r="E656" s="18" t="s">
        <v>154</v>
      </c>
      <c r="F656" s="18" t="s">
        <v>42</v>
      </c>
      <c r="G656" s="21" t="n">
        <v>8338</v>
      </c>
      <c r="H656" s="22" t="n">
        <v>0.00701374088886931</v>
      </c>
      <c r="I656" s="22" t="n">
        <v>0.00163885352394733</v>
      </c>
      <c r="J656" s="22" t="n">
        <v>0.00290299823442706</v>
      </c>
      <c r="K656" s="22" t="n">
        <v>0.00882081615196222</v>
      </c>
      <c r="L656" s="22" t="n">
        <v>0.000398884450521502</v>
      </c>
      <c r="M656" s="22" t="n">
        <v>0.00883151033909622</v>
      </c>
      <c r="N656" s="22" t="n">
        <v>0.000240061794557479</v>
      </c>
      <c r="O656" s="22" t="n">
        <v>1.26189436223786E-005</v>
      </c>
      <c r="P656" s="22" t="n">
        <v>0.0047557333760164</v>
      </c>
      <c r="Q656" s="22" t="n">
        <v>0.00556964256234233</v>
      </c>
      <c r="R656" s="22" t="n">
        <v>0.000431645487587313</v>
      </c>
      <c r="S656" s="23" t="n">
        <f aca="false">IF(A656="","",SUM(H656:R656))</f>
        <v>0.0406165057529495</v>
      </c>
      <c r="T656" s="17" t="str">
        <f aca="false">IF(A656="","",IF(AND(MIN(H656:R656)&gt;=0,MAX(H656:R656)&lt;=1,S656&lt;=1),"OK","CHECK"))</f>
        <v>OK</v>
      </c>
      <c r="U656" s="17" t="str">
        <f aca="false">IF(A656="","", "LOSS-"&amp;A656&amp;"-L"&amp;TEXT(B656,"00")&amp;"-"&amp;TEXT(C656,"yyyymmdd")&amp;"-"&amp;D656&amp;"-"&amp;E656)</f>
        <v>LOSS-KG01-L24-20251112-PM-ORD-2025-00258</v>
      </c>
      <c r="V656" s="17" t="str">
        <f aca="false">IF(U656="","",IF(COUNTIF($U$5:$U$935,U656)=1,"OK","CHECK"))</f>
        <v>OK</v>
      </c>
      <c r="W656" s="17" t="str">
        <f aca="false">IF(A656="","",IF(AND(T656="OK",V656="OK",G656&gt;=0),"OK","CHECK"))</f>
        <v>OK</v>
      </c>
    </row>
    <row r="657" customFormat="false" ht="18" hidden="false" customHeight="true" outlineLevel="0" collapsed="false">
      <c r="A657" s="18" t="s">
        <v>39</v>
      </c>
      <c r="B657" s="19" t="n">
        <v>24</v>
      </c>
      <c r="C657" s="20" t="n">
        <v>45974</v>
      </c>
      <c r="D657" s="18" t="s">
        <v>40</v>
      </c>
      <c r="E657" s="18" t="s">
        <v>154</v>
      </c>
      <c r="F657" s="18" t="s">
        <v>42</v>
      </c>
      <c r="G657" s="21" t="n">
        <v>7944</v>
      </c>
      <c r="H657" s="22" t="n">
        <v>0.0100566786827834</v>
      </c>
      <c r="I657" s="22" t="n">
        <v>0.000329326348128678</v>
      </c>
      <c r="J657" s="22" t="n">
        <v>0.00543268014664279</v>
      </c>
      <c r="K657" s="22" t="n">
        <v>0.000156710787563037</v>
      </c>
      <c r="L657" s="22" t="n">
        <v>0.00538119621260369</v>
      </c>
      <c r="M657" s="22" t="n">
        <v>0.00791161831659594</v>
      </c>
      <c r="N657" s="22" t="n">
        <v>0.00141061175479344</v>
      </c>
      <c r="O657" s="22" t="n">
        <v>0.00636289474566904</v>
      </c>
      <c r="P657" s="22" t="n">
        <v>0.001662810513257</v>
      </c>
      <c r="Q657" s="22" t="n">
        <v>0.00264054978818796</v>
      </c>
      <c r="R657" s="22" t="n">
        <v>0.0109869385140518</v>
      </c>
      <c r="S657" s="23" t="n">
        <f aca="false">IF(A657="","",SUM(H657:R657))</f>
        <v>0.0523320158102768</v>
      </c>
      <c r="T657" s="17" t="str">
        <f aca="false">IF(A657="","",IF(AND(MIN(H657:R657)&gt;=0,MAX(H657:R657)&lt;=1,S657&lt;=1),"OK","CHECK"))</f>
        <v>OK</v>
      </c>
      <c r="U657" s="17" t="str">
        <f aca="false">IF(A657="","", "LOSS-"&amp;A657&amp;"-L"&amp;TEXT(B657,"00")&amp;"-"&amp;TEXT(C657,"yyyymmdd")&amp;"-"&amp;D657&amp;"-"&amp;E657)</f>
        <v>LOSS-KG01-L24-20251113-AM-ORD-2025-00258</v>
      </c>
      <c r="V657" s="17" t="str">
        <f aca="false">IF(U657="","",IF(COUNTIF($U$5:$U$935,U657)=1,"OK","CHECK"))</f>
        <v>OK</v>
      </c>
      <c r="W657" s="17" t="str">
        <f aca="false">IF(A657="","",IF(AND(T657="OK",V657="OK",G657&gt;=0),"OK","CHECK"))</f>
        <v>OK</v>
      </c>
    </row>
    <row r="658" customFormat="false" ht="18" hidden="false" customHeight="true" outlineLevel="0" collapsed="false">
      <c r="A658" s="18" t="s">
        <v>39</v>
      </c>
      <c r="B658" s="19" t="n">
        <v>24</v>
      </c>
      <c r="C658" s="20" t="n">
        <v>45974</v>
      </c>
      <c r="D658" s="18" t="s">
        <v>43</v>
      </c>
      <c r="E658" s="18" t="s">
        <v>154</v>
      </c>
      <c r="F658" s="18" t="s">
        <v>42</v>
      </c>
      <c r="G658" s="21" t="n">
        <v>13123</v>
      </c>
      <c r="H658" s="22" t="n">
        <v>0.00382819755325164</v>
      </c>
      <c r="I658" s="22" t="n">
        <v>0.00345159717085284</v>
      </c>
      <c r="J658" s="22" t="n">
        <v>0.0093398742118124</v>
      </c>
      <c r="K658" s="22" t="n">
        <v>0.00633162872326106</v>
      </c>
      <c r="L658" s="22" t="n">
        <v>0.0045851942664613</v>
      </c>
      <c r="M658" s="22" t="n">
        <v>0.0012258339345758</v>
      </c>
      <c r="N658" s="22" t="n">
        <v>0.000278347379429111</v>
      </c>
      <c r="O658" s="22" t="n">
        <v>0.00534677183920069</v>
      </c>
      <c r="P658" s="22" t="n">
        <v>0.00590319860813947</v>
      </c>
      <c r="Q658" s="22" t="n">
        <v>0.00310931435118812</v>
      </c>
      <c r="R658" s="22" t="n">
        <v>0.000894696090212198</v>
      </c>
      <c r="S658" s="23" t="n">
        <f aca="false">IF(A658="","",SUM(H658:R658))</f>
        <v>0.0442946541283846</v>
      </c>
      <c r="T658" s="17" t="str">
        <f aca="false">IF(A658="","",IF(AND(MIN(H658:R658)&gt;=0,MAX(H658:R658)&lt;=1,S658&lt;=1),"OK","CHECK"))</f>
        <v>OK</v>
      </c>
      <c r="U658" s="17" t="str">
        <f aca="false">IF(A658="","", "LOSS-"&amp;A658&amp;"-L"&amp;TEXT(B658,"00")&amp;"-"&amp;TEXT(C658,"yyyymmdd")&amp;"-"&amp;D658&amp;"-"&amp;E658)</f>
        <v>LOSS-KG01-L24-20251113-PM-ORD-2025-00258</v>
      </c>
      <c r="V658" s="17" t="str">
        <f aca="false">IF(U658="","",IF(COUNTIF($U$5:$U$935,U658)=1,"OK","CHECK"))</f>
        <v>OK</v>
      </c>
      <c r="W658" s="17" t="str">
        <f aca="false">IF(A658="","",IF(AND(T658="OK",V658="OK",G658&gt;=0),"OK","CHECK"))</f>
        <v>OK</v>
      </c>
    </row>
    <row r="659" customFormat="false" ht="18" hidden="false" customHeight="true" outlineLevel="0" collapsed="false">
      <c r="A659" s="18" t="s">
        <v>39</v>
      </c>
      <c r="B659" s="19" t="n">
        <v>24</v>
      </c>
      <c r="C659" s="20" t="n">
        <v>45975</v>
      </c>
      <c r="D659" s="18" t="s">
        <v>40</v>
      </c>
      <c r="E659" s="18" t="s">
        <v>154</v>
      </c>
      <c r="F659" s="18" t="s">
        <v>42</v>
      </c>
      <c r="G659" s="21" t="n">
        <v>9223</v>
      </c>
      <c r="H659" s="22" t="n">
        <v>0.00453857664906259</v>
      </c>
      <c r="I659" s="22" t="n">
        <v>0.0103455500142086</v>
      </c>
      <c r="J659" s="22" t="n">
        <v>0.000658486148180412</v>
      </c>
      <c r="K659" s="22" t="n">
        <v>6.35706890726669E-006</v>
      </c>
      <c r="L659" s="22" t="n">
        <v>0.00300726519302151</v>
      </c>
      <c r="M659" s="22" t="n">
        <v>0.00138586234722965</v>
      </c>
      <c r="N659" s="22" t="n">
        <v>0.00333211271392495</v>
      </c>
      <c r="O659" s="22" t="n">
        <v>0.00320293462905015</v>
      </c>
      <c r="P659" s="22" t="n">
        <v>0.00675110431415911</v>
      </c>
      <c r="Q659" s="22" t="n">
        <v>0.00210790771780135</v>
      </c>
      <c r="R659" s="22" t="n">
        <v>0.0116662486186749</v>
      </c>
      <c r="S659" s="23" t="n">
        <f aca="false">IF(A659="","",SUM(H659:R659))</f>
        <v>0.0470024054142205</v>
      </c>
      <c r="T659" s="17" t="str">
        <f aca="false">IF(A659="","",IF(AND(MIN(H659:R659)&gt;=0,MAX(H659:R659)&lt;=1,S659&lt;=1),"OK","CHECK"))</f>
        <v>OK</v>
      </c>
      <c r="U659" s="17" t="str">
        <f aca="false">IF(A659="","", "LOSS-"&amp;A659&amp;"-L"&amp;TEXT(B659,"00")&amp;"-"&amp;TEXT(C659,"yyyymmdd")&amp;"-"&amp;D659&amp;"-"&amp;E659)</f>
        <v>LOSS-KG01-L24-20251114-AM-ORD-2025-00258</v>
      </c>
      <c r="V659" s="17" t="str">
        <f aca="false">IF(U659="","",IF(COUNTIF($U$5:$U$935,U659)=1,"OK","CHECK"))</f>
        <v>OK</v>
      </c>
      <c r="W659" s="17" t="str">
        <f aca="false">IF(A659="","",IF(AND(T659="OK",V659="OK",G659&gt;=0),"OK","CHECK"))</f>
        <v>OK</v>
      </c>
    </row>
    <row r="660" customFormat="false" ht="18" hidden="false" customHeight="true" outlineLevel="0" collapsed="false">
      <c r="A660" s="18" t="s">
        <v>39</v>
      </c>
      <c r="B660" s="19" t="n">
        <v>24</v>
      </c>
      <c r="C660" s="20" t="n">
        <v>45975</v>
      </c>
      <c r="D660" s="18" t="s">
        <v>43</v>
      </c>
      <c r="E660" s="18" t="s">
        <v>154</v>
      </c>
      <c r="F660" s="18" t="s">
        <v>42</v>
      </c>
      <c r="G660" s="21" t="n">
        <v>4141</v>
      </c>
      <c r="H660" s="22" t="n">
        <v>0.000513036419025064</v>
      </c>
      <c r="I660" s="22" t="n">
        <v>0.00423704376878302</v>
      </c>
      <c r="J660" s="22" t="n">
        <v>6.45041671462467E-005</v>
      </c>
      <c r="K660" s="22" t="n">
        <v>0.000124529873379085</v>
      </c>
      <c r="L660" s="22" t="n">
        <v>0.000284417403605641</v>
      </c>
      <c r="M660" s="22" t="n">
        <v>0.00349113411441318</v>
      </c>
      <c r="N660" s="22" t="n">
        <v>0.00441180339267987</v>
      </c>
      <c r="O660" s="22" t="n">
        <v>0.000351883556010119</v>
      </c>
      <c r="P660" s="22" t="n">
        <v>0.00465993020378703</v>
      </c>
      <c r="Q660" s="22" t="n">
        <v>0.0048773625699229</v>
      </c>
      <c r="R660" s="22" t="n">
        <v>0.00276602283741529</v>
      </c>
      <c r="S660" s="23" t="n">
        <f aca="false">IF(A660="","",SUM(H660:R660))</f>
        <v>0.0257816683061674</v>
      </c>
      <c r="T660" s="17" t="str">
        <f aca="false">IF(A660="","",IF(AND(MIN(H660:R660)&gt;=0,MAX(H660:R660)&lt;=1,S660&lt;=1),"OK","CHECK"))</f>
        <v>OK</v>
      </c>
      <c r="U660" s="17" t="str">
        <f aca="false">IF(A660="","", "LOSS-"&amp;A660&amp;"-L"&amp;TEXT(B660,"00")&amp;"-"&amp;TEXT(C660,"yyyymmdd")&amp;"-"&amp;D660&amp;"-"&amp;E660)</f>
        <v>LOSS-KG01-L24-20251114-PM-ORD-2025-00258</v>
      </c>
      <c r="V660" s="17" t="str">
        <f aca="false">IF(U660="","",IF(COUNTIF($U$5:$U$935,U660)=1,"OK","CHECK"))</f>
        <v>OK</v>
      </c>
      <c r="W660" s="17" t="str">
        <f aca="false">IF(A660="","",IF(AND(T660="OK",V660="OK",G660&gt;=0),"OK","CHECK"))</f>
        <v>OK</v>
      </c>
    </row>
    <row r="661" customFormat="false" ht="18" hidden="false" customHeight="true" outlineLevel="0" collapsed="false">
      <c r="A661" s="18" t="s">
        <v>39</v>
      </c>
      <c r="B661" s="19" t="n">
        <v>24</v>
      </c>
      <c r="C661" s="20" t="n">
        <v>45976</v>
      </c>
      <c r="D661" s="18" t="s">
        <v>40</v>
      </c>
      <c r="E661" s="18" t="s">
        <v>154</v>
      </c>
      <c r="F661" s="18" t="s">
        <v>42</v>
      </c>
      <c r="G661" s="21" t="n">
        <v>20179</v>
      </c>
      <c r="H661" s="22" t="n">
        <v>0.00554580256324191</v>
      </c>
      <c r="I661" s="22" t="n">
        <v>0.00369049833958418</v>
      </c>
      <c r="J661" s="22" t="n">
        <v>0.00346519375769385</v>
      </c>
      <c r="K661" s="22" t="n">
        <v>0.00695734174233959</v>
      </c>
      <c r="L661" s="22" t="n">
        <v>0.00193874051736901</v>
      </c>
      <c r="M661" s="22" t="n">
        <v>0.00127448421361794</v>
      </c>
      <c r="N661" s="22" t="n">
        <v>0.00841373716412032</v>
      </c>
      <c r="O661" s="22" t="n">
        <v>0.0194983915848724</v>
      </c>
      <c r="P661" s="22" t="n">
        <v>0.00952367748677308</v>
      </c>
      <c r="Q661" s="22" t="n">
        <v>0.0130165871810509</v>
      </c>
      <c r="R661" s="22" t="n">
        <v>0.0185896211159519</v>
      </c>
      <c r="S661" s="23" t="n">
        <f aca="false">IF(A661="","",SUM(H661:R661))</f>
        <v>0.0919140756666151</v>
      </c>
      <c r="T661" s="17" t="str">
        <f aca="false">IF(A661="","",IF(AND(MIN(H661:R661)&gt;=0,MAX(H661:R661)&lt;=1,S661&lt;=1),"OK","CHECK"))</f>
        <v>OK</v>
      </c>
      <c r="U661" s="17" t="str">
        <f aca="false">IF(A661="","", "LOSS-"&amp;A661&amp;"-L"&amp;TEXT(B661,"00")&amp;"-"&amp;TEXT(C661,"yyyymmdd")&amp;"-"&amp;D661&amp;"-"&amp;E661)</f>
        <v>LOSS-KG01-L24-20251115-AM-ORD-2025-00258</v>
      </c>
      <c r="V661" s="17" t="str">
        <f aca="false">IF(U661="","",IF(COUNTIF($U$5:$U$935,U661)=1,"OK","CHECK"))</f>
        <v>OK</v>
      </c>
      <c r="W661" s="17" t="str">
        <f aca="false">IF(A661="","",IF(AND(T661="OK",V661="OK",G661&gt;=0),"OK","CHECK"))</f>
        <v>OK</v>
      </c>
    </row>
    <row r="662" customFormat="false" ht="18" hidden="false" customHeight="true" outlineLevel="0" collapsed="false">
      <c r="A662" s="18" t="s">
        <v>39</v>
      </c>
      <c r="B662" s="19" t="n">
        <v>24</v>
      </c>
      <c r="C662" s="20" t="n">
        <v>45976</v>
      </c>
      <c r="D662" s="18" t="s">
        <v>43</v>
      </c>
      <c r="E662" s="18" t="s">
        <v>155</v>
      </c>
      <c r="F662" s="18" t="s">
        <v>45</v>
      </c>
      <c r="G662" s="21" t="n">
        <v>904</v>
      </c>
      <c r="H662" s="22" t="n">
        <v>5.76138445326065E-005</v>
      </c>
      <c r="I662" s="22" t="n">
        <v>0.00293188494920558</v>
      </c>
      <c r="J662" s="22" t="n">
        <v>0.00332323140693775</v>
      </c>
      <c r="K662" s="22" t="n">
        <v>0.00305298143082589</v>
      </c>
      <c r="L662" s="22" t="n">
        <v>0.0170314688541397</v>
      </c>
      <c r="M662" s="22" t="n">
        <v>0.00198240236723808</v>
      </c>
      <c r="N662" s="22" t="n">
        <v>0.00244090701810146</v>
      </c>
      <c r="O662" s="22" t="n">
        <v>0.00168802274098827</v>
      </c>
      <c r="P662" s="22" t="n">
        <v>0.00421169857218346</v>
      </c>
      <c r="Q662" s="22" t="n">
        <v>0.0177150207591992</v>
      </c>
      <c r="R662" s="22" t="n">
        <v>0.0153178544764011</v>
      </c>
      <c r="S662" s="23" t="n">
        <f aca="false">IF(A662="","",SUM(H662:R662))</f>
        <v>0.0697530864197531</v>
      </c>
      <c r="T662" s="17" t="str">
        <f aca="false">IF(A662="","",IF(AND(MIN(H662:R662)&gt;=0,MAX(H662:R662)&lt;=1,S662&lt;=1),"OK","CHECK"))</f>
        <v>OK</v>
      </c>
      <c r="U662" s="17" t="str">
        <f aca="false">IF(A662="","", "LOSS-"&amp;A662&amp;"-L"&amp;TEXT(B662,"00")&amp;"-"&amp;TEXT(C662,"yyyymmdd")&amp;"-"&amp;D662&amp;"-"&amp;E662)</f>
        <v>LOSS-KG01-L24-20251115-PM-ORD-2025-00259</v>
      </c>
      <c r="V662" s="17" t="str">
        <f aca="false">IF(U662="","",IF(COUNTIF($U$5:$U$935,U662)=1,"OK","CHECK"))</f>
        <v>OK</v>
      </c>
      <c r="W662" s="17" t="str">
        <f aca="false">IF(A662="","",IF(AND(T662="OK",V662="OK",G662&gt;=0),"OK","CHECK"))</f>
        <v>OK</v>
      </c>
    </row>
    <row r="663" customFormat="false" ht="18" hidden="false" customHeight="true" outlineLevel="0" collapsed="false">
      <c r="A663" s="18" t="s">
        <v>39</v>
      </c>
      <c r="B663" s="19" t="n">
        <v>24</v>
      </c>
      <c r="C663" s="20" t="n">
        <v>45977</v>
      </c>
      <c r="D663" s="18" t="s">
        <v>40</v>
      </c>
      <c r="E663" s="18" t="s">
        <v>155</v>
      </c>
      <c r="F663" s="18" t="s">
        <v>42</v>
      </c>
      <c r="G663" s="21" t="n">
        <v>17605</v>
      </c>
      <c r="H663" s="22" t="n">
        <v>0.00481204277843022</v>
      </c>
      <c r="I663" s="22" t="n">
        <v>0.00140322375214079</v>
      </c>
      <c r="J663" s="22" t="n">
        <v>0.0056667452337028</v>
      </c>
      <c r="K663" s="22" t="n">
        <v>0.00169328685446654</v>
      </c>
      <c r="L663" s="22" t="n">
        <v>0.00181233588307561</v>
      </c>
      <c r="M663" s="22" t="n">
        <v>0.0198274738709612</v>
      </c>
      <c r="N663" s="22" t="n">
        <v>0.00346058577525374</v>
      </c>
      <c r="O663" s="22" t="n">
        <v>0.0109536759077515</v>
      </c>
      <c r="P663" s="22" t="n">
        <v>0.0107881233086937</v>
      </c>
      <c r="Q663" s="22" t="n">
        <v>0.0222989125266421</v>
      </c>
      <c r="R663" s="22" t="n">
        <v>0.000310381507485822</v>
      </c>
      <c r="S663" s="23" t="n">
        <f aca="false">IF(A663="","",SUM(H663:R663))</f>
        <v>0.083026787398604</v>
      </c>
      <c r="T663" s="17" t="str">
        <f aca="false">IF(A663="","",IF(AND(MIN(H663:R663)&gt;=0,MAX(H663:R663)&lt;=1,S663&lt;=1),"OK","CHECK"))</f>
        <v>OK</v>
      </c>
      <c r="U663" s="17" t="str">
        <f aca="false">IF(A663="","", "LOSS-"&amp;A663&amp;"-L"&amp;TEXT(B663,"00")&amp;"-"&amp;TEXT(C663,"yyyymmdd")&amp;"-"&amp;D663&amp;"-"&amp;E663)</f>
        <v>LOSS-KG01-L24-20251116-AM-ORD-2025-00259</v>
      </c>
      <c r="V663" s="17" t="str">
        <f aca="false">IF(U663="","",IF(COUNTIF($U$5:$U$935,U663)=1,"OK","CHECK"))</f>
        <v>OK</v>
      </c>
      <c r="W663" s="17" t="str">
        <f aca="false">IF(A663="","",IF(AND(T663="OK",V663="OK",G663&gt;=0),"OK","CHECK"))</f>
        <v>OK</v>
      </c>
    </row>
    <row r="664" customFormat="false" ht="18" hidden="false" customHeight="true" outlineLevel="0" collapsed="false">
      <c r="A664" s="18" t="s">
        <v>39</v>
      </c>
      <c r="B664" s="19" t="n">
        <v>24</v>
      </c>
      <c r="C664" s="20" t="n">
        <v>45977</v>
      </c>
      <c r="D664" s="18" t="s">
        <v>43</v>
      </c>
      <c r="E664" s="18" t="s">
        <v>155</v>
      </c>
      <c r="F664" s="18" t="s">
        <v>42</v>
      </c>
      <c r="G664" s="21" t="n">
        <v>12009</v>
      </c>
      <c r="H664" s="22" t="n">
        <v>0.000127335975016571</v>
      </c>
      <c r="I664" s="22" t="n">
        <v>0.0102208035603896</v>
      </c>
      <c r="J664" s="22" t="n">
        <v>0.000423149152923961</v>
      </c>
      <c r="K664" s="22" t="n">
        <v>0.00345168559506089</v>
      </c>
      <c r="L664" s="22" t="n">
        <v>0.0151085419423366</v>
      </c>
      <c r="M664" s="22" t="n">
        <v>0.0164091058684306</v>
      </c>
      <c r="N664" s="22" t="n">
        <v>0.0118368158394563</v>
      </c>
      <c r="O664" s="22" t="n">
        <v>0.00914084903391385</v>
      </c>
      <c r="P664" s="22" t="n">
        <v>0.000433599005111569</v>
      </c>
      <c r="Q664" s="22" t="n">
        <v>4.95742168909184E-005</v>
      </c>
      <c r="R664" s="22" t="n">
        <v>0.00417319583443309</v>
      </c>
      <c r="S664" s="23" t="n">
        <f aca="false">IF(A664="","",SUM(H664:R664))</f>
        <v>0.071374656023964</v>
      </c>
      <c r="T664" s="17" t="str">
        <f aca="false">IF(A664="","",IF(AND(MIN(H664:R664)&gt;=0,MAX(H664:R664)&lt;=1,S664&lt;=1),"OK","CHECK"))</f>
        <v>OK</v>
      </c>
      <c r="U664" s="17" t="str">
        <f aca="false">IF(A664="","", "LOSS-"&amp;A664&amp;"-L"&amp;TEXT(B664,"00")&amp;"-"&amp;TEXT(C664,"yyyymmdd")&amp;"-"&amp;D664&amp;"-"&amp;E664)</f>
        <v>LOSS-KG01-L24-20251116-PM-ORD-2025-00259</v>
      </c>
      <c r="V664" s="17" t="str">
        <f aca="false">IF(U664="","",IF(COUNTIF($U$5:$U$935,U664)=1,"OK","CHECK"))</f>
        <v>OK</v>
      </c>
      <c r="W664" s="17" t="str">
        <f aca="false">IF(A664="","",IF(AND(T664="OK",V664="OK",G664&gt;=0),"OK","CHECK"))</f>
        <v>OK</v>
      </c>
    </row>
    <row r="665" customFormat="false" ht="18" hidden="false" customHeight="true" outlineLevel="0" collapsed="false">
      <c r="A665" s="18" t="s">
        <v>39</v>
      </c>
      <c r="B665" s="19" t="n">
        <v>24</v>
      </c>
      <c r="C665" s="20" t="n">
        <v>45978</v>
      </c>
      <c r="D665" s="18" t="s">
        <v>40</v>
      </c>
      <c r="E665" s="18" t="s">
        <v>155</v>
      </c>
      <c r="F665" s="18" t="s">
        <v>42</v>
      </c>
      <c r="G665" s="21" t="n">
        <v>18417</v>
      </c>
      <c r="H665" s="22" t="n">
        <v>1.7724987930365E-005</v>
      </c>
      <c r="I665" s="22" t="n">
        <v>0.00140911574931445</v>
      </c>
      <c r="J665" s="22" t="n">
        <v>0.0118073179968656</v>
      </c>
      <c r="K665" s="22" t="n">
        <v>0.00764373223915103</v>
      </c>
      <c r="L665" s="22" t="n">
        <v>0.0139850286463754</v>
      </c>
      <c r="M665" s="22" t="n">
        <v>0.00812972078587522</v>
      </c>
      <c r="N665" s="22" t="n">
        <v>0.00736077139647792</v>
      </c>
      <c r="O665" s="22" t="n">
        <v>0.000127091185991432</v>
      </c>
      <c r="P665" s="22" t="n">
        <v>0.0004529313545292</v>
      </c>
      <c r="Q665" s="22" t="n">
        <v>0.00159209993213412</v>
      </c>
      <c r="R665" s="22" t="n">
        <v>0.000165824880325199</v>
      </c>
      <c r="S665" s="23" t="n">
        <f aca="false">IF(A665="","",SUM(H665:R665))</f>
        <v>0.0526913591549699</v>
      </c>
      <c r="T665" s="17" t="str">
        <f aca="false">IF(A665="","",IF(AND(MIN(H665:R665)&gt;=0,MAX(H665:R665)&lt;=1,S665&lt;=1),"OK","CHECK"))</f>
        <v>OK</v>
      </c>
      <c r="U665" s="17" t="str">
        <f aca="false">IF(A665="","", "LOSS-"&amp;A665&amp;"-L"&amp;TEXT(B665,"00")&amp;"-"&amp;TEXT(C665,"yyyymmdd")&amp;"-"&amp;D665&amp;"-"&amp;E665)</f>
        <v>LOSS-KG01-L24-20251117-AM-ORD-2025-00259</v>
      </c>
      <c r="V665" s="17" t="str">
        <f aca="false">IF(U665="","",IF(COUNTIF($U$5:$U$935,U665)=1,"OK","CHECK"))</f>
        <v>OK</v>
      </c>
      <c r="W665" s="17" t="str">
        <f aca="false">IF(A665="","",IF(AND(T665="OK",V665="OK",G665&gt;=0),"OK","CHECK"))</f>
        <v>OK</v>
      </c>
    </row>
    <row r="666" customFormat="false" ht="18" hidden="false" customHeight="true" outlineLevel="0" collapsed="false">
      <c r="A666" s="18" t="s">
        <v>39</v>
      </c>
      <c r="B666" s="19" t="n">
        <v>24</v>
      </c>
      <c r="C666" s="20" t="n">
        <v>45978</v>
      </c>
      <c r="D666" s="18" t="s">
        <v>43</v>
      </c>
      <c r="E666" s="18" t="s">
        <v>156</v>
      </c>
      <c r="F666" s="18" t="s">
        <v>45</v>
      </c>
      <c r="G666" s="21" t="n">
        <v>1322</v>
      </c>
      <c r="H666" s="22" t="n">
        <v>0.0149422330942208</v>
      </c>
      <c r="I666" s="22" t="n">
        <v>0.000102071504045065</v>
      </c>
      <c r="J666" s="22" t="n">
        <v>2.35026871925852E-005</v>
      </c>
      <c r="K666" s="22" t="n">
        <v>6.83675556066436E-010</v>
      </c>
      <c r="L666" s="22" t="n">
        <v>0.0128115767403132</v>
      </c>
      <c r="M666" s="22" t="n">
        <v>0.00938367438279577</v>
      </c>
      <c r="N666" s="22" t="n">
        <v>0.0121132573485533</v>
      </c>
      <c r="O666" s="22" t="n">
        <v>0.0102253305363499</v>
      </c>
      <c r="P666" s="22" t="n">
        <v>0.00361952793936312</v>
      </c>
      <c r="Q666" s="22" t="n">
        <v>0.00107576658901555</v>
      </c>
      <c r="R666" s="22" t="n">
        <v>0.00127845531987202</v>
      </c>
      <c r="S666" s="23" t="n">
        <f aca="false">IF(A666="","",SUM(H666:R666))</f>
        <v>0.0655753968253969</v>
      </c>
      <c r="T666" s="17" t="str">
        <f aca="false">IF(A666="","",IF(AND(MIN(H666:R666)&gt;=0,MAX(H666:R666)&lt;=1,S666&lt;=1),"OK","CHECK"))</f>
        <v>OK</v>
      </c>
      <c r="U666" s="17" t="str">
        <f aca="false">IF(A666="","", "LOSS-"&amp;A666&amp;"-L"&amp;TEXT(B666,"00")&amp;"-"&amp;TEXT(C666,"yyyymmdd")&amp;"-"&amp;D666&amp;"-"&amp;E666)</f>
        <v>LOSS-KG01-L24-20251117-PM-ORD-2025-00260</v>
      </c>
      <c r="V666" s="17" t="str">
        <f aca="false">IF(U666="","",IF(COUNTIF($U$5:$U$935,U666)=1,"OK","CHECK"))</f>
        <v>OK</v>
      </c>
      <c r="W666" s="17" t="str">
        <f aca="false">IF(A666="","",IF(AND(T666="OK",V666="OK",G666&gt;=0),"OK","CHECK"))</f>
        <v>OK</v>
      </c>
    </row>
    <row r="667" customFormat="false" ht="18" hidden="false" customHeight="true" outlineLevel="0" collapsed="false">
      <c r="A667" s="18" t="s">
        <v>39</v>
      </c>
      <c r="B667" s="19" t="n">
        <v>24</v>
      </c>
      <c r="C667" s="20" t="n">
        <v>45979</v>
      </c>
      <c r="D667" s="18" t="s">
        <v>40</v>
      </c>
      <c r="E667" s="18" t="s">
        <v>156</v>
      </c>
      <c r="F667" s="18" t="s">
        <v>42</v>
      </c>
      <c r="G667" s="21" t="n">
        <v>6867</v>
      </c>
      <c r="H667" s="22" t="n">
        <v>0.0102695946840473</v>
      </c>
      <c r="I667" s="22" t="n">
        <v>7.53519208271641E-005</v>
      </c>
      <c r="J667" s="22" t="n">
        <v>0.00550562216221289</v>
      </c>
      <c r="K667" s="22" t="n">
        <v>0.000281763665654153</v>
      </c>
      <c r="L667" s="22" t="n">
        <v>0.00313454659100283</v>
      </c>
      <c r="M667" s="22" t="n">
        <v>0.0106546816138983</v>
      </c>
      <c r="N667" s="22" t="n">
        <v>0.000363274417852983</v>
      </c>
      <c r="O667" s="22" t="n">
        <v>0.00883213738128412</v>
      </c>
      <c r="P667" s="22" t="n">
        <v>0.00388767192546386</v>
      </c>
      <c r="Q667" s="22" t="n">
        <v>0.00361367380871594</v>
      </c>
      <c r="R667" s="22" t="n">
        <v>0.000734424247223071</v>
      </c>
      <c r="S667" s="23" t="n">
        <f aca="false">IF(A667="","",SUM(H667:R667))</f>
        <v>0.0473527424181826</v>
      </c>
      <c r="T667" s="17" t="str">
        <f aca="false">IF(A667="","",IF(AND(MIN(H667:R667)&gt;=0,MAX(H667:R667)&lt;=1,S667&lt;=1),"OK","CHECK"))</f>
        <v>OK</v>
      </c>
      <c r="U667" s="17" t="str">
        <f aca="false">IF(A667="","", "LOSS-"&amp;A667&amp;"-L"&amp;TEXT(B667,"00")&amp;"-"&amp;TEXT(C667,"yyyymmdd")&amp;"-"&amp;D667&amp;"-"&amp;E667)</f>
        <v>LOSS-KG01-L24-20251118-AM-ORD-2025-00260</v>
      </c>
      <c r="V667" s="17" t="str">
        <f aca="false">IF(U667="","",IF(COUNTIF($U$5:$U$935,U667)=1,"OK","CHECK"))</f>
        <v>OK</v>
      </c>
      <c r="W667" s="17" t="str">
        <f aca="false">IF(A667="","",IF(AND(T667="OK",V667="OK",G667&gt;=0),"OK","CHECK"))</f>
        <v>OK</v>
      </c>
    </row>
    <row r="668" customFormat="false" ht="18" hidden="false" customHeight="true" outlineLevel="0" collapsed="false">
      <c r="A668" s="18" t="s">
        <v>39</v>
      </c>
      <c r="B668" s="19" t="n">
        <v>24</v>
      </c>
      <c r="C668" s="20" t="n">
        <v>45979</v>
      </c>
      <c r="D668" s="18" t="s">
        <v>43</v>
      </c>
      <c r="E668" s="18" t="s">
        <v>156</v>
      </c>
      <c r="F668" s="18" t="s">
        <v>42</v>
      </c>
      <c r="G668" s="21" t="n">
        <v>18024</v>
      </c>
      <c r="H668" s="22" t="n">
        <v>0.00147500707043096</v>
      </c>
      <c r="I668" s="22" t="n">
        <v>0.00283621306223236</v>
      </c>
      <c r="J668" s="22" t="n">
        <v>0.00210187175156664</v>
      </c>
      <c r="K668" s="22" t="n">
        <v>0.000485767110722348</v>
      </c>
      <c r="L668" s="22" t="n">
        <v>0.00409432969036379</v>
      </c>
      <c r="M668" s="22" t="n">
        <v>0.00375264889240399</v>
      </c>
      <c r="N668" s="22" t="n">
        <v>0.0165992650775757</v>
      </c>
      <c r="O668" s="22" t="n">
        <v>0.0017205153244906</v>
      </c>
      <c r="P668" s="22" t="n">
        <v>0.00782639310076623</v>
      </c>
      <c r="Q668" s="22" t="n">
        <v>0.0121622490801257</v>
      </c>
      <c r="R668" s="22" t="n">
        <v>0.00320165054898143</v>
      </c>
      <c r="S668" s="23" t="n">
        <f aca="false">IF(A668="","",SUM(H668:R668))</f>
        <v>0.0562559107096598</v>
      </c>
      <c r="T668" s="17" t="str">
        <f aca="false">IF(A668="","",IF(AND(MIN(H668:R668)&gt;=0,MAX(H668:R668)&lt;=1,S668&lt;=1),"OK","CHECK"))</f>
        <v>OK</v>
      </c>
      <c r="U668" s="17" t="str">
        <f aca="false">IF(A668="","", "LOSS-"&amp;A668&amp;"-L"&amp;TEXT(B668,"00")&amp;"-"&amp;TEXT(C668,"yyyymmdd")&amp;"-"&amp;D668&amp;"-"&amp;E668)</f>
        <v>LOSS-KG01-L24-20251118-PM-ORD-2025-00260</v>
      </c>
      <c r="V668" s="17" t="str">
        <f aca="false">IF(U668="","",IF(COUNTIF($U$5:$U$935,U668)=1,"OK","CHECK"))</f>
        <v>OK</v>
      </c>
      <c r="W668" s="17" t="str">
        <f aca="false">IF(A668="","",IF(AND(T668="OK",V668="OK",G668&gt;=0),"OK","CHECK"))</f>
        <v>OK</v>
      </c>
    </row>
    <row r="669" customFormat="false" ht="18" hidden="false" customHeight="true" outlineLevel="0" collapsed="false">
      <c r="A669" s="18" t="s">
        <v>39</v>
      </c>
      <c r="B669" s="19" t="n">
        <v>24</v>
      </c>
      <c r="C669" s="20" t="n">
        <v>45980</v>
      </c>
      <c r="D669" s="18" t="s">
        <v>40</v>
      </c>
      <c r="E669" s="18" t="s">
        <v>156</v>
      </c>
      <c r="F669" s="18" t="s">
        <v>42</v>
      </c>
      <c r="G669" s="21" t="n">
        <v>9911</v>
      </c>
      <c r="H669" s="22" t="n">
        <v>0.010897286913809</v>
      </c>
      <c r="I669" s="22" t="n">
        <v>0.00793982621647543</v>
      </c>
      <c r="J669" s="22" t="n">
        <v>0.00903194203079923</v>
      </c>
      <c r="K669" s="22" t="n">
        <v>0.0055868856023217</v>
      </c>
      <c r="L669" s="22" t="n">
        <v>0.000557940172316406</v>
      </c>
      <c r="M669" s="22" t="n">
        <v>0.00267812179265586</v>
      </c>
      <c r="N669" s="22" t="n">
        <v>0.00622427566795195</v>
      </c>
      <c r="O669" s="22" t="n">
        <v>1.70423125968086E-005</v>
      </c>
      <c r="P669" s="22" t="n">
        <v>4.34385960495947E-005</v>
      </c>
      <c r="Q669" s="22" t="n">
        <v>0.00963928956360848</v>
      </c>
      <c r="R669" s="22" t="n">
        <v>0.000274493164747599</v>
      </c>
      <c r="S669" s="23" t="n">
        <f aca="false">IF(A669="","",SUM(H669:R669))</f>
        <v>0.0528905420333321</v>
      </c>
      <c r="T669" s="17" t="str">
        <f aca="false">IF(A669="","",IF(AND(MIN(H669:R669)&gt;=0,MAX(H669:R669)&lt;=1,S669&lt;=1),"OK","CHECK"))</f>
        <v>OK</v>
      </c>
      <c r="U669" s="17" t="str">
        <f aca="false">IF(A669="","", "LOSS-"&amp;A669&amp;"-L"&amp;TEXT(B669,"00")&amp;"-"&amp;TEXT(C669,"yyyymmdd")&amp;"-"&amp;D669&amp;"-"&amp;E669)</f>
        <v>LOSS-KG01-L24-20251119-AM-ORD-2025-00260</v>
      </c>
      <c r="V669" s="17" t="str">
        <f aca="false">IF(U669="","",IF(COUNTIF($U$5:$U$935,U669)=1,"OK","CHECK"))</f>
        <v>OK</v>
      </c>
      <c r="W669" s="17" t="str">
        <f aca="false">IF(A669="","",IF(AND(T669="OK",V669="OK",G669&gt;=0),"OK","CHECK"))</f>
        <v>OK</v>
      </c>
    </row>
    <row r="670" customFormat="false" ht="18" hidden="false" customHeight="true" outlineLevel="0" collapsed="false">
      <c r="A670" s="18" t="s">
        <v>39</v>
      </c>
      <c r="B670" s="19" t="n">
        <v>24</v>
      </c>
      <c r="C670" s="20" t="n">
        <v>45980</v>
      </c>
      <c r="D670" s="18" t="s">
        <v>43</v>
      </c>
      <c r="E670" s="18" t="s">
        <v>156</v>
      </c>
      <c r="F670" s="18" t="s">
        <v>42</v>
      </c>
      <c r="G670" s="21" t="n">
        <v>8030</v>
      </c>
      <c r="H670" s="22" t="n">
        <v>0.0118442687741187</v>
      </c>
      <c r="I670" s="22" t="n">
        <v>0.000189037524086054</v>
      </c>
      <c r="J670" s="22" t="n">
        <v>0.00620941452126014</v>
      </c>
      <c r="K670" s="22" t="n">
        <v>0.000948443749399166</v>
      </c>
      <c r="L670" s="22" t="n">
        <v>0.00131592153464834</v>
      </c>
      <c r="M670" s="22" t="n">
        <v>0.00121679112112835</v>
      </c>
      <c r="N670" s="22" t="n">
        <v>0.000680407914140644</v>
      </c>
      <c r="O670" s="22" t="n">
        <v>0.00275687998652785</v>
      </c>
      <c r="P670" s="22" t="n">
        <v>0.00199694172946077</v>
      </c>
      <c r="Q670" s="22" t="n">
        <v>0.0102777551839088</v>
      </c>
      <c r="R670" s="22" t="n">
        <v>0.00530827993787847</v>
      </c>
      <c r="S670" s="23" t="n">
        <f aca="false">IF(A670="","",SUM(H670:R670))</f>
        <v>0.0427441419765573</v>
      </c>
      <c r="T670" s="17" t="str">
        <f aca="false">IF(A670="","",IF(AND(MIN(H670:R670)&gt;=0,MAX(H670:R670)&lt;=1,S670&lt;=1),"OK","CHECK"))</f>
        <v>OK</v>
      </c>
      <c r="U670" s="17" t="str">
        <f aca="false">IF(A670="","", "LOSS-"&amp;A670&amp;"-L"&amp;TEXT(B670,"00")&amp;"-"&amp;TEXT(C670,"yyyymmdd")&amp;"-"&amp;D670&amp;"-"&amp;E670)</f>
        <v>LOSS-KG01-L24-20251119-PM-ORD-2025-00260</v>
      </c>
      <c r="V670" s="17" t="str">
        <f aca="false">IF(U670="","",IF(COUNTIF($U$5:$U$935,U670)=1,"OK","CHECK"))</f>
        <v>OK</v>
      </c>
      <c r="W670" s="17" t="str">
        <f aca="false">IF(A670="","",IF(AND(T670="OK",V670="OK",G670&gt;=0),"OK","CHECK"))</f>
        <v>OK</v>
      </c>
    </row>
    <row r="671" customFormat="false" ht="18" hidden="false" customHeight="true" outlineLevel="0" collapsed="false">
      <c r="A671" s="18" t="s">
        <v>39</v>
      </c>
      <c r="B671" s="19" t="n">
        <v>24</v>
      </c>
      <c r="C671" s="20" t="n">
        <v>45981</v>
      </c>
      <c r="D671" s="18" t="s">
        <v>40</v>
      </c>
      <c r="E671" s="18" t="s">
        <v>156</v>
      </c>
      <c r="F671" s="18" t="s">
        <v>42</v>
      </c>
      <c r="G671" s="21" t="n">
        <v>8192</v>
      </c>
      <c r="H671" s="22" t="n">
        <v>0.00568375714933737</v>
      </c>
      <c r="I671" s="22" t="n">
        <v>0.0067030083094074</v>
      </c>
      <c r="J671" s="22" t="n">
        <v>0.00115330546355385</v>
      </c>
      <c r="K671" s="22" t="n">
        <v>0.00633562808094448</v>
      </c>
      <c r="L671" s="22" t="n">
        <v>0.0101060079320845</v>
      </c>
      <c r="M671" s="22" t="n">
        <v>0.00542512431837409</v>
      </c>
      <c r="N671" s="22" t="n">
        <v>0.00167133556464429</v>
      </c>
      <c r="O671" s="22" t="n">
        <v>0.00192423410555795</v>
      </c>
      <c r="P671" s="22" t="n">
        <v>0.00150042847807607</v>
      </c>
      <c r="Q671" s="22" t="n">
        <v>3.01436335218146E-005</v>
      </c>
      <c r="R671" s="22" t="n">
        <v>0.00891412725905609</v>
      </c>
      <c r="S671" s="23" t="n">
        <f aca="false">IF(A671="","",SUM(H671:R671))</f>
        <v>0.0494471002945579</v>
      </c>
      <c r="T671" s="17" t="str">
        <f aca="false">IF(A671="","",IF(AND(MIN(H671:R671)&gt;=0,MAX(H671:R671)&lt;=1,S671&lt;=1),"OK","CHECK"))</f>
        <v>OK</v>
      </c>
      <c r="U671" s="17" t="str">
        <f aca="false">IF(A671="","", "LOSS-"&amp;A671&amp;"-L"&amp;TEXT(B671,"00")&amp;"-"&amp;TEXT(C671,"yyyymmdd")&amp;"-"&amp;D671&amp;"-"&amp;E671)</f>
        <v>LOSS-KG01-L24-20251120-AM-ORD-2025-00260</v>
      </c>
      <c r="V671" s="17" t="str">
        <f aca="false">IF(U671="","",IF(COUNTIF($U$5:$U$935,U671)=1,"OK","CHECK"))</f>
        <v>OK</v>
      </c>
      <c r="W671" s="17" t="str">
        <f aca="false">IF(A671="","",IF(AND(T671="OK",V671="OK",G671&gt;=0),"OK","CHECK"))</f>
        <v>OK</v>
      </c>
    </row>
    <row r="672" customFormat="false" ht="18" hidden="false" customHeight="true" outlineLevel="0" collapsed="false">
      <c r="A672" s="18" t="s">
        <v>39</v>
      </c>
      <c r="B672" s="19" t="n">
        <v>24</v>
      </c>
      <c r="C672" s="20" t="n">
        <v>45981</v>
      </c>
      <c r="D672" s="18" t="s">
        <v>43</v>
      </c>
      <c r="E672" s="18" t="s">
        <v>157</v>
      </c>
      <c r="F672" s="18" t="s">
        <v>45</v>
      </c>
      <c r="G672" s="21" t="n">
        <v>7231</v>
      </c>
      <c r="H672" s="22" t="n">
        <v>0.00974521107675411</v>
      </c>
      <c r="I672" s="22" t="n">
        <v>0.00228996285567365</v>
      </c>
      <c r="J672" s="22" t="n">
        <v>0.00996204835671042</v>
      </c>
      <c r="K672" s="22" t="n">
        <v>0.00324181831988956</v>
      </c>
      <c r="L672" s="22" t="n">
        <v>0.0140971954743052</v>
      </c>
      <c r="M672" s="22" t="n">
        <v>0.00926848943519596</v>
      </c>
      <c r="N672" s="22" t="n">
        <v>0.0112272897126504</v>
      </c>
      <c r="O672" s="22" t="n">
        <v>0.00305040891820305</v>
      </c>
      <c r="P672" s="22" t="n">
        <v>0.0100422071852139</v>
      </c>
      <c r="Q672" s="22" t="n">
        <v>0.008381508641552</v>
      </c>
      <c r="R672" s="22" t="n">
        <v>0.00755079924575456</v>
      </c>
      <c r="S672" s="23" t="n">
        <f aca="false">IF(A672="","",SUM(H672:R672))</f>
        <v>0.0888569392219028</v>
      </c>
      <c r="T672" s="17" t="str">
        <f aca="false">IF(A672="","",IF(AND(MIN(H672:R672)&gt;=0,MAX(H672:R672)&lt;=1,S672&lt;=1),"OK","CHECK"))</f>
        <v>OK</v>
      </c>
      <c r="U672" s="17" t="str">
        <f aca="false">IF(A672="","", "LOSS-"&amp;A672&amp;"-L"&amp;TEXT(B672,"00")&amp;"-"&amp;TEXT(C672,"yyyymmdd")&amp;"-"&amp;D672&amp;"-"&amp;E672)</f>
        <v>LOSS-KG01-L24-20251120-PM-ORD-2025-00261</v>
      </c>
      <c r="V672" s="17" t="str">
        <f aca="false">IF(U672="","",IF(COUNTIF($U$5:$U$935,U672)=1,"OK","CHECK"))</f>
        <v>OK</v>
      </c>
      <c r="W672" s="17" t="str">
        <f aca="false">IF(A672="","",IF(AND(T672="OK",V672="OK",G672&gt;=0),"OK","CHECK"))</f>
        <v>OK</v>
      </c>
    </row>
    <row r="673" customFormat="false" ht="18" hidden="false" customHeight="true" outlineLevel="0" collapsed="false">
      <c r="A673" s="18" t="s">
        <v>39</v>
      </c>
      <c r="B673" s="19" t="n">
        <v>24</v>
      </c>
      <c r="C673" s="20" t="n">
        <v>45982</v>
      </c>
      <c r="D673" s="18" t="s">
        <v>40</v>
      </c>
      <c r="E673" s="18" t="s">
        <v>157</v>
      </c>
      <c r="F673" s="18" t="s">
        <v>42</v>
      </c>
      <c r="G673" s="21" t="n">
        <v>7866</v>
      </c>
      <c r="H673" s="22" t="n">
        <v>0.00307049369099556</v>
      </c>
      <c r="I673" s="22" t="n">
        <v>0.00650148053544492</v>
      </c>
      <c r="J673" s="22" t="n">
        <v>0.00400033620636176</v>
      </c>
      <c r="K673" s="22" t="n">
        <v>0.00533820941998247</v>
      </c>
      <c r="L673" s="22" t="n">
        <v>0.000239705449311</v>
      </c>
      <c r="M673" s="22" t="n">
        <v>0.00535101076819742</v>
      </c>
      <c r="N673" s="22" t="n">
        <v>0.000190922925088479</v>
      </c>
      <c r="O673" s="22" t="n">
        <v>0.000444821385050515</v>
      </c>
      <c r="P673" s="22" t="n">
        <v>6.15469089383829E-005</v>
      </c>
      <c r="Q673" s="22" t="n">
        <v>0.0054294433729284</v>
      </c>
      <c r="R673" s="22" t="n">
        <v>0.000792794365023512</v>
      </c>
      <c r="S673" s="23" t="n">
        <f aca="false">IF(A673="","",SUM(H673:R673))</f>
        <v>0.0314207650273224</v>
      </c>
      <c r="T673" s="17" t="str">
        <f aca="false">IF(A673="","",IF(AND(MIN(H673:R673)&gt;=0,MAX(H673:R673)&lt;=1,S673&lt;=1),"OK","CHECK"))</f>
        <v>OK</v>
      </c>
      <c r="U673" s="17" t="str">
        <f aca="false">IF(A673="","", "LOSS-"&amp;A673&amp;"-L"&amp;TEXT(B673,"00")&amp;"-"&amp;TEXT(C673,"yyyymmdd")&amp;"-"&amp;D673&amp;"-"&amp;E673)</f>
        <v>LOSS-KG01-L24-20251121-AM-ORD-2025-00261</v>
      </c>
      <c r="V673" s="17" t="str">
        <f aca="false">IF(U673="","",IF(COUNTIF($U$5:$U$935,U673)=1,"OK","CHECK"))</f>
        <v>OK</v>
      </c>
      <c r="W673" s="17" t="str">
        <f aca="false">IF(A673="","",IF(AND(T673="OK",V673="OK",G673&gt;=0),"OK","CHECK"))</f>
        <v>OK</v>
      </c>
    </row>
    <row r="674" customFormat="false" ht="18" hidden="false" customHeight="true" outlineLevel="0" collapsed="false">
      <c r="A674" s="18" t="s">
        <v>39</v>
      </c>
      <c r="B674" s="19" t="n">
        <v>24</v>
      </c>
      <c r="C674" s="20" t="n">
        <v>45982</v>
      </c>
      <c r="D674" s="18" t="s">
        <v>43</v>
      </c>
      <c r="E674" s="18" t="s">
        <v>157</v>
      </c>
      <c r="F674" s="18" t="s">
        <v>42</v>
      </c>
      <c r="G674" s="21" t="n">
        <v>15613</v>
      </c>
      <c r="H674" s="22" t="n">
        <v>0.000165023239932911</v>
      </c>
      <c r="I674" s="22" t="n">
        <v>0.00184030105620566</v>
      </c>
      <c r="J674" s="22" t="n">
        <v>0.0245691119049965</v>
      </c>
      <c r="K674" s="22" t="n">
        <v>0.0229275460527725</v>
      </c>
      <c r="L674" s="22" t="n">
        <v>0.00721404942617868</v>
      </c>
      <c r="M674" s="22" t="n">
        <v>0.00382225830095229</v>
      </c>
      <c r="N674" s="22" t="n">
        <v>0.0030446433641448</v>
      </c>
      <c r="O674" s="22" t="n">
        <v>0.000138131217060789</v>
      </c>
      <c r="P674" s="22" t="n">
        <v>7.95180959964018E-006</v>
      </c>
      <c r="Q674" s="22" t="n">
        <v>0.0121584555242038</v>
      </c>
      <c r="R674" s="22" t="n">
        <v>0.0109904216224709</v>
      </c>
      <c r="S674" s="23" t="n">
        <f aca="false">IF(A674="","",SUM(H674:R674))</f>
        <v>0.0868778935185185</v>
      </c>
      <c r="T674" s="17" t="str">
        <f aca="false">IF(A674="","",IF(AND(MIN(H674:R674)&gt;=0,MAX(H674:R674)&lt;=1,S674&lt;=1),"OK","CHECK"))</f>
        <v>OK</v>
      </c>
      <c r="U674" s="17" t="str">
        <f aca="false">IF(A674="","", "LOSS-"&amp;A674&amp;"-L"&amp;TEXT(B674,"00")&amp;"-"&amp;TEXT(C674,"yyyymmdd")&amp;"-"&amp;D674&amp;"-"&amp;E674)</f>
        <v>LOSS-KG01-L24-20251121-PM-ORD-2025-00261</v>
      </c>
      <c r="V674" s="17" t="str">
        <f aca="false">IF(U674="","",IF(COUNTIF($U$5:$U$935,U674)=1,"OK","CHECK"))</f>
        <v>OK</v>
      </c>
      <c r="W674" s="17" t="str">
        <f aca="false">IF(A674="","",IF(AND(T674="OK",V674="OK",G674&gt;=0),"OK","CHECK"))</f>
        <v>OK</v>
      </c>
    </row>
    <row r="675" customFormat="false" ht="18" hidden="false" customHeight="true" outlineLevel="0" collapsed="false">
      <c r="A675" s="18" t="s">
        <v>39</v>
      </c>
      <c r="B675" s="19" t="n">
        <v>24</v>
      </c>
      <c r="C675" s="20" t="n">
        <v>45983</v>
      </c>
      <c r="D675" s="18" t="s">
        <v>40</v>
      </c>
      <c r="E675" s="18" t="s">
        <v>157</v>
      </c>
      <c r="F675" s="18" t="s">
        <v>42</v>
      </c>
      <c r="G675" s="21" t="n">
        <v>15259</v>
      </c>
      <c r="H675" s="22" t="n">
        <v>0.00779997157483706</v>
      </c>
      <c r="I675" s="22" t="n">
        <v>0.00234552337968567</v>
      </c>
      <c r="J675" s="22" t="n">
        <v>0.000225713311115769</v>
      </c>
      <c r="K675" s="22" t="n">
        <v>0.0122818862722822</v>
      </c>
      <c r="L675" s="22" t="n">
        <v>0.0193825015371799</v>
      </c>
      <c r="M675" s="22" t="n">
        <v>0.000839431736232162</v>
      </c>
      <c r="N675" s="22" t="n">
        <v>0.000450712730937971</v>
      </c>
      <c r="O675" s="22" t="n">
        <v>0.00954967722047684</v>
      </c>
      <c r="P675" s="22" t="n">
        <v>0.0151796747475146</v>
      </c>
      <c r="Q675" s="22" t="n">
        <v>0.0114215155785554</v>
      </c>
      <c r="R675" s="22" t="n">
        <v>0.00154262329305969</v>
      </c>
      <c r="S675" s="23" t="n">
        <f aca="false">IF(A675="","",SUM(H675:R675))</f>
        <v>0.0810192313818773</v>
      </c>
      <c r="T675" s="17" t="str">
        <f aca="false">IF(A675="","",IF(AND(MIN(H675:R675)&gt;=0,MAX(H675:R675)&lt;=1,S675&lt;=1),"OK","CHECK"))</f>
        <v>OK</v>
      </c>
      <c r="U675" s="17" t="str">
        <f aca="false">IF(A675="","", "LOSS-"&amp;A675&amp;"-L"&amp;TEXT(B675,"00")&amp;"-"&amp;TEXT(C675,"yyyymmdd")&amp;"-"&amp;D675&amp;"-"&amp;E675)</f>
        <v>LOSS-KG01-L24-20251122-AM-ORD-2025-00261</v>
      </c>
      <c r="V675" s="17" t="str">
        <f aca="false">IF(U675="","",IF(COUNTIF($U$5:$U$935,U675)=1,"OK","CHECK"))</f>
        <v>OK</v>
      </c>
      <c r="W675" s="17" t="str">
        <f aca="false">IF(A675="","",IF(AND(T675="OK",V675="OK",G675&gt;=0),"OK","CHECK"))</f>
        <v>OK</v>
      </c>
    </row>
    <row r="676" customFormat="false" ht="18" hidden="false" customHeight="true" outlineLevel="0" collapsed="false">
      <c r="A676" s="18" t="s">
        <v>39</v>
      </c>
      <c r="B676" s="19" t="n">
        <v>24</v>
      </c>
      <c r="C676" s="20" t="n">
        <v>45983</v>
      </c>
      <c r="D676" s="18" t="s">
        <v>43</v>
      </c>
      <c r="E676" s="18" t="s">
        <v>157</v>
      </c>
      <c r="F676" s="18" t="s">
        <v>42</v>
      </c>
      <c r="G676" s="21" t="n">
        <v>5338</v>
      </c>
      <c r="H676" s="22" t="n">
        <v>0.00176529507504137</v>
      </c>
      <c r="I676" s="22" t="n">
        <v>0.00323317101263947</v>
      </c>
      <c r="J676" s="22" t="n">
        <v>0.00403249787797256</v>
      </c>
      <c r="K676" s="22" t="n">
        <v>0.00992925068495956</v>
      </c>
      <c r="L676" s="22" t="n">
        <v>0.000447289639949712</v>
      </c>
      <c r="M676" s="22" t="n">
        <v>0.00685186224949461</v>
      </c>
      <c r="N676" s="22" t="n">
        <v>0.00618456400809531</v>
      </c>
      <c r="O676" s="22" t="n">
        <v>1.79763233762639E-005</v>
      </c>
      <c r="P676" s="22" t="n">
        <v>0.0107506510783482</v>
      </c>
      <c r="Q676" s="22" t="n">
        <v>0.00403915693707721</v>
      </c>
      <c r="R676" s="22" t="n">
        <v>0.000973928362539835</v>
      </c>
      <c r="S676" s="23" t="n">
        <f aca="false">IF(A676="","",SUM(H676:R676))</f>
        <v>0.0482256432494941</v>
      </c>
      <c r="T676" s="17" t="str">
        <f aca="false">IF(A676="","",IF(AND(MIN(H676:R676)&gt;=0,MAX(H676:R676)&lt;=1,S676&lt;=1),"OK","CHECK"))</f>
        <v>OK</v>
      </c>
      <c r="U676" s="17" t="str">
        <f aca="false">IF(A676="","", "LOSS-"&amp;A676&amp;"-L"&amp;TEXT(B676,"00")&amp;"-"&amp;TEXT(C676,"yyyymmdd")&amp;"-"&amp;D676&amp;"-"&amp;E676)</f>
        <v>LOSS-KG01-L24-20251122-PM-ORD-2025-00261</v>
      </c>
      <c r="V676" s="17" t="str">
        <f aca="false">IF(U676="","",IF(COUNTIF($U$5:$U$935,U676)=1,"OK","CHECK"))</f>
        <v>OK</v>
      </c>
      <c r="W676" s="17" t="str">
        <f aca="false">IF(A676="","",IF(AND(T676="OK",V676="OK",G676&gt;=0),"OK","CHECK"))</f>
        <v>OK</v>
      </c>
    </row>
    <row r="677" customFormat="false" ht="18" hidden="false" customHeight="true" outlineLevel="0" collapsed="false">
      <c r="A677" s="18" t="s">
        <v>39</v>
      </c>
      <c r="B677" s="19" t="n">
        <v>24</v>
      </c>
      <c r="C677" s="20" t="n">
        <v>45984</v>
      </c>
      <c r="D677" s="18" t="s">
        <v>40</v>
      </c>
      <c r="E677" s="18" t="s">
        <v>158</v>
      </c>
      <c r="F677" s="18" t="s">
        <v>45</v>
      </c>
      <c r="G677" s="21" t="n">
        <v>2705</v>
      </c>
      <c r="H677" s="22" t="n">
        <v>0.0160579479029191</v>
      </c>
      <c r="I677" s="22" t="n">
        <v>0.00336699969013451</v>
      </c>
      <c r="J677" s="22" t="n">
        <v>0.00130798688597588</v>
      </c>
      <c r="K677" s="22" t="n">
        <v>5.18694279691603E-006</v>
      </c>
      <c r="L677" s="22" t="n">
        <v>0.00561287466507522</v>
      </c>
      <c r="M677" s="22" t="n">
        <v>0.0150526999549673</v>
      </c>
      <c r="N677" s="22" t="n">
        <v>6.3735393761411E-005</v>
      </c>
      <c r="O677" s="22" t="n">
        <v>0.0111216860777921</v>
      </c>
      <c r="P677" s="22" t="n">
        <v>0.00281361796663714</v>
      </c>
      <c r="Q677" s="22" t="n">
        <v>0.00347266428643461</v>
      </c>
      <c r="R677" s="22" t="n">
        <v>0.0126400401658239</v>
      </c>
      <c r="S677" s="23" t="n">
        <f aca="false">IF(A677="","",SUM(H677:R677))</f>
        <v>0.0715154399323181</v>
      </c>
      <c r="T677" s="17" t="str">
        <f aca="false">IF(A677="","",IF(AND(MIN(H677:R677)&gt;=0,MAX(H677:R677)&lt;=1,S677&lt;=1),"OK","CHECK"))</f>
        <v>OK</v>
      </c>
      <c r="U677" s="17" t="str">
        <f aca="false">IF(A677="","", "LOSS-"&amp;A677&amp;"-L"&amp;TEXT(B677,"00")&amp;"-"&amp;TEXT(C677,"yyyymmdd")&amp;"-"&amp;D677&amp;"-"&amp;E677)</f>
        <v>LOSS-KG01-L24-20251123-AM-ORD-2025-00262</v>
      </c>
      <c r="V677" s="17" t="str">
        <f aca="false">IF(U677="","",IF(COUNTIF($U$5:$U$935,U677)=1,"OK","CHECK"))</f>
        <v>OK</v>
      </c>
      <c r="W677" s="17" t="str">
        <f aca="false">IF(A677="","",IF(AND(T677="OK",V677="OK",G677&gt;=0),"OK","CHECK"))</f>
        <v>OK</v>
      </c>
    </row>
    <row r="678" customFormat="false" ht="18" hidden="false" customHeight="true" outlineLevel="0" collapsed="false">
      <c r="A678" s="18" t="s">
        <v>39</v>
      </c>
      <c r="B678" s="19" t="n">
        <v>24</v>
      </c>
      <c r="C678" s="20" t="n">
        <v>45984</v>
      </c>
      <c r="D678" s="18" t="s">
        <v>43</v>
      </c>
      <c r="E678" s="18" t="s">
        <v>158</v>
      </c>
      <c r="F678" s="18" t="s">
        <v>61</v>
      </c>
      <c r="G678" s="21" t="n">
        <v>10941</v>
      </c>
      <c r="H678" s="22" t="n">
        <v>0.00419298006091246</v>
      </c>
      <c r="I678" s="22" t="n">
        <v>0.0109238017148265</v>
      </c>
      <c r="J678" s="22" t="n">
        <v>0.00893415148307049</v>
      </c>
      <c r="K678" s="22" t="n">
        <v>0.000636948817429173</v>
      </c>
      <c r="L678" s="22" t="n">
        <v>0.000898246866708291</v>
      </c>
      <c r="M678" s="22" t="n">
        <v>0.0101892384329478</v>
      </c>
      <c r="N678" s="22" t="n">
        <v>0.00930964835483073</v>
      </c>
      <c r="O678" s="22" t="n">
        <v>0.0085516487730734</v>
      </c>
      <c r="P678" s="22" t="n">
        <v>0.00572797263546449</v>
      </c>
      <c r="Q678" s="22" t="n">
        <v>0.00430614412850394</v>
      </c>
      <c r="R678" s="22" t="n">
        <v>0.00199833426089887</v>
      </c>
      <c r="S678" s="23" t="n">
        <f aca="false">IF(A678="","",SUM(H678:R678))</f>
        <v>0.0656691155286662</v>
      </c>
      <c r="T678" s="17" t="str">
        <f aca="false">IF(A678="","",IF(AND(MIN(H678:R678)&gt;=0,MAX(H678:R678)&lt;=1,S678&lt;=1),"OK","CHECK"))</f>
        <v>OK</v>
      </c>
      <c r="U678" s="17" t="str">
        <f aca="false">IF(A678="","", "LOSS-"&amp;A678&amp;"-L"&amp;TEXT(B678,"00")&amp;"-"&amp;TEXT(C678,"yyyymmdd")&amp;"-"&amp;D678&amp;"-"&amp;E678)</f>
        <v>LOSS-KG01-L24-20251123-PM-ORD-2025-00262</v>
      </c>
      <c r="V678" s="17" t="str">
        <f aca="false">IF(U678="","",IF(COUNTIF($U$5:$U$935,U678)=1,"OK","CHECK"))</f>
        <v>OK</v>
      </c>
      <c r="W678" s="17" t="str">
        <f aca="false">IF(A678="","",IF(AND(T678="OK",V678="OK",G678&gt;=0),"OK","CHECK"))</f>
        <v>OK</v>
      </c>
    </row>
    <row r="679" customFormat="false" ht="18" hidden="false" customHeight="true" outlineLevel="0" collapsed="false">
      <c r="A679" s="18" t="s">
        <v>39</v>
      </c>
      <c r="B679" s="19" t="n">
        <v>24</v>
      </c>
      <c r="C679" s="20" t="n">
        <v>45985</v>
      </c>
      <c r="D679" s="18" t="s">
        <v>40</v>
      </c>
      <c r="E679" s="18" t="s">
        <v>158</v>
      </c>
      <c r="F679" s="18" t="s">
        <v>42</v>
      </c>
      <c r="G679" s="21" t="n">
        <v>8233</v>
      </c>
      <c r="H679" s="22" t="n">
        <v>3.50625809371804E-007</v>
      </c>
      <c r="I679" s="22" t="n">
        <v>0.00100333640772494</v>
      </c>
      <c r="J679" s="22" t="n">
        <v>0.000939431480449142</v>
      </c>
      <c r="K679" s="22" t="n">
        <v>0.0128872729376512</v>
      </c>
      <c r="L679" s="22" t="n">
        <v>0.00109058959932831</v>
      </c>
      <c r="M679" s="22" t="n">
        <v>9.67081611178477E-008</v>
      </c>
      <c r="N679" s="22" t="n">
        <v>4.35647589176278E-005</v>
      </c>
      <c r="O679" s="22" t="n">
        <v>0.000110604517041922</v>
      </c>
      <c r="P679" s="22" t="n">
        <v>0.0123218632218668</v>
      </c>
      <c r="Q679" s="22" t="n">
        <v>0.00547096701507589</v>
      </c>
      <c r="R679" s="22" t="n">
        <v>0.0154502243525484</v>
      </c>
      <c r="S679" s="23" t="n">
        <f aca="false">IF(A679="","",SUM(H679:R679))</f>
        <v>0.0493183016245747</v>
      </c>
      <c r="T679" s="17" t="str">
        <f aca="false">IF(A679="","",IF(AND(MIN(H679:R679)&gt;=0,MAX(H679:R679)&lt;=1,S679&lt;=1),"OK","CHECK"))</f>
        <v>OK</v>
      </c>
      <c r="U679" s="17" t="str">
        <f aca="false">IF(A679="","", "LOSS-"&amp;A679&amp;"-L"&amp;TEXT(B679,"00")&amp;"-"&amp;TEXT(C679,"yyyymmdd")&amp;"-"&amp;D679&amp;"-"&amp;E679)</f>
        <v>LOSS-KG01-L24-20251124-AM-ORD-2025-00262</v>
      </c>
      <c r="V679" s="17" t="str">
        <f aca="false">IF(U679="","",IF(COUNTIF($U$5:$U$935,U679)=1,"OK","CHECK"))</f>
        <v>OK</v>
      </c>
      <c r="W679" s="17" t="str">
        <f aca="false">IF(A679="","",IF(AND(T679="OK",V679="OK",G679&gt;=0),"OK","CHECK"))</f>
        <v>OK</v>
      </c>
    </row>
    <row r="680" customFormat="false" ht="18" hidden="false" customHeight="true" outlineLevel="0" collapsed="false">
      <c r="A680" s="18" t="s">
        <v>39</v>
      </c>
      <c r="B680" s="19" t="n">
        <v>24</v>
      </c>
      <c r="C680" s="20" t="n">
        <v>45985</v>
      </c>
      <c r="D680" s="18" t="s">
        <v>43</v>
      </c>
      <c r="E680" s="18" t="s">
        <v>158</v>
      </c>
      <c r="F680" s="18" t="s">
        <v>42</v>
      </c>
      <c r="G680" s="21" t="n">
        <v>10079</v>
      </c>
      <c r="H680" s="22" t="n">
        <v>0.00513045444613359</v>
      </c>
      <c r="I680" s="22" t="n">
        <v>1.55117903885063E-006</v>
      </c>
      <c r="J680" s="22" t="n">
        <v>0.00438089143368886</v>
      </c>
      <c r="K680" s="22" t="n">
        <v>0.00311809024410905</v>
      </c>
      <c r="L680" s="22" t="n">
        <v>0.00341442531037773</v>
      </c>
      <c r="M680" s="22" t="n">
        <v>0.0036059737020708</v>
      </c>
      <c r="N680" s="22" t="n">
        <v>0.00343334629202933</v>
      </c>
      <c r="O680" s="22" t="n">
        <v>0.00255514467938536</v>
      </c>
      <c r="P680" s="22" t="n">
        <v>0.00143236140865775</v>
      </c>
      <c r="Q680" s="22" t="n">
        <v>0.00195477509896706</v>
      </c>
      <c r="R680" s="22" t="n">
        <v>0.00165655486379384</v>
      </c>
      <c r="S680" s="23" t="n">
        <f aca="false">IF(A680="","",SUM(H680:R680))</f>
        <v>0.0306835686582522</v>
      </c>
      <c r="T680" s="17" t="str">
        <f aca="false">IF(A680="","",IF(AND(MIN(H680:R680)&gt;=0,MAX(H680:R680)&lt;=1,S680&lt;=1),"OK","CHECK"))</f>
        <v>OK</v>
      </c>
      <c r="U680" s="17" t="str">
        <f aca="false">IF(A680="","", "LOSS-"&amp;A680&amp;"-L"&amp;TEXT(B680,"00")&amp;"-"&amp;TEXT(C680,"yyyymmdd")&amp;"-"&amp;D680&amp;"-"&amp;E680)</f>
        <v>LOSS-KG01-L24-20251124-PM-ORD-2025-00262</v>
      </c>
      <c r="V680" s="17" t="str">
        <f aca="false">IF(U680="","",IF(COUNTIF($U$5:$U$935,U680)=1,"OK","CHECK"))</f>
        <v>OK</v>
      </c>
      <c r="W680" s="17" t="str">
        <f aca="false">IF(A680="","",IF(AND(T680="OK",V680="OK",G680&gt;=0),"OK","CHECK"))</f>
        <v>OK</v>
      </c>
    </row>
    <row r="681" customFormat="false" ht="18" hidden="false" customHeight="true" outlineLevel="0" collapsed="false">
      <c r="A681" s="18" t="s">
        <v>39</v>
      </c>
      <c r="B681" s="19" t="n">
        <v>24</v>
      </c>
      <c r="C681" s="20" t="n">
        <v>45986</v>
      </c>
      <c r="D681" s="18" t="s">
        <v>40</v>
      </c>
      <c r="E681" s="18" t="s">
        <v>158</v>
      </c>
      <c r="F681" s="18" t="s">
        <v>42</v>
      </c>
      <c r="G681" s="21" t="n">
        <v>7711</v>
      </c>
      <c r="H681" s="22" t="n">
        <v>0.00372992629699695</v>
      </c>
      <c r="I681" s="22" t="n">
        <v>0.00743162819121662</v>
      </c>
      <c r="J681" s="22" t="n">
        <v>0.00894183750069295</v>
      </c>
      <c r="K681" s="22" t="n">
        <v>0.0104744451997446</v>
      </c>
      <c r="L681" s="22" t="n">
        <v>0.00185018601749779</v>
      </c>
      <c r="M681" s="22" t="n">
        <v>0.00643867690323035</v>
      </c>
      <c r="N681" s="22" t="n">
        <v>0.0003840293133683</v>
      </c>
      <c r="O681" s="22" t="n">
        <v>0.00526260055456535</v>
      </c>
      <c r="P681" s="22" t="n">
        <v>2.46903878877293E-006</v>
      </c>
      <c r="Q681" s="22" t="n">
        <v>0.00225519600584686</v>
      </c>
      <c r="R681" s="22" t="n">
        <v>0.00132146024414722</v>
      </c>
      <c r="S681" s="23" t="n">
        <f aca="false">IF(A681="","",SUM(H681:R681))</f>
        <v>0.0480924552660958</v>
      </c>
      <c r="T681" s="17" t="str">
        <f aca="false">IF(A681="","",IF(AND(MIN(H681:R681)&gt;=0,MAX(H681:R681)&lt;=1,S681&lt;=1),"OK","CHECK"))</f>
        <v>OK</v>
      </c>
      <c r="U681" s="17" t="str">
        <f aca="false">IF(A681="","", "LOSS-"&amp;A681&amp;"-L"&amp;TEXT(B681,"00")&amp;"-"&amp;TEXT(C681,"yyyymmdd")&amp;"-"&amp;D681&amp;"-"&amp;E681)</f>
        <v>LOSS-KG01-L24-20251125-AM-ORD-2025-00262</v>
      </c>
      <c r="V681" s="17" t="str">
        <f aca="false">IF(U681="","",IF(COUNTIF($U$5:$U$935,U681)=1,"OK","CHECK"))</f>
        <v>OK</v>
      </c>
      <c r="W681" s="17" t="str">
        <f aca="false">IF(A681="","",IF(AND(T681="OK",V681="OK",G681&gt;=0),"OK","CHECK"))</f>
        <v>OK</v>
      </c>
    </row>
    <row r="682" customFormat="false" ht="18" hidden="false" customHeight="true" outlineLevel="0" collapsed="false">
      <c r="A682" s="18" t="s">
        <v>39</v>
      </c>
      <c r="B682" s="19" t="n">
        <v>24</v>
      </c>
      <c r="C682" s="20" t="n">
        <v>45986</v>
      </c>
      <c r="D682" s="18" t="s">
        <v>43</v>
      </c>
      <c r="E682" s="18" t="s">
        <v>158</v>
      </c>
      <c r="F682" s="18" t="s">
        <v>42</v>
      </c>
      <c r="G682" s="21" t="n">
        <v>15430</v>
      </c>
      <c r="H682" s="22" t="n">
        <v>0.00192214324626447</v>
      </c>
      <c r="I682" s="22" t="n">
        <v>0.0073380276252839</v>
      </c>
      <c r="J682" s="22" t="n">
        <v>0.000315237919467289</v>
      </c>
      <c r="K682" s="22" t="n">
        <v>0.0276259938778774</v>
      </c>
      <c r="L682" s="22" t="n">
        <v>0.0170292892356017</v>
      </c>
      <c r="M682" s="22" t="n">
        <v>0.000910399038509158</v>
      </c>
      <c r="N682" s="22" t="n">
        <v>0.00272300920989074</v>
      </c>
      <c r="O682" s="22" t="n">
        <v>0.00210630296270849</v>
      </c>
      <c r="P682" s="22" t="n">
        <v>0.000834889571183854</v>
      </c>
      <c r="Q682" s="22" t="n">
        <v>0.00579531523383217</v>
      </c>
      <c r="R682" s="22" t="n">
        <v>0.0169429831002046</v>
      </c>
      <c r="S682" s="23" t="n">
        <f aca="false">IF(A682="","",SUM(H682:R682))</f>
        <v>0.0835435910208238</v>
      </c>
      <c r="T682" s="17" t="str">
        <f aca="false">IF(A682="","",IF(AND(MIN(H682:R682)&gt;=0,MAX(H682:R682)&lt;=1,S682&lt;=1),"OK","CHECK"))</f>
        <v>OK</v>
      </c>
      <c r="U682" s="17" t="str">
        <f aca="false">IF(A682="","", "LOSS-"&amp;A682&amp;"-L"&amp;TEXT(B682,"00")&amp;"-"&amp;TEXT(C682,"yyyymmdd")&amp;"-"&amp;D682&amp;"-"&amp;E682)</f>
        <v>LOSS-KG01-L24-20251125-PM-ORD-2025-00262</v>
      </c>
      <c r="V682" s="17" t="str">
        <f aca="false">IF(U682="","",IF(COUNTIF($U$5:$U$935,U682)=1,"OK","CHECK"))</f>
        <v>OK</v>
      </c>
      <c r="W682" s="17" t="str">
        <f aca="false">IF(A682="","",IF(AND(T682="OK",V682="OK",G682&gt;=0),"OK","CHECK"))</f>
        <v>OK</v>
      </c>
    </row>
    <row r="683" customFormat="false" ht="18" hidden="false" customHeight="true" outlineLevel="0" collapsed="false">
      <c r="A683" s="18" t="s">
        <v>39</v>
      </c>
      <c r="B683" s="19" t="n">
        <v>24</v>
      </c>
      <c r="C683" s="20" t="n">
        <v>45987</v>
      </c>
      <c r="D683" s="18" t="s">
        <v>40</v>
      </c>
      <c r="E683" s="18" t="s">
        <v>158</v>
      </c>
      <c r="F683" s="18" t="s">
        <v>42</v>
      </c>
      <c r="G683" s="21" t="n">
        <v>11718</v>
      </c>
      <c r="H683" s="22" t="n">
        <v>0.00145387665573011</v>
      </c>
      <c r="I683" s="22" t="n">
        <v>0.00651490647858328</v>
      </c>
      <c r="J683" s="22" t="n">
        <v>0.000928132129687722</v>
      </c>
      <c r="K683" s="22" t="n">
        <v>0.0110825864973016</v>
      </c>
      <c r="L683" s="22" t="n">
        <v>0.00532275715135908</v>
      </c>
      <c r="M683" s="22" t="n">
        <v>0.00454477628964657</v>
      </c>
      <c r="N683" s="22" t="n">
        <v>6.46671522531242E-005</v>
      </c>
      <c r="O683" s="22" t="n">
        <v>0.000269354399662646</v>
      </c>
      <c r="P683" s="22" t="n">
        <v>0.000164138297988872</v>
      </c>
      <c r="Q683" s="22" t="n">
        <v>0.00977359988843114</v>
      </c>
      <c r="R683" s="22" t="n">
        <v>0.0101204395091166</v>
      </c>
      <c r="S683" s="23" t="n">
        <f aca="false">IF(A683="","",SUM(H683:R683))</f>
        <v>0.0502392344497607</v>
      </c>
      <c r="T683" s="17" t="str">
        <f aca="false">IF(A683="","",IF(AND(MIN(H683:R683)&gt;=0,MAX(H683:R683)&lt;=1,S683&lt;=1),"OK","CHECK"))</f>
        <v>OK</v>
      </c>
      <c r="U683" s="17" t="str">
        <f aca="false">IF(A683="","", "LOSS-"&amp;A683&amp;"-L"&amp;TEXT(B683,"00")&amp;"-"&amp;TEXT(C683,"yyyymmdd")&amp;"-"&amp;D683&amp;"-"&amp;E683)</f>
        <v>LOSS-KG01-L24-20251126-AM-ORD-2025-00262</v>
      </c>
      <c r="V683" s="17" t="str">
        <f aca="false">IF(U683="","",IF(COUNTIF($U$5:$U$935,U683)=1,"OK","CHECK"))</f>
        <v>OK</v>
      </c>
      <c r="W683" s="17" t="str">
        <f aca="false">IF(A683="","",IF(AND(T683="OK",V683="OK",G683&gt;=0),"OK","CHECK"))</f>
        <v>OK</v>
      </c>
    </row>
    <row r="684" customFormat="false" ht="18" hidden="false" customHeight="true" outlineLevel="0" collapsed="false">
      <c r="A684" s="18" t="s">
        <v>39</v>
      </c>
      <c r="B684" s="19" t="n">
        <v>24</v>
      </c>
      <c r="C684" s="20" t="n">
        <v>45987</v>
      </c>
      <c r="D684" s="18" t="s">
        <v>43</v>
      </c>
      <c r="E684" s="18" t="s">
        <v>159</v>
      </c>
      <c r="F684" s="18" t="s">
        <v>45</v>
      </c>
      <c r="G684" s="21" t="n">
        <v>1087</v>
      </c>
      <c r="H684" s="22" t="n">
        <v>5.74492924233681E-005</v>
      </c>
      <c r="I684" s="22" t="n">
        <v>0.00783058861711862</v>
      </c>
      <c r="J684" s="22" t="n">
        <v>0.00759069665953697</v>
      </c>
      <c r="K684" s="22" t="n">
        <v>0.000962325648255134</v>
      </c>
      <c r="L684" s="22" t="n">
        <v>0.000422661709134697</v>
      </c>
      <c r="M684" s="22" t="n">
        <v>0.00772039983837062</v>
      </c>
      <c r="N684" s="22" t="n">
        <v>0.00150333054990128</v>
      </c>
      <c r="O684" s="22" t="n">
        <v>0.00330502095367846</v>
      </c>
      <c r="P684" s="22" t="n">
        <v>0.00920453942898242</v>
      </c>
      <c r="Q684" s="22" t="n">
        <v>0.00377115919123301</v>
      </c>
      <c r="R684" s="22" t="n">
        <v>0.00344268448358389</v>
      </c>
      <c r="S684" s="23" t="n">
        <f aca="false">IF(A684="","",SUM(H684:R684))</f>
        <v>0.0458108563722185</v>
      </c>
      <c r="T684" s="17" t="str">
        <f aca="false">IF(A684="","",IF(AND(MIN(H684:R684)&gt;=0,MAX(H684:R684)&lt;=1,S684&lt;=1),"OK","CHECK"))</f>
        <v>OK</v>
      </c>
      <c r="U684" s="17" t="str">
        <f aca="false">IF(A684="","", "LOSS-"&amp;A684&amp;"-L"&amp;TEXT(B684,"00")&amp;"-"&amp;TEXT(C684,"yyyymmdd")&amp;"-"&amp;D684&amp;"-"&amp;E684)</f>
        <v>LOSS-KG01-L24-20251126-PM-ORD-2025-00263</v>
      </c>
      <c r="V684" s="17" t="str">
        <f aca="false">IF(U684="","",IF(COUNTIF($U$5:$U$935,U684)=1,"OK","CHECK"))</f>
        <v>OK</v>
      </c>
      <c r="W684" s="17" t="str">
        <f aca="false">IF(A684="","",IF(AND(T684="OK",V684="OK",G684&gt;=0),"OK","CHECK"))</f>
        <v>OK</v>
      </c>
    </row>
    <row r="685" customFormat="false" ht="18" hidden="false" customHeight="true" outlineLevel="0" collapsed="false">
      <c r="A685" s="18" t="s">
        <v>39</v>
      </c>
      <c r="B685" s="19" t="n">
        <v>24</v>
      </c>
      <c r="C685" s="20" t="n">
        <v>45988</v>
      </c>
      <c r="D685" s="18" t="s">
        <v>40</v>
      </c>
      <c r="E685" s="18" t="s">
        <v>159</v>
      </c>
      <c r="F685" s="18" t="s">
        <v>42</v>
      </c>
      <c r="G685" s="21" t="n">
        <v>8227</v>
      </c>
      <c r="H685" s="22" t="n">
        <v>0.00469187853481094</v>
      </c>
      <c r="I685" s="22" t="n">
        <v>0.00764670433290189</v>
      </c>
      <c r="J685" s="22" t="n">
        <v>0.0124999711363215</v>
      </c>
      <c r="K685" s="22" t="n">
        <v>0.00257129428220674</v>
      </c>
      <c r="L685" s="22" t="n">
        <v>0.000171585175474868</v>
      </c>
      <c r="M685" s="22" t="n">
        <v>0.000630390881806011</v>
      </c>
      <c r="N685" s="22" t="n">
        <v>0.013180698473289</v>
      </c>
      <c r="O685" s="22" t="n">
        <v>0.00602418133572496</v>
      </c>
      <c r="P685" s="22" t="n">
        <v>0.00126898959816835</v>
      </c>
      <c r="Q685" s="22" t="n">
        <v>6.73095034609214E-006</v>
      </c>
      <c r="R685" s="22" t="n">
        <v>0.0169199145977661</v>
      </c>
      <c r="S685" s="23" t="n">
        <f aca="false">IF(A685="","",SUM(H685:R685))</f>
        <v>0.0656123392988165</v>
      </c>
      <c r="T685" s="17" t="str">
        <f aca="false">IF(A685="","",IF(AND(MIN(H685:R685)&gt;=0,MAX(H685:R685)&lt;=1,S685&lt;=1),"OK","CHECK"))</f>
        <v>OK</v>
      </c>
      <c r="U685" s="17" t="str">
        <f aca="false">IF(A685="","", "LOSS-"&amp;A685&amp;"-L"&amp;TEXT(B685,"00")&amp;"-"&amp;TEXT(C685,"yyyymmdd")&amp;"-"&amp;D685&amp;"-"&amp;E685)</f>
        <v>LOSS-KG01-L24-20251127-AM-ORD-2025-00263</v>
      </c>
      <c r="V685" s="17" t="str">
        <f aca="false">IF(U685="","",IF(COUNTIF($U$5:$U$935,U685)=1,"OK","CHECK"))</f>
        <v>OK</v>
      </c>
      <c r="W685" s="17" t="str">
        <f aca="false">IF(A685="","",IF(AND(T685="OK",V685="OK",G685&gt;=0),"OK","CHECK"))</f>
        <v>OK</v>
      </c>
    </row>
    <row r="686" customFormat="false" ht="18" hidden="false" customHeight="true" outlineLevel="0" collapsed="false">
      <c r="A686" s="18" t="s">
        <v>39</v>
      </c>
      <c r="B686" s="19" t="n">
        <v>24</v>
      </c>
      <c r="C686" s="20" t="n">
        <v>45988</v>
      </c>
      <c r="D686" s="18" t="s">
        <v>43</v>
      </c>
      <c r="E686" s="18" t="s">
        <v>159</v>
      </c>
      <c r="F686" s="18" t="s">
        <v>42</v>
      </c>
      <c r="G686" s="21" t="n">
        <v>11171</v>
      </c>
      <c r="H686" s="22" t="n">
        <v>0.0082089677537718</v>
      </c>
      <c r="I686" s="22" t="n">
        <v>0.00798466568118576</v>
      </c>
      <c r="J686" s="22" t="n">
        <v>9.47636569879747E-005</v>
      </c>
      <c r="K686" s="22" t="n">
        <v>5.10506478814601E-005</v>
      </c>
      <c r="L686" s="22" t="n">
        <v>0.000269751075247934</v>
      </c>
      <c r="M686" s="22" t="n">
        <v>0.000326177417490594</v>
      </c>
      <c r="N686" s="22" t="n">
        <v>0.00843176557239425</v>
      </c>
      <c r="O686" s="22" t="n">
        <v>0.00362884852261241</v>
      </c>
      <c r="P686" s="22" t="n">
        <v>0.00290723685120252</v>
      </c>
      <c r="Q686" s="22" t="n">
        <v>0.0108489029483374</v>
      </c>
      <c r="R686" s="22" t="n">
        <v>0.00506074438067764</v>
      </c>
      <c r="S686" s="23" t="n">
        <f aca="false">IF(A686="","",SUM(H686:R686))</f>
        <v>0.0478128745077897</v>
      </c>
      <c r="T686" s="17" t="str">
        <f aca="false">IF(A686="","",IF(AND(MIN(H686:R686)&gt;=0,MAX(H686:R686)&lt;=1,S686&lt;=1),"OK","CHECK"))</f>
        <v>OK</v>
      </c>
      <c r="U686" s="17" t="str">
        <f aca="false">IF(A686="","", "LOSS-"&amp;A686&amp;"-L"&amp;TEXT(B686,"00")&amp;"-"&amp;TEXT(C686,"yyyymmdd")&amp;"-"&amp;D686&amp;"-"&amp;E686)</f>
        <v>LOSS-KG01-L24-20251127-PM-ORD-2025-00263</v>
      </c>
      <c r="V686" s="17" t="str">
        <f aca="false">IF(U686="","",IF(COUNTIF($U$5:$U$935,U686)=1,"OK","CHECK"))</f>
        <v>OK</v>
      </c>
      <c r="W686" s="17" t="str">
        <f aca="false">IF(A686="","",IF(AND(T686="OK",V686="OK",G686&gt;=0),"OK","CHECK"))</f>
        <v>OK</v>
      </c>
    </row>
    <row r="687" customFormat="false" ht="18" hidden="false" customHeight="true" outlineLevel="0" collapsed="false">
      <c r="A687" s="18" t="s">
        <v>39</v>
      </c>
      <c r="B687" s="19" t="n">
        <v>24</v>
      </c>
      <c r="C687" s="20" t="n">
        <v>45989</v>
      </c>
      <c r="D687" s="18" t="s">
        <v>40</v>
      </c>
      <c r="E687" s="18" t="s">
        <v>159</v>
      </c>
      <c r="F687" s="18" t="s">
        <v>42</v>
      </c>
      <c r="G687" s="21" t="n">
        <v>12447</v>
      </c>
      <c r="H687" s="22" t="n">
        <v>1.60056920670514E-005</v>
      </c>
      <c r="I687" s="22" t="n">
        <v>0.0131393190220757</v>
      </c>
      <c r="J687" s="22" t="n">
        <v>0.0113328510851282</v>
      </c>
      <c r="K687" s="22" t="n">
        <v>0.00337236025688357</v>
      </c>
      <c r="L687" s="22" t="n">
        <v>0.0117544555771719</v>
      </c>
      <c r="M687" s="22" t="n">
        <v>0.010857469691079</v>
      </c>
      <c r="N687" s="22" t="n">
        <v>0.0029214846234039</v>
      </c>
      <c r="O687" s="22" t="n">
        <v>0.000506184010038429</v>
      </c>
      <c r="P687" s="22" t="n">
        <v>0.00695741139557177</v>
      </c>
      <c r="Q687" s="22" t="n">
        <v>0.00421516245998401</v>
      </c>
      <c r="R687" s="22" t="n">
        <v>0.0062012603177035</v>
      </c>
      <c r="S687" s="23" t="n">
        <f aca="false">IF(A687="","",SUM(H687:R687))</f>
        <v>0.071273964131107</v>
      </c>
      <c r="T687" s="17" t="str">
        <f aca="false">IF(A687="","",IF(AND(MIN(H687:R687)&gt;=0,MAX(H687:R687)&lt;=1,S687&lt;=1),"OK","CHECK"))</f>
        <v>OK</v>
      </c>
      <c r="U687" s="17" t="str">
        <f aca="false">IF(A687="","", "LOSS-"&amp;A687&amp;"-L"&amp;TEXT(B687,"00")&amp;"-"&amp;TEXT(C687,"yyyymmdd")&amp;"-"&amp;D687&amp;"-"&amp;E687)</f>
        <v>LOSS-KG01-L24-20251128-AM-ORD-2025-00263</v>
      </c>
      <c r="V687" s="17" t="str">
        <f aca="false">IF(U687="","",IF(COUNTIF($U$5:$U$935,U687)=1,"OK","CHECK"))</f>
        <v>OK</v>
      </c>
      <c r="W687" s="17" t="str">
        <f aca="false">IF(A687="","",IF(AND(T687="OK",V687="OK",G687&gt;=0),"OK","CHECK"))</f>
        <v>OK</v>
      </c>
    </row>
    <row r="688" customFormat="false" ht="18" hidden="false" customHeight="true" outlineLevel="0" collapsed="false">
      <c r="A688" s="18" t="s">
        <v>39</v>
      </c>
      <c r="B688" s="19" t="n">
        <v>24</v>
      </c>
      <c r="C688" s="20" t="n">
        <v>45989</v>
      </c>
      <c r="D688" s="18" t="s">
        <v>43</v>
      </c>
      <c r="E688" s="18" t="s">
        <v>160</v>
      </c>
      <c r="F688" s="18" t="s">
        <v>45</v>
      </c>
      <c r="G688" s="21" t="n">
        <v>3493</v>
      </c>
      <c r="H688" s="22" t="n">
        <v>0.00289764427429712</v>
      </c>
      <c r="I688" s="22" t="n">
        <v>0.00567752954449973</v>
      </c>
      <c r="J688" s="22" t="n">
        <v>0.00330402613548339</v>
      </c>
      <c r="K688" s="22" t="n">
        <v>0.00414955877904455</v>
      </c>
      <c r="L688" s="22" t="n">
        <v>0.00519567334727245</v>
      </c>
      <c r="M688" s="22" t="n">
        <v>0.00363227618196871</v>
      </c>
      <c r="N688" s="22" t="n">
        <v>0.00185166132893028</v>
      </c>
      <c r="O688" s="22" t="n">
        <v>0.00124907955038306</v>
      </c>
      <c r="P688" s="22" t="n">
        <v>0.000618623540697681</v>
      </c>
      <c r="Q688" s="22" t="n">
        <v>0.000810748550613449</v>
      </c>
      <c r="R688" s="22" t="n">
        <v>0.00482607643175239</v>
      </c>
      <c r="S688" s="23" t="n">
        <f aca="false">IF(A688="","",SUM(H688:R688))</f>
        <v>0.0342128976649428</v>
      </c>
      <c r="T688" s="17" t="str">
        <f aca="false">IF(A688="","",IF(AND(MIN(H688:R688)&gt;=0,MAX(H688:R688)&lt;=1,S688&lt;=1),"OK","CHECK"))</f>
        <v>OK</v>
      </c>
      <c r="U688" s="17" t="str">
        <f aca="false">IF(A688="","", "LOSS-"&amp;A688&amp;"-L"&amp;TEXT(B688,"00")&amp;"-"&amp;TEXT(C688,"yyyymmdd")&amp;"-"&amp;D688&amp;"-"&amp;E688)</f>
        <v>LOSS-KG01-L24-20251128-PM-ORD-2025-00264</v>
      </c>
      <c r="V688" s="17" t="str">
        <f aca="false">IF(U688="","",IF(COUNTIF($U$5:$U$935,U688)=1,"OK","CHECK"))</f>
        <v>OK</v>
      </c>
      <c r="W688" s="17" t="str">
        <f aca="false">IF(A688="","",IF(AND(T688="OK",V688="OK",G688&gt;=0),"OK","CHECK"))</f>
        <v>OK</v>
      </c>
    </row>
    <row r="689" customFormat="false" ht="18" hidden="false" customHeight="true" outlineLevel="0" collapsed="false">
      <c r="A689" s="18" t="s">
        <v>39</v>
      </c>
      <c r="B689" s="19" t="n">
        <v>24</v>
      </c>
      <c r="C689" s="20" t="n">
        <v>45990</v>
      </c>
      <c r="D689" s="18" t="s">
        <v>40</v>
      </c>
      <c r="E689" s="18" t="s">
        <v>160</v>
      </c>
      <c r="F689" s="18" t="s">
        <v>42</v>
      </c>
      <c r="G689" s="21" t="n">
        <v>26182</v>
      </c>
      <c r="H689" s="22" t="n">
        <v>5.88751460991642E-005</v>
      </c>
      <c r="I689" s="22" t="n">
        <v>0.00157364452722289</v>
      </c>
      <c r="J689" s="22" t="n">
        <v>0.0145010297308938</v>
      </c>
      <c r="K689" s="22" t="n">
        <v>1.30404913857311E-005</v>
      </c>
      <c r="L689" s="22" t="n">
        <v>0.0196477950380767</v>
      </c>
      <c r="M689" s="22" t="n">
        <v>0.00617388755033241</v>
      </c>
      <c r="N689" s="22" t="n">
        <v>0.00510405151611559</v>
      </c>
      <c r="O689" s="22" t="n">
        <v>0.0250052870307362</v>
      </c>
      <c r="P689" s="22" t="n">
        <v>2.46098104602995E-006</v>
      </c>
      <c r="Q689" s="22" t="n">
        <v>0.00441884936051252</v>
      </c>
      <c r="R689" s="22" t="n">
        <v>0.00955615887487803</v>
      </c>
      <c r="S689" s="23" t="n">
        <f aca="false">IF(A689="","",SUM(H689:R689))</f>
        <v>0.0860550802472991</v>
      </c>
      <c r="T689" s="17" t="str">
        <f aca="false">IF(A689="","",IF(AND(MIN(H689:R689)&gt;=0,MAX(H689:R689)&lt;=1,S689&lt;=1),"OK","CHECK"))</f>
        <v>OK</v>
      </c>
      <c r="U689" s="17" t="str">
        <f aca="false">IF(A689="","", "LOSS-"&amp;A689&amp;"-L"&amp;TEXT(B689,"00")&amp;"-"&amp;TEXT(C689,"yyyymmdd")&amp;"-"&amp;D689&amp;"-"&amp;E689)</f>
        <v>LOSS-KG01-L24-20251129-AM-ORD-2025-00264</v>
      </c>
      <c r="V689" s="17" t="str">
        <f aca="false">IF(U689="","",IF(COUNTIF($U$5:$U$935,U689)=1,"OK","CHECK"))</f>
        <v>OK</v>
      </c>
      <c r="W689" s="17" t="str">
        <f aca="false">IF(A689="","",IF(AND(T689="OK",V689="OK",G689&gt;=0),"OK","CHECK"))</f>
        <v>OK</v>
      </c>
    </row>
    <row r="690" customFormat="false" ht="18" hidden="false" customHeight="true" outlineLevel="0" collapsed="false">
      <c r="A690" s="18" t="s">
        <v>39</v>
      </c>
      <c r="B690" s="19" t="n">
        <v>24</v>
      </c>
      <c r="C690" s="20" t="n">
        <v>45990</v>
      </c>
      <c r="D690" s="18" t="s">
        <v>43</v>
      </c>
      <c r="E690" s="18" t="s">
        <v>160</v>
      </c>
      <c r="F690" s="18" t="s">
        <v>42</v>
      </c>
      <c r="G690" s="21" t="n">
        <v>14545</v>
      </c>
      <c r="H690" s="22" t="n">
        <v>0.000285478324781705</v>
      </c>
      <c r="I690" s="22" t="n">
        <v>0.000146280071418377</v>
      </c>
      <c r="J690" s="22" t="n">
        <v>0.00430241931163978</v>
      </c>
      <c r="K690" s="22" t="n">
        <v>0.00932066812335957</v>
      </c>
      <c r="L690" s="22" t="n">
        <v>0.00558199273412036</v>
      </c>
      <c r="M690" s="22" t="n">
        <v>0.00355925255644735</v>
      </c>
      <c r="N690" s="22" t="n">
        <v>0.00486649563604488</v>
      </c>
      <c r="O690" s="22" t="n">
        <v>0.00483173740053944</v>
      </c>
      <c r="P690" s="22" t="n">
        <v>0.00921050011179224</v>
      </c>
      <c r="Q690" s="22" t="n">
        <v>0.000227730256497994</v>
      </c>
      <c r="R690" s="22" t="n">
        <v>0.0104401437201945</v>
      </c>
      <c r="S690" s="23" t="n">
        <f aca="false">IF(A690="","",SUM(H690:R690))</f>
        <v>0.0527726982468362</v>
      </c>
      <c r="T690" s="17" t="str">
        <f aca="false">IF(A690="","",IF(AND(MIN(H690:R690)&gt;=0,MAX(H690:R690)&lt;=1,S690&lt;=1),"OK","CHECK"))</f>
        <v>OK</v>
      </c>
      <c r="U690" s="17" t="str">
        <f aca="false">IF(A690="","", "LOSS-"&amp;A690&amp;"-L"&amp;TEXT(B690,"00")&amp;"-"&amp;TEXT(C690,"yyyymmdd")&amp;"-"&amp;D690&amp;"-"&amp;E690)</f>
        <v>LOSS-KG01-L24-20251129-PM-ORD-2025-00264</v>
      </c>
      <c r="V690" s="17" t="str">
        <f aca="false">IF(U690="","",IF(COUNTIF($U$5:$U$935,U690)=1,"OK","CHECK"))</f>
        <v>OK</v>
      </c>
      <c r="W690" s="17" t="str">
        <f aca="false">IF(A690="","",IF(AND(T690="OK",V690="OK",G690&gt;=0),"OK","CHECK"))</f>
        <v>OK</v>
      </c>
    </row>
    <row r="691" customFormat="false" ht="18" hidden="false" customHeight="true" outlineLevel="0" collapsed="false">
      <c r="A691" s="18" t="s">
        <v>39</v>
      </c>
      <c r="B691" s="19" t="n">
        <v>24</v>
      </c>
      <c r="C691" s="20" t="n">
        <v>45991</v>
      </c>
      <c r="D691" s="18" t="s">
        <v>40</v>
      </c>
      <c r="E691" s="18" t="s">
        <v>160</v>
      </c>
      <c r="F691" s="18" t="s">
        <v>42</v>
      </c>
      <c r="G691" s="21" t="n">
        <v>5322</v>
      </c>
      <c r="H691" s="22" t="n">
        <v>0.00753046419855907</v>
      </c>
      <c r="I691" s="22" t="n">
        <v>0.00496096027009546</v>
      </c>
      <c r="J691" s="22" t="n">
        <v>0.000737594993114276</v>
      </c>
      <c r="K691" s="22" t="n">
        <v>0.00351475884690081</v>
      </c>
      <c r="L691" s="22" t="n">
        <v>0.00220750244542631</v>
      </c>
      <c r="M691" s="22" t="n">
        <v>1.8474809857878E-005</v>
      </c>
      <c r="N691" s="22" t="n">
        <v>0.000138394749998637</v>
      </c>
      <c r="O691" s="22" t="n">
        <v>0.0107446243255443</v>
      </c>
      <c r="P691" s="22" t="n">
        <v>0.00538552474884016</v>
      </c>
      <c r="Q691" s="22" t="n">
        <v>0.0121458224668309</v>
      </c>
      <c r="R691" s="22" t="n">
        <v>0.00590088585423769</v>
      </c>
      <c r="S691" s="23" t="n">
        <f aca="false">IF(A691="","",SUM(H691:R691))</f>
        <v>0.0532850077094055</v>
      </c>
      <c r="T691" s="17" t="str">
        <f aca="false">IF(A691="","",IF(AND(MIN(H691:R691)&gt;=0,MAX(H691:R691)&lt;=1,S691&lt;=1),"OK","CHECK"))</f>
        <v>OK</v>
      </c>
      <c r="U691" s="17" t="str">
        <f aca="false">IF(A691="","", "LOSS-"&amp;A691&amp;"-L"&amp;TEXT(B691,"00")&amp;"-"&amp;TEXT(C691,"yyyymmdd")&amp;"-"&amp;D691&amp;"-"&amp;E691)</f>
        <v>LOSS-KG01-L24-20251130-AM-ORD-2025-00264</v>
      </c>
      <c r="V691" s="17" t="str">
        <f aca="false">IF(U691="","",IF(COUNTIF($U$5:$U$935,U691)=1,"OK","CHECK"))</f>
        <v>OK</v>
      </c>
      <c r="W691" s="17" t="str">
        <f aca="false">IF(A691="","",IF(AND(T691="OK",V691="OK",G691&gt;=0),"OK","CHECK"))</f>
        <v>OK</v>
      </c>
    </row>
    <row r="692" customFormat="false" ht="18" hidden="false" customHeight="true" outlineLevel="0" collapsed="false">
      <c r="A692" s="18" t="s">
        <v>39</v>
      </c>
      <c r="B692" s="19" t="n">
        <v>24</v>
      </c>
      <c r="C692" s="20" t="n">
        <v>45991</v>
      </c>
      <c r="D692" s="18" t="s">
        <v>43</v>
      </c>
      <c r="E692" s="18" t="s">
        <v>161</v>
      </c>
      <c r="F692" s="18" t="s">
        <v>45</v>
      </c>
      <c r="G692" s="21" t="n">
        <v>3864</v>
      </c>
      <c r="H692" s="22" t="n">
        <v>0.00934045846360778</v>
      </c>
      <c r="I692" s="22" t="n">
        <v>0.014018107506134</v>
      </c>
      <c r="J692" s="22" t="n">
        <v>0.00110586064637725</v>
      </c>
      <c r="K692" s="22" t="n">
        <v>0.0101363921936765</v>
      </c>
      <c r="L692" s="22" t="n">
        <v>0.0135184541098081</v>
      </c>
      <c r="M692" s="22" t="n">
        <v>0.0133487004889502</v>
      </c>
      <c r="N692" s="22" t="n">
        <v>0.0018578236684914</v>
      </c>
      <c r="O692" s="22" t="n">
        <v>0.00348556787091137</v>
      </c>
      <c r="P692" s="22" t="n">
        <v>0.00765889912283161</v>
      </c>
      <c r="Q692" s="22" t="n">
        <v>0.0023239541941866</v>
      </c>
      <c r="R692" s="22" t="n">
        <v>9.59807372535578E-006</v>
      </c>
      <c r="S692" s="23" t="n">
        <f aca="false">IF(A692="","",SUM(H692:R692))</f>
        <v>0.0768038163387002</v>
      </c>
      <c r="T692" s="17" t="str">
        <f aca="false">IF(A692="","",IF(AND(MIN(H692:R692)&gt;=0,MAX(H692:R692)&lt;=1,S692&lt;=1),"OK","CHECK"))</f>
        <v>OK</v>
      </c>
      <c r="U692" s="17" t="str">
        <f aca="false">IF(A692="","", "LOSS-"&amp;A692&amp;"-L"&amp;TEXT(B692,"00")&amp;"-"&amp;TEXT(C692,"yyyymmdd")&amp;"-"&amp;D692&amp;"-"&amp;E692)</f>
        <v>LOSS-KG01-L24-20251130-PM-ORD-2025-00265</v>
      </c>
      <c r="V692" s="17" t="str">
        <f aca="false">IF(U692="","",IF(COUNTIF($U$5:$U$935,U692)=1,"OK","CHECK"))</f>
        <v>OK</v>
      </c>
      <c r="W692" s="17" t="str">
        <f aca="false">IF(A692="","",IF(AND(T692="OK",V692="OK",G692&gt;=0),"OK","CHECK"))</f>
        <v>OK</v>
      </c>
    </row>
    <row r="693" customFormat="false" ht="18" hidden="false" customHeight="true" outlineLevel="0" collapsed="false">
      <c r="A693" s="18" t="s">
        <v>39</v>
      </c>
      <c r="B693" s="19" t="n">
        <v>24</v>
      </c>
      <c r="C693" s="20" t="n">
        <v>45992</v>
      </c>
      <c r="D693" s="18" t="s">
        <v>40</v>
      </c>
      <c r="E693" s="18" t="s">
        <v>161</v>
      </c>
      <c r="F693" s="18" t="s">
        <v>42</v>
      </c>
      <c r="G693" s="21" t="n">
        <v>8485</v>
      </c>
      <c r="H693" s="22" t="n">
        <v>0.00102864925324052</v>
      </c>
      <c r="I693" s="22" t="n">
        <v>0.000431913211788713</v>
      </c>
      <c r="J693" s="22" t="n">
        <v>0.000109592903216874</v>
      </c>
      <c r="K693" s="22" t="n">
        <v>0.000238910068418915</v>
      </c>
      <c r="L693" s="22" t="n">
        <v>0.00348616343480163</v>
      </c>
      <c r="M693" s="22" t="n">
        <v>0.00454725809627019</v>
      </c>
      <c r="N693" s="22" t="n">
        <v>0.000126814545648903</v>
      </c>
      <c r="O693" s="22" t="n">
        <v>0.000162604666255435</v>
      </c>
      <c r="P693" s="22" t="n">
        <v>0.0120168965909229</v>
      </c>
      <c r="Q693" s="22" t="n">
        <v>0.007461492945199</v>
      </c>
      <c r="R693" s="22" t="n">
        <v>0.00128176955624001</v>
      </c>
      <c r="S693" s="23" t="n">
        <f aca="false">IF(A693="","",SUM(H693:R693))</f>
        <v>0.0308920652720031</v>
      </c>
      <c r="T693" s="17" t="str">
        <f aca="false">IF(A693="","",IF(AND(MIN(H693:R693)&gt;=0,MAX(H693:R693)&lt;=1,S693&lt;=1),"OK","CHECK"))</f>
        <v>OK</v>
      </c>
      <c r="U693" s="17" t="str">
        <f aca="false">IF(A693="","", "LOSS-"&amp;A693&amp;"-L"&amp;TEXT(B693,"00")&amp;"-"&amp;TEXT(C693,"yyyymmdd")&amp;"-"&amp;D693&amp;"-"&amp;E693)</f>
        <v>LOSS-KG01-L24-20251201-AM-ORD-2025-00265</v>
      </c>
      <c r="V693" s="17" t="str">
        <f aca="false">IF(U693="","",IF(COUNTIF($U$5:$U$935,U693)=1,"OK","CHECK"))</f>
        <v>OK</v>
      </c>
      <c r="W693" s="17" t="str">
        <f aca="false">IF(A693="","",IF(AND(T693="OK",V693="OK",G693&gt;=0),"OK","CHECK"))</f>
        <v>OK</v>
      </c>
    </row>
    <row r="694" customFormat="false" ht="18" hidden="false" customHeight="true" outlineLevel="0" collapsed="false">
      <c r="A694" s="18" t="s">
        <v>39</v>
      </c>
      <c r="B694" s="19" t="n">
        <v>24</v>
      </c>
      <c r="C694" s="20" t="n">
        <v>45992</v>
      </c>
      <c r="D694" s="18" t="s">
        <v>43</v>
      </c>
      <c r="E694" s="18" t="s">
        <v>161</v>
      </c>
      <c r="F694" s="18" t="s">
        <v>42</v>
      </c>
      <c r="G694" s="21" t="n">
        <v>12808</v>
      </c>
      <c r="H694" s="22" t="n">
        <v>0.000257395061929949</v>
      </c>
      <c r="I694" s="22" t="n">
        <v>0.005586458181677</v>
      </c>
      <c r="J694" s="22" t="n">
        <v>0.00569977821724115</v>
      </c>
      <c r="K694" s="22" t="n">
        <v>0.000104508642468289</v>
      </c>
      <c r="L694" s="22" t="n">
        <v>4.05002475657276E-005</v>
      </c>
      <c r="M694" s="22" t="n">
        <v>0.00163138170286663</v>
      </c>
      <c r="N694" s="22" t="n">
        <v>0.00972799697694087</v>
      </c>
      <c r="O694" s="22" t="n">
        <v>0.00958036436988047</v>
      </c>
      <c r="P694" s="22" t="n">
        <v>0.014014821010178</v>
      </c>
      <c r="Q694" s="22" t="n">
        <v>0.000106705386259078</v>
      </c>
      <c r="R694" s="22" t="n">
        <v>0.00854326317115866</v>
      </c>
      <c r="S694" s="23" t="n">
        <f aca="false">IF(A694="","",SUM(H694:R694))</f>
        <v>0.0552931729681658</v>
      </c>
      <c r="T694" s="17" t="str">
        <f aca="false">IF(A694="","",IF(AND(MIN(H694:R694)&gt;=0,MAX(H694:R694)&lt;=1,S694&lt;=1),"OK","CHECK"))</f>
        <v>OK</v>
      </c>
      <c r="U694" s="17" t="str">
        <f aca="false">IF(A694="","", "LOSS-"&amp;A694&amp;"-L"&amp;TEXT(B694,"00")&amp;"-"&amp;TEXT(C694,"yyyymmdd")&amp;"-"&amp;D694&amp;"-"&amp;E694)</f>
        <v>LOSS-KG01-L24-20251201-PM-ORD-2025-00265</v>
      </c>
      <c r="V694" s="17" t="str">
        <f aca="false">IF(U694="","",IF(COUNTIF($U$5:$U$935,U694)=1,"OK","CHECK"))</f>
        <v>OK</v>
      </c>
      <c r="W694" s="17" t="str">
        <f aca="false">IF(A694="","",IF(AND(T694="OK",V694="OK",G694&gt;=0),"OK","CHECK"))</f>
        <v>OK</v>
      </c>
    </row>
    <row r="695" customFormat="false" ht="18" hidden="false" customHeight="true" outlineLevel="0" collapsed="false">
      <c r="A695" s="18" t="s">
        <v>39</v>
      </c>
      <c r="B695" s="19" t="n">
        <v>24</v>
      </c>
      <c r="C695" s="20" t="n">
        <v>45993</v>
      </c>
      <c r="D695" s="18" t="s">
        <v>40</v>
      </c>
      <c r="E695" s="18" t="s">
        <v>162</v>
      </c>
      <c r="F695" s="18" t="s">
        <v>45</v>
      </c>
      <c r="G695" s="21" t="n">
        <v>4591</v>
      </c>
      <c r="H695" s="22" t="n">
        <v>0.0050727422310215</v>
      </c>
      <c r="I695" s="22" t="n">
        <v>0.00439302359932413</v>
      </c>
      <c r="J695" s="22" t="n">
        <v>0.00172947081972719</v>
      </c>
      <c r="K695" s="22" t="n">
        <v>0.00476417513868933</v>
      </c>
      <c r="L695" s="22" t="n">
        <v>0.00251040934194194</v>
      </c>
      <c r="M695" s="22" t="n">
        <v>5.85061514421767E-005</v>
      </c>
      <c r="N695" s="22" t="n">
        <v>0.000945006071902378</v>
      </c>
      <c r="O695" s="22" t="n">
        <v>0.00502488471255033</v>
      </c>
      <c r="P695" s="22" t="n">
        <v>0.000564201412353343</v>
      </c>
      <c r="Q695" s="22" t="n">
        <v>0.00447073404795574</v>
      </c>
      <c r="R695" s="22" t="n">
        <v>5.01287933594994E-005</v>
      </c>
      <c r="S695" s="23" t="n">
        <f aca="false">IF(A695="","",SUM(H695:R695))</f>
        <v>0.0295832823202676</v>
      </c>
      <c r="T695" s="17" t="str">
        <f aca="false">IF(A695="","",IF(AND(MIN(H695:R695)&gt;=0,MAX(H695:R695)&lt;=1,S695&lt;=1),"OK","CHECK"))</f>
        <v>OK</v>
      </c>
      <c r="U695" s="17" t="str">
        <f aca="false">IF(A695="","", "LOSS-"&amp;A695&amp;"-L"&amp;TEXT(B695,"00")&amp;"-"&amp;TEXT(C695,"yyyymmdd")&amp;"-"&amp;D695&amp;"-"&amp;E695)</f>
        <v>LOSS-KG01-L24-20251202-AM-ORD-2025-00266</v>
      </c>
      <c r="V695" s="17" t="str">
        <f aca="false">IF(U695="","",IF(COUNTIF($U$5:$U$935,U695)=1,"OK","CHECK"))</f>
        <v>OK</v>
      </c>
      <c r="W695" s="17" t="str">
        <f aca="false">IF(A695="","",IF(AND(T695="OK",V695="OK",G695&gt;=0),"OK","CHECK"))</f>
        <v>OK</v>
      </c>
    </row>
    <row r="696" customFormat="false" ht="18" hidden="false" customHeight="true" outlineLevel="0" collapsed="false">
      <c r="A696" s="18" t="s">
        <v>39</v>
      </c>
      <c r="B696" s="19" t="n">
        <v>24</v>
      </c>
      <c r="C696" s="20" t="n">
        <v>45993</v>
      </c>
      <c r="D696" s="18" t="s">
        <v>43</v>
      </c>
      <c r="E696" s="18" t="s">
        <v>162</v>
      </c>
      <c r="F696" s="18" t="s">
        <v>42</v>
      </c>
      <c r="G696" s="21" t="n">
        <v>13330</v>
      </c>
      <c r="H696" s="22" t="n">
        <v>0.0027611623208016</v>
      </c>
      <c r="I696" s="22" t="n">
        <v>0.0136538603270063</v>
      </c>
      <c r="J696" s="22" t="n">
        <v>0.000465867375881061</v>
      </c>
      <c r="K696" s="22" t="n">
        <v>0.000221141241763992</v>
      </c>
      <c r="L696" s="22" t="n">
        <v>0.0221866986453661</v>
      </c>
      <c r="M696" s="22" t="n">
        <v>3.99648167704718E-007</v>
      </c>
      <c r="N696" s="22" t="n">
        <v>0.019754045891685</v>
      </c>
      <c r="O696" s="22" t="n">
        <v>4.49566583874831E-005</v>
      </c>
      <c r="P696" s="22" t="n">
        <v>0.0162908149680178</v>
      </c>
      <c r="Q696" s="22" t="n">
        <v>0.00409766410021386</v>
      </c>
      <c r="R696" s="22" t="n">
        <v>0.000284047012686712</v>
      </c>
      <c r="S696" s="23" t="n">
        <f aca="false">IF(A696="","",SUM(H696:R696))</f>
        <v>0.0797606581899776</v>
      </c>
      <c r="T696" s="17" t="str">
        <f aca="false">IF(A696="","",IF(AND(MIN(H696:R696)&gt;=0,MAX(H696:R696)&lt;=1,S696&lt;=1),"OK","CHECK"))</f>
        <v>OK</v>
      </c>
      <c r="U696" s="17" t="str">
        <f aca="false">IF(A696="","", "LOSS-"&amp;A696&amp;"-L"&amp;TEXT(B696,"00")&amp;"-"&amp;TEXT(C696,"yyyymmdd")&amp;"-"&amp;D696&amp;"-"&amp;E696)</f>
        <v>LOSS-KG01-L24-20251202-PM-ORD-2025-00266</v>
      </c>
      <c r="V696" s="17" t="str">
        <f aca="false">IF(U696="","",IF(COUNTIF($U$5:$U$935,U696)=1,"OK","CHECK"))</f>
        <v>OK</v>
      </c>
      <c r="W696" s="17" t="str">
        <f aca="false">IF(A696="","",IF(AND(T696="OK",V696="OK",G696&gt;=0),"OK","CHECK"))</f>
        <v>OK</v>
      </c>
    </row>
    <row r="697" customFormat="false" ht="18" hidden="false" customHeight="true" outlineLevel="0" collapsed="false">
      <c r="A697" s="18" t="s">
        <v>39</v>
      </c>
      <c r="B697" s="19" t="n">
        <v>24</v>
      </c>
      <c r="C697" s="20" t="n">
        <v>45994</v>
      </c>
      <c r="D697" s="18" t="s">
        <v>40</v>
      </c>
      <c r="E697" s="18" t="s">
        <v>162</v>
      </c>
      <c r="F697" s="18" t="s">
        <v>42</v>
      </c>
      <c r="G697" s="21" t="n">
        <v>11070</v>
      </c>
      <c r="H697" s="22" t="n">
        <v>0.000314448985356204</v>
      </c>
      <c r="I697" s="22" t="n">
        <v>0.0110090557258749</v>
      </c>
      <c r="J697" s="22" t="n">
        <v>0.00998805841573883</v>
      </c>
      <c r="K697" s="22" t="n">
        <v>0.000764235970866514</v>
      </c>
      <c r="L697" s="22" t="n">
        <v>0.00139144972551365</v>
      </c>
      <c r="M697" s="22" t="n">
        <v>0.000427327744465277</v>
      </c>
      <c r="N697" s="22" t="n">
        <v>0.0105111666106884</v>
      </c>
      <c r="O697" s="22" t="n">
        <v>0.00612170361061914</v>
      </c>
      <c r="P697" s="22" t="n">
        <v>0.000134531274604262</v>
      </c>
      <c r="Q697" s="22" t="n">
        <v>0.0082260005996926</v>
      </c>
      <c r="R697" s="22" t="n">
        <v>0.00275797363755432</v>
      </c>
      <c r="S697" s="23" t="n">
        <f aca="false">IF(A697="","",SUM(H697:R697))</f>
        <v>0.0516459523009741</v>
      </c>
      <c r="T697" s="17" t="str">
        <f aca="false">IF(A697="","",IF(AND(MIN(H697:R697)&gt;=0,MAX(H697:R697)&lt;=1,S697&lt;=1),"OK","CHECK"))</f>
        <v>OK</v>
      </c>
      <c r="U697" s="17" t="str">
        <f aca="false">IF(A697="","", "LOSS-"&amp;A697&amp;"-L"&amp;TEXT(B697,"00")&amp;"-"&amp;TEXT(C697,"yyyymmdd")&amp;"-"&amp;D697&amp;"-"&amp;E697)</f>
        <v>LOSS-KG01-L24-20251203-AM-ORD-2025-00266</v>
      </c>
      <c r="V697" s="17" t="str">
        <f aca="false">IF(U697="","",IF(COUNTIF($U$5:$U$935,U697)=1,"OK","CHECK"))</f>
        <v>OK</v>
      </c>
      <c r="W697" s="17" t="str">
        <f aca="false">IF(A697="","",IF(AND(T697="OK",V697="OK",G697&gt;=0),"OK","CHECK"))</f>
        <v>OK</v>
      </c>
    </row>
    <row r="698" customFormat="false" ht="18" hidden="false" customHeight="true" outlineLevel="0" collapsed="false">
      <c r="A698" s="18" t="s">
        <v>39</v>
      </c>
      <c r="B698" s="19" t="n">
        <v>24</v>
      </c>
      <c r="C698" s="20" t="n">
        <v>45994</v>
      </c>
      <c r="D698" s="18" t="s">
        <v>43</v>
      </c>
      <c r="E698" s="18" t="s">
        <v>162</v>
      </c>
      <c r="F698" s="18" t="s">
        <v>42</v>
      </c>
      <c r="G698" s="21" t="n">
        <v>7910</v>
      </c>
      <c r="H698" s="22" t="n">
        <v>0.00556801807134369</v>
      </c>
      <c r="I698" s="22" t="n">
        <v>0.0001682030308403</v>
      </c>
      <c r="J698" s="22" t="n">
        <v>0.00570814511384374</v>
      </c>
      <c r="K698" s="22" t="n">
        <v>0.00708719381830443</v>
      </c>
      <c r="L698" s="22" t="n">
        <v>0.00488297376596498</v>
      </c>
      <c r="M698" s="22" t="n">
        <v>0.000596811211401832</v>
      </c>
      <c r="N698" s="22" t="n">
        <v>0.00174451556642822</v>
      </c>
      <c r="O698" s="22" t="n">
        <v>0.00486814654545673</v>
      </c>
      <c r="P698" s="22" t="n">
        <v>0.00802848159771179</v>
      </c>
      <c r="Q698" s="22" t="n">
        <v>0.00348683246937743</v>
      </c>
      <c r="R698" s="22" t="n">
        <v>0.00558487998704672</v>
      </c>
      <c r="S698" s="23" t="n">
        <f aca="false">IF(A698="","",SUM(H698:R698))</f>
        <v>0.0477242011777199</v>
      </c>
      <c r="T698" s="17" t="str">
        <f aca="false">IF(A698="","",IF(AND(MIN(H698:R698)&gt;=0,MAX(H698:R698)&lt;=1,S698&lt;=1),"OK","CHECK"))</f>
        <v>OK</v>
      </c>
      <c r="U698" s="17" t="str">
        <f aca="false">IF(A698="","", "LOSS-"&amp;A698&amp;"-L"&amp;TEXT(B698,"00")&amp;"-"&amp;TEXT(C698,"yyyymmdd")&amp;"-"&amp;D698&amp;"-"&amp;E698)</f>
        <v>LOSS-KG01-L24-20251203-PM-ORD-2025-00266</v>
      </c>
      <c r="V698" s="17" t="str">
        <f aca="false">IF(U698="","",IF(COUNTIF($U$5:$U$935,U698)=1,"OK","CHECK"))</f>
        <v>OK</v>
      </c>
      <c r="W698" s="17" t="str">
        <f aca="false">IF(A698="","",IF(AND(T698="OK",V698="OK",G698&gt;=0),"OK","CHECK"))</f>
        <v>OK</v>
      </c>
    </row>
    <row r="699" customFormat="false" ht="18" hidden="false" customHeight="true" outlineLevel="0" collapsed="false">
      <c r="A699" s="18" t="s">
        <v>39</v>
      </c>
      <c r="B699" s="19" t="n">
        <v>24</v>
      </c>
      <c r="C699" s="20" t="n">
        <v>45995</v>
      </c>
      <c r="D699" s="18" t="s">
        <v>40</v>
      </c>
      <c r="E699" s="18" t="s">
        <v>162</v>
      </c>
      <c r="F699" s="18" t="s">
        <v>42</v>
      </c>
      <c r="G699" s="21" t="n">
        <v>4385</v>
      </c>
      <c r="H699" s="22" t="n">
        <v>0.00455552264209868</v>
      </c>
      <c r="I699" s="22" t="n">
        <v>0.00156013013900806</v>
      </c>
      <c r="J699" s="22" t="n">
        <v>0.000363840055050961</v>
      </c>
      <c r="K699" s="22" t="n">
        <v>0.0011870153451009</v>
      </c>
      <c r="L699" s="22" t="n">
        <v>0.00241749333796593</v>
      </c>
      <c r="M699" s="22" t="n">
        <v>0.000969905318743998</v>
      </c>
      <c r="N699" s="22" t="n">
        <v>0.00437535721597008</v>
      </c>
      <c r="O699" s="22" t="n">
        <v>0.000550735484618121</v>
      </c>
      <c r="P699" s="22" t="n">
        <v>0.000119261468002382</v>
      </c>
      <c r="Q699" s="22" t="n">
        <v>0.006094645020977</v>
      </c>
      <c r="R699" s="22" t="n">
        <v>0.00108870289896836</v>
      </c>
      <c r="S699" s="23" t="n">
        <f aca="false">IF(A699="","",SUM(H699:R699))</f>
        <v>0.0232826089265045</v>
      </c>
      <c r="T699" s="17" t="str">
        <f aca="false">IF(A699="","",IF(AND(MIN(H699:R699)&gt;=0,MAX(H699:R699)&lt;=1,S699&lt;=1),"OK","CHECK"))</f>
        <v>OK</v>
      </c>
      <c r="U699" s="17" t="str">
        <f aca="false">IF(A699="","", "LOSS-"&amp;A699&amp;"-L"&amp;TEXT(B699,"00")&amp;"-"&amp;TEXT(C699,"yyyymmdd")&amp;"-"&amp;D699&amp;"-"&amp;E699)</f>
        <v>LOSS-KG01-L24-20251204-AM-ORD-2025-00266</v>
      </c>
      <c r="V699" s="17" t="str">
        <f aca="false">IF(U699="","",IF(COUNTIF($U$5:$U$935,U699)=1,"OK","CHECK"))</f>
        <v>OK</v>
      </c>
      <c r="W699" s="17" t="str">
        <f aca="false">IF(A699="","",IF(AND(T699="OK",V699="OK",G699&gt;=0),"OK","CHECK"))</f>
        <v>OK</v>
      </c>
    </row>
    <row r="700" customFormat="false" ht="18" hidden="false" customHeight="true" outlineLevel="0" collapsed="false">
      <c r="A700" s="18" t="s">
        <v>39</v>
      </c>
      <c r="B700" s="19" t="n">
        <v>24</v>
      </c>
      <c r="C700" s="20" t="n">
        <v>45995</v>
      </c>
      <c r="D700" s="18" t="s">
        <v>43</v>
      </c>
      <c r="E700" s="18" t="s">
        <v>162</v>
      </c>
      <c r="F700" s="18" t="s">
        <v>42</v>
      </c>
      <c r="G700" s="21" t="n">
        <v>7891</v>
      </c>
      <c r="H700" s="22" t="n">
        <v>0.00451506341479816</v>
      </c>
      <c r="I700" s="22" t="n">
        <v>0.000979437754690417</v>
      </c>
      <c r="J700" s="22" t="n">
        <v>0.00512877648844607</v>
      </c>
      <c r="K700" s="22" t="n">
        <v>0.0106823762842664</v>
      </c>
      <c r="L700" s="22" t="n">
        <v>0.00674576469116632</v>
      </c>
      <c r="M700" s="22" t="n">
        <v>0.000877784260411068</v>
      </c>
      <c r="N700" s="22" t="n">
        <v>0.00494524664528328</v>
      </c>
      <c r="O700" s="22" t="n">
        <v>2.84856138796682E-008</v>
      </c>
      <c r="P700" s="22" t="n">
        <v>0.000177321070310803</v>
      </c>
      <c r="Q700" s="22" t="n">
        <v>0.00471084417445166</v>
      </c>
      <c r="R700" s="22" t="n">
        <v>0.0075283842142096</v>
      </c>
      <c r="S700" s="23" t="n">
        <f aca="false">IF(A700="","",SUM(H700:R700))</f>
        <v>0.0462910274836477</v>
      </c>
      <c r="T700" s="17" t="str">
        <f aca="false">IF(A700="","",IF(AND(MIN(H700:R700)&gt;=0,MAX(H700:R700)&lt;=1,S700&lt;=1),"OK","CHECK"))</f>
        <v>OK</v>
      </c>
      <c r="U700" s="17" t="str">
        <f aca="false">IF(A700="","", "LOSS-"&amp;A700&amp;"-L"&amp;TEXT(B700,"00")&amp;"-"&amp;TEXT(C700,"yyyymmdd")&amp;"-"&amp;D700&amp;"-"&amp;E700)</f>
        <v>LOSS-KG01-L24-20251204-PM-ORD-2025-00266</v>
      </c>
      <c r="V700" s="17" t="str">
        <f aca="false">IF(U700="","",IF(COUNTIF($U$5:$U$935,U700)=1,"OK","CHECK"))</f>
        <v>OK</v>
      </c>
      <c r="W700" s="17" t="str">
        <f aca="false">IF(A700="","",IF(AND(T700="OK",V700="OK",G700&gt;=0),"OK","CHECK"))</f>
        <v>OK</v>
      </c>
    </row>
    <row r="701" customFormat="false" ht="18" hidden="false" customHeight="true" outlineLevel="0" collapsed="false">
      <c r="A701" s="18" t="s">
        <v>39</v>
      </c>
      <c r="B701" s="19" t="n">
        <v>24</v>
      </c>
      <c r="C701" s="20" t="n">
        <v>45996</v>
      </c>
      <c r="D701" s="18" t="s">
        <v>40</v>
      </c>
      <c r="E701" s="18" t="s">
        <v>163</v>
      </c>
      <c r="F701" s="18" t="s">
        <v>45</v>
      </c>
      <c r="G701" s="21" t="n">
        <v>3951</v>
      </c>
      <c r="H701" s="22" t="n">
        <v>0.00507586613028797</v>
      </c>
      <c r="I701" s="22" t="n">
        <v>0.00353142910873981</v>
      </c>
      <c r="J701" s="22" t="n">
        <v>0.0070453395716419</v>
      </c>
      <c r="K701" s="22" t="n">
        <v>0.00357551582431551</v>
      </c>
      <c r="L701" s="22" t="n">
        <v>0.00993542953799835</v>
      </c>
      <c r="M701" s="22" t="n">
        <v>0.000657367885849574</v>
      </c>
      <c r="N701" s="22" t="n">
        <v>0.00537031298508158</v>
      </c>
      <c r="O701" s="22" t="n">
        <v>0.000566054328043549</v>
      </c>
      <c r="P701" s="22" t="n">
        <v>0.000663808985847243</v>
      </c>
      <c r="Q701" s="22" t="n">
        <v>2.30293462347804E-005</v>
      </c>
      <c r="R701" s="22" t="n">
        <v>5.53659175693862E-005</v>
      </c>
      <c r="S701" s="23" t="n">
        <f aca="false">IF(A701="","",SUM(H701:R701))</f>
        <v>0.0364995196216097</v>
      </c>
      <c r="T701" s="17" t="str">
        <f aca="false">IF(A701="","",IF(AND(MIN(H701:R701)&gt;=0,MAX(H701:R701)&lt;=1,S701&lt;=1),"OK","CHECK"))</f>
        <v>OK</v>
      </c>
      <c r="U701" s="17" t="str">
        <f aca="false">IF(A701="","", "LOSS-"&amp;A701&amp;"-L"&amp;TEXT(B701,"00")&amp;"-"&amp;TEXT(C701,"yyyymmdd")&amp;"-"&amp;D701&amp;"-"&amp;E701)</f>
        <v>LOSS-KG01-L24-20251205-AM-ORD-2025-00267</v>
      </c>
      <c r="V701" s="17" t="str">
        <f aca="false">IF(U701="","",IF(COUNTIF($U$5:$U$935,U701)=1,"OK","CHECK"))</f>
        <v>OK</v>
      </c>
      <c r="W701" s="17" t="str">
        <f aca="false">IF(A701="","",IF(AND(T701="OK",V701="OK",G701&gt;=0),"OK","CHECK"))</f>
        <v>OK</v>
      </c>
    </row>
    <row r="702" customFormat="false" ht="18" hidden="false" customHeight="true" outlineLevel="0" collapsed="false">
      <c r="A702" s="18" t="s">
        <v>39</v>
      </c>
      <c r="B702" s="19" t="n">
        <v>24</v>
      </c>
      <c r="C702" s="20" t="n">
        <v>45996</v>
      </c>
      <c r="D702" s="18" t="s">
        <v>43</v>
      </c>
      <c r="E702" s="18" t="s">
        <v>163</v>
      </c>
      <c r="F702" s="18" t="s">
        <v>42</v>
      </c>
      <c r="G702" s="21" t="n">
        <v>5945</v>
      </c>
      <c r="H702" s="22" t="n">
        <v>0.00234047236210904</v>
      </c>
      <c r="I702" s="22" t="n">
        <v>0.0139952446497537</v>
      </c>
      <c r="J702" s="22" t="n">
        <v>0.00114887392471599</v>
      </c>
      <c r="K702" s="22" t="n">
        <v>0.000190506284657063</v>
      </c>
      <c r="L702" s="22" t="n">
        <v>1.1926329720439E-007</v>
      </c>
      <c r="M702" s="22" t="n">
        <v>0.000663764317549768</v>
      </c>
      <c r="N702" s="22" t="n">
        <v>0.000184334330428275</v>
      </c>
      <c r="O702" s="22" t="n">
        <v>0.00728158795144106</v>
      </c>
      <c r="P702" s="22" t="n">
        <v>0.00256670591790307</v>
      </c>
      <c r="Q702" s="22" t="n">
        <v>0.00175043326566526</v>
      </c>
      <c r="R702" s="22" t="n">
        <v>0.00300253287985467</v>
      </c>
      <c r="S702" s="23" t="n">
        <f aca="false">IF(A702="","",SUM(H702:R702))</f>
        <v>0.0331245751473751</v>
      </c>
      <c r="T702" s="17" t="str">
        <f aca="false">IF(A702="","",IF(AND(MIN(H702:R702)&gt;=0,MAX(H702:R702)&lt;=1,S702&lt;=1),"OK","CHECK"))</f>
        <v>OK</v>
      </c>
      <c r="U702" s="17" t="str">
        <f aca="false">IF(A702="","", "LOSS-"&amp;A702&amp;"-L"&amp;TEXT(B702,"00")&amp;"-"&amp;TEXT(C702,"yyyymmdd")&amp;"-"&amp;D702&amp;"-"&amp;E702)</f>
        <v>LOSS-KG01-L24-20251205-PM-ORD-2025-00267</v>
      </c>
      <c r="V702" s="17" t="str">
        <f aca="false">IF(U702="","",IF(COUNTIF($U$5:$U$935,U702)=1,"OK","CHECK"))</f>
        <v>OK</v>
      </c>
      <c r="W702" s="17" t="str">
        <f aca="false">IF(A702="","",IF(AND(T702="OK",V702="OK",G702&gt;=0),"OK","CHECK"))</f>
        <v>OK</v>
      </c>
    </row>
    <row r="703" customFormat="false" ht="18" hidden="false" customHeight="true" outlineLevel="0" collapsed="false">
      <c r="A703" s="18" t="s">
        <v>39</v>
      </c>
      <c r="B703" s="19" t="n">
        <v>24</v>
      </c>
      <c r="C703" s="20" t="n">
        <v>45997</v>
      </c>
      <c r="D703" s="18" t="s">
        <v>40</v>
      </c>
      <c r="E703" s="18" t="s">
        <v>163</v>
      </c>
      <c r="F703" s="18" t="s">
        <v>42</v>
      </c>
      <c r="G703" s="21" t="n">
        <v>15446</v>
      </c>
      <c r="H703" s="22" t="n">
        <v>0.000484377051971648</v>
      </c>
      <c r="I703" s="22" t="n">
        <v>0.00941289688466115</v>
      </c>
      <c r="J703" s="22" t="n">
        <v>0.000340529789213972</v>
      </c>
      <c r="K703" s="22" t="n">
        <v>0.00304861485462469</v>
      </c>
      <c r="L703" s="22" t="n">
        <v>0.0214108440779282</v>
      </c>
      <c r="M703" s="22" t="n">
        <v>0.00321565573682031</v>
      </c>
      <c r="N703" s="22" t="n">
        <v>0.00603577081286911</v>
      </c>
      <c r="O703" s="22" t="n">
        <v>0.00169625757531294</v>
      </c>
      <c r="P703" s="22" t="n">
        <v>0.00985839764481792</v>
      </c>
      <c r="Q703" s="22" t="n">
        <v>0.0164949191033702</v>
      </c>
      <c r="R703" s="22" t="n">
        <v>0.000477337069010497</v>
      </c>
      <c r="S703" s="23" t="n">
        <f aca="false">IF(A703="","",SUM(H703:R703))</f>
        <v>0.0724756006006006</v>
      </c>
      <c r="T703" s="17" t="str">
        <f aca="false">IF(A703="","",IF(AND(MIN(H703:R703)&gt;=0,MAX(H703:R703)&lt;=1,S703&lt;=1),"OK","CHECK"))</f>
        <v>OK</v>
      </c>
      <c r="U703" s="17" t="str">
        <f aca="false">IF(A703="","", "LOSS-"&amp;A703&amp;"-L"&amp;TEXT(B703,"00")&amp;"-"&amp;TEXT(C703,"yyyymmdd")&amp;"-"&amp;D703&amp;"-"&amp;E703)</f>
        <v>LOSS-KG01-L24-20251206-AM-ORD-2025-00267</v>
      </c>
      <c r="V703" s="17" t="str">
        <f aca="false">IF(U703="","",IF(COUNTIF($U$5:$U$935,U703)=1,"OK","CHECK"))</f>
        <v>OK</v>
      </c>
      <c r="W703" s="17" t="str">
        <f aca="false">IF(A703="","",IF(AND(T703="OK",V703="OK",G703&gt;=0),"OK","CHECK"))</f>
        <v>OK</v>
      </c>
    </row>
    <row r="704" customFormat="false" ht="18" hidden="false" customHeight="true" outlineLevel="0" collapsed="false">
      <c r="A704" s="18" t="s">
        <v>39</v>
      </c>
      <c r="B704" s="19" t="n">
        <v>24</v>
      </c>
      <c r="C704" s="20" t="n">
        <v>45997</v>
      </c>
      <c r="D704" s="18" t="s">
        <v>43</v>
      </c>
      <c r="E704" s="18" t="s">
        <v>163</v>
      </c>
      <c r="F704" s="18" t="s">
        <v>42</v>
      </c>
      <c r="G704" s="21" t="n">
        <v>5602</v>
      </c>
      <c r="H704" s="22" t="n">
        <v>0.00238538788411632</v>
      </c>
      <c r="I704" s="22" t="n">
        <v>0.000556554408353672</v>
      </c>
      <c r="J704" s="22" t="n">
        <v>0.00698153079797788</v>
      </c>
      <c r="K704" s="22" t="n">
        <v>0.0141147523448399</v>
      </c>
      <c r="L704" s="22" t="n">
        <v>0.000928054376849529</v>
      </c>
      <c r="M704" s="22" t="n">
        <v>0.00376402768666551</v>
      </c>
      <c r="N704" s="22" t="n">
        <v>0.00118131224250817</v>
      </c>
      <c r="O704" s="22" t="n">
        <v>3.77050891898452E-005</v>
      </c>
      <c r="P704" s="22" t="n">
        <v>1.47194456370735E-007</v>
      </c>
      <c r="Q704" s="22" t="n">
        <v>0.00338409706382215</v>
      </c>
      <c r="R704" s="22" t="n">
        <v>5.9373209742324E-005</v>
      </c>
      <c r="S704" s="23" t="n">
        <f aca="false">IF(A704="","",SUM(H704:R704))</f>
        <v>0.0333929422985217</v>
      </c>
      <c r="T704" s="17" t="str">
        <f aca="false">IF(A704="","",IF(AND(MIN(H704:R704)&gt;=0,MAX(H704:R704)&lt;=1,S704&lt;=1),"OK","CHECK"))</f>
        <v>OK</v>
      </c>
      <c r="U704" s="17" t="str">
        <f aca="false">IF(A704="","", "LOSS-"&amp;A704&amp;"-L"&amp;TEXT(B704,"00")&amp;"-"&amp;TEXT(C704,"yyyymmdd")&amp;"-"&amp;D704&amp;"-"&amp;E704)</f>
        <v>LOSS-KG01-L24-20251206-PM-ORD-2025-00267</v>
      </c>
      <c r="V704" s="17" t="str">
        <f aca="false">IF(U704="","",IF(COUNTIF($U$5:$U$935,U704)=1,"OK","CHECK"))</f>
        <v>OK</v>
      </c>
      <c r="W704" s="17" t="str">
        <f aca="false">IF(A704="","",IF(AND(T704="OK",V704="OK",G704&gt;=0),"OK","CHECK"))</f>
        <v>OK</v>
      </c>
    </row>
    <row r="705" customFormat="false" ht="18" hidden="false" customHeight="true" outlineLevel="0" collapsed="false">
      <c r="A705" s="18" t="s">
        <v>39</v>
      </c>
      <c r="B705" s="19" t="n">
        <v>24</v>
      </c>
      <c r="C705" s="20" t="n">
        <v>45998</v>
      </c>
      <c r="D705" s="18" t="s">
        <v>40</v>
      </c>
      <c r="E705" s="18" t="s">
        <v>163</v>
      </c>
      <c r="F705" s="18" t="s">
        <v>42</v>
      </c>
      <c r="G705" s="21" t="n">
        <v>10291</v>
      </c>
      <c r="H705" s="22" t="n">
        <v>0.018096031890848</v>
      </c>
      <c r="I705" s="22" t="n">
        <v>8.13246628232749E-005</v>
      </c>
      <c r="J705" s="22" t="n">
        <v>0.00481935954175405</v>
      </c>
      <c r="K705" s="22" t="n">
        <v>0.00191362332615495</v>
      </c>
      <c r="L705" s="22" t="n">
        <v>0.00391373815695048</v>
      </c>
      <c r="M705" s="22" t="n">
        <v>0.0177867141604066</v>
      </c>
      <c r="N705" s="22" t="n">
        <v>0.000453332319062192</v>
      </c>
      <c r="O705" s="22" t="n">
        <v>0.00178677916739302</v>
      </c>
      <c r="P705" s="22" t="n">
        <v>0.00415883161946967</v>
      </c>
      <c r="Q705" s="22" t="n">
        <v>4.34069564316847E-006</v>
      </c>
      <c r="R705" s="22" t="n">
        <v>0.0141367609901761</v>
      </c>
      <c r="S705" s="23" t="n">
        <f aca="false">IF(A705="","",SUM(H705:R705))</f>
        <v>0.0671508365306815</v>
      </c>
      <c r="T705" s="17" t="str">
        <f aca="false">IF(A705="","",IF(AND(MIN(H705:R705)&gt;=0,MAX(H705:R705)&lt;=1,S705&lt;=1),"OK","CHECK"))</f>
        <v>OK</v>
      </c>
      <c r="U705" s="17" t="str">
        <f aca="false">IF(A705="","", "LOSS-"&amp;A705&amp;"-L"&amp;TEXT(B705,"00")&amp;"-"&amp;TEXT(C705,"yyyymmdd")&amp;"-"&amp;D705&amp;"-"&amp;E705)</f>
        <v>LOSS-KG01-L24-20251207-AM-ORD-2025-00267</v>
      </c>
      <c r="V705" s="17" t="str">
        <f aca="false">IF(U705="","",IF(COUNTIF($U$5:$U$935,U705)=1,"OK","CHECK"))</f>
        <v>OK</v>
      </c>
      <c r="W705" s="17" t="str">
        <f aca="false">IF(A705="","",IF(AND(T705="OK",V705="OK",G705&gt;=0),"OK","CHECK"))</f>
        <v>OK</v>
      </c>
    </row>
    <row r="706" customFormat="false" ht="18" hidden="false" customHeight="true" outlineLevel="0" collapsed="false">
      <c r="A706" s="18" t="s">
        <v>39</v>
      </c>
      <c r="B706" s="19" t="n">
        <v>24</v>
      </c>
      <c r="C706" s="20" t="n">
        <v>45998</v>
      </c>
      <c r="D706" s="18" t="s">
        <v>43</v>
      </c>
      <c r="E706" s="18" t="s">
        <v>163</v>
      </c>
      <c r="F706" s="18" t="s">
        <v>42</v>
      </c>
      <c r="G706" s="21" t="n">
        <v>6904</v>
      </c>
      <c r="H706" s="22" t="n">
        <v>0.00495800773237845</v>
      </c>
      <c r="I706" s="22" t="n">
        <v>0.00608046488387034</v>
      </c>
      <c r="J706" s="22" t="n">
        <v>0.00213889893040382</v>
      </c>
      <c r="K706" s="22" t="n">
        <v>0.00733723880933813</v>
      </c>
      <c r="L706" s="22" t="n">
        <v>0.00356927393386948</v>
      </c>
      <c r="M706" s="22" t="n">
        <v>0.00837807987226935</v>
      </c>
      <c r="N706" s="22" t="n">
        <v>0.00134286168268422</v>
      </c>
      <c r="O706" s="22" t="n">
        <v>0.0040193926440613</v>
      </c>
      <c r="P706" s="22" t="n">
        <v>0.00269697500117634</v>
      </c>
      <c r="Q706" s="22" t="n">
        <v>0.000455143258141918</v>
      </c>
      <c r="R706" s="22" t="n">
        <v>0.000860002208564461</v>
      </c>
      <c r="S706" s="23" t="n">
        <f aca="false">IF(A706="","",SUM(H706:R706))</f>
        <v>0.0418363389567578</v>
      </c>
      <c r="T706" s="17" t="str">
        <f aca="false">IF(A706="","",IF(AND(MIN(H706:R706)&gt;=0,MAX(H706:R706)&lt;=1,S706&lt;=1),"OK","CHECK"))</f>
        <v>OK</v>
      </c>
      <c r="U706" s="17" t="str">
        <f aca="false">IF(A706="","", "LOSS-"&amp;A706&amp;"-L"&amp;TEXT(B706,"00")&amp;"-"&amp;TEXT(C706,"yyyymmdd")&amp;"-"&amp;D706&amp;"-"&amp;E706)</f>
        <v>LOSS-KG01-L24-20251207-PM-ORD-2025-00267</v>
      </c>
      <c r="V706" s="17" t="str">
        <f aca="false">IF(U706="","",IF(COUNTIF($U$5:$U$935,U706)=1,"OK","CHECK"))</f>
        <v>OK</v>
      </c>
      <c r="W706" s="17" t="str">
        <f aca="false">IF(A706="","",IF(AND(T706="OK",V706="OK",G706&gt;=0),"OK","CHECK"))</f>
        <v>OK</v>
      </c>
    </row>
    <row r="707" customFormat="false" ht="18" hidden="false" customHeight="true" outlineLevel="0" collapsed="false">
      <c r="A707" s="18" t="s">
        <v>39</v>
      </c>
      <c r="B707" s="19" t="n">
        <v>24</v>
      </c>
      <c r="C707" s="20" t="n">
        <v>45999</v>
      </c>
      <c r="D707" s="18" t="s">
        <v>40</v>
      </c>
      <c r="E707" s="18" t="s">
        <v>163</v>
      </c>
      <c r="F707" s="18" t="s">
        <v>42</v>
      </c>
      <c r="G707" s="21" t="n">
        <v>10196</v>
      </c>
      <c r="H707" s="22" t="n">
        <v>0.0163558309411749</v>
      </c>
      <c r="I707" s="22" t="n">
        <v>5.87320718540919E-006</v>
      </c>
      <c r="J707" s="22" t="n">
        <v>0.00109787793876492</v>
      </c>
      <c r="K707" s="22" t="n">
        <v>0.00471693112410698</v>
      </c>
      <c r="L707" s="22" t="n">
        <v>0.000957073065669324</v>
      </c>
      <c r="M707" s="22" t="n">
        <v>0.0179742125390476</v>
      </c>
      <c r="N707" s="22" t="n">
        <v>0.00519022894899</v>
      </c>
      <c r="O707" s="22" t="n">
        <v>0.0174274089283343</v>
      </c>
      <c r="P707" s="22" t="n">
        <v>0.000240967692246468</v>
      </c>
      <c r="Q707" s="22" t="n">
        <v>0.010392594305929</v>
      </c>
      <c r="R707" s="22" t="n">
        <v>0.00544438880424636</v>
      </c>
      <c r="S707" s="23" t="n">
        <f aca="false">IF(A707="","",SUM(H707:R707))</f>
        <v>0.0798033874956953</v>
      </c>
      <c r="T707" s="17" t="str">
        <f aca="false">IF(A707="","",IF(AND(MIN(H707:R707)&gt;=0,MAX(H707:R707)&lt;=1,S707&lt;=1),"OK","CHECK"))</f>
        <v>OK</v>
      </c>
      <c r="U707" s="17" t="str">
        <f aca="false">IF(A707="","", "LOSS-"&amp;A707&amp;"-L"&amp;TEXT(B707,"00")&amp;"-"&amp;TEXT(C707,"yyyymmdd")&amp;"-"&amp;D707&amp;"-"&amp;E707)</f>
        <v>LOSS-KG01-L24-20251208-AM-ORD-2025-00267</v>
      </c>
      <c r="V707" s="17" t="str">
        <f aca="false">IF(U707="","",IF(COUNTIF($U$5:$U$935,U707)=1,"OK","CHECK"))</f>
        <v>OK</v>
      </c>
      <c r="W707" s="17" t="str">
        <f aca="false">IF(A707="","",IF(AND(T707="OK",V707="OK",G707&gt;=0),"OK","CHECK"))</f>
        <v>OK</v>
      </c>
    </row>
    <row r="708" customFormat="false" ht="18" hidden="false" customHeight="true" outlineLevel="0" collapsed="false">
      <c r="A708" s="18" t="s">
        <v>39</v>
      </c>
      <c r="B708" s="19" t="n">
        <v>24</v>
      </c>
      <c r="C708" s="20" t="n">
        <v>45999</v>
      </c>
      <c r="D708" s="18" t="s">
        <v>43</v>
      </c>
      <c r="E708" s="18" t="s">
        <v>163</v>
      </c>
      <c r="F708" s="18" t="s">
        <v>42</v>
      </c>
      <c r="G708" s="21" t="n">
        <v>30581</v>
      </c>
      <c r="H708" s="22" t="n">
        <v>0.00998539290238673</v>
      </c>
      <c r="I708" s="22" t="n">
        <v>0.00154996035410771</v>
      </c>
      <c r="J708" s="22" t="n">
        <v>0.00909122775632393</v>
      </c>
      <c r="K708" s="22" t="n">
        <v>0.0134084296241663</v>
      </c>
      <c r="L708" s="22" t="n">
        <v>0.0116877161680353</v>
      </c>
      <c r="M708" s="22" t="n">
        <v>8.64482709193483E-006</v>
      </c>
      <c r="N708" s="22" t="n">
        <v>0.00674819842841408</v>
      </c>
      <c r="O708" s="22" t="n">
        <v>0.0164241037024651</v>
      </c>
      <c r="P708" s="22" t="n">
        <v>0.00122076028326203</v>
      </c>
      <c r="Q708" s="22" t="n">
        <v>0.00167796443411273</v>
      </c>
      <c r="R708" s="22" t="n">
        <v>0.0137544160453522</v>
      </c>
      <c r="S708" s="23" t="n">
        <f aca="false">IF(A708="","",SUM(H708:R708))</f>
        <v>0.0855568145257181</v>
      </c>
      <c r="T708" s="17" t="str">
        <f aca="false">IF(A708="","",IF(AND(MIN(H708:R708)&gt;=0,MAX(H708:R708)&lt;=1,S708&lt;=1),"OK","CHECK"))</f>
        <v>OK</v>
      </c>
      <c r="U708" s="17" t="str">
        <f aca="false">IF(A708="","", "LOSS-"&amp;A708&amp;"-L"&amp;TEXT(B708,"00")&amp;"-"&amp;TEXT(C708,"yyyymmdd")&amp;"-"&amp;D708&amp;"-"&amp;E708)</f>
        <v>LOSS-KG01-L24-20251208-PM-ORD-2025-00267</v>
      </c>
      <c r="V708" s="17" t="str">
        <f aca="false">IF(U708="","",IF(COUNTIF($U$5:$U$935,U708)=1,"OK","CHECK"))</f>
        <v>OK</v>
      </c>
      <c r="W708" s="17" t="str">
        <f aca="false">IF(A708="","",IF(AND(T708="OK",V708="OK",G708&gt;=0),"OK","CHECK"))</f>
        <v>OK</v>
      </c>
    </row>
    <row r="709" customFormat="false" ht="18" hidden="false" customHeight="true" outlineLevel="0" collapsed="false">
      <c r="A709" s="18" t="s">
        <v>39</v>
      </c>
      <c r="B709" s="19" t="n">
        <v>24</v>
      </c>
      <c r="C709" s="20" t="n">
        <v>46000</v>
      </c>
      <c r="D709" s="18" t="s">
        <v>40</v>
      </c>
      <c r="E709" s="18" t="s">
        <v>163</v>
      </c>
      <c r="F709" s="18" t="s">
        <v>42</v>
      </c>
      <c r="G709" s="21" t="n">
        <v>7277</v>
      </c>
      <c r="H709" s="22" t="n">
        <v>0.00732471990265807</v>
      </c>
      <c r="I709" s="22" t="n">
        <v>0.00570017235078179</v>
      </c>
      <c r="J709" s="22" t="n">
        <v>0.0039431061365782</v>
      </c>
      <c r="K709" s="22" t="n">
        <v>0.00480304329141241</v>
      </c>
      <c r="L709" s="22" t="n">
        <v>0.00814407696555603</v>
      </c>
      <c r="M709" s="22" t="n">
        <v>0.00358239630434988</v>
      </c>
      <c r="N709" s="22" t="n">
        <v>0.000426978368936514</v>
      </c>
      <c r="O709" s="22" t="n">
        <v>0.00315159955338033</v>
      </c>
      <c r="P709" s="22" t="n">
        <v>0.00356091034349724</v>
      </c>
      <c r="Q709" s="22" t="n">
        <v>0.000283588013257071</v>
      </c>
      <c r="R709" s="22" t="n">
        <v>4.88582106847286E-006</v>
      </c>
      <c r="S709" s="23" t="n">
        <f aca="false">IF(A709="","",SUM(H709:R709))</f>
        <v>0.040925477051476</v>
      </c>
      <c r="T709" s="17" t="str">
        <f aca="false">IF(A709="","",IF(AND(MIN(H709:R709)&gt;=0,MAX(H709:R709)&lt;=1,S709&lt;=1),"OK","CHECK"))</f>
        <v>OK</v>
      </c>
      <c r="U709" s="17" t="str">
        <f aca="false">IF(A709="","", "LOSS-"&amp;A709&amp;"-L"&amp;TEXT(B709,"00")&amp;"-"&amp;TEXT(C709,"yyyymmdd")&amp;"-"&amp;D709&amp;"-"&amp;E709)</f>
        <v>LOSS-KG01-L24-20251209-AM-ORD-2025-00267</v>
      </c>
      <c r="V709" s="17" t="str">
        <f aca="false">IF(U709="","",IF(COUNTIF($U$5:$U$935,U709)=1,"OK","CHECK"))</f>
        <v>OK</v>
      </c>
      <c r="W709" s="17" t="str">
        <f aca="false">IF(A709="","",IF(AND(T709="OK",V709="OK",G709&gt;=0),"OK","CHECK"))</f>
        <v>OK</v>
      </c>
    </row>
    <row r="710" customFormat="false" ht="18" hidden="false" customHeight="true" outlineLevel="0" collapsed="false">
      <c r="A710" s="18" t="s">
        <v>39</v>
      </c>
      <c r="B710" s="19" t="n">
        <v>24</v>
      </c>
      <c r="C710" s="20" t="n">
        <v>46000</v>
      </c>
      <c r="D710" s="18" t="s">
        <v>43</v>
      </c>
      <c r="E710" s="18" t="s">
        <v>163</v>
      </c>
      <c r="F710" s="18" t="s">
        <v>42</v>
      </c>
      <c r="G710" s="21" t="n">
        <v>16167</v>
      </c>
      <c r="H710" s="22" t="n">
        <v>0.0135471502863985</v>
      </c>
      <c r="I710" s="22" t="n">
        <v>0.0135892583186048</v>
      </c>
      <c r="J710" s="22" t="n">
        <v>0.00404110426521226</v>
      </c>
      <c r="K710" s="22" t="n">
        <v>0.00267196661278456</v>
      </c>
      <c r="L710" s="22" t="n">
        <v>0.00530753538316222</v>
      </c>
      <c r="M710" s="22" t="n">
        <v>0.000805335312230226</v>
      </c>
      <c r="N710" s="22" t="n">
        <v>0.0123118768078796</v>
      </c>
      <c r="O710" s="22" t="n">
        <v>0.0119205105927598</v>
      </c>
      <c r="P710" s="22" t="n">
        <v>0.0041403449113845</v>
      </c>
      <c r="Q710" s="22" t="n">
        <v>0.011112712335354</v>
      </c>
      <c r="R710" s="22" t="n">
        <v>0.00169636442095967</v>
      </c>
      <c r="S710" s="23" t="n">
        <f aca="false">IF(A710="","",SUM(H710:R710))</f>
        <v>0.0811441592467301</v>
      </c>
      <c r="T710" s="17" t="str">
        <f aca="false">IF(A710="","",IF(AND(MIN(H710:R710)&gt;=0,MAX(H710:R710)&lt;=1,S710&lt;=1),"OK","CHECK"))</f>
        <v>OK</v>
      </c>
      <c r="U710" s="17" t="str">
        <f aca="false">IF(A710="","", "LOSS-"&amp;A710&amp;"-L"&amp;TEXT(B710,"00")&amp;"-"&amp;TEXT(C710,"yyyymmdd")&amp;"-"&amp;D710&amp;"-"&amp;E710)</f>
        <v>LOSS-KG01-L24-20251209-PM-ORD-2025-00267</v>
      </c>
      <c r="V710" s="17" t="str">
        <f aca="false">IF(U710="","",IF(COUNTIF($U$5:$U$935,U710)=1,"OK","CHECK"))</f>
        <v>OK</v>
      </c>
      <c r="W710" s="17" t="str">
        <f aca="false">IF(A710="","",IF(AND(T710="OK",V710="OK",G710&gt;=0),"OK","CHECK"))</f>
        <v>OK</v>
      </c>
    </row>
    <row r="711" customFormat="false" ht="18" hidden="false" customHeight="true" outlineLevel="0" collapsed="false">
      <c r="A711" s="18" t="s">
        <v>39</v>
      </c>
      <c r="B711" s="19" t="n">
        <v>24</v>
      </c>
      <c r="C711" s="20" t="n">
        <v>46001</v>
      </c>
      <c r="D711" s="18" t="s">
        <v>40</v>
      </c>
      <c r="E711" s="18" t="s">
        <v>164</v>
      </c>
      <c r="F711" s="18" t="s">
        <v>45</v>
      </c>
      <c r="G711" s="21" t="n">
        <v>4698</v>
      </c>
      <c r="H711" s="22" t="n">
        <v>0.00152885998217464</v>
      </c>
      <c r="I711" s="22" t="n">
        <v>0.00620838821637147</v>
      </c>
      <c r="J711" s="22" t="n">
        <v>0.0272369345788675</v>
      </c>
      <c r="K711" s="22" t="n">
        <v>0.0139060110685433</v>
      </c>
      <c r="L711" s="22" t="n">
        <v>0.0122241582580739</v>
      </c>
      <c r="M711" s="22" t="n">
        <v>0.000354799204828141</v>
      </c>
      <c r="N711" s="22" t="n">
        <v>0.00855545322336796</v>
      </c>
      <c r="O711" s="22" t="n">
        <v>0.00148022982483485</v>
      </c>
      <c r="P711" s="22" t="n">
        <v>0.0023043471304831</v>
      </c>
      <c r="Q711" s="22" t="n">
        <v>8.06163153863396E-005</v>
      </c>
      <c r="R711" s="22" t="n">
        <v>0.00434198041884705</v>
      </c>
      <c r="S711" s="23" t="n">
        <f aca="false">IF(A711="","",SUM(H711:R711))</f>
        <v>0.0782217782217783</v>
      </c>
      <c r="T711" s="17" t="str">
        <f aca="false">IF(A711="","",IF(AND(MIN(H711:R711)&gt;=0,MAX(H711:R711)&lt;=1,S711&lt;=1),"OK","CHECK"))</f>
        <v>OK</v>
      </c>
      <c r="U711" s="17" t="str">
        <f aca="false">IF(A711="","", "LOSS-"&amp;A711&amp;"-L"&amp;TEXT(B711,"00")&amp;"-"&amp;TEXT(C711,"yyyymmdd")&amp;"-"&amp;D711&amp;"-"&amp;E711)</f>
        <v>LOSS-KG01-L24-20251210-AM-ORD-2025-00268</v>
      </c>
      <c r="V711" s="17" t="str">
        <f aca="false">IF(U711="","",IF(COUNTIF($U$5:$U$935,U711)=1,"OK","CHECK"))</f>
        <v>OK</v>
      </c>
      <c r="W711" s="17" t="str">
        <f aca="false">IF(A711="","",IF(AND(T711="OK",V711="OK",G711&gt;=0),"OK","CHECK"))</f>
        <v>OK</v>
      </c>
    </row>
    <row r="712" customFormat="false" ht="18" hidden="false" customHeight="true" outlineLevel="0" collapsed="false">
      <c r="A712" s="18" t="s">
        <v>39</v>
      </c>
      <c r="B712" s="19" t="n">
        <v>24</v>
      </c>
      <c r="C712" s="20" t="n">
        <v>46001</v>
      </c>
      <c r="D712" s="18" t="s">
        <v>43</v>
      </c>
      <c r="E712" s="18" t="s">
        <v>164</v>
      </c>
      <c r="F712" s="18" t="s">
        <v>42</v>
      </c>
      <c r="G712" s="21" t="n">
        <v>3396</v>
      </c>
      <c r="H712" s="22" t="n">
        <v>0.00279440505740073</v>
      </c>
      <c r="I712" s="22" t="n">
        <v>0.000731435834843647</v>
      </c>
      <c r="J712" s="22" t="n">
        <v>0.00139812890551063</v>
      </c>
      <c r="K712" s="22" t="n">
        <v>0.000651327380618471</v>
      </c>
      <c r="L712" s="22" t="n">
        <v>0.0115297314068758</v>
      </c>
      <c r="M712" s="22" t="n">
        <v>3.39537509839306E-006</v>
      </c>
      <c r="N712" s="22" t="n">
        <v>7.31522691876897E-005</v>
      </c>
      <c r="O712" s="22" t="n">
        <v>0.00401680948931712</v>
      </c>
      <c r="P712" s="22" t="n">
        <v>0.000236022869700123</v>
      </c>
      <c r="Q712" s="22" t="n">
        <v>0.00212160268297518</v>
      </c>
      <c r="R712" s="22" t="n">
        <v>2.42107825068001E-005</v>
      </c>
      <c r="S712" s="23" t="n">
        <f aca="false">IF(A712="","",SUM(H712:R712))</f>
        <v>0.0235802220540346</v>
      </c>
      <c r="T712" s="17" t="str">
        <f aca="false">IF(A712="","",IF(AND(MIN(H712:R712)&gt;=0,MAX(H712:R712)&lt;=1,S712&lt;=1),"OK","CHECK"))</f>
        <v>OK</v>
      </c>
      <c r="U712" s="17" t="str">
        <f aca="false">IF(A712="","", "LOSS-"&amp;A712&amp;"-L"&amp;TEXT(B712,"00")&amp;"-"&amp;TEXT(C712,"yyyymmdd")&amp;"-"&amp;D712&amp;"-"&amp;E712)</f>
        <v>LOSS-KG01-L24-20251210-PM-ORD-2025-00268</v>
      </c>
      <c r="V712" s="17" t="str">
        <f aca="false">IF(U712="","",IF(COUNTIF($U$5:$U$935,U712)=1,"OK","CHECK"))</f>
        <v>OK</v>
      </c>
      <c r="W712" s="17" t="str">
        <f aca="false">IF(A712="","",IF(AND(T712="OK",V712="OK",G712&gt;=0),"OK","CHECK"))</f>
        <v>OK</v>
      </c>
    </row>
    <row r="713" customFormat="false" ht="18" hidden="false" customHeight="true" outlineLevel="0" collapsed="false">
      <c r="A713" s="18" t="s">
        <v>39</v>
      </c>
      <c r="B713" s="19" t="n">
        <v>24</v>
      </c>
      <c r="C713" s="20" t="n">
        <v>46002</v>
      </c>
      <c r="D713" s="18" t="s">
        <v>40</v>
      </c>
      <c r="E713" s="18" t="s">
        <v>164</v>
      </c>
      <c r="F713" s="18" t="s">
        <v>42</v>
      </c>
      <c r="G713" s="21" t="n">
        <v>25638</v>
      </c>
      <c r="H713" s="22" t="n">
        <v>0.0046972900008417</v>
      </c>
      <c r="I713" s="22" t="n">
        <v>0.00616219921838685</v>
      </c>
      <c r="J713" s="22" t="n">
        <v>0.0117461666155637</v>
      </c>
      <c r="K713" s="22" t="n">
        <v>0.000226716191941712</v>
      </c>
      <c r="L713" s="22" t="n">
        <v>0.0210926955527698</v>
      </c>
      <c r="M713" s="22" t="n">
        <v>0.00647918699697844</v>
      </c>
      <c r="N713" s="22" t="n">
        <v>0.0111129553566658</v>
      </c>
      <c r="O713" s="22" t="n">
        <v>0.00104903674413344</v>
      </c>
      <c r="P713" s="22" t="n">
        <v>0.000990947603304752</v>
      </c>
      <c r="Q713" s="22" t="n">
        <v>0.00296155120585362</v>
      </c>
      <c r="R713" s="22" t="n">
        <v>2.88667630137743E-005</v>
      </c>
      <c r="S713" s="23" t="n">
        <f aca="false">IF(A713="","",SUM(H713:R713))</f>
        <v>0.0665476122494536</v>
      </c>
      <c r="T713" s="17" t="str">
        <f aca="false">IF(A713="","",IF(AND(MIN(H713:R713)&gt;=0,MAX(H713:R713)&lt;=1,S713&lt;=1),"OK","CHECK"))</f>
        <v>OK</v>
      </c>
      <c r="U713" s="17" t="str">
        <f aca="false">IF(A713="","", "LOSS-"&amp;A713&amp;"-L"&amp;TEXT(B713,"00")&amp;"-"&amp;TEXT(C713,"yyyymmdd")&amp;"-"&amp;D713&amp;"-"&amp;E713)</f>
        <v>LOSS-KG01-L24-20251211-AM-ORD-2025-00268</v>
      </c>
      <c r="V713" s="17" t="str">
        <f aca="false">IF(U713="","",IF(COUNTIF($U$5:$U$935,U713)=1,"OK","CHECK"))</f>
        <v>OK</v>
      </c>
      <c r="W713" s="17" t="str">
        <f aca="false">IF(A713="","",IF(AND(T713="OK",V713="OK",G713&gt;=0),"OK","CHECK"))</f>
        <v>OK</v>
      </c>
    </row>
    <row r="714" customFormat="false" ht="18" hidden="false" customHeight="true" outlineLevel="0" collapsed="false">
      <c r="A714" s="18" t="s">
        <v>39</v>
      </c>
      <c r="B714" s="19" t="n">
        <v>24</v>
      </c>
      <c r="C714" s="20" t="n">
        <v>46002</v>
      </c>
      <c r="D714" s="18" t="s">
        <v>43</v>
      </c>
      <c r="E714" s="18" t="s">
        <v>164</v>
      </c>
      <c r="F714" s="18" t="s">
        <v>42</v>
      </c>
      <c r="G714" s="21" t="n">
        <v>6698</v>
      </c>
      <c r="H714" s="22" t="n">
        <v>2.94316506096442E-006</v>
      </c>
      <c r="I714" s="22" t="n">
        <v>0.00742368143165423</v>
      </c>
      <c r="J714" s="22" t="n">
        <v>0.000311152053925961</v>
      </c>
      <c r="K714" s="22" t="n">
        <v>0.0016911958259273</v>
      </c>
      <c r="L714" s="22" t="n">
        <v>0.00745218064191427</v>
      </c>
      <c r="M714" s="22" t="n">
        <v>0.00435225440958321</v>
      </c>
      <c r="N714" s="22" t="n">
        <v>0.000940259131808554</v>
      </c>
      <c r="O714" s="22" t="n">
        <v>0.00249827201032654</v>
      </c>
      <c r="P714" s="22" t="n">
        <v>0.00120513460420054</v>
      </c>
      <c r="Q714" s="22" t="n">
        <v>0.000303447954052823</v>
      </c>
      <c r="R714" s="22" t="n">
        <v>0.013952256069983</v>
      </c>
      <c r="S714" s="23" t="n">
        <f aca="false">IF(A714="","",SUM(H714:R714))</f>
        <v>0.0401327772984374</v>
      </c>
      <c r="T714" s="17" t="str">
        <f aca="false">IF(A714="","",IF(AND(MIN(H714:R714)&gt;=0,MAX(H714:R714)&lt;=1,S714&lt;=1),"OK","CHECK"))</f>
        <v>OK</v>
      </c>
      <c r="U714" s="17" t="str">
        <f aca="false">IF(A714="","", "LOSS-"&amp;A714&amp;"-L"&amp;TEXT(B714,"00")&amp;"-"&amp;TEXT(C714,"yyyymmdd")&amp;"-"&amp;D714&amp;"-"&amp;E714)</f>
        <v>LOSS-KG01-L24-20251211-PM-ORD-2025-00268</v>
      </c>
      <c r="V714" s="17" t="str">
        <f aca="false">IF(U714="","",IF(COUNTIF($U$5:$U$935,U714)=1,"OK","CHECK"))</f>
        <v>OK</v>
      </c>
      <c r="W714" s="17" t="str">
        <f aca="false">IF(A714="","",IF(AND(T714="OK",V714="OK",G714&gt;=0),"OK","CHECK"))</f>
        <v>OK</v>
      </c>
    </row>
    <row r="715" customFormat="false" ht="18" hidden="false" customHeight="true" outlineLevel="0" collapsed="false">
      <c r="A715" s="18" t="s">
        <v>39</v>
      </c>
      <c r="B715" s="19" t="n">
        <v>24</v>
      </c>
      <c r="C715" s="20" t="n">
        <v>46003</v>
      </c>
      <c r="D715" s="18" t="s">
        <v>40</v>
      </c>
      <c r="E715" s="18" t="s">
        <v>164</v>
      </c>
      <c r="F715" s="18" t="s">
        <v>42</v>
      </c>
      <c r="G715" s="21" t="n">
        <v>17689</v>
      </c>
      <c r="H715" s="22" t="n">
        <v>0.013811977968791</v>
      </c>
      <c r="I715" s="22" t="n">
        <v>0.00636159466209913</v>
      </c>
      <c r="J715" s="22" t="n">
        <v>0.0087345921127461</v>
      </c>
      <c r="K715" s="22" t="n">
        <v>0.0127779454877003</v>
      </c>
      <c r="L715" s="22" t="n">
        <v>4.30585410511029E-005</v>
      </c>
      <c r="M715" s="22" t="n">
        <v>0.0104767815125542</v>
      </c>
      <c r="N715" s="22" t="n">
        <v>0.00646113433209165</v>
      </c>
      <c r="O715" s="22" t="n">
        <v>0.00953491739309332</v>
      </c>
      <c r="P715" s="22" t="n">
        <v>0.0106868180438695</v>
      </c>
      <c r="Q715" s="22" t="n">
        <v>8.91751605655218E-007</v>
      </c>
      <c r="R715" s="22" t="n">
        <v>0.0156482605101482</v>
      </c>
      <c r="S715" s="23" t="n">
        <f aca="false">IF(A715="","",SUM(H715:R715))</f>
        <v>0.0945379723157502</v>
      </c>
      <c r="T715" s="17" t="str">
        <f aca="false">IF(A715="","",IF(AND(MIN(H715:R715)&gt;=0,MAX(H715:R715)&lt;=1,S715&lt;=1),"OK","CHECK"))</f>
        <v>OK</v>
      </c>
      <c r="U715" s="17" t="str">
        <f aca="false">IF(A715="","", "LOSS-"&amp;A715&amp;"-L"&amp;TEXT(B715,"00")&amp;"-"&amp;TEXT(C715,"yyyymmdd")&amp;"-"&amp;D715&amp;"-"&amp;E715)</f>
        <v>LOSS-KG01-L24-20251212-AM-ORD-2025-00268</v>
      </c>
      <c r="V715" s="17" t="str">
        <f aca="false">IF(U715="","",IF(COUNTIF($U$5:$U$935,U715)=1,"OK","CHECK"))</f>
        <v>OK</v>
      </c>
      <c r="W715" s="17" t="str">
        <f aca="false">IF(A715="","",IF(AND(T715="OK",V715="OK",G715&gt;=0),"OK","CHECK"))</f>
        <v>OK</v>
      </c>
    </row>
    <row r="716" customFormat="false" ht="18" hidden="false" customHeight="true" outlineLevel="0" collapsed="false">
      <c r="A716" s="18" t="s">
        <v>39</v>
      </c>
      <c r="B716" s="19" t="n">
        <v>24</v>
      </c>
      <c r="C716" s="20" t="n">
        <v>46003</v>
      </c>
      <c r="D716" s="18" t="s">
        <v>43</v>
      </c>
      <c r="E716" s="18" t="s">
        <v>164</v>
      </c>
      <c r="F716" s="18" t="s">
        <v>42</v>
      </c>
      <c r="G716" s="21" t="n">
        <v>5981</v>
      </c>
      <c r="H716" s="22" t="n">
        <v>0.00588754683982816</v>
      </c>
      <c r="I716" s="22" t="n">
        <v>0.00041282770421488</v>
      </c>
      <c r="J716" s="22" t="n">
        <v>0.00149558939463973</v>
      </c>
      <c r="K716" s="22" t="n">
        <v>0.000964728161734949</v>
      </c>
      <c r="L716" s="22" t="n">
        <v>6.94013131819667E-005</v>
      </c>
      <c r="M716" s="22" t="n">
        <v>0.00299624861786828</v>
      </c>
      <c r="N716" s="22" t="n">
        <v>0.00754269850062369</v>
      </c>
      <c r="O716" s="22" t="n">
        <v>0.00067995239544167</v>
      </c>
      <c r="P716" s="22" t="n">
        <v>0.0016087608244688</v>
      </c>
      <c r="Q716" s="22" t="n">
        <v>0.00107391289300813</v>
      </c>
      <c r="R716" s="22" t="n">
        <v>0.00112334466228905</v>
      </c>
      <c r="S716" s="23" t="n">
        <f aca="false">IF(A716="","",SUM(H716:R716))</f>
        <v>0.0238550113072993</v>
      </c>
      <c r="T716" s="17" t="str">
        <f aca="false">IF(A716="","",IF(AND(MIN(H716:R716)&gt;=0,MAX(H716:R716)&lt;=1,S716&lt;=1),"OK","CHECK"))</f>
        <v>OK</v>
      </c>
      <c r="U716" s="17" t="str">
        <f aca="false">IF(A716="","", "LOSS-"&amp;A716&amp;"-L"&amp;TEXT(B716,"00")&amp;"-"&amp;TEXT(C716,"yyyymmdd")&amp;"-"&amp;D716&amp;"-"&amp;E716)</f>
        <v>LOSS-KG01-L24-20251212-PM-ORD-2025-00268</v>
      </c>
      <c r="V716" s="17" t="str">
        <f aca="false">IF(U716="","",IF(COUNTIF($U$5:$U$935,U716)=1,"OK","CHECK"))</f>
        <v>OK</v>
      </c>
      <c r="W716" s="17" t="str">
        <f aca="false">IF(A716="","",IF(AND(T716="OK",V716="OK",G716&gt;=0),"OK","CHECK"))</f>
        <v>OK</v>
      </c>
    </row>
    <row r="717" customFormat="false" ht="18" hidden="false" customHeight="true" outlineLevel="0" collapsed="false">
      <c r="A717" s="18" t="s">
        <v>39</v>
      </c>
      <c r="B717" s="19" t="n">
        <v>24</v>
      </c>
      <c r="C717" s="20" t="n">
        <v>46004</v>
      </c>
      <c r="D717" s="18" t="s">
        <v>40</v>
      </c>
      <c r="E717" s="18" t="s">
        <v>164</v>
      </c>
      <c r="F717" s="18" t="s">
        <v>42</v>
      </c>
      <c r="G717" s="21" t="n">
        <v>7716</v>
      </c>
      <c r="H717" s="22" t="n">
        <v>0.00382088960126782</v>
      </c>
      <c r="I717" s="22" t="n">
        <v>0.00904370751082478</v>
      </c>
      <c r="J717" s="22" t="n">
        <v>1.35110303063801E-005</v>
      </c>
      <c r="K717" s="22" t="n">
        <v>0.00017754685010684</v>
      </c>
      <c r="L717" s="22" t="n">
        <v>0.00734556458854778</v>
      </c>
      <c r="M717" s="22" t="n">
        <v>8.52047103251447E-006</v>
      </c>
      <c r="N717" s="22" t="n">
        <v>0.00141476346369421</v>
      </c>
      <c r="O717" s="22" t="n">
        <v>0.000552847730969007</v>
      </c>
      <c r="P717" s="22" t="n">
        <v>0.000459991528120193</v>
      </c>
      <c r="Q717" s="22" t="n">
        <v>0.0101554402975832</v>
      </c>
      <c r="R717" s="22" t="n">
        <v>0.0100172503723633</v>
      </c>
      <c r="S717" s="23" t="n">
        <f aca="false">IF(A717="","",SUM(H717:R717))</f>
        <v>0.043010033444816</v>
      </c>
      <c r="T717" s="17" t="str">
        <f aca="false">IF(A717="","",IF(AND(MIN(H717:R717)&gt;=0,MAX(H717:R717)&lt;=1,S717&lt;=1),"OK","CHECK"))</f>
        <v>OK</v>
      </c>
      <c r="U717" s="17" t="str">
        <f aca="false">IF(A717="","", "LOSS-"&amp;A717&amp;"-L"&amp;TEXT(B717,"00")&amp;"-"&amp;TEXT(C717,"yyyymmdd")&amp;"-"&amp;D717&amp;"-"&amp;E717)</f>
        <v>LOSS-KG01-L24-20251213-AM-ORD-2025-00268</v>
      </c>
      <c r="V717" s="17" t="str">
        <f aca="false">IF(U717="","",IF(COUNTIF($U$5:$U$935,U717)=1,"OK","CHECK"))</f>
        <v>OK</v>
      </c>
      <c r="W717" s="17" t="str">
        <f aca="false">IF(A717="","",IF(AND(T717="OK",V717="OK",G717&gt;=0),"OK","CHECK"))</f>
        <v>OK</v>
      </c>
    </row>
    <row r="718" customFormat="false" ht="18" hidden="false" customHeight="true" outlineLevel="0" collapsed="false">
      <c r="A718" s="18" t="s">
        <v>39</v>
      </c>
      <c r="B718" s="19" t="n">
        <v>24</v>
      </c>
      <c r="C718" s="20" t="n">
        <v>46004</v>
      </c>
      <c r="D718" s="18" t="s">
        <v>43</v>
      </c>
      <c r="E718" s="18" t="s">
        <v>164</v>
      </c>
      <c r="F718" s="18" t="s">
        <v>42</v>
      </c>
      <c r="G718" s="21" t="n">
        <v>6737</v>
      </c>
      <c r="H718" s="22" t="n">
        <v>0.000793469714660112</v>
      </c>
      <c r="I718" s="22" t="n">
        <v>0.000904156517282783</v>
      </c>
      <c r="J718" s="22" t="n">
        <v>0.000363854611747878</v>
      </c>
      <c r="K718" s="22" t="n">
        <v>0.00439324252536107</v>
      </c>
      <c r="L718" s="22" t="n">
        <v>0.00905581987552632</v>
      </c>
      <c r="M718" s="22" t="n">
        <v>0.00105300750329265</v>
      </c>
      <c r="N718" s="22" t="n">
        <v>0.000374281219387913</v>
      </c>
      <c r="O718" s="22" t="n">
        <v>0.000287414595452422</v>
      </c>
      <c r="P718" s="22" t="n">
        <v>0.0172137602714772</v>
      </c>
      <c r="Q718" s="22" t="n">
        <v>0.00086220989536897</v>
      </c>
      <c r="R718" s="22" t="n">
        <v>0.00813527585587148</v>
      </c>
      <c r="S718" s="23" t="n">
        <f aca="false">IF(A718="","",SUM(H718:R718))</f>
        <v>0.0434364925854288</v>
      </c>
      <c r="T718" s="17" t="str">
        <f aca="false">IF(A718="","",IF(AND(MIN(H718:R718)&gt;=0,MAX(H718:R718)&lt;=1,S718&lt;=1),"OK","CHECK"))</f>
        <v>OK</v>
      </c>
      <c r="U718" s="17" t="str">
        <f aca="false">IF(A718="","", "LOSS-"&amp;A718&amp;"-L"&amp;TEXT(B718,"00")&amp;"-"&amp;TEXT(C718,"yyyymmdd")&amp;"-"&amp;D718&amp;"-"&amp;E718)</f>
        <v>LOSS-KG01-L24-20251213-PM-ORD-2025-00268</v>
      </c>
      <c r="V718" s="17" t="str">
        <f aca="false">IF(U718="","",IF(COUNTIF($U$5:$U$935,U718)=1,"OK","CHECK"))</f>
        <v>OK</v>
      </c>
      <c r="W718" s="17" t="str">
        <f aca="false">IF(A718="","",IF(AND(T718="OK",V718="OK",G718&gt;=0),"OK","CHECK"))</f>
        <v>OK</v>
      </c>
    </row>
    <row r="719" customFormat="false" ht="18" hidden="false" customHeight="true" outlineLevel="0" collapsed="false">
      <c r="A719" s="18" t="s">
        <v>39</v>
      </c>
      <c r="B719" s="19" t="n">
        <v>24</v>
      </c>
      <c r="C719" s="20" t="n">
        <v>46005</v>
      </c>
      <c r="D719" s="18" t="s">
        <v>40</v>
      </c>
      <c r="E719" s="18" t="s">
        <v>164</v>
      </c>
      <c r="F719" s="18" t="s">
        <v>42</v>
      </c>
      <c r="G719" s="21" t="n">
        <v>15034</v>
      </c>
      <c r="H719" s="22" t="n">
        <v>0.021282245359828</v>
      </c>
      <c r="I719" s="22" t="n">
        <v>0.00246577299449662</v>
      </c>
      <c r="J719" s="22" t="n">
        <v>0.012956794438049</v>
      </c>
      <c r="K719" s="22" t="n">
        <v>0.000650925817952233</v>
      </c>
      <c r="L719" s="22" t="n">
        <v>0.000109965354262536</v>
      </c>
      <c r="M719" s="22" t="n">
        <v>0.0223094232290814</v>
      </c>
      <c r="N719" s="22" t="n">
        <v>0.00616523709456092</v>
      </c>
      <c r="O719" s="22" t="n">
        <v>1.5963067274989E-006</v>
      </c>
      <c r="P719" s="22" t="n">
        <v>0.00385366729230113</v>
      </c>
      <c r="Q719" s="22" t="n">
        <v>0.0078053191182637</v>
      </c>
      <c r="R719" s="22" t="n">
        <v>0.0128693976892585</v>
      </c>
      <c r="S719" s="23" t="n">
        <f aca="false">IF(A719="","",SUM(H719:R719))</f>
        <v>0.0904703446947816</v>
      </c>
      <c r="T719" s="17" t="str">
        <f aca="false">IF(A719="","",IF(AND(MIN(H719:R719)&gt;=0,MAX(H719:R719)&lt;=1,S719&lt;=1),"OK","CHECK"))</f>
        <v>OK</v>
      </c>
      <c r="U719" s="17" t="str">
        <f aca="false">IF(A719="","", "LOSS-"&amp;A719&amp;"-L"&amp;TEXT(B719,"00")&amp;"-"&amp;TEXT(C719,"yyyymmdd")&amp;"-"&amp;D719&amp;"-"&amp;E719)</f>
        <v>LOSS-KG01-L24-20251214-AM-ORD-2025-00268</v>
      </c>
      <c r="V719" s="17" t="str">
        <f aca="false">IF(U719="","",IF(COUNTIF($U$5:$U$935,U719)=1,"OK","CHECK"))</f>
        <v>OK</v>
      </c>
      <c r="W719" s="17" t="str">
        <f aca="false">IF(A719="","",IF(AND(T719="OK",V719="OK",G719&gt;=0),"OK","CHECK"))</f>
        <v>OK</v>
      </c>
    </row>
    <row r="720" customFormat="false" ht="18" hidden="false" customHeight="true" outlineLevel="0" collapsed="false">
      <c r="A720" s="18" t="s">
        <v>39</v>
      </c>
      <c r="B720" s="19" t="n">
        <v>24</v>
      </c>
      <c r="C720" s="20" t="n">
        <v>46005</v>
      </c>
      <c r="D720" s="18" t="s">
        <v>43</v>
      </c>
      <c r="E720" s="18" t="s">
        <v>165</v>
      </c>
      <c r="F720" s="18" t="s">
        <v>45</v>
      </c>
      <c r="G720" s="21" t="n">
        <v>2519</v>
      </c>
      <c r="H720" s="22" t="n">
        <v>0.0160080076359281</v>
      </c>
      <c r="I720" s="22" t="n">
        <v>0.000236475529322485</v>
      </c>
      <c r="J720" s="22" t="n">
        <v>0.011732554206822</v>
      </c>
      <c r="K720" s="22" t="n">
        <v>0.0009005801565881</v>
      </c>
      <c r="L720" s="22" t="n">
        <v>0.000474573326946647</v>
      </c>
      <c r="M720" s="22" t="n">
        <v>0.000236106568676463</v>
      </c>
      <c r="N720" s="22" t="n">
        <v>0.00105530245918244</v>
      </c>
      <c r="O720" s="22" t="n">
        <v>0.0132581953164149</v>
      </c>
      <c r="P720" s="22" t="n">
        <v>0.00142217124948062</v>
      </c>
      <c r="Q720" s="22" t="n">
        <v>0.00543469591283224</v>
      </c>
      <c r="R720" s="22" t="n">
        <v>0.00618462041014586</v>
      </c>
      <c r="S720" s="23" t="n">
        <f aca="false">IF(A720="","",SUM(H720:R720))</f>
        <v>0.0569432827723399</v>
      </c>
      <c r="T720" s="17" t="str">
        <f aca="false">IF(A720="","",IF(AND(MIN(H720:R720)&gt;=0,MAX(H720:R720)&lt;=1,S720&lt;=1),"OK","CHECK"))</f>
        <v>OK</v>
      </c>
      <c r="U720" s="17" t="str">
        <f aca="false">IF(A720="","", "LOSS-"&amp;A720&amp;"-L"&amp;TEXT(B720,"00")&amp;"-"&amp;TEXT(C720,"yyyymmdd")&amp;"-"&amp;D720&amp;"-"&amp;E720)</f>
        <v>LOSS-KG01-L24-20251214-PM-ORD-2025-00269</v>
      </c>
      <c r="V720" s="17" t="str">
        <f aca="false">IF(U720="","",IF(COUNTIF($U$5:$U$935,U720)=1,"OK","CHECK"))</f>
        <v>OK</v>
      </c>
      <c r="W720" s="17" t="str">
        <f aca="false">IF(A720="","",IF(AND(T720="OK",V720="OK",G720&gt;=0),"OK","CHECK"))</f>
        <v>OK</v>
      </c>
    </row>
    <row r="721" customFormat="false" ht="18" hidden="false" customHeight="true" outlineLevel="0" collapsed="false">
      <c r="A721" s="18" t="s">
        <v>39</v>
      </c>
      <c r="B721" s="19" t="n">
        <v>24</v>
      </c>
      <c r="C721" s="20" t="n">
        <v>46006</v>
      </c>
      <c r="D721" s="18" t="s">
        <v>40</v>
      </c>
      <c r="E721" s="18" t="s">
        <v>165</v>
      </c>
      <c r="F721" s="18" t="s">
        <v>42</v>
      </c>
      <c r="G721" s="21" t="n">
        <v>12323</v>
      </c>
      <c r="H721" s="22" t="n">
        <v>0.00360334285299827</v>
      </c>
      <c r="I721" s="22" t="n">
        <v>0.00709191195940074</v>
      </c>
      <c r="J721" s="22" t="n">
        <v>0.006826954576138</v>
      </c>
      <c r="K721" s="22" t="n">
        <v>0.00635099390492874</v>
      </c>
      <c r="L721" s="22" t="n">
        <v>0.00661021611891282</v>
      </c>
      <c r="M721" s="22" t="n">
        <v>0.00761546206476881</v>
      </c>
      <c r="N721" s="22" t="n">
        <v>0.00617439404992596</v>
      </c>
      <c r="O721" s="22" t="n">
        <v>0.000194688445805526</v>
      </c>
      <c r="P721" s="22" t="n">
        <v>0.0078149522997776</v>
      </c>
      <c r="Q721" s="22" t="n">
        <v>0.00223127312539315</v>
      </c>
      <c r="R721" s="22" t="n">
        <v>0.00252907794105765</v>
      </c>
      <c r="S721" s="23" t="n">
        <f aca="false">IF(A721="","",SUM(H721:R721))</f>
        <v>0.0570432673391073</v>
      </c>
      <c r="T721" s="17" t="str">
        <f aca="false">IF(A721="","",IF(AND(MIN(H721:R721)&gt;=0,MAX(H721:R721)&lt;=1,S721&lt;=1),"OK","CHECK"))</f>
        <v>OK</v>
      </c>
      <c r="U721" s="17" t="str">
        <f aca="false">IF(A721="","", "LOSS-"&amp;A721&amp;"-L"&amp;TEXT(B721,"00")&amp;"-"&amp;TEXT(C721,"yyyymmdd")&amp;"-"&amp;D721&amp;"-"&amp;E721)</f>
        <v>LOSS-KG01-L24-20251215-AM-ORD-2025-00269</v>
      </c>
      <c r="V721" s="17" t="str">
        <f aca="false">IF(U721="","",IF(COUNTIF($U$5:$U$935,U721)=1,"OK","CHECK"))</f>
        <v>OK</v>
      </c>
      <c r="W721" s="17" t="str">
        <f aca="false">IF(A721="","",IF(AND(T721="OK",V721="OK",G721&gt;=0),"OK","CHECK"))</f>
        <v>OK</v>
      </c>
    </row>
    <row r="722" customFormat="false" ht="18" hidden="false" customHeight="true" outlineLevel="0" collapsed="false">
      <c r="A722" s="18" t="s">
        <v>39</v>
      </c>
      <c r="B722" s="19" t="n">
        <v>24</v>
      </c>
      <c r="C722" s="20" t="n">
        <v>46006</v>
      </c>
      <c r="D722" s="18" t="s">
        <v>43</v>
      </c>
      <c r="E722" s="18" t="s">
        <v>165</v>
      </c>
      <c r="F722" s="18" t="s">
        <v>42</v>
      </c>
      <c r="G722" s="21" t="n">
        <v>7183</v>
      </c>
      <c r="H722" s="22" t="n">
        <v>0.00894551561783589</v>
      </c>
      <c r="I722" s="22" t="n">
        <v>0.00177583206677005</v>
      </c>
      <c r="J722" s="22" t="n">
        <v>0.0036716896981137</v>
      </c>
      <c r="K722" s="22" t="n">
        <v>0.00621270749239621</v>
      </c>
      <c r="L722" s="22" t="n">
        <v>0.000766673866744015</v>
      </c>
      <c r="M722" s="22" t="n">
        <v>0.000666141791569073</v>
      </c>
      <c r="N722" s="22" t="n">
        <v>0.000451108301157421</v>
      </c>
      <c r="O722" s="22" t="n">
        <v>0.0052912132151671</v>
      </c>
      <c r="P722" s="22" t="n">
        <v>0.00585971749165175</v>
      </c>
      <c r="Q722" s="22" t="n">
        <v>3.94566703195419E-006</v>
      </c>
      <c r="R722" s="22" t="n">
        <v>0.00162000025057143</v>
      </c>
      <c r="S722" s="23" t="n">
        <f aca="false">IF(A722="","",SUM(H722:R722))</f>
        <v>0.0352645454590086</v>
      </c>
      <c r="T722" s="17" t="str">
        <f aca="false">IF(A722="","",IF(AND(MIN(H722:R722)&gt;=0,MAX(H722:R722)&lt;=1,S722&lt;=1),"OK","CHECK"))</f>
        <v>OK</v>
      </c>
      <c r="U722" s="17" t="str">
        <f aca="false">IF(A722="","", "LOSS-"&amp;A722&amp;"-L"&amp;TEXT(B722,"00")&amp;"-"&amp;TEXT(C722,"yyyymmdd")&amp;"-"&amp;D722&amp;"-"&amp;E722)</f>
        <v>LOSS-KG01-L24-20251215-PM-ORD-2025-00269</v>
      </c>
      <c r="V722" s="17" t="str">
        <f aca="false">IF(U722="","",IF(COUNTIF($U$5:$U$935,U722)=1,"OK","CHECK"))</f>
        <v>OK</v>
      </c>
      <c r="W722" s="17" t="str">
        <f aca="false">IF(A722="","",IF(AND(T722="OK",V722="OK",G722&gt;=0),"OK","CHECK"))</f>
        <v>OK</v>
      </c>
    </row>
    <row r="723" customFormat="false" ht="18" hidden="false" customHeight="true" outlineLevel="0" collapsed="false">
      <c r="A723" s="18" t="s">
        <v>39</v>
      </c>
      <c r="B723" s="19" t="n">
        <v>24</v>
      </c>
      <c r="C723" s="20" t="n">
        <v>46007</v>
      </c>
      <c r="D723" s="18" t="s">
        <v>40</v>
      </c>
      <c r="E723" s="18" t="s">
        <v>165</v>
      </c>
      <c r="F723" s="18" t="s">
        <v>42</v>
      </c>
      <c r="G723" s="21" t="n">
        <v>17951</v>
      </c>
      <c r="H723" s="22" t="n">
        <v>0.00177828818296681</v>
      </c>
      <c r="I723" s="22" t="n">
        <v>0.00361539700938741</v>
      </c>
      <c r="J723" s="22" t="n">
        <v>0.0108420955444465</v>
      </c>
      <c r="K723" s="22" t="n">
        <v>0.00964860761764807</v>
      </c>
      <c r="L723" s="22" t="n">
        <v>0.00016777928168535</v>
      </c>
      <c r="M723" s="22" t="n">
        <v>0.00608258743439969</v>
      </c>
      <c r="N723" s="22" t="n">
        <v>0.0102331280989669</v>
      </c>
      <c r="O723" s="22" t="n">
        <v>0.000665559410230377</v>
      </c>
      <c r="P723" s="22" t="n">
        <v>0.00618375593117704</v>
      </c>
      <c r="Q723" s="22" t="n">
        <v>0.0113702244763436</v>
      </c>
      <c r="R723" s="22" t="n">
        <v>0.000161489853913137</v>
      </c>
      <c r="S723" s="23" t="n">
        <f aca="false">IF(A723="","",SUM(H723:R723))</f>
        <v>0.0607489128411649</v>
      </c>
      <c r="T723" s="17" t="str">
        <f aca="false">IF(A723="","",IF(AND(MIN(H723:R723)&gt;=0,MAX(H723:R723)&lt;=1,S723&lt;=1),"OK","CHECK"))</f>
        <v>OK</v>
      </c>
      <c r="U723" s="17" t="str">
        <f aca="false">IF(A723="","", "LOSS-"&amp;A723&amp;"-L"&amp;TEXT(B723,"00")&amp;"-"&amp;TEXT(C723,"yyyymmdd")&amp;"-"&amp;D723&amp;"-"&amp;E723)</f>
        <v>LOSS-KG01-L24-20251216-AM-ORD-2025-00269</v>
      </c>
      <c r="V723" s="17" t="str">
        <f aca="false">IF(U723="","",IF(COUNTIF($U$5:$U$935,U723)=1,"OK","CHECK"))</f>
        <v>OK</v>
      </c>
      <c r="W723" s="17" t="str">
        <f aca="false">IF(A723="","",IF(AND(T723="OK",V723="OK",G723&gt;=0),"OK","CHECK"))</f>
        <v>OK</v>
      </c>
    </row>
    <row r="724" customFormat="false" ht="18" hidden="false" customHeight="true" outlineLevel="0" collapsed="false">
      <c r="A724" s="18" t="s">
        <v>39</v>
      </c>
      <c r="B724" s="19" t="n">
        <v>24</v>
      </c>
      <c r="C724" s="20" t="n">
        <v>46007</v>
      </c>
      <c r="D724" s="18" t="s">
        <v>43</v>
      </c>
      <c r="E724" s="18" t="s">
        <v>165</v>
      </c>
      <c r="F724" s="18" t="s">
        <v>42</v>
      </c>
      <c r="G724" s="21" t="n">
        <v>17427</v>
      </c>
      <c r="H724" s="22" t="n">
        <v>0.0047735476678615</v>
      </c>
      <c r="I724" s="22" t="n">
        <v>0.0171803896776093</v>
      </c>
      <c r="J724" s="22" t="n">
        <v>0.00700542424401398</v>
      </c>
      <c r="K724" s="22" t="n">
        <v>0.0113042925320082</v>
      </c>
      <c r="L724" s="22" t="n">
        <v>0.000379889302866562</v>
      </c>
      <c r="M724" s="22" t="n">
        <v>0.00557404195139058</v>
      </c>
      <c r="N724" s="22" t="n">
        <v>0.00603678267904714</v>
      </c>
      <c r="O724" s="22" t="n">
        <v>0.00111638911044024</v>
      </c>
      <c r="P724" s="22" t="n">
        <v>0.000332098739369145</v>
      </c>
      <c r="Q724" s="22" t="n">
        <v>0.0171301050475473</v>
      </c>
      <c r="R724" s="22" t="n">
        <v>0.00537063343325856</v>
      </c>
      <c r="S724" s="23" t="n">
        <f aca="false">IF(A724="","",SUM(H724:R724))</f>
        <v>0.0762035943854125</v>
      </c>
      <c r="T724" s="17" t="str">
        <f aca="false">IF(A724="","",IF(AND(MIN(H724:R724)&gt;=0,MAX(H724:R724)&lt;=1,S724&lt;=1),"OK","CHECK"))</f>
        <v>OK</v>
      </c>
      <c r="U724" s="17" t="str">
        <f aca="false">IF(A724="","", "LOSS-"&amp;A724&amp;"-L"&amp;TEXT(B724,"00")&amp;"-"&amp;TEXT(C724,"yyyymmdd")&amp;"-"&amp;D724&amp;"-"&amp;E724)</f>
        <v>LOSS-KG01-L24-20251216-PM-ORD-2025-00269</v>
      </c>
      <c r="V724" s="17" t="str">
        <f aca="false">IF(U724="","",IF(COUNTIF($U$5:$U$935,U724)=1,"OK","CHECK"))</f>
        <v>OK</v>
      </c>
      <c r="W724" s="17" t="str">
        <f aca="false">IF(A724="","",IF(AND(T724="OK",V724="OK",G724&gt;=0),"OK","CHECK"))</f>
        <v>OK</v>
      </c>
    </row>
    <row r="725" customFormat="false" ht="18" hidden="false" customHeight="true" outlineLevel="0" collapsed="false">
      <c r="A725" s="18" t="s">
        <v>39</v>
      </c>
      <c r="B725" s="19" t="n">
        <v>24</v>
      </c>
      <c r="C725" s="20" t="n">
        <v>46008</v>
      </c>
      <c r="D725" s="18" t="s">
        <v>40</v>
      </c>
      <c r="E725" s="18" t="s">
        <v>166</v>
      </c>
      <c r="F725" s="18" t="s">
        <v>45</v>
      </c>
      <c r="G725" s="21" t="n">
        <v>6902</v>
      </c>
      <c r="H725" s="22" t="n">
        <v>0.0126346257074672</v>
      </c>
      <c r="I725" s="22" t="n">
        <v>0.026831454323097</v>
      </c>
      <c r="J725" s="22" t="n">
        <v>0.002000513275858</v>
      </c>
      <c r="K725" s="22" t="n">
        <v>0.0104626211744905</v>
      </c>
      <c r="L725" s="22" t="n">
        <v>0.00394468488382664</v>
      </c>
      <c r="M725" s="22" t="n">
        <v>0.00991266547189588</v>
      </c>
      <c r="N725" s="22" t="n">
        <v>0.00231275834358265</v>
      </c>
      <c r="O725" s="22" t="n">
        <v>0.00378268973779293</v>
      </c>
      <c r="P725" s="22" t="n">
        <v>0.000636139647961549</v>
      </c>
      <c r="Q725" s="22" t="n">
        <v>0.00109063089570527</v>
      </c>
      <c r="R725" s="22" t="n">
        <v>0.00627547579758173</v>
      </c>
      <c r="S725" s="23" t="n">
        <f aca="false">IF(A725="","",SUM(H725:R725))</f>
        <v>0.0798842592592594</v>
      </c>
      <c r="T725" s="17" t="str">
        <f aca="false">IF(A725="","",IF(AND(MIN(H725:R725)&gt;=0,MAX(H725:R725)&lt;=1,S725&lt;=1),"OK","CHECK"))</f>
        <v>OK</v>
      </c>
      <c r="U725" s="17" t="str">
        <f aca="false">IF(A725="","", "LOSS-"&amp;A725&amp;"-L"&amp;TEXT(B725,"00")&amp;"-"&amp;TEXT(C725,"yyyymmdd")&amp;"-"&amp;D725&amp;"-"&amp;E725)</f>
        <v>LOSS-KG01-L24-20251217-AM-ORD-2025-00270</v>
      </c>
      <c r="V725" s="17" t="str">
        <f aca="false">IF(U725="","",IF(COUNTIF($U$5:$U$935,U725)=1,"OK","CHECK"))</f>
        <v>OK</v>
      </c>
      <c r="W725" s="17" t="str">
        <f aca="false">IF(A725="","",IF(AND(T725="OK",V725="OK",G725&gt;=0),"OK","CHECK"))</f>
        <v>OK</v>
      </c>
    </row>
    <row r="726" customFormat="false" ht="18" hidden="false" customHeight="true" outlineLevel="0" collapsed="false">
      <c r="A726" s="18" t="s">
        <v>39</v>
      </c>
      <c r="B726" s="19" t="n">
        <v>24</v>
      </c>
      <c r="C726" s="20" t="n">
        <v>46008</v>
      </c>
      <c r="D726" s="18" t="s">
        <v>43</v>
      </c>
      <c r="E726" s="18" t="s">
        <v>166</v>
      </c>
      <c r="F726" s="18" t="s">
        <v>42</v>
      </c>
      <c r="G726" s="21" t="n">
        <v>13148</v>
      </c>
      <c r="H726" s="22" t="n">
        <v>0.00808617018063848</v>
      </c>
      <c r="I726" s="22" t="n">
        <v>0.000471448385278855</v>
      </c>
      <c r="J726" s="22" t="n">
        <v>0.00721016514777583</v>
      </c>
      <c r="K726" s="22" t="n">
        <v>0.000543879494344158</v>
      </c>
      <c r="L726" s="22" t="n">
        <v>0.004528031547997</v>
      </c>
      <c r="M726" s="22" t="n">
        <v>0.00300081250590582</v>
      </c>
      <c r="N726" s="22" t="n">
        <v>0.0043670926263488</v>
      </c>
      <c r="O726" s="22" t="n">
        <v>5.7079426311103E-005</v>
      </c>
      <c r="P726" s="22" t="n">
        <v>0.00581337907417704</v>
      </c>
      <c r="Q726" s="22" t="n">
        <v>0.00334344813261604</v>
      </c>
      <c r="R726" s="22" t="n">
        <v>0.00608783203606119</v>
      </c>
      <c r="S726" s="23" t="n">
        <f aca="false">IF(A726="","",SUM(H726:R726))</f>
        <v>0.0435093385574543</v>
      </c>
      <c r="T726" s="17" t="str">
        <f aca="false">IF(A726="","",IF(AND(MIN(H726:R726)&gt;=0,MAX(H726:R726)&lt;=1,S726&lt;=1),"OK","CHECK"))</f>
        <v>OK</v>
      </c>
      <c r="U726" s="17" t="str">
        <f aca="false">IF(A726="","", "LOSS-"&amp;A726&amp;"-L"&amp;TEXT(B726,"00")&amp;"-"&amp;TEXT(C726,"yyyymmdd")&amp;"-"&amp;D726&amp;"-"&amp;E726)</f>
        <v>LOSS-KG01-L24-20251217-PM-ORD-2025-00270</v>
      </c>
      <c r="V726" s="17" t="str">
        <f aca="false">IF(U726="","",IF(COUNTIF($U$5:$U$935,U726)=1,"OK","CHECK"))</f>
        <v>OK</v>
      </c>
      <c r="W726" s="17" t="str">
        <f aca="false">IF(A726="","",IF(AND(T726="OK",V726="OK",G726&gt;=0),"OK","CHECK"))</f>
        <v>OK</v>
      </c>
    </row>
    <row r="727" customFormat="false" ht="18" hidden="false" customHeight="true" outlineLevel="0" collapsed="false">
      <c r="A727" s="18" t="s">
        <v>39</v>
      </c>
      <c r="B727" s="19" t="n">
        <v>24</v>
      </c>
      <c r="C727" s="20" t="n">
        <v>46009</v>
      </c>
      <c r="D727" s="18" t="s">
        <v>40</v>
      </c>
      <c r="E727" s="18" t="s">
        <v>166</v>
      </c>
      <c r="F727" s="18" t="s">
        <v>61</v>
      </c>
      <c r="G727" s="21" t="n">
        <v>14486</v>
      </c>
      <c r="H727" s="22" t="n">
        <v>0.00131819621377969</v>
      </c>
      <c r="I727" s="22" t="n">
        <v>0.000344933932263077</v>
      </c>
      <c r="J727" s="22" t="n">
        <v>0.00097160716516582</v>
      </c>
      <c r="K727" s="22" t="n">
        <v>0.00913465027685823</v>
      </c>
      <c r="L727" s="22" t="n">
        <v>1.14230101121328E-005</v>
      </c>
      <c r="M727" s="22" t="n">
        <v>0.00745693874348628</v>
      </c>
      <c r="N727" s="22" t="n">
        <v>0.00774347092388284</v>
      </c>
      <c r="O727" s="22" t="n">
        <v>0.00764958445106697</v>
      </c>
      <c r="P727" s="22" t="n">
        <v>0.00607439738428144</v>
      </c>
      <c r="Q727" s="22" t="n">
        <v>0.00947545643188836</v>
      </c>
      <c r="R727" s="22" t="n">
        <v>0.00665393029332944</v>
      </c>
      <c r="S727" s="23" t="n">
        <f aca="false">IF(A727="","",SUM(H727:R727))</f>
        <v>0.0568345888261143</v>
      </c>
      <c r="T727" s="17" t="str">
        <f aca="false">IF(A727="","",IF(AND(MIN(H727:R727)&gt;=0,MAX(H727:R727)&lt;=1,S727&lt;=1),"OK","CHECK"))</f>
        <v>OK</v>
      </c>
      <c r="U727" s="17" t="str">
        <f aca="false">IF(A727="","", "LOSS-"&amp;A727&amp;"-L"&amp;TEXT(B727,"00")&amp;"-"&amp;TEXT(C727,"yyyymmdd")&amp;"-"&amp;D727&amp;"-"&amp;E727)</f>
        <v>LOSS-KG01-L24-20251218-AM-ORD-2025-00270</v>
      </c>
      <c r="V727" s="17" t="str">
        <f aca="false">IF(U727="","",IF(COUNTIF($U$5:$U$935,U727)=1,"OK","CHECK"))</f>
        <v>OK</v>
      </c>
      <c r="W727" s="17" t="str">
        <f aca="false">IF(A727="","",IF(AND(T727="OK",V727="OK",G727&gt;=0),"OK","CHECK"))</f>
        <v>OK</v>
      </c>
    </row>
    <row r="728" customFormat="false" ht="18" hidden="false" customHeight="true" outlineLevel="0" collapsed="false">
      <c r="A728" s="18" t="s">
        <v>39</v>
      </c>
      <c r="B728" s="19" t="n">
        <v>24</v>
      </c>
      <c r="C728" s="20" t="n">
        <v>46009</v>
      </c>
      <c r="D728" s="18" t="s">
        <v>43</v>
      </c>
      <c r="E728" s="18" t="s">
        <v>166</v>
      </c>
      <c r="F728" s="18" t="s">
        <v>42</v>
      </c>
      <c r="G728" s="21" t="n">
        <v>6647</v>
      </c>
      <c r="H728" s="22" t="n">
        <v>0.000102382741893198</v>
      </c>
      <c r="I728" s="22" t="n">
        <v>0.000398135123124873</v>
      </c>
      <c r="J728" s="22" t="n">
        <v>0.00806311264128395</v>
      </c>
      <c r="K728" s="22" t="n">
        <v>0.00594012287958551</v>
      </c>
      <c r="L728" s="22" t="n">
        <v>9.61857135423946E-005</v>
      </c>
      <c r="M728" s="22" t="n">
        <v>0.00692763426793658</v>
      </c>
      <c r="N728" s="22" t="n">
        <v>0.00338341823775276</v>
      </c>
      <c r="O728" s="22" t="n">
        <v>0.00949418187738883</v>
      </c>
      <c r="P728" s="22" t="n">
        <v>0.00282065989375652</v>
      </c>
      <c r="Q728" s="22" t="n">
        <v>0.0117064185505951</v>
      </c>
      <c r="R728" s="22" t="n">
        <v>0.00613771435345282</v>
      </c>
      <c r="S728" s="23" t="n">
        <f aca="false">IF(A728="","",SUM(H728:R728))</f>
        <v>0.0550699662803125</v>
      </c>
      <c r="T728" s="17" t="str">
        <f aca="false">IF(A728="","",IF(AND(MIN(H728:R728)&gt;=0,MAX(H728:R728)&lt;=1,S728&lt;=1),"OK","CHECK"))</f>
        <v>OK</v>
      </c>
      <c r="U728" s="17" t="str">
        <f aca="false">IF(A728="","", "LOSS-"&amp;A728&amp;"-L"&amp;TEXT(B728,"00")&amp;"-"&amp;TEXT(C728,"yyyymmdd")&amp;"-"&amp;D728&amp;"-"&amp;E728)</f>
        <v>LOSS-KG01-L24-20251218-PM-ORD-2025-00270</v>
      </c>
      <c r="V728" s="17" t="str">
        <f aca="false">IF(U728="","",IF(COUNTIF($U$5:$U$935,U728)=1,"OK","CHECK"))</f>
        <v>OK</v>
      </c>
      <c r="W728" s="17" t="str">
        <f aca="false">IF(A728="","",IF(AND(T728="OK",V728="OK",G728&gt;=0),"OK","CHECK"))</f>
        <v>OK</v>
      </c>
    </row>
    <row r="729" customFormat="false" ht="18" hidden="false" customHeight="true" outlineLevel="0" collapsed="false">
      <c r="A729" s="18" t="s">
        <v>39</v>
      </c>
      <c r="B729" s="19" t="n">
        <v>24</v>
      </c>
      <c r="C729" s="20" t="n">
        <v>46010</v>
      </c>
      <c r="D729" s="18" t="s">
        <v>40</v>
      </c>
      <c r="E729" s="18" t="s">
        <v>166</v>
      </c>
      <c r="F729" s="18" t="s">
        <v>42</v>
      </c>
      <c r="G729" s="21" t="n">
        <v>9131</v>
      </c>
      <c r="H729" s="22" t="n">
        <v>6.2483313353576E-005</v>
      </c>
      <c r="I729" s="22" t="n">
        <v>0.00758746273336949</v>
      </c>
      <c r="J729" s="22" t="n">
        <v>0.0178886642466994</v>
      </c>
      <c r="K729" s="22" t="n">
        <v>1.27314340150652E-005</v>
      </c>
      <c r="L729" s="22" t="n">
        <v>0.000427690830726195</v>
      </c>
      <c r="M729" s="22" t="n">
        <v>0.00238027764498965</v>
      </c>
      <c r="N729" s="22" t="n">
        <v>0.0027392489503756</v>
      </c>
      <c r="O729" s="22" t="n">
        <v>0.000252833558376482</v>
      </c>
      <c r="P729" s="22" t="n">
        <v>0.015936330363805</v>
      </c>
      <c r="Q729" s="22" t="n">
        <v>0.0079466910787843</v>
      </c>
      <c r="R729" s="22" t="n">
        <v>0.0107968405912079</v>
      </c>
      <c r="S729" s="23" t="n">
        <f aca="false">IF(A729="","",SUM(H729:R729))</f>
        <v>0.0660312547457027</v>
      </c>
      <c r="T729" s="17" t="str">
        <f aca="false">IF(A729="","",IF(AND(MIN(H729:R729)&gt;=0,MAX(H729:R729)&lt;=1,S729&lt;=1),"OK","CHECK"))</f>
        <v>OK</v>
      </c>
      <c r="U729" s="17" t="str">
        <f aca="false">IF(A729="","", "LOSS-"&amp;A729&amp;"-L"&amp;TEXT(B729,"00")&amp;"-"&amp;TEXT(C729,"yyyymmdd")&amp;"-"&amp;D729&amp;"-"&amp;E729)</f>
        <v>LOSS-KG01-L24-20251219-AM-ORD-2025-00270</v>
      </c>
      <c r="V729" s="17" t="str">
        <f aca="false">IF(U729="","",IF(COUNTIF($U$5:$U$935,U729)=1,"OK","CHECK"))</f>
        <v>OK</v>
      </c>
      <c r="W729" s="17" t="str">
        <f aca="false">IF(A729="","",IF(AND(T729="OK",V729="OK",G729&gt;=0),"OK","CHECK"))</f>
        <v>OK</v>
      </c>
    </row>
    <row r="730" customFormat="false" ht="18" hidden="false" customHeight="true" outlineLevel="0" collapsed="false">
      <c r="A730" s="18" t="s">
        <v>39</v>
      </c>
      <c r="B730" s="19" t="n">
        <v>24</v>
      </c>
      <c r="C730" s="20" t="n">
        <v>46010</v>
      </c>
      <c r="D730" s="18" t="s">
        <v>43</v>
      </c>
      <c r="E730" s="18" t="s">
        <v>166</v>
      </c>
      <c r="F730" s="18" t="s">
        <v>42</v>
      </c>
      <c r="G730" s="21" t="n">
        <v>15264</v>
      </c>
      <c r="H730" s="22" t="n">
        <v>0.00146886284786747</v>
      </c>
      <c r="I730" s="22" t="n">
        <v>0.000156172125453716</v>
      </c>
      <c r="J730" s="22" t="n">
        <v>0.0142653835618506</v>
      </c>
      <c r="K730" s="22" t="n">
        <v>0.00778321610740269</v>
      </c>
      <c r="L730" s="22" t="n">
        <v>0.00717427280860689</v>
      </c>
      <c r="M730" s="22" t="n">
        <v>0.00490891556525652</v>
      </c>
      <c r="N730" s="22" t="n">
        <v>0.00520908792917207</v>
      </c>
      <c r="O730" s="22" t="n">
        <v>0.0178927601153711</v>
      </c>
      <c r="P730" s="22" t="n">
        <v>0.000126722583119027</v>
      </c>
      <c r="Q730" s="22" t="n">
        <v>0.000666836667181921</v>
      </c>
      <c r="R730" s="22" t="n">
        <v>0.0125794562304556</v>
      </c>
      <c r="S730" s="23" t="n">
        <f aca="false">IF(A730="","",SUM(H730:R730))</f>
        <v>0.0722316865417376</v>
      </c>
      <c r="T730" s="17" t="str">
        <f aca="false">IF(A730="","",IF(AND(MIN(H730:R730)&gt;=0,MAX(H730:R730)&lt;=1,S730&lt;=1),"OK","CHECK"))</f>
        <v>OK</v>
      </c>
      <c r="U730" s="17" t="str">
        <f aca="false">IF(A730="","", "LOSS-"&amp;A730&amp;"-L"&amp;TEXT(B730,"00")&amp;"-"&amp;TEXT(C730,"yyyymmdd")&amp;"-"&amp;D730&amp;"-"&amp;E730)</f>
        <v>LOSS-KG01-L24-20251219-PM-ORD-2025-00270</v>
      </c>
      <c r="V730" s="17" t="str">
        <f aca="false">IF(U730="","",IF(COUNTIF($U$5:$U$935,U730)=1,"OK","CHECK"))</f>
        <v>OK</v>
      </c>
      <c r="W730" s="17" t="str">
        <f aca="false">IF(A730="","",IF(AND(T730="OK",V730="OK",G730&gt;=0),"OK","CHECK"))</f>
        <v>OK</v>
      </c>
    </row>
    <row r="731" customFormat="false" ht="18" hidden="false" customHeight="true" outlineLevel="0" collapsed="false">
      <c r="A731" s="18" t="s">
        <v>39</v>
      </c>
      <c r="B731" s="19" t="n">
        <v>24</v>
      </c>
      <c r="C731" s="20" t="n">
        <v>46011</v>
      </c>
      <c r="D731" s="18" t="s">
        <v>40</v>
      </c>
      <c r="E731" s="18" t="s">
        <v>166</v>
      </c>
      <c r="F731" s="18" t="s">
        <v>42</v>
      </c>
      <c r="G731" s="21" t="n">
        <v>15337</v>
      </c>
      <c r="H731" s="22" t="n">
        <v>0.00605865921298022</v>
      </c>
      <c r="I731" s="22" t="n">
        <v>0.0149752839599211</v>
      </c>
      <c r="J731" s="22" t="n">
        <v>0.0023776872440373</v>
      </c>
      <c r="K731" s="22" t="n">
        <v>0.00529778307670461</v>
      </c>
      <c r="L731" s="22" t="n">
        <v>0.00619788050649938</v>
      </c>
      <c r="M731" s="22" t="n">
        <v>0.00526255272570254</v>
      </c>
      <c r="N731" s="22" t="n">
        <v>4.69647533914708E-005</v>
      </c>
      <c r="O731" s="22" t="n">
        <v>5.75130222288286E-005</v>
      </c>
      <c r="P731" s="22" t="n">
        <v>0.0105619917728081</v>
      </c>
      <c r="Q731" s="22" t="n">
        <v>0.0189079922320074</v>
      </c>
      <c r="R731" s="22" t="n">
        <v>0.00344132063626805</v>
      </c>
      <c r="S731" s="23" t="n">
        <f aca="false">IF(A731="","",SUM(H731:R731))</f>
        <v>0.073185629142549</v>
      </c>
      <c r="T731" s="17" t="str">
        <f aca="false">IF(A731="","",IF(AND(MIN(H731:R731)&gt;=0,MAX(H731:R731)&lt;=1,S731&lt;=1),"OK","CHECK"))</f>
        <v>OK</v>
      </c>
      <c r="U731" s="17" t="str">
        <f aca="false">IF(A731="","", "LOSS-"&amp;A731&amp;"-L"&amp;TEXT(B731,"00")&amp;"-"&amp;TEXT(C731,"yyyymmdd")&amp;"-"&amp;D731&amp;"-"&amp;E731)</f>
        <v>LOSS-KG01-L24-20251220-AM-ORD-2025-00270</v>
      </c>
      <c r="V731" s="17" t="str">
        <f aca="false">IF(U731="","",IF(COUNTIF($U$5:$U$935,U731)=1,"OK","CHECK"))</f>
        <v>OK</v>
      </c>
      <c r="W731" s="17" t="str">
        <f aca="false">IF(A731="","",IF(AND(T731="OK",V731="OK",G731&gt;=0),"OK","CHECK"))</f>
        <v>OK</v>
      </c>
    </row>
    <row r="732" customFormat="false" ht="18" hidden="false" customHeight="true" outlineLevel="0" collapsed="false">
      <c r="A732" s="18" t="s">
        <v>39</v>
      </c>
      <c r="B732" s="19" t="n">
        <v>24</v>
      </c>
      <c r="C732" s="20" t="n">
        <v>46011</v>
      </c>
      <c r="D732" s="18" t="s">
        <v>43</v>
      </c>
      <c r="E732" s="18" t="s">
        <v>166</v>
      </c>
      <c r="F732" s="18" t="s">
        <v>42</v>
      </c>
      <c r="G732" s="21" t="n">
        <v>16556</v>
      </c>
      <c r="H732" s="22" t="n">
        <v>0.00902019837612006</v>
      </c>
      <c r="I732" s="22" t="n">
        <v>0.000175035168265947</v>
      </c>
      <c r="J732" s="22" t="n">
        <v>0.011661284289952</v>
      </c>
      <c r="K732" s="22" t="n">
        <v>0.00168386016335107</v>
      </c>
      <c r="L732" s="22" t="n">
        <v>0.000500418028393674</v>
      </c>
      <c r="M732" s="22" t="n">
        <v>0.00317492021066285</v>
      </c>
      <c r="N732" s="22" t="n">
        <v>0.000336351244067493</v>
      </c>
      <c r="O732" s="22" t="n">
        <v>0.00379517853678191</v>
      </c>
      <c r="P732" s="22" t="n">
        <v>0.0141602031788632</v>
      </c>
      <c r="Q732" s="22" t="n">
        <v>0.00582628073932152</v>
      </c>
      <c r="R732" s="22" t="n">
        <v>0.0218396675671847</v>
      </c>
      <c r="S732" s="23" t="n">
        <f aca="false">IF(A732="","",SUM(H732:R732))</f>
        <v>0.0721733975029644</v>
      </c>
      <c r="T732" s="17" t="str">
        <f aca="false">IF(A732="","",IF(AND(MIN(H732:R732)&gt;=0,MAX(H732:R732)&lt;=1,S732&lt;=1),"OK","CHECK"))</f>
        <v>OK</v>
      </c>
      <c r="U732" s="17" t="str">
        <f aca="false">IF(A732="","", "LOSS-"&amp;A732&amp;"-L"&amp;TEXT(B732,"00")&amp;"-"&amp;TEXT(C732,"yyyymmdd")&amp;"-"&amp;D732&amp;"-"&amp;E732)</f>
        <v>LOSS-KG01-L24-20251220-PM-ORD-2025-00270</v>
      </c>
      <c r="V732" s="17" t="str">
        <f aca="false">IF(U732="","",IF(COUNTIF($U$5:$U$935,U732)=1,"OK","CHECK"))</f>
        <v>OK</v>
      </c>
      <c r="W732" s="17" t="str">
        <f aca="false">IF(A732="","",IF(AND(T732="OK",V732="OK",G732&gt;=0),"OK","CHECK"))</f>
        <v>OK</v>
      </c>
    </row>
    <row r="733" customFormat="false" ht="18" hidden="false" customHeight="true" outlineLevel="0" collapsed="false">
      <c r="A733" s="18" t="s">
        <v>39</v>
      </c>
      <c r="B733" s="19" t="n">
        <v>24</v>
      </c>
      <c r="C733" s="20" t="n">
        <v>46012</v>
      </c>
      <c r="D733" s="18" t="s">
        <v>40</v>
      </c>
      <c r="E733" s="18" t="s">
        <v>166</v>
      </c>
      <c r="F733" s="18" t="s">
        <v>42</v>
      </c>
      <c r="G733" s="21" t="n">
        <v>11959</v>
      </c>
      <c r="H733" s="22" t="n">
        <v>0.00363683561831335</v>
      </c>
      <c r="I733" s="22" t="n">
        <v>6.39284382789537E-005</v>
      </c>
      <c r="J733" s="22" t="n">
        <v>0.00256103992418699</v>
      </c>
      <c r="K733" s="22" t="n">
        <v>0.0007716849746874</v>
      </c>
      <c r="L733" s="22" t="n">
        <v>0.00885987084247203</v>
      </c>
      <c r="M733" s="22" t="n">
        <v>0.0141745157733827</v>
      </c>
      <c r="N733" s="22" t="n">
        <v>0.00812964590495321</v>
      </c>
      <c r="O733" s="22" t="n">
        <v>4.1285927434167E-005</v>
      </c>
      <c r="P733" s="22" t="n">
        <v>0.00587635576305666</v>
      </c>
      <c r="Q733" s="22" t="n">
        <v>0.00440509661473592</v>
      </c>
      <c r="R733" s="22" t="n">
        <v>0.00153876122327889</v>
      </c>
      <c r="S733" s="23" t="n">
        <f aca="false">IF(A733="","",SUM(H733:R733))</f>
        <v>0.0500590210047803</v>
      </c>
      <c r="T733" s="17" t="str">
        <f aca="false">IF(A733="","",IF(AND(MIN(H733:R733)&gt;=0,MAX(H733:R733)&lt;=1,S733&lt;=1),"OK","CHECK"))</f>
        <v>OK</v>
      </c>
      <c r="U733" s="17" t="str">
        <f aca="false">IF(A733="","", "LOSS-"&amp;A733&amp;"-L"&amp;TEXT(B733,"00")&amp;"-"&amp;TEXT(C733,"yyyymmdd")&amp;"-"&amp;D733&amp;"-"&amp;E733)</f>
        <v>LOSS-KG01-L24-20251221-AM-ORD-2025-00270</v>
      </c>
      <c r="V733" s="17" t="str">
        <f aca="false">IF(U733="","",IF(COUNTIF($U$5:$U$935,U733)=1,"OK","CHECK"))</f>
        <v>OK</v>
      </c>
      <c r="W733" s="17" t="str">
        <f aca="false">IF(A733="","",IF(AND(T733="OK",V733="OK",G733&gt;=0),"OK","CHECK"))</f>
        <v>OK</v>
      </c>
    </row>
    <row r="734" customFormat="false" ht="18" hidden="false" customHeight="true" outlineLevel="0" collapsed="false">
      <c r="A734" s="18" t="s">
        <v>39</v>
      </c>
      <c r="B734" s="19" t="n">
        <v>24</v>
      </c>
      <c r="C734" s="20" t="n">
        <v>46012</v>
      </c>
      <c r="D734" s="18" t="s">
        <v>43</v>
      </c>
      <c r="E734" s="18" t="s">
        <v>167</v>
      </c>
      <c r="F734" s="18" t="s">
        <v>45</v>
      </c>
      <c r="G734" s="21" t="n">
        <v>1753</v>
      </c>
      <c r="H734" s="22" t="n">
        <v>0.00434275297537805</v>
      </c>
      <c r="I734" s="22" t="n">
        <v>0.00451914545057552</v>
      </c>
      <c r="J734" s="22" t="n">
        <v>0.00253503854407292</v>
      </c>
      <c r="K734" s="22" t="n">
        <v>0.00151032182955054</v>
      </c>
      <c r="L734" s="22" t="n">
        <v>0.0119489575683046</v>
      </c>
      <c r="M734" s="22" t="n">
        <v>0.0071461326233348</v>
      </c>
      <c r="N734" s="22" t="n">
        <v>0.00726220389509307</v>
      </c>
      <c r="O734" s="22" t="n">
        <v>0.0108819352994017</v>
      </c>
      <c r="P734" s="22" t="n">
        <v>0.00878072556739382</v>
      </c>
      <c r="Q734" s="22" t="n">
        <v>0.00331208464027974</v>
      </c>
      <c r="R734" s="22" t="n">
        <v>0.000189476535390174</v>
      </c>
      <c r="S734" s="23" t="n">
        <f aca="false">IF(A734="","",SUM(H734:R734))</f>
        <v>0.0624287749287749</v>
      </c>
      <c r="T734" s="17" t="str">
        <f aca="false">IF(A734="","",IF(AND(MIN(H734:R734)&gt;=0,MAX(H734:R734)&lt;=1,S734&lt;=1),"OK","CHECK"))</f>
        <v>OK</v>
      </c>
      <c r="U734" s="17" t="str">
        <f aca="false">IF(A734="","", "LOSS-"&amp;A734&amp;"-L"&amp;TEXT(B734,"00")&amp;"-"&amp;TEXT(C734,"yyyymmdd")&amp;"-"&amp;D734&amp;"-"&amp;E734)</f>
        <v>LOSS-KG01-L24-20251221-PM-ORD-2025-00271</v>
      </c>
      <c r="V734" s="17" t="str">
        <f aca="false">IF(U734="","",IF(COUNTIF($U$5:$U$935,U734)=1,"OK","CHECK"))</f>
        <v>OK</v>
      </c>
      <c r="W734" s="17" t="str">
        <f aca="false">IF(A734="","",IF(AND(T734="OK",V734="OK",G734&gt;=0),"OK","CHECK"))</f>
        <v>OK</v>
      </c>
    </row>
    <row r="735" customFormat="false" ht="18" hidden="false" customHeight="true" outlineLevel="0" collapsed="false">
      <c r="A735" s="18" t="s">
        <v>39</v>
      </c>
      <c r="B735" s="19" t="n">
        <v>24</v>
      </c>
      <c r="C735" s="20" t="n">
        <v>46013</v>
      </c>
      <c r="D735" s="18" t="s">
        <v>40</v>
      </c>
      <c r="E735" s="18" t="s">
        <v>167</v>
      </c>
      <c r="F735" s="18" t="s">
        <v>42</v>
      </c>
      <c r="G735" s="21" t="n">
        <v>13275</v>
      </c>
      <c r="H735" s="22" t="n">
        <v>2.51998113925923E-005</v>
      </c>
      <c r="I735" s="22" t="n">
        <v>0.00439737494057822</v>
      </c>
      <c r="J735" s="22" t="n">
        <v>0.00588948378810635</v>
      </c>
      <c r="K735" s="22" t="n">
        <v>0.0051184222477635</v>
      </c>
      <c r="L735" s="22" t="n">
        <v>0.000436976060464172</v>
      </c>
      <c r="M735" s="22" t="n">
        <v>0.00191014402825819</v>
      </c>
      <c r="N735" s="22" t="n">
        <v>0.00541790774112914</v>
      </c>
      <c r="O735" s="22" t="n">
        <v>0.00572686218558466</v>
      </c>
      <c r="P735" s="22" t="n">
        <v>0.00372872082211317</v>
      </c>
      <c r="Q735" s="22" t="n">
        <v>0.000467899967333788</v>
      </c>
      <c r="R735" s="22" t="n">
        <v>0.00367618331948057</v>
      </c>
      <c r="S735" s="23" t="n">
        <f aca="false">IF(A735="","",SUM(H735:R735))</f>
        <v>0.0367951749122044</v>
      </c>
      <c r="T735" s="17" t="str">
        <f aca="false">IF(A735="","",IF(AND(MIN(H735:R735)&gt;=0,MAX(H735:R735)&lt;=1,S735&lt;=1),"OK","CHECK"))</f>
        <v>OK</v>
      </c>
      <c r="U735" s="17" t="str">
        <f aca="false">IF(A735="","", "LOSS-"&amp;A735&amp;"-L"&amp;TEXT(B735,"00")&amp;"-"&amp;TEXT(C735,"yyyymmdd")&amp;"-"&amp;D735&amp;"-"&amp;E735)</f>
        <v>LOSS-KG01-L24-20251222-AM-ORD-2025-00271</v>
      </c>
      <c r="V735" s="17" t="str">
        <f aca="false">IF(U735="","",IF(COUNTIF($U$5:$U$935,U735)=1,"OK","CHECK"))</f>
        <v>OK</v>
      </c>
      <c r="W735" s="17" t="str">
        <f aca="false">IF(A735="","",IF(AND(T735="OK",V735="OK",G735&gt;=0),"OK","CHECK"))</f>
        <v>OK</v>
      </c>
    </row>
    <row r="736" customFormat="false" ht="18" hidden="false" customHeight="true" outlineLevel="0" collapsed="false">
      <c r="A736" s="18" t="s">
        <v>39</v>
      </c>
      <c r="B736" s="19" t="n">
        <v>24</v>
      </c>
      <c r="C736" s="20" t="n">
        <v>46013</v>
      </c>
      <c r="D736" s="18" t="s">
        <v>43</v>
      </c>
      <c r="E736" s="18" t="s">
        <v>167</v>
      </c>
      <c r="F736" s="18" t="s">
        <v>42</v>
      </c>
      <c r="G736" s="21" t="n">
        <v>8522</v>
      </c>
      <c r="H736" s="22" t="n">
        <v>0.00995690569157962</v>
      </c>
      <c r="I736" s="22" t="n">
        <v>0.00445767561791682</v>
      </c>
      <c r="J736" s="22" t="n">
        <v>0.0032238126604967</v>
      </c>
      <c r="K736" s="22" t="n">
        <v>0.0024128869283346</v>
      </c>
      <c r="L736" s="22" t="n">
        <v>0.00833777760195703</v>
      </c>
      <c r="M736" s="22" t="n">
        <v>0.000666943681805137</v>
      </c>
      <c r="N736" s="22" t="n">
        <v>0.00040420007443974</v>
      </c>
      <c r="O736" s="22" t="n">
        <v>0.00554760182954104</v>
      </c>
      <c r="P736" s="22" t="n">
        <v>0.000378871113260321</v>
      </c>
      <c r="Q736" s="22" t="n">
        <v>0.0045127559404078</v>
      </c>
      <c r="R736" s="22" t="n">
        <v>0.00171839977134107</v>
      </c>
      <c r="S736" s="23" t="n">
        <f aca="false">IF(A736="","",SUM(H736:R736))</f>
        <v>0.0416178309110799</v>
      </c>
      <c r="T736" s="17" t="str">
        <f aca="false">IF(A736="","",IF(AND(MIN(H736:R736)&gt;=0,MAX(H736:R736)&lt;=1,S736&lt;=1),"OK","CHECK"))</f>
        <v>OK</v>
      </c>
      <c r="U736" s="17" t="str">
        <f aca="false">IF(A736="","", "LOSS-"&amp;A736&amp;"-L"&amp;TEXT(B736,"00")&amp;"-"&amp;TEXT(C736,"yyyymmdd")&amp;"-"&amp;D736&amp;"-"&amp;E736)</f>
        <v>LOSS-KG01-L24-20251222-PM-ORD-2025-00271</v>
      </c>
      <c r="V736" s="17" t="str">
        <f aca="false">IF(U736="","",IF(COUNTIF($U$5:$U$935,U736)=1,"OK","CHECK"))</f>
        <v>OK</v>
      </c>
      <c r="W736" s="17" t="str">
        <f aca="false">IF(A736="","",IF(AND(T736="OK",V736="OK",G736&gt;=0),"OK","CHECK"))</f>
        <v>OK</v>
      </c>
    </row>
    <row r="737" customFormat="false" ht="18" hidden="false" customHeight="true" outlineLevel="0" collapsed="false">
      <c r="A737" s="18" t="s">
        <v>39</v>
      </c>
      <c r="B737" s="19" t="n">
        <v>24</v>
      </c>
      <c r="C737" s="20" t="n">
        <v>46014</v>
      </c>
      <c r="D737" s="18" t="s">
        <v>40</v>
      </c>
      <c r="E737" s="18" t="s">
        <v>167</v>
      </c>
      <c r="F737" s="18" t="s">
        <v>42</v>
      </c>
      <c r="G737" s="21" t="n">
        <v>11364</v>
      </c>
      <c r="H737" s="22" t="n">
        <v>0.0014258028006882</v>
      </c>
      <c r="I737" s="22" t="n">
        <v>0.011006355601665</v>
      </c>
      <c r="J737" s="22" t="n">
        <v>0.000486555540216113</v>
      </c>
      <c r="K737" s="22" t="n">
        <v>0.00388967311606636</v>
      </c>
      <c r="L737" s="22" t="n">
        <v>0.0111673170726642</v>
      </c>
      <c r="M737" s="22" t="n">
        <v>0.0128077986655088</v>
      </c>
      <c r="N737" s="22" t="n">
        <v>0.00661446066020634</v>
      </c>
      <c r="O737" s="22" t="n">
        <v>0.0101154138637561</v>
      </c>
      <c r="P737" s="22" t="n">
        <v>0.010810305290606</v>
      </c>
      <c r="Q737" s="22" t="n">
        <v>0.00229770517943989</v>
      </c>
      <c r="R737" s="22" t="n">
        <v>0.00215199267487118</v>
      </c>
      <c r="S737" s="23" t="n">
        <f aca="false">IF(A737="","",SUM(H737:R737))</f>
        <v>0.0727733804656882</v>
      </c>
      <c r="T737" s="17" t="str">
        <f aca="false">IF(A737="","",IF(AND(MIN(H737:R737)&gt;=0,MAX(H737:R737)&lt;=1,S737&lt;=1),"OK","CHECK"))</f>
        <v>OK</v>
      </c>
      <c r="U737" s="17" t="str">
        <f aca="false">IF(A737="","", "LOSS-"&amp;A737&amp;"-L"&amp;TEXT(B737,"00")&amp;"-"&amp;TEXT(C737,"yyyymmdd")&amp;"-"&amp;D737&amp;"-"&amp;E737)</f>
        <v>LOSS-KG01-L24-20251223-AM-ORD-2025-00271</v>
      </c>
      <c r="V737" s="17" t="str">
        <f aca="false">IF(U737="","",IF(COUNTIF($U$5:$U$935,U737)=1,"OK","CHECK"))</f>
        <v>OK</v>
      </c>
      <c r="W737" s="17" t="str">
        <f aca="false">IF(A737="","",IF(AND(T737="OK",V737="OK",G737&gt;=0),"OK","CHECK"))</f>
        <v>OK</v>
      </c>
    </row>
    <row r="738" customFormat="false" ht="18" hidden="false" customHeight="true" outlineLevel="0" collapsed="false">
      <c r="A738" s="18" t="s">
        <v>39</v>
      </c>
      <c r="B738" s="19" t="n">
        <v>24</v>
      </c>
      <c r="C738" s="20" t="n">
        <v>46014</v>
      </c>
      <c r="D738" s="18" t="s">
        <v>43</v>
      </c>
      <c r="E738" s="18" t="s">
        <v>167</v>
      </c>
      <c r="F738" s="18" t="s">
        <v>42</v>
      </c>
      <c r="G738" s="21" t="n">
        <v>17712</v>
      </c>
      <c r="H738" s="22" t="n">
        <v>7.1467814798226E-006</v>
      </c>
      <c r="I738" s="22" t="n">
        <v>0.0128882809194505</v>
      </c>
      <c r="J738" s="22" t="n">
        <v>0.00953610006516305</v>
      </c>
      <c r="K738" s="22" t="n">
        <v>0.000283835437475474</v>
      </c>
      <c r="L738" s="22" t="n">
        <v>0.0086926260164527</v>
      </c>
      <c r="M738" s="22" t="n">
        <v>0.0118995530496036</v>
      </c>
      <c r="N738" s="22" t="n">
        <v>0.00309390819856401</v>
      </c>
      <c r="O738" s="22" t="n">
        <v>0.000180558801789418</v>
      </c>
      <c r="P738" s="22" t="n">
        <v>0.0153822085138829</v>
      </c>
      <c r="Q738" s="22" t="n">
        <v>0.00105696397470473</v>
      </c>
      <c r="R738" s="22" t="n">
        <v>0.00355627392412333</v>
      </c>
      <c r="S738" s="23" t="n">
        <f aca="false">IF(A738="","",SUM(H738:R738))</f>
        <v>0.0665774556826895</v>
      </c>
      <c r="T738" s="17" t="str">
        <f aca="false">IF(A738="","",IF(AND(MIN(H738:R738)&gt;=0,MAX(H738:R738)&lt;=1,S738&lt;=1),"OK","CHECK"))</f>
        <v>OK</v>
      </c>
      <c r="U738" s="17" t="str">
        <f aca="false">IF(A738="","", "LOSS-"&amp;A738&amp;"-L"&amp;TEXT(B738,"00")&amp;"-"&amp;TEXT(C738,"yyyymmdd")&amp;"-"&amp;D738&amp;"-"&amp;E738)</f>
        <v>LOSS-KG01-L24-20251223-PM-ORD-2025-00271</v>
      </c>
      <c r="V738" s="17" t="str">
        <f aca="false">IF(U738="","",IF(COUNTIF($U$5:$U$935,U738)=1,"OK","CHECK"))</f>
        <v>OK</v>
      </c>
      <c r="W738" s="17" t="str">
        <f aca="false">IF(A738="","",IF(AND(T738="OK",V738="OK",G738&gt;=0),"OK","CHECK"))</f>
        <v>OK</v>
      </c>
    </row>
    <row r="739" customFormat="false" ht="18" hidden="false" customHeight="true" outlineLevel="0" collapsed="false">
      <c r="A739" s="18" t="s">
        <v>39</v>
      </c>
      <c r="B739" s="19" t="n">
        <v>24</v>
      </c>
      <c r="C739" s="20" t="n">
        <v>46015</v>
      </c>
      <c r="D739" s="18" t="s">
        <v>40</v>
      </c>
      <c r="E739" s="18" t="s">
        <v>167</v>
      </c>
      <c r="F739" s="18" t="s">
        <v>42</v>
      </c>
      <c r="G739" s="21" t="n">
        <v>7329</v>
      </c>
      <c r="H739" s="22" t="n">
        <v>3.00120506879506E-005</v>
      </c>
      <c r="I739" s="22" t="n">
        <v>0.00274767046877081</v>
      </c>
      <c r="J739" s="22" t="n">
        <v>0.0161326338137256</v>
      </c>
      <c r="K739" s="22" t="n">
        <v>0.0072003601909003</v>
      </c>
      <c r="L739" s="22" t="n">
        <v>0.000443004731238483</v>
      </c>
      <c r="M739" s="22" t="n">
        <v>0.0161561513490897</v>
      </c>
      <c r="N739" s="22" t="n">
        <v>0.00251994042578541</v>
      </c>
      <c r="O739" s="22" t="n">
        <v>0.00152423627220278</v>
      </c>
      <c r="P739" s="22" t="n">
        <v>0.0137695097860092</v>
      </c>
      <c r="Q739" s="22" t="n">
        <v>0.000628344778752114</v>
      </c>
      <c r="R739" s="22" t="n">
        <v>0.0112254581027965</v>
      </c>
      <c r="S739" s="23" t="n">
        <f aca="false">IF(A739="","",SUM(H739:R739))</f>
        <v>0.0723773219699588</v>
      </c>
      <c r="T739" s="17" t="str">
        <f aca="false">IF(A739="","",IF(AND(MIN(H739:R739)&gt;=0,MAX(H739:R739)&lt;=1,S739&lt;=1),"OK","CHECK"))</f>
        <v>OK</v>
      </c>
      <c r="U739" s="17" t="str">
        <f aca="false">IF(A739="","", "LOSS-"&amp;A739&amp;"-L"&amp;TEXT(B739,"00")&amp;"-"&amp;TEXT(C739,"yyyymmdd")&amp;"-"&amp;D739&amp;"-"&amp;E739)</f>
        <v>LOSS-KG01-L24-20251224-AM-ORD-2025-00271</v>
      </c>
      <c r="V739" s="17" t="str">
        <f aca="false">IF(U739="","",IF(COUNTIF($U$5:$U$935,U739)=1,"OK","CHECK"))</f>
        <v>OK</v>
      </c>
      <c r="W739" s="17" t="str">
        <f aca="false">IF(A739="","",IF(AND(T739="OK",V739="OK",G739&gt;=0),"OK","CHECK"))</f>
        <v>OK</v>
      </c>
    </row>
    <row r="740" customFormat="false" ht="18" hidden="false" customHeight="true" outlineLevel="0" collapsed="false">
      <c r="A740" s="18" t="s">
        <v>39</v>
      </c>
      <c r="B740" s="19" t="n">
        <v>24</v>
      </c>
      <c r="C740" s="20" t="n">
        <v>46015</v>
      </c>
      <c r="D740" s="18" t="s">
        <v>43</v>
      </c>
      <c r="E740" s="18" t="s">
        <v>167</v>
      </c>
      <c r="F740" s="18" t="s">
        <v>42</v>
      </c>
      <c r="G740" s="21" t="n">
        <v>11819</v>
      </c>
      <c r="H740" s="22" t="n">
        <v>0.00661175293973036</v>
      </c>
      <c r="I740" s="22" t="n">
        <v>0.00173165500188256</v>
      </c>
      <c r="J740" s="22" t="n">
        <v>0.0037553157313346</v>
      </c>
      <c r="K740" s="22" t="n">
        <v>0.000444398094779162</v>
      </c>
      <c r="L740" s="22" t="n">
        <v>0.000467104630387655</v>
      </c>
      <c r="M740" s="22" t="n">
        <v>0.00952354478911219</v>
      </c>
      <c r="N740" s="22" t="n">
        <v>0.00676153066582763</v>
      </c>
      <c r="O740" s="22" t="n">
        <v>0.00568477050407906</v>
      </c>
      <c r="P740" s="22" t="n">
        <v>0.00280660856678621</v>
      </c>
      <c r="Q740" s="22" t="n">
        <v>0.00120402289942476</v>
      </c>
      <c r="R740" s="22" t="n">
        <v>0.00797718681407436</v>
      </c>
      <c r="S740" s="23" t="n">
        <f aca="false">IF(A740="","",SUM(H740:R740))</f>
        <v>0.0469678906374186</v>
      </c>
      <c r="T740" s="17" t="str">
        <f aca="false">IF(A740="","",IF(AND(MIN(H740:R740)&gt;=0,MAX(H740:R740)&lt;=1,S740&lt;=1),"OK","CHECK"))</f>
        <v>OK</v>
      </c>
      <c r="U740" s="17" t="str">
        <f aca="false">IF(A740="","", "LOSS-"&amp;A740&amp;"-L"&amp;TEXT(B740,"00")&amp;"-"&amp;TEXT(C740,"yyyymmdd")&amp;"-"&amp;D740&amp;"-"&amp;E740)</f>
        <v>LOSS-KG01-L24-20251224-PM-ORD-2025-00271</v>
      </c>
      <c r="V740" s="17" t="str">
        <f aca="false">IF(U740="","",IF(COUNTIF($U$5:$U$935,U740)=1,"OK","CHECK"))</f>
        <v>OK</v>
      </c>
      <c r="W740" s="17" t="str">
        <f aca="false">IF(A740="","",IF(AND(T740="OK",V740="OK",G740&gt;=0),"OK","CHECK"))</f>
        <v>OK</v>
      </c>
    </row>
    <row r="741" customFormat="false" ht="18" hidden="false" customHeight="true" outlineLevel="0" collapsed="false">
      <c r="A741" s="18" t="s">
        <v>39</v>
      </c>
      <c r="B741" s="19" t="n">
        <v>24</v>
      </c>
      <c r="C741" s="20" t="n">
        <v>46016</v>
      </c>
      <c r="D741" s="18" t="s">
        <v>40</v>
      </c>
      <c r="E741" s="18" t="s">
        <v>167</v>
      </c>
      <c r="F741" s="18" t="s">
        <v>42</v>
      </c>
      <c r="G741" s="21" t="n">
        <v>14028</v>
      </c>
      <c r="H741" s="22" t="n">
        <v>0.0119009026697843</v>
      </c>
      <c r="I741" s="22" t="n">
        <v>0.00420411607765701</v>
      </c>
      <c r="J741" s="22" t="n">
        <v>0.014722801237032</v>
      </c>
      <c r="K741" s="22" t="n">
        <v>0.00449372848745704</v>
      </c>
      <c r="L741" s="22" t="n">
        <v>0.0134129634096883</v>
      </c>
      <c r="M741" s="22" t="n">
        <v>8.08219534759382E-006</v>
      </c>
      <c r="N741" s="22" t="n">
        <v>0.000815036085523906</v>
      </c>
      <c r="O741" s="22" t="n">
        <v>0.000189692035227596</v>
      </c>
      <c r="P741" s="22" t="n">
        <v>0.000931331378094312</v>
      </c>
      <c r="Q741" s="22" t="n">
        <v>0.00777043185190191</v>
      </c>
      <c r="R741" s="22" t="n">
        <v>0.0042991700741647</v>
      </c>
      <c r="S741" s="23" t="n">
        <f aca="false">IF(A741="","",SUM(H741:R741))</f>
        <v>0.0627482555018787</v>
      </c>
      <c r="T741" s="17" t="str">
        <f aca="false">IF(A741="","",IF(AND(MIN(H741:R741)&gt;=0,MAX(H741:R741)&lt;=1,S741&lt;=1),"OK","CHECK"))</f>
        <v>OK</v>
      </c>
      <c r="U741" s="17" t="str">
        <f aca="false">IF(A741="","", "LOSS-"&amp;A741&amp;"-L"&amp;TEXT(B741,"00")&amp;"-"&amp;TEXT(C741,"yyyymmdd")&amp;"-"&amp;D741&amp;"-"&amp;E741)</f>
        <v>LOSS-KG01-L24-20251225-AM-ORD-2025-00271</v>
      </c>
      <c r="V741" s="17" t="str">
        <f aca="false">IF(U741="","",IF(COUNTIF($U$5:$U$935,U741)=1,"OK","CHECK"))</f>
        <v>OK</v>
      </c>
      <c r="W741" s="17" t="str">
        <f aca="false">IF(A741="","",IF(AND(T741="OK",V741="OK",G741&gt;=0),"OK","CHECK"))</f>
        <v>OK</v>
      </c>
    </row>
    <row r="742" customFormat="false" ht="18" hidden="false" customHeight="true" outlineLevel="0" collapsed="false">
      <c r="A742" s="18" t="s">
        <v>39</v>
      </c>
      <c r="B742" s="19" t="n">
        <v>24</v>
      </c>
      <c r="C742" s="20" t="n">
        <v>46016</v>
      </c>
      <c r="D742" s="18" t="s">
        <v>43</v>
      </c>
      <c r="E742" s="18" t="s">
        <v>167</v>
      </c>
      <c r="F742" s="18" t="s">
        <v>42</v>
      </c>
      <c r="G742" s="21" t="n">
        <v>19379</v>
      </c>
      <c r="H742" s="22" t="n">
        <v>0.0143246340863034</v>
      </c>
      <c r="I742" s="22" t="n">
        <v>0.0015758869287871</v>
      </c>
      <c r="J742" s="22" t="n">
        <v>0.0109335438336728</v>
      </c>
      <c r="K742" s="22" t="n">
        <v>0.000374408746933048</v>
      </c>
      <c r="L742" s="22" t="n">
        <v>0.00773192749042803</v>
      </c>
      <c r="M742" s="22" t="n">
        <v>0.0100970734789055</v>
      </c>
      <c r="N742" s="22" t="n">
        <v>0.00942750895401506</v>
      </c>
      <c r="O742" s="22" t="n">
        <v>0.00240031894450399</v>
      </c>
      <c r="P742" s="22" t="n">
        <v>0.0017433238578662</v>
      </c>
      <c r="Q742" s="22" t="n">
        <v>0.00848407892887564</v>
      </c>
      <c r="R742" s="22" t="n">
        <v>0.0204880784076836</v>
      </c>
      <c r="S742" s="23" t="n">
        <f aca="false">IF(A742="","",SUM(H742:R742))</f>
        <v>0.0875807836579744</v>
      </c>
      <c r="T742" s="17" t="str">
        <f aca="false">IF(A742="","",IF(AND(MIN(H742:R742)&gt;=0,MAX(H742:R742)&lt;=1,S742&lt;=1),"OK","CHECK"))</f>
        <v>OK</v>
      </c>
      <c r="U742" s="17" t="str">
        <f aca="false">IF(A742="","", "LOSS-"&amp;A742&amp;"-L"&amp;TEXT(B742,"00")&amp;"-"&amp;TEXT(C742,"yyyymmdd")&amp;"-"&amp;D742&amp;"-"&amp;E742)</f>
        <v>LOSS-KG01-L24-20251225-PM-ORD-2025-00271</v>
      </c>
      <c r="V742" s="17" t="str">
        <f aca="false">IF(U742="","",IF(COUNTIF($U$5:$U$935,U742)=1,"OK","CHECK"))</f>
        <v>OK</v>
      </c>
      <c r="W742" s="17" t="str">
        <f aca="false">IF(A742="","",IF(AND(T742="OK",V742="OK",G742&gt;=0),"OK","CHECK"))</f>
        <v>OK</v>
      </c>
    </row>
    <row r="743" customFormat="false" ht="18" hidden="false" customHeight="true" outlineLevel="0" collapsed="false">
      <c r="A743" s="18" t="s">
        <v>39</v>
      </c>
      <c r="B743" s="19" t="n">
        <v>24</v>
      </c>
      <c r="C743" s="20" t="n">
        <v>46017</v>
      </c>
      <c r="D743" s="18" t="s">
        <v>40</v>
      </c>
      <c r="E743" s="18" t="s">
        <v>167</v>
      </c>
      <c r="F743" s="18" t="s">
        <v>42</v>
      </c>
      <c r="G743" s="21" t="n">
        <v>11524</v>
      </c>
      <c r="H743" s="22" t="n">
        <v>0.000801218474054562</v>
      </c>
      <c r="I743" s="22" t="n">
        <v>0.000395205676882203</v>
      </c>
      <c r="J743" s="22" t="n">
        <v>0.000440845797991595</v>
      </c>
      <c r="K743" s="22" t="n">
        <v>0.00887454337068807</v>
      </c>
      <c r="L743" s="22" t="n">
        <v>0.00640665394240192</v>
      </c>
      <c r="M743" s="22" t="n">
        <v>0.000356383443617155</v>
      </c>
      <c r="N743" s="22" t="n">
        <v>0.00261315413215948</v>
      </c>
      <c r="O743" s="22" t="n">
        <v>0.00325310968967553</v>
      </c>
      <c r="P743" s="22" t="n">
        <v>0.00736607854227857</v>
      </c>
      <c r="Q743" s="22" t="n">
        <v>0.000140878877984216</v>
      </c>
      <c r="R743" s="22" t="n">
        <v>0.00500775832506907</v>
      </c>
      <c r="S743" s="23" t="n">
        <f aca="false">IF(A743="","",SUM(H743:R743))</f>
        <v>0.0356558302728024</v>
      </c>
      <c r="T743" s="17" t="str">
        <f aca="false">IF(A743="","",IF(AND(MIN(H743:R743)&gt;=0,MAX(H743:R743)&lt;=1,S743&lt;=1),"OK","CHECK"))</f>
        <v>OK</v>
      </c>
      <c r="U743" s="17" t="str">
        <f aca="false">IF(A743="","", "LOSS-"&amp;A743&amp;"-L"&amp;TEXT(B743,"00")&amp;"-"&amp;TEXT(C743,"yyyymmdd")&amp;"-"&amp;D743&amp;"-"&amp;E743)</f>
        <v>LOSS-KG01-L24-20251226-AM-ORD-2025-00271</v>
      </c>
      <c r="V743" s="17" t="str">
        <f aca="false">IF(U743="","",IF(COUNTIF($U$5:$U$935,U743)=1,"OK","CHECK"))</f>
        <v>OK</v>
      </c>
      <c r="W743" s="17" t="str">
        <f aca="false">IF(A743="","",IF(AND(T743="OK",V743="OK",G743&gt;=0),"OK","CHECK"))</f>
        <v>OK</v>
      </c>
    </row>
    <row r="744" customFormat="false" ht="18" hidden="false" customHeight="true" outlineLevel="0" collapsed="false">
      <c r="A744" s="18" t="s">
        <v>39</v>
      </c>
      <c r="B744" s="19" t="n">
        <v>24</v>
      </c>
      <c r="C744" s="20" t="n">
        <v>46017</v>
      </c>
      <c r="D744" s="18" t="s">
        <v>43</v>
      </c>
      <c r="E744" s="18" t="s">
        <v>168</v>
      </c>
      <c r="F744" s="18" t="s">
        <v>45</v>
      </c>
      <c r="G744" s="21" t="n">
        <v>3619</v>
      </c>
      <c r="H744" s="22" t="n">
        <v>0.00961250130181669</v>
      </c>
      <c r="I744" s="22" t="n">
        <v>0.00959446927007125</v>
      </c>
      <c r="J744" s="22" t="n">
        <v>0.000119797546131037</v>
      </c>
      <c r="K744" s="22" t="n">
        <v>0.00747341840920941</v>
      </c>
      <c r="L744" s="22" t="n">
        <v>0.00305450406855113</v>
      </c>
      <c r="M744" s="22" t="n">
        <v>0.00321378746595853</v>
      </c>
      <c r="N744" s="22" t="n">
        <v>0.0114021275713642</v>
      </c>
      <c r="O744" s="22" t="n">
        <v>0.000226307773264417</v>
      </c>
      <c r="P744" s="22" t="n">
        <v>3.45021781977775E-005</v>
      </c>
      <c r="Q744" s="22" t="n">
        <v>0.0140585922519577</v>
      </c>
      <c r="R744" s="22" t="n">
        <v>0.000858594484152968</v>
      </c>
      <c r="S744" s="23" t="n">
        <f aca="false">IF(A744="","",SUM(H744:R744))</f>
        <v>0.0596486023206751</v>
      </c>
      <c r="T744" s="17" t="str">
        <f aca="false">IF(A744="","",IF(AND(MIN(H744:R744)&gt;=0,MAX(H744:R744)&lt;=1,S744&lt;=1),"OK","CHECK"))</f>
        <v>OK</v>
      </c>
      <c r="U744" s="17" t="str">
        <f aca="false">IF(A744="","", "LOSS-"&amp;A744&amp;"-L"&amp;TEXT(B744,"00")&amp;"-"&amp;TEXT(C744,"yyyymmdd")&amp;"-"&amp;D744&amp;"-"&amp;E744)</f>
        <v>LOSS-KG01-L24-20251226-PM-ORD-2025-00272</v>
      </c>
      <c r="V744" s="17" t="str">
        <f aca="false">IF(U744="","",IF(COUNTIF($U$5:$U$935,U744)=1,"OK","CHECK"))</f>
        <v>OK</v>
      </c>
      <c r="W744" s="17" t="str">
        <f aca="false">IF(A744="","",IF(AND(T744="OK",V744="OK",G744&gt;=0),"OK","CHECK"))</f>
        <v>OK</v>
      </c>
    </row>
    <row r="745" customFormat="false" ht="18" hidden="false" customHeight="true" outlineLevel="0" collapsed="false">
      <c r="A745" s="18" t="s">
        <v>39</v>
      </c>
      <c r="B745" s="19" t="n">
        <v>24</v>
      </c>
      <c r="C745" s="20" t="n">
        <v>46018</v>
      </c>
      <c r="D745" s="18" t="s">
        <v>40</v>
      </c>
      <c r="E745" s="18" t="s">
        <v>168</v>
      </c>
      <c r="F745" s="18" t="s">
        <v>42</v>
      </c>
      <c r="G745" s="21" t="n">
        <v>28924</v>
      </c>
      <c r="H745" s="22" t="n">
        <v>0.00031544008248255</v>
      </c>
      <c r="I745" s="22" t="n">
        <v>0.0173903680916896</v>
      </c>
      <c r="J745" s="22" t="n">
        <v>0.00915803540688126</v>
      </c>
      <c r="K745" s="22" t="n">
        <v>0.000684899724466562</v>
      </c>
      <c r="L745" s="22" t="n">
        <v>0.0156551315432288</v>
      </c>
      <c r="M745" s="22" t="n">
        <v>0.0377019202146138</v>
      </c>
      <c r="N745" s="22" t="n">
        <v>5.80317904660098E-005</v>
      </c>
      <c r="O745" s="22" t="n">
        <v>0.00624139832265832</v>
      </c>
      <c r="P745" s="22" t="n">
        <v>4.55977310932792E-005</v>
      </c>
      <c r="Q745" s="22" t="n">
        <v>0.000222858184126019</v>
      </c>
      <c r="R745" s="22" t="n">
        <v>0.000265467543701939</v>
      </c>
      <c r="S745" s="23" t="n">
        <f aca="false">IF(A745="","",SUM(H745:R745))</f>
        <v>0.0877391486354081</v>
      </c>
      <c r="T745" s="17" t="str">
        <f aca="false">IF(A745="","",IF(AND(MIN(H745:R745)&gt;=0,MAX(H745:R745)&lt;=1,S745&lt;=1),"OK","CHECK"))</f>
        <v>OK</v>
      </c>
      <c r="U745" s="17" t="str">
        <f aca="false">IF(A745="","", "LOSS-"&amp;A745&amp;"-L"&amp;TEXT(B745,"00")&amp;"-"&amp;TEXT(C745,"yyyymmdd")&amp;"-"&amp;D745&amp;"-"&amp;E745)</f>
        <v>LOSS-KG01-L24-20251227-AM-ORD-2025-00272</v>
      </c>
      <c r="V745" s="17" t="str">
        <f aca="false">IF(U745="","",IF(COUNTIF($U$5:$U$935,U745)=1,"OK","CHECK"))</f>
        <v>OK</v>
      </c>
      <c r="W745" s="17" t="str">
        <f aca="false">IF(A745="","",IF(AND(T745="OK",V745="OK",G745&gt;=0),"OK","CHECK"))</f>
        <v>OK</v>
      </c>
    </row>
    <row r="746" customFormat="false" ht="18" hidden="false" customHeight="true" outlineLevel="0" collapsed="false">
      <c r="A746" s="18" t="s">
        <v>39</v>
      </c>
      <c r="B746" s="19" t="n">
        <v>24</v>
      </c>
      <c r="C746" s="20" t="n">
        <v>46018</v>
      </c>
      <c r="D746" s="18" t="s">
        <v>43</v>
      </c>
      <c r="E746" s="18" t="s">
        <v>168</v>
      </c>
      <c r="F746" s="18" t="s">
        <v>42</v>
      </c>
      <c r="G746" s="21" t="n">
        <v>11802</v>
      </c>
      <c r="H746" s="22" t="n">
        <v>0.00399858537570444</v>
      </c>
      <c r="I746" s="22" t="n">
        <v>0.00412009753822087</v>
      </c>
      <c r="J746" s="22" t="n">
        <v>0.00175333241971338</v>
      </c>
      <c r="K746" s="22" t="n">
        <v>0.00657377473774564</v>
      </c>
      <c r="L746" s="22" t="n">
        <v>0.00698637297640122</v>
      </c>
      <c r="M746" s="22" t="n">
        <v>6.4564163685049E-005</v>
      </c>
      <c r="N746" s="22" t="n">
        <v>0.00656064276680662</v>
      </c>
      <c r="O746" s="22" t="n">
        <v>0.00523711755534736</v>
      </c>
      <c r="P746" s="22" t="n">
        <v>0.00431233997453006</v>
      </c>
      <c r="Q746" s="22" t="n">
        <v>0.00368760788018228</v>
      </c>
      <c r="R746" s="22" t="n">
        <v>0.00195516203517355</v>
      </c>
      <c r="S746" s="23" t="n">
        <f aca="false">IF(A746="","",SUM(H746:R746))</f>
        <v>0.0452495974235105</v>
      </c>
      <c r="T746" s="17" t="str">
        <f aca="false">IF(A746="","",IF(AND(MIN(H746:R746)&gt;=0,MAX(H746:R746)&lt;=1,S746&lt;=1),"OK","CHECK"))</f>
        <v>OK</v>
      </c>
      <c r="U746" s="17" t="str">
        <f aca="false">IF(A746="","", "LOSS-"&amp;A746&amp;"-L"&amp;TEXT(B746,"00")&amp;"-"&amp;TEXT(C746,"yyyymmdd")&amp;"-"&amp;D746&amp;"-"&amp;E746)</f>
        <v>LOSS-KG01-L24-20251227-PM-ORD-2025-00272</v>
      </c>
      <c r="V746" s="17" t="str">
        <f aca="false">IF(U746="","",IF(COUNTIF($U$5:$U$935,U746)=1,"OK","CHECK"))</f>
        <v>OK</v>
      </c>
      <c r="W746" s="17" t="str">
        <f aca="false">IF(A746="","",IF(AND(T746="OK",V746="OK",G746&gt;=0),"OK","CHECK"))</f>
        <v>OK</v>
      </c>
    </row>
    <row r="747" customFormat="false" ht="18" hidden="false" customHeight="true" outlineLevel="0" collapsed="false">
      <c r="A747" s="18" t="s">
        <v>39</v>
      </c>
      <c r="B747" s="19" t="n">
        <v>24</v>
      </c>
      <c r="C747" s="20" t="n">
        <v>46019</v>
      </c>
      <c r="D747" s="18" t="s">
        <v>40</v>
      </c>
      <c r="E747" s="18" t="s">
        <v>168</v>
      </c>
      <c r="F747" s="18" t="s">
        <v>42</v>
      </c>
      <c r="G747" s="21" t="n">
        <v>8322</v>
      </c>
      <c r="H747" s="22" t="n">
        <v>9.3889048954271E-007</v>
      </c>
      <c r="I747" s="22" t="n">
        <v>0.0111032151142038</v>
      </c>
      <c r="J747" s="22" t="n">
        <v>0.000582082722771887</v>
      </c>
      <c r="K747" s="22" t="n">
        <v>9.43374226997671E-006</v>
      </c>
      <c r="L747" s="22" t="n">
        <v>0.00878277254392024</v>
      </c>
      <c r="M747" s="22" t="n">
        <v>0.00459043731801762</v>
      </c>
      <c r="N747" s="22" t="n">
        <v>0.00149605304202147</v>
      </c>
      <c r="O747" s="22" t="n">
        <v>0.00230180588333649</v>
      </c>
      <c r="P747" s="22" t="n">
        <v>0.00403868873584058</v>
      </c>
      <c r="Q747" s="22" t="n">
        <v>0.00937551199289442</v>
      </c>
      <c r="R747" s="22" t="n">
        <v>0.00366751293943112</v>
      </c>
      <c r="S747" s="23" t="n">
        <f aca="false">IF(A747="","",SUM(H747:R747))</f>
        <v>0.0459484529251972</v>
      </c>
      <c r="T747" s="17" t="str">
        <f aca="false">IF(A747="","",IF(AND(MIN(H747:R747)&gt;=0,MAX(H747:R747)&lt;=1,S747&lt;=1),"OK","CHECK"))</f>
        <v>OK</v>
      </c>
      <c r="U747" s="17" t="str">
        <f aca="false">IF(A747="","", "LOSS-"&amp;A747&amp;"-L"&amp;TEXT(B747,"00")&amp;"-"&amp;TEXT(C747,"yyyymmdd")&amp;"-"&amp;D747&amp;"-"&amp;E747)</f>
        <v>LOSS-KG01-L24-20251228-AM-ORD-2025-00272</v>
      </c>
      <c r="V747" s="17" t="str">
        <f aca="false">IF(U747="","",IF(COUNTIF($U$5:$U$935,U747)=1,"OK","CHECK"))</f>
        <v>OK</v>
      </c>
      <c r="W747" s="17" t="str">
        <f aca="false">IF(A747="","",IF(AND(T747="OK",V747="OK",G747&gt;=0),"OK","CHECK"))</f>
        <v>OK</v>
      </c>
    </row>
    <row r="748" customFormat="false" ht="18" hidden="false" customHeight="true" outlineLevel="0" collapsed="false">
      <c r="A748" s="18" t="s">
        <v>39</v>
      </c>
      <c r="B748" s="19" t="n">
        <v>24</v>
      </c>
      <c r="C748" s="20" t="n">
        <v>46019</v>
      </c>
      <c r="D748" s="18" t="s">
        <v>43</v>
      </c>
      <c r="E748" s="18" t="s">
        <v>168</v>
      </c>
      <c r="F748" s="18" t="s">
        <v>42</v>
      </c>
      <c r="G748" s="21" t="n">
        <v>9410</v>
      </c>
      <c r="H748" s="22" t="n">
        <v>1.1056506521361E-006</v>
      </c>
      <c r="I748" s="22" t="n">
        <v>0.00304378983995797</v>
      </c>
      <c r="J748" s="22" t="n">
        <v>0.000715887811902993</v>
      </c>
      <c r="K748" s="22" t="n">
        <v>0.00260488660451825</v>
      </c>
      <c r="L748" s="22" t="n">
        <v>0.00158878176300875</v>
      </c>
      <c r="M748" s="22" t="n">
        <v>0.00341588523505423</v>
      </c>
      <c r="N748" s="22" t="n">
        <v>0.00435090870757189</v>
      </c>
      <c r="O748" s="22" t="n">
        <v>0.00228210021084504</v>
      </c>
      <c r="P748" s="22" t="n">
        <v>0.00592397187660736</v>
      </c>
      <c r="Q748" s="22" t="n">
        <v>0.00529478573621295</v>
      </c>
      <c r="R748" s="22" t="n">
        <v>0.00539715826468456</v>
      </c>
      <c r="S748" s="23" t="n">
        <f aca="false">IF(A748="","",SUM(H748:R748))</f>
        <v>0.0346192617010161</v>
      </c>
      <c r="T748" s="17" t="str">
        <f aca="false">IF(A748="","",IF(AND(MIN(H748:R748)&gt;=0,MAX(H748:R748)&lt;=1,S748&lt;=1),"OK","CHECK"))</f>
        <v>OK</v>
      </c>
      <c r="U748" s="17" t="str">
        <f aca="false">IF(A748="","", "LOSS-"&amp;A748&amp;"-L"&amp;TEXT(B748,"00")&amp;"-"&amp;TEXT(C748,"yyyymmdd")&amp;"-"&amp;D748&amp;"-"&amp;E748)</f>
        <v>LOSS-KG01-L24-20251228-PM-ORD-2025-00272</v>
      </c>
      <c r="V748" s="17" t="str">
        <f aca="false">IF(U748="","",IF(COUNTIF($U$5:$U$935,U748)=1,"OK","CHECK"))</f>
        <v>OK</v>
      </c>
      <c r="W748" s="17" t="str">
        <f aca="false">IF(A748="","",IF(AND(T748="OK",V748="OK",G748&gt;=0),"OK","CHECK"))</f>
        <v>OK</v>
      </c>
    </row>
    <row r="749" customFormat="false" ht="18" hidden="false" customHeight="true" outlineLevel="0" collapsed="false">
      <c r="A749" s="18" t="s">
        <v>39</v>
      </c>
      <c r="B749" s="19" t="n">
        <v>24</v>
      </c>
      <c r="C749" s="20" t="n">
        <v>46020</v>
      </c>
      <c r="D749" s="18" t="s">
        <v>40</v>
      </c>
      <c r="E749" s="18" t="s">
        <v>168</v>
      </c>
      <c r="F749" s="18" t="s">
        <v>42</v>
      </c>
      <c r="G749" s="21" t="n">
        <v>4073</v>
      </c>
      <c r="H749" s="22" t="n">
        <v>0.00434170678649474</v>
      </c>
      <c r="I749" s="22" t="n">
        <v>0.00257999238475326</v>
      </c>
      <c r="J749" s="22" t="n">
        <v>0.000856031366902532</v>
      </c>
      <c r="K749" s="22" t="n">
        <v>0.00207366922547985</v>
      </c>
      <c r="L749" s="22" t="n">
        <v>0.0006669260568552</v>
      </c>
      <c r="M749" s="22" t="n">
        <v>0.00437723668151813</v>
      </c>
      <c r="N749" s="22" t="n">
        <v>3.24300919148793E-005</v>
      </c>
      <c r="O749" s="22" t="n">
        <v>0.00203271437593665</v>
      </c>
      <c r="P749" s="22" t="n">
        <v>0.00364603675885392</v>
      </c>
      <c r="Q749" s="22" t="n">
        <v>0.00422984741234807</v>
      </c>
      <c r="R749" s="22" t="n">
        <v>0.00227950275665658</v>
      </c>
      <c r="S749" s="23" t="n">
        <f aca="false">IF(A749="","",SUM(H749:R749))</f>
        <v>0.0271160938977138</v>
      </c>
      <c r="T749" s="17" t="str">
        <f aca="false">IF(A749="","",IF(AND(MIN(H749:R749)&gt;=0,MAX(H749:R749)&lt;=1,S749&lt;=1),"OK","CHECK"))</f>
        <v>OK</v>
      </c>
      <c r="U749" s="17" t="str">
        <f aca="false">IF(A749="","", "LOSS-"&amp;A749&amp;"-L"&amp;TEXT(B749,"00")&amp;"-"&amp;TEXT(C749,"yyyymmdd")&amp;"-"&amp;D749&amp;"-"&amp;E749)</f>
        <v>LOSS-KG01-L24-20251229-AM-ORD-2025-00272</v>
      </c>
      <c r="V749" s="17" t="str">
        <f aca="false">IF(U749="","",IF(COUNTIF($U$5:$U$935,U749)=1,"OK","CHECK"))</f>
        <v>OK</v>
      </c>
      <c r="W749" s="17" t="str">
        <f aca="false">IF(A749="","",IF(AND(T749="OK",V749="OK",G749&gt;=0),"OK","CHECK"))</f>
        <v>OK</v>
      </c>
    </row>
    <row r="750" customFormat="false" ht="18" hidden="false" customHeight="true" outlineLevel="0" collapsed="false">
      <c r="A750" s="18" t="s">
        <v>39</v>
      </c>
      <c r="B750" s="19" t="n">
        <v>24</v>
      </c>
      <c r="C750" s="20" t="n">
        <v>46020</v>
      </c>
      <c r="D750" s="18" t="s">
        <v>43</v>
      </c>
      <c r="E750" s="18" t="s">
        <v>168</v>
      </c>
      <c r="F750" s="18" t="s">
        <v>61</v>
      </c>
      <c r="G750" s="21" t="n">
        <v>6259</v>
      </c>
      <c r="H750" s="22" t="n">
        <v>0.00559398135625174</v>
      </c>
      <c r="I750" s="22" t="n">
        <v>0.000200469619012809</v>
      </c>
      <c r="J750" s="22" t="n">
        <v>0.00144488209706602</v>
      </c>
      <c r="K750" s="22" t="n">
        <v>0.000905482125014887</v>
      </c>
      <c r="L750" s="22" t="n">
        <v>0.00475019833787971</v>
      </c>
      <c r="M750" s="22" t="n">
        <v>0.00198978003965132</v>
      </c>
      <c r="N750" s="22" t="n">
        <v>1.17697013714375E-005</v>
      </c>
      <c r="O750" s="22" t="n">
        <v>0.000328250488493985</v>
      </c>
      <c r="P750" s="22" t="n">
        <v>0.0168141364363663</v>
      </c>
      <c r="Q750" s="22" t="n">
        <v>0.00064135880868758</v>
      </c>
      <c r="R750" s="22" t="n">
        <v>0.0112357179895446</v>
      </c>
      <c r="S750" s="23" t="n">
        <f aca="false">IF(A750="","",SUM(H750:R750))</f>
        <v>0.0439160269993404</v>
      </c>
      <c r="T750" s="17" t="str">
        <f aca="false">IF(A750="","",IF(AND(MIN(H750:R750)&gt;=0,MAX(H750:R750)&lt;=1,S750&lt;=1),"OK","CHECK"))</f>
        <v>OK</v>
      </c>
      <c r="U750" s="17" t="str">
        <f aca="false">IF(A750="","", "LOSS-"&amp;A750&amp;"-L"&amp;TEXT(B750,"00")&amp;"-"&amp;TEXT(C750,"yyyymmdd")&amp;"-"&amp;D750&amp;"-"&amp;E750)</f>
        <v>LOSS-KG01-L24-20251229-PM-ORD-2025-00272</v>
      </c>
      <c r="V750" s="17" t="str">
        <f aca="false">IF(U750="","",IF(COUNTIF($U$5:$U$935,U750)=1,"OK","CHECK"))</f>
        <v>OK</v>
      </c>
      <c r="W750" s="17" t="str">
        <f aca="false">IF(A750="","",IF(AND(T750="OK",V750="OK",G750&gt;=0),"OK","CHECK"))</f>
        <v>OK</v>
      </c>
    </row>
    <row r="751" customFormat="false" ht="18" hidden="false" customHeight="true" outlineLevel="0" collapsed="false">
      <c r="A751" s="18" t="s">
        <v>39</v>
      </c>
      <c r="B751" s="19" t="n">
        <v>24</v>
      </c>
      <c r="C751" s="20" t="n">
        <v>46021</v>
      </c>
      <c r="D751" s="18" t="s">
        <v>40</v>
      </c>
      <c r="E751" s="18" t="s">
        <v>168</v>
      </c>
      <c r="F751" s="18" t="s">
        <v>42</v>
      </c>
      <c r="G751" s="21" t="n">
        <v>6575</v>
      </c>
      <c r="H751" s="22" t="n">
        <v>0.00120600858935943</v>
      </c>
      <c r="I751" s="22" t="n">
        <v>0.00225448382194269</v>
      </c>
      <c r="J751" s="22" t="n">
        <v>0.0175771920606136</v>
      </c>
      <c r="K751" s="22" t="n">
        <v>0.00106081617597026</v>
      </c>
      <c r="L751" s="22" t="n">
        <v>0.00279734004708017</v>
      </c>
      <c r="M751" s="22" t="n">
        <v>0.0036688935506376</v>
      </c>
      <c r="N751" s="22" t="n">
        <v>0.0055316675484815</v>
      </c>
      <c r="O751" s="22" t="n">
        <v>0.00028569559689548</v>
      </c>
      <c r="P751" s="22" t="n">
        <v>0.00315783675847063</v>
      </c>
      <c r="Q751" s="22" t="n">
        <v>6.45632778151546E-005</v>
      </c>
      <c r="R751" s="22" t="n">
        <v>0.0269962551837829</v>
      </c>
      <c r="S751" s="23" t="n">
        <f aca="false">IF(A751="","",SUM(H751:R751))</f>
        <v>0.0646007526110494</v>
      </c>
      <c r="T751" s="17" t="str">
        <f aca="false">IF(A751="","",IF(AND(MIN(H751:R751)&gt;=0,MAX(H751:R751)&lt;=1,S751&lt;=1),"OK","CHECK"))</f>
        <v>OK</v>
      </c>
      <c r="U751" s="17" t="str">
        <f aca="false">IF(A751="","", "LOSS-"&amp;A751&amp;"-L"&amp;TEXT(B751,"00")&amp;"-"&amp;TEXT(C751,"yyyymmdd")&amp;"-"&amp;D751&amp;"-"&amp;E751)</f>
        <v>LOSS-KG01-L24-20251230-AM-ORD-2025-00272</v>
      </c>
      <c r="V751" s="17" t="str">
        <f aca="false">IF(U751="","",IF(COUNTIF($U$5:$U$935,U751)=1,"OK","CHECK"))</f>
        <v>OK</v>
      </c>
      <c r="W751" s="17" t="str">
        <f aca="false">IF(A751="","",IF(AND(T751="OK",V751="OK",G751&gt;=0),"OK","CHECK"))</f>
        <v>OK</v>
      </c>
    </row>
    <row r="752" customFormat="false" ht="18" hidden="false" customHeight="true" outlineLevel="0" collapsed="false">
      <c r="A752" s="18" t="s">
        <v>39</v>
      </c>
      <c r="B752" s="19" t="n">
        <v>24</v>
      </c>
      <c r="C752" s="20" t="n">
        <v>46021</v>
      </c>
      <c r="D752" s="18" t="s">
        <v>43</v>
      </c>
      <c r="E752" s="18" t="s">
        <v>168</v>
      </c>
      <c r="F752" s="18" t="s">
        <v>42</v>
      </c>
      <c r="G752" s="21" t="n">
        <v>15105</v>
      </c>
      <c r="H752" s="22" t="n">
        <v>0.0120999625803791</v>
      </c>
      <c r="I752" s="22" t="n">
        <v>0.000383275026735834</v>
      </c>
      <c r="J752" s="22" t="n">
        <v>0.00651288194791368</v>
      </c>
      <c r="K752" s="22" t="n">
        <v>0.0200514564979306</v>
      </c>
      <c r="L752" s="22" t="n">
        <v>4.16145056021E-005</v>
      </c>
      <c r="M752" s="22" t="n">
        <v>0.0030494200508186</v>
      </c>
      <c r="N752" s="22" t="n">
        <v>1.02367800830321E-005</v>
      </c>
      <c r="O752" s="22" t="n">
        <v>0.014215400440104</v>
      </c>
      <c r="P752" s="22" t="n">
        <v>0.00127980604943097</v>
      </c>
      <c r="Q752" s="22" t="n">
        <v>0.0198356642122002</v>
      </c>
      <c r="R752" s="22" t="n">
        <v>0.00416407606158205</v>
      </c>
      <c r="S752" s="23" t="n">
        <f aca="false">IF(A752="","",SUM(H752:R752))</f>
        <v>0.0816437941527802</v>
      </c>
      <c r="T752" s="17" t="str">
        <f aca="false">IF(A752="","",IF(AND(MIN(H752:R752)&gt;=0,MAX(H752:R752)&lt;=1,S752&lt;=1),"OK","CHECK"))</f>
        <v>OK</v>
      </c>
      <c r="U752" s="17" t="str">
        <f aca="false">IF(A752="","", "LOSS-"&amp;A752&amp;"-L"&amp;TEXT(B752,"00")&amp;"-"&amp;TEXT(C752,"yyyymmdd")&amp;"-"&amp;D752&amp;"-"&amp;E752)</f>
        <v>LOSS-KG01-L24-20251230-PM-ORD-2025-00272</v>
      </c>
      <c r="V752" s="17" t="str">
        <f aca="false">IF(U752="","",IF(COUNTIF($U$5:$U$935,U752)=1,"OK","CHECK"))</f>
        <v>OK</v>
      </c>
      <c r="W752" s="17" t="str">
        <f aca="false">IF(A752="","",IF(AND(T752="OK",V752="OK",G752&gt;=0),"OK","CHECK"))</f>
        <v>OK</v>
      </c>
    </row>
    <row r="753" customFormat="false" ht="18" hidden="false" customHeight="true" outlineLevel="0" collapsed="false">
      <c r="A753" s="18" t="s">
        <v>39</v>
      </c>
      <c r="B753" s="19" t="n">
        <v>24</v>
      </c>
      <c r="C753" s="20" t="n">
        <v>46022</v>
      </c>
      <c r="D753" s="18" t="s">
        <v>40</v>
      </c>
      <c r="E753" s="18" t="s">
        <v>168</v>
      </c>
      <c r="F753" s="18" t="s">
        <v>42</v>
      </c>
      <c r="G753" s="21" t="n">
        <v>3658</v>
      </c>
      <c r="H753" s="22" t="n">
        <v>0.00325973872713279</v>
      </c>
      <c r="I753" s="22" t="n">
        <v>0.00193122120665279</v>
      </c>
      <c r="J753" s="22" t="n">
        <v>0.000941612077436398</v>
      </c>
      <c r="K753" s="22" t="n">
        <v>3.21646966290322E-005</v>
      </c>
      <c r="L753" s="22" t="n">
        <v>0.00194467283717118</v>
      </c>
      <c r="M753" s="22" t="n">
        <v>0.000635097423278875</v>
      </c>
      <c r="N753" s="22" t="n">
        <v>0.00250185180931761</v>
      </c>
      <c r="O753" s="22" t="n">
        <v>0.00307721412941828</v>
      </c>
      <c r="P753" s="22" t="n">
        <v>0.00311009603989538</v>
      </c>
      <c r="Q753" s="22" t="n">
        <v>0.00267187510821721</v>
      </c>
      <c r="R753" s="22" t="n">
        <v>1.07100761615401E-005</v>
      </c>
      <c r="S753" s="23" t="n">
        <f aca="false">IF(A753="","",SUM(H753:R753))</f>
        <v>0.0201162541313111</v>
      </c>
      <c r="T753" s="17" t="str">
        <f aca="false">IF(A753="","",IF(AND(MIN(H753:R753)&gt;=0,MAX(H753:R753)&lt;=1,S753&lt;=1),"OK","CHECK"))</f>
        <v>OK</v>
      </c>
      <c r="U753" s="17" t="str">
        <f aca="false">IF(A753="","", "LOSS-"&amp;A753&amp;"-L"&amp;TEXT(B753,"00")&amp;"-"&amp;TEXT(C753,"yyyymmdd")&amp;"-"&amp;D753&amp;"-"&amp;E753)</f>
        <v>LOSS-KG01-L24-20251231-AM-ORD-2025-00272</v>
      </c>
      <c r="V753" s="17" t="str">
        <f aca="false">IF(U753="","",IF(COUNTIF($U$5:$U$935,U753)=1,"OK","CHECK"))</f>
        <v>OK</v>
      </c>
      <c r="W753" s="17" t="str">
        <f aca="false">IF(A753="","",IF(AND(T753="OK",V753="OK",G753&gt;=0),"OK","CHECK"))</f>
        <v>OK</v>
      </c>
    </row>
    <row r="754" customFormat="false" ht="18" hidden="false" customHeight="true" outlineLevel="0" collapsed="false">
      <c r="A754" s="18" t="s">
        <v>39</v>
      </c>
      <c r="B754" s="19" t="n">
        <v>24</v>
      </c>
      <c r="C754" s="20" t="n">
        <v>46022</v>
      </c>
      <c r="D754" s="18" t="s">
        <v>43</v>
      </c>
      <c r="E754" s="18" t="s">
        <v>169</v>
      </c>
      <c r="F754" s="18" t="s">
        <v>45</v>
      </c>
      <c r="G754" s="21" t="n">
        <v>2289</v>
      </c>
      <c r="H754" s="22" t="n">
        <v>0.00473876020053345</v>
      </c>
      <c r="I754" s="22" t="n">
        <v>0.000790003018545405</v>
      </c>
      <c r="J754" s="22" t="n">
        <v>0.000957713134739082</v>
      </c>
      <c r="K754" s="22" t="n">
        <v>0.00223269017210732</v>
      </c>
      <c r="L754" s="22" t="n">
        <v>0.00405069223528261</v>
      </c>
      <c r="M754" s="22" t="n">
        <v>0.00352037072448755</v>
      </c>
      <c r="N754" s="22" t="n">
        <v>0.000902928604343768</v>
      </c>
      <c r="O754" s="22" t="n">
        <v>0.00283860064654364</v>
      </c>
      <c r="P754" s="22" t="n">
        <v>3.19641005376723E-005</v>
      </c>
      <c r="Q754" s="22" t="n">
        <v>0.00535033660322984</v>
      </c>
      <c r="R754" s="22" t="n">
        <v>0.000274158095870161</v>
      </c>
      <c r="S754" s="23" t="n">
        <f aca="false">IF(A754="","",SUM(H754:R754))</f>
        <v>0.0256882175362205</v>
      </c>
      <c r="T754" s="17" t="str">
        <f aca="false">IF(A754="","",IF(AND(MIN(H754:R754)&gt;=0,MAX(H754:R754)&lt;=1,S754&lt;=1),"OK","CHECK"))</f>
        <v>OK</v>
      </c>
      <c r="U754" s="17" t="str">
        <f aca="false">IF(A754="","", "LOSS-"&amp;A754&amp;"-L"&amp;TEXT(B754,"00")&amp;"-"&amp;TEXT(C754,"yyyymmdd")&amp;"-"&amp;D754&amp;"-"&amp;E754)</f>
        <v>LOSS-KG01-L24-20251231-PM-ORD-2025-00273</v>
      </c>
      <c r="V754" s="17" t="str">
        <f aca="false">IF(U754="","",IF(COUNTIF($U$5:$U$935,U754)=1,"OK","CHECK"))</f>
        <v>OK</v>
      </c>
      <c r="W754" s="17" t="str">
        <f aca="false">IF(A754="","",IF(AND(T754="OK",V754="OK",G754&gt;=0),"OK","CHECK"))</f>
        <v>OK</v>
      </c>
    </row>
    <row r="755" customFormat="false" ht="18" hidden="false" customHeight="true" outlineLevel="0" collapsed="false">
      <c r="A755" s="18" t="s">
        <v>39</v>
      </c>
      <c r="B755" s="19" t="n">
        <v>25</v>
      </c>
      <c r="C755" s="20" t="n">
        <v>45931</v>
      </c>
      <c r="D755" s="18" t="s">
        <v>40</v>
      </c>
      <c r="E755" s="18" t="s">
        <v>170</v>
      </c>
      <c r="F755" s="18" t="s">
        <v>42</v>
      </c>
      <c r="G755" s="21" t="n">
        <v>17942</v>
      </c>
      <c r="H755" s="22" t="n">
        <v>0.0166951520847439</v>
      </c>
      <c r="I755" s="22" t="n">
        <v>0.010835847330274</v>
      </c>
      <c r="J755" s="22" t="n">
        <v>0.00118674796310014</v>
      </c>
      <c r="K755" s="22" t="n">
        <v>0.00213264439119094</v>
      </c>
      <c r="L755" s="22" t="n">
        <v>4.98281834295147E-005</v>
      </c>
      <c r="M755" s="22" t="n">
        <v>0.00339718021505538</v>
      </c>
      <c r="N755" s="22" t="n">
        <v>0.00556909274310932</v>
      </c>
      <c r="O755" s="22" t="n">
        <v>0.00349986184846875</v>
      </c>
      <c r="P755" s="22" t="n">
        <v>0.000217593879076768</v>
      </c>
      <c r="Q755" s="22" t="n">
        <v>0.00721559927830421</v>
      </c>
      <c r="R755" s="22" t="n">
        <v>0.00433078052382268</v>
      </c>
      <c r="S755" s="23" t="n">
        <f aca="false">IF(A755="","",SUM(H755:R755))</f>
        <v>0.0551303284405756</v>
      </c>
      <c r="T755" s="17" t="str">
        <f aca="false">IF(A755="","",IF(AND(MIN(H755:R755)&gt;=0,MAX(H755:R755)&lt;=1,S755&lt;=1),"OK","CHECK"))</f>
        <v>OK</v>
      </c>
      <c r="U755" s="17" t="str">
        <f aca="false">IF(A755="","", "LOSS-"&amp;A755&amp;"-L"&amp;TEXT(B755,"00")&amp;"-"&amp;TEXT(C755,"yyyymmdd")&amp;"-"&amp;D755&amp;"-"&amp;E755)</f>
        <v>LOSS-KG01-L25-20251001-AM-ORD-2025-00274</v>
      </c>
      <c r="V755" s="17" t="str">
        <f aca="false">IF(U755="","",IF(COUNTIF($U$5:$U$935,U755)=1,"OK","CHECK"))</f>
        <v>OK</v>
      </c>
      <c r="W755" s="17" t="str">
        <f aca="false">IF(A755="","",IF(AND(T755="OK",V755="OK",G755&gt;=0),"OK","CHECK"))</f>
        <v>OK</v>
      </c>
    </row>
    <row r="756" customFormat="false" ht="18" hidden="false" customHeight="true" outlineLevel="0" collapsed="false">
      <c r="A756" s="18" t="s">
        <v>39</v>
      </c>
      <c r="B756" s="19" t="n">
        <v>25</v>
      </c>
      <c r="C756" s="20" t="n">
        <v>45931</v>
      </c>
      <c r="D756" s="18" t="s">
        <v>43</v>
      </c>
      <c r="E756" s="18" t="s">
        <v>170</v>
      </c>
      <c r="F756" s="18" t="s">
        <v>42</v>
      </c>
      <c r="G756" s="21" t="n">
        <v>6973</v>
      </c>
      <c r="H756" s="22" t="n">
        <v>0.0091950534928577</v>
      </c>
      <c r="I756" s="22" t="n">
        <v>0.00655271517779297</v>
      </c>
      <c r="J756" s="22" t="n">
        <v>0.000321114152242382</v>
      </c>
      <c r="K756" s="22" t="n">
        <v>0.000702148060333884</v>
      </c>
      <c r="L756" s="22" t="n">
        <v>0.00434434163772149</v>
      </c>
      <c r="M756" s="22" t="n">
        <v>0.00109885349933879</v>
      </c>
      <c r="N756" s="22" t="n">
        <v>0.00887520845155542</v>
      </c>
      <c r="O756" s="22" t="n">
        <v>2.57014375588887E-005</v>
      </c>
      <c r="P756" s="22" t="n">
        <v>0.000925626966076108</v>
      </c>
      <c r="Q756" s="22" t="n">
        <v>0.012688533415811</v>
      </c>
      <c r="R756" s="22" t="n">
        <v>3.8836218945457E-007</v>
      </c>
      <c r="S756" s="23" t="n">
        <f aca="false">IF(A756="","",SUM(H756:R756))</f>
        <v>0.0447296846534781</v>
      </c>
      <c r="T756" s="17" t="str">
        <f aca="false">IF(A756="","",IF(AND(MIN(H756:R756)&gt;=0,MAX(H756:R756)&lt;=1,S756&lt;=1),"OK","CHECK"))</f>
        <v>OK</v>
      </c>
      <c r="U756" s="17" t="str">
        <f aca="false">IF(A756="","", "LOSS-"&amp;A756&amp;"-L"&amp;TEXT(B756,"00")&amp;"-"&amp;TEXT(C756,"yyyymmdd")&amp;"-"&amp;D756&amp;"-"&amp;E756)</f>
        <v>LOSS-KG01-L25-20251001-PM-ORD-2025-00274</v>
      </c>
      <c r="V756" s="17" t="str">
        <f aca="false">IF(U756="","",IF(COUNTIF($U$5:$U$935,U756)=1,"OK","CHECK"))</f>
        <v>OK</v>
      </c>
      <c r="W756" s="17" t="str">
        <f aca="false">IF(A756="","",IF(AND(T756="OK",V756="OK",G756&gt;=0),"OK","CHECK"))</f>
        <v>OK</v>
      </c>
    </row>
    <row r="757" customFormat="false" ht="18" hidden="false" customHeight="true" outlineLevel="0" collapsed="false">
      <c r="A757" s="18" t="s">
        <v>39</v>
      </c>
      <c r="B757" s="19" t="n">
        <v>25</v>
      </c>
      <c r="C757" s="20" t="n">
        <v>45932</v>
      </c>
      <c r="D757" s="18" t="s">
        <v>40</v>
      </c>
      <c r="E757" s="18" t="s">
        <v>170</v>
      </c>
      <c r="F757" s="18" t="s">
        <v>42</v>
      </c>
      <c r="G757" s="21" t="n">
        <v>14137</v>
      </c>
      <c r="H757" s="22" t="n">
        <v>0.00647203940147162</v>
      </c>
      <c r="I757" s="22" t="n">
        <v>0.00465089297672311</v>
      </c>
      <c r="J757" s="22" t="n">
        <v>0.000874982351555832</v>
      </c>
      <c r="K757" s="22" t="n">
        <v>0.0020691926702595</v>
      </c>
      <c r="L757" s="22" t="n">
        <v>0.00528344114318496</v>
      </c>
      <c r="M757" s="22" t="n">
        <v>0.0103389597597687</v>
      </c>
      <c r="N757" s="22" t="n">
        <v>0.00703503953111566</v>
      </c>
      <c r="O757" s="22" t="n">
        <v>0.0185564041250343</v>
      </c>
      <c r="P757" s="22" t="n">
        <v>0.000432833974798656</v>
      </c>
      <c r="Q757" s="22" t="n">
        <v>4.94169123128747E-005</v>
      </c>
      <c r="R757" s="22" t="n">
        <v>0.00126934568610548</v>
      </c>
      <c r="S757" s="23" t="n">
        <f aca="false">IF(A757="","",SUM(H757:R757))</f>
        <v>0.0570325485323307</v>
      </c>
      <c r="T757" s="17" t="str">
        <f aca="false">IF(A757="","",IF(AND(MIN(H757:R757)&gt;=0,MAX(H757:R757)&lt;=1,S757&lt;=1),"OK","CHECK"))</f>
        <v>OK</v>
      </c>
      <c r="U757" s="17" t="str">
        <f aca="false">IF(A757="","", "LOSS-"&amp;A757&amp;"-L"&amp;TEXT(B757,"00")&amp;"-"&amp;TEXT(C757,"yyyymmdd")&amp;"-"&amp;D757&amp;"-"&amp;E757)</f>
        <v>LOSS-KG01-L25-20251002-AM-ORD-2025-00274</v>
      </c>
      <c r="V757" s="17" t="str">
        <f aca="false">IF(U757="","",IF(COUNTIF($U$5:$U$935,U757)=1,"OK","CHECK"))</f>
        <v>OK</v>
      </c>
      <c r="W757" s="17" t="str">
        <f aca="false">IF(A757="","",IF(AND(T757="OK",V757="OK",G757&gt;=0),"OK","CHECK"))</f>
        <v>OK</v>
      </c>
    </row>
    <row r="758" customFormat="false" ht="18" hidden="false" customHeight="true" outlineLevel="0" collapsed="false">
      <c r="A758" s="18" t="s">
        <v>39</v>
      </c>
      <c r="B758" s="19" t="n">
        <v>25</v>
      </c>
      <c r="C758" s="20" t="n">
        <v>45932</v>
      </c>
      <c r="D758" s="18" t="s">
        <v>43</v>
      </c>
      <c r="E758" s="18" t="s">
        <v>171</v>
      </c>
      <c r="F758" s="18" t="s">
        <v>45</v>
      </c>
      <c r="G758" s="21" t="n">
        <v>14273</v>
      </c>
      <c r="H758" s="22" t="n">
        <v>0.00368786404898294</v>
      </c>
      <c r="I758" s="22" t="n">
        <v>0.0137922517295026</v>
      </c>
      <c r="J758" s="22" t="n">
        <v>7.50614990243437E-005</v>
      </c>
      <c r="K758" s="22" t="n">
        <v>0.0117115509097089</v>
      </c>
      <c r="L758" s="22" t="n">
        <v>0.00536673209329658</v>
      </c>
      <c r="M758" s="22" t="n">
        <v>0.0126767249176048</v>
      </c>
      <c r="N758" s="22" t="n">
        <v>0.00965647527370017</v>
      </c>
      <c r="O758" s="22" t="n">
        <v>5.93685804822095E-005</v>
      </c>
      <c r="P758" s="22" t="n">
        <v>0.00356942117251053</v>
      </c>
      <c r="Q758" s="22" t="n">
        <v>0.00838683878697404</v>
      </c>
      <c r="R758" s="22" t="n">
        <v>0.0131777137512481</v>
      </c>
      <c r="S758" s="23" t="n">
        <f aca="false">IF(A758="","",SUM(H758:R758))</f>
        <v>0.0821600027630352</v>
      </c>
      <c r="T758" s="17" t="str">
        <f aca="false">IF(A758="","",IF(AND(MIN(H758:R758)&gt;=0,MAX(H758:R758)&lt;=1,S758&lt;=1),"OK","CHECK"))</f>
        <v>OK</v>
      </c>
      <c r="U758" s="17" t="str">
        <f aca="false">IF(A758="","", "LOSS-"&amp;A758&amp;"-L"&amp;TEXT(B758,"00")&amp;"-"&amp;TEXT(C758,"yyyymmdd")&amp;"-"&amp;D758&amp;"-"&amp;E758)</f>
        <v>LOSS-KG01-L25-20251002-PM-ORD-2025-00275</v>
      </c>
      <c r="V758" s="17" t="str">
        <f aca="false">IF(U758="","",IF(COUNTIF($U$5:$U$935,U758)=1,"OK","CHECK"))</f>
        <v>OK</v>
      </c>
      <c r="W758" s="17" t="str">
        <f aca="false">IF(A758="","",IF(AND(T758="OK",V758="OK",G758&gt;=0),"OK","CHECK"))</f>
        <v>OK</v>
      </c>
    </row>
    <row r="759" customFormat="false" ht="18" hidden="false" customHeight="true" outlineLevel="0" collapsed="false">
      <c r="A759" s="18" t="s">
        <v>39</v>
      </c>
      <c r="B759" s="19" t="n">
        <v>25</v>
      </c>
      <c r="C759" s="20" t="n">
        <v>45933</v>
      </c>
      <c r="D759" s="18" t="s">
        <v>40</v>
      </c>
      <c r="E759" s="18" t="s">
        <v>171</v>
      </c>
      <c r="F759" s="18" t="s">
        <v>42</v>
      </c>
      <c r="G759" s="21" t="n">
        <v>14934</v>
      </c>
      <c r="H759" s="22" t="n">
        <v>0.0054370884677937</v>
      </c>
      <c r="I759" s="22" t="n">
        <v>0.000688084430943376</v>
      </c>
      <c r="J759" s="22" t="n">
        <v>0.000278425012466561</v>
      </c>
      <c r="K759" s="22" t="n">
        <v>2.09637916631775E-006</v>
      </c>
      <c r="L759" s="22" t="n">
        <v>0.00834812373601596</v>
      </c>
      <c r="M759" s="22" t="n">
        <v>0.00829002897396411</v>
      </c>
      <c r="N759" s="22" t="n">
        <v>0.00286293980134761</v>
      </c>
      <c r="O759" s="22" t="n">
        <v>0.000231074253278811</v>
      </c>
      <c r="P759" s="22" t="n">
        <v>0.00481859334762079</v>
      </c>
      <c r="Q759" s="22" t="n">
        <v>0.00420178355851832</v>
      </c>
      <c r="R759" s="22" t="n">
        <v>0.00327855264150867</v>
      </c>
      <c r="S759" s="23" t="n">
        <f aca="false">IF(A759="","",SUM(H759:R759))</f>
        <v>0.0384367906026242</v>
      </c>
      <c r="T759" s="17" t="str">
        <f aca="false">IF(A759="","",IF(AND(MIN(H759:R759)&gt;=0,MAX(H759:R759)&lt;=1,S759&lt;=1),"OK","CHECK"))</f>
        <v>OK</v>
      </c>
      <c r="U759" s="17" t="str">
        <f aca="false">IF(A759="","", "LOSS-"&amp;A759&amp;"-L"&amp;TEXT(B759,"00")&amp;"-"&amp;TEXT(C759,"yyyymmdd")&amp;"-"&amp;D759&amp;"-"&amp;E759)</f>
        <v>LOSS-KG01-L25-20251003-AM-ORD-2025-00275</v>
      </c>
      <c r="V759" s="17" t="str">
        <f aca="false">IF(U759="","",IF(COUNTIF($U$5:$U$935,U759)=1,"OK","CHECK"))</f>
        <v>OK</v>
      </c>
      <c r="W759" s="17" t="str">
        <f aca="false">IF(A759="","",IF(AND(T759="OK",V759="OK",G759&gt;=0),"OK","CHECK"))</f>
        <v>OK</v>
      </c>
    </row>
    <row r="760" customFormat="false" ht="18" hidden="false" customHeight="true" outlineLevel="0" collapsed="false">
      <c r="A760" s="18" t="s">
        <v>39</v>
      </c>
      <c r="B760" s="19" t="n">
        <v>25</v>
      </c>
      <c r="C760" s="20" t="n">
        <v>45933</v>
      </c>
      <c r="D760" s="18" t="s">
        <v>43</v>
      </c>
      <c r="E760" s="18" t="s">
        <v>171</v>
      </c>
      <c r="F760" s="18" t="s">
        <v>42</v>
      </c>
      <c r="G760" s="21" t="n">
        <v>7849</v>
      </c>
      <c r="H760" s="22" t="n">
        <v>0.00513437449585192</v>
      </c>
      <c r="I760" s="22" t="n">
        <v>0.00770124387594444</v>
      </c>
      <c r="J760" s="22" t="n">
        <v>0.00429802038450081</v>
      </c>
      <c r="K760" s="22" t="n">
        <v>0.0018512354875898</v>
      </c>
      <c r="L760" s="22" t="n">
        <v>0.00798284285858475</v>
      </c>
      <c r="M760" s="22" t="n">
        <v>0.00115128158417307</v>
      </c>
      <c r="N760" s="22" t="n">
        <v>0.00400283462955673</v>
      </c>
      <c r="O760" s="22" t="n">
        <v>0.00479086045217433</v>
      </c>
      <c r="P760" s="22" t="n">
        <v>0.00472218628306608</v>
      </c>
      <c r="Q760" s="22" t="n">
        <v>0.00697828767358085</v>
      </c>
      <c r="R760" s="22" t="n">
        <v>0.00602848356809568</v>
      </c>
      <c r="S760" s="23" t="n">
        <f aca="false">IF(A760="","",SUM(H760:R760))</f>
        <v>0.0546416512931185</v>
      </c>
      <c r="T760" s="17" t="str">
        <f aca="false">IF(A760="","",IF(AND(MIN(H760:R760)&gt;=0,MAX(H760:R760)&lt;=1,S760&lt;=1),"OK","CHECK"))</f>
        <v>OK</v>
      </c>
      <c r="U760" s="17" t="str">
        <f aca="false">IF(A760="","", "LOSS-"&amp;A760&amp;"-L"&amp;TEXT(B760,"00")&amp;"-"&amp;TEXT(C760,"yyyymmdd")&amp;"-"&amp;D760&amp;"-"&amp;E760)</f>
        <v>LOSS-KG01-L25-20251003-PM-ORD-2025-00275</v>
      </c>
      <c r="V760" s="17" t="str">
        <f aca="false">IF(U760="","",IF(COUNTIF($U$5:$U$935,U760)=1,"OK","CHECK"))</f>
        <v>OK</v>
      </c>
      <c r="W760" s="17" t="str">
        <f aca="false">IF(A760="","",IF(AND(T760="OK",V760="OK",G760&gt;=0),"OK","CHECK"))</f>
        <v>OK</v>
      </c>
    </row>
    <row r="761" customFormat="false" ht="18" hidden="false" customHeight="true" outlineLevel="0" collapsed="false">
      <c r="A761" s="18" t="s">
        <v>39</v>
      </c>
      <c r="B761" s="19" t="n">
        <v>25</v>
      </c>
      <c r="C761" s="20" t="n">
        <v>45934</v>
      </c>
      <c r="D761" s="18" t="s">
        <v>40</v>
      </c>
      <c r="E761" s="18" t="s">
        <v>172</v>
      </c>
      <c r="F761" s="18" t="s">
        <v>45</v>
      </c>
      <c r="G761" s="21" t="n">
        <v>7444</v>
      </c>
      <c r="H761" s="22" t="n">
        <v>0.0199584297569953</v>
      </c>
      <c r="I761" s="22" t="n">
        <v>0.00431414263194507</v>
      </c>
      <c r="J761" s="22" t="n">
        <v>0.0163881927143204</v>
      </c>
      <c r="K761" s="22" t="n">
        <v>0.00181064901676301</v>
      </c>
      <c r="L761" s="22" t="n">
        <v>0.0059390460531711</v>
      </c>
      <c r="M761" s="22" t="n">
        <v>0.00277952158727915</v>
      </c>
      <c r="N761" s="22" t="n">
        <v>0.00305819825762943</v>
      </c>
      <c r="O761" s="22" t="n">
        <v>0.0187842720235718</v>
      </c>
      <c r="P761" s="22" t="n">
        <v>0.00127698572707959</v>
      </c>
      <c r="Q761" s="22" t="n">
        <v>0.00226223793287401</v>
      </c>
      <c r="R761" s="22" t="n">
        <v>0.000219675471285774</v>
      </c>
      <c r="S761" s="23" t="n">
        <f aca="false">IF(A761="","",SUM(H761:R761))</f>
        <v>0.0767913511729146</v>
      </c>
      <c r="T761" s="17" t="str">
        <f aca="false">IF(A761="","",IF(AND(MIN(H761:R761)&gt;=0,MAX(H761:R761)&lt;=1,S761&lt;=1),"OK","CHECK"))</f>
        <v>OK</v>
      </c>
      <c r="U761" s="17" t="str">
        <f aca="false">IF(A761="","", "LOSS-"&amp;A761&amp;"-L"&amp;TEXT(B761,"00")&amp;"-"&amp;TEXT(C761,"yyyymmdd")&amp;"-"&amp;D761&amp;"-"&amp;E761)</f>
        <v>LOSS-KG01-L25-20251004-AM-ORD-2025-00276</v>
      </c>
      <c r="V761" s="17" t="str">
        <f aca="false">IF(U761="","",IF(COUNTIF($U$5:$U$935,U761)=1,"OK","CHECK"))</f>
        <v>OK</v>
      </c>
      <c r="W761" s="17" t="str">
        <f aca="false">IF(A761="","",IF(AND(T761="OK",V761="OK",G761&gt;=0),"OK","CHECK"))</f>
        <v>OK</v>
      </c>
    </row>
    <row r="762" customFormat="false" ht="18" hidden="false" customHeight="true" outlineLevel="0" collapsed="false">
      <c r="A762" s="18" t="s">
        <v>39</v>
      </c>
      <c r="B762" s="19" t="n">
        <v>25</v>
      </c>
      <c r="C762" s="20" t="n">
        <v>45934</v>
      </c>
      <c r="D762" s="18" t="s">
        <v>43</v>
      </c>
      <c r="E762" s="18" t="s">
        <v>172</v>
      </c>
      <c r="F762" s="18" t="s">
        <v>42</v>
      </c>
      <c r="G762" s="21" t="n">
        <v>12226</v>
      </c>
      <c r="H762" s="22" t="n">
        <v>7.20846567187953E-006</v>
      </c>
      <c r="I762" s="22" t="n">
        <v>0.00398907002819599</v>
      </c>
      <c r="J762" s="22" t="n">
        <v>0.00152669936711671</v>
      </c>
      <c r="K762" s="22" t="n">
        <v>0.00609885143548146</v>
      </c>
      <c r="L762" s="22" t="n">
        <v>0.0151373329657282</v>
      </c>
      <c r="M762" s="22" t="n">
        <v>0.000602269329620476</v>
      </c>
      <c r="N762" s="22" t="n">
        <v>0.000488494962702349</v>
      </c>
      <c r="O762" s="22" t="n">
        <v>0.000577289426889926</v>
      </c>
      <c r="P762" s="22" t="n">
        <v>0.000544879785598893</v>
      </c>
      <c r="Q762" s="22" t="n">
        <v>0.00969912540982781</v>
      </c>
      <c r="R762" s="22" t="n">
        <v>0.010693649253504</v>
      </c>
      <c r="S762" s="23" t="n">
        <f aca="false">IF(A762="","",SUM(H762:R762))</f>
        <v>0.0493648704303377</v>
      </c>
      <c r="T762" s="17" t="str">
        <f aca="false">IF(A762="","",IF(AND(MIN(H762:R762)&gt;=0,MAX(H762:R762)&lt;=1,S762&lt;=1),"OK","CHECK"))</f>
        <v>OK</v>
      </c>
      <c r="U762" s="17" t="str">
        <f aca="false">IF(A762="","", "LOSS-"&amp;A762&amp;"-L"&amp;TEXT(B762,"00")&amp;"-"&amp;TEXT(C762,"yyyymmdd")&amp;"-"&amp;D762&amp;"-"&amp;E762)</f>
        <v>LOSS-KG01-L25-20251004-PM-ORD-2025-00276</v>
      </c>
      <c r="V762" s="17" t="str">
        <f aca="false">IF(U762="","",IF(COUNTIF($U$5:$U$935,U762)=1,"OK","CHECK"))</f>
        <v>OK</v>
      </c>
      <c r="W762" s="17" t="str">
        <f aca="false">IF(A762="","",IF(AND(T762="OK",V762="OK",G762&gt;=0),"OK","CHECK"))</f>
        <v>OK</v>
      </c>
    </row>
    <row r="763" customFormat="false" ht="18" hidden="false" customHeight="true" outlineLevel="0" collapsed="false">
      <c r="A763" s="18" t="s">
        <v>39</v>
      </c>
      <c r="B763" s="19" t="n">
        <v>25</v>
      </c>
      <c r="C763" s="20" t="n">
        <v>45935</v>
      </c>
      <c r="D763" s="18" t="s">
        <v>40</v>
      </c>
      <c r="E763" s="18" t="s">
        <v>172</v>
      </c>
      <c r="F763" s="18" t="s">
        <v>42</v>
      </c>
      <c r="G763" s="21" t="n">
        <v>9343</v>
      </c>
      <c r="H763" s="22" t="n">
        <v>0.00131763638056584</v>
      </c>
      <c r="I763" s="22" t="n">
        <v>0.000303433185247424</v>
      </c>
      <c r="J763" s="22" t="n">
        <v>0.0142748899088922</v>
      </c>
      <c r="K763" s="22" t="n">
        <v>0.00248339244201637</v>
      </c>
      <c r="L763" s="22" t="n">
        <v>0.00476395908350834</v>
      </c>
      <c r="M763" s="22" t="n">
        <v>0.0133596792291588</v>
      </c>
      <c r="N763" s="22" t="n">
        <v>0.00252791059591346</v>
      </c>
      <c r="O763" s="22" t="n">
        <v>0.00744084917216925</v>
      </c>
      <c r="P763" s="22" t="n">
        <v>0.0148976181083782</v>
      </c>
      <c r="Q763" s="22" t="n">
        <v>0.00340022480983014</v>
      </c>
      <c r="R763" s="22" t="n">
        <v>0.00240757130635045</v>
      </c>
      <c r="S763" s="23" t="n">
        <f aca="false">IF(A763="","",SUM(H763:R763))</f>
        <v>0.0671771642220305</v>
      </c>
      <c r="T763" s="17" t="str">
        <f aca="false">IF(A763="","",IF(AND(MIN(H763:R763)&gt;=0,MAX(H763:R763)&lt;=1,S763&lt;=1),"OK","CHECK"))</f>
        <v>OK</v>
      </c>
      <c r="U763" s="17" t="str">
        <f aca="false">IF(A763="","", "LOSS-"&amp;A763&amp;"-L"&amp;TEXT(B763,"00")&amp;"-"&amp;TEXT(C763,"yyyymmdd")&amp;"-"&amp;D763&amp;"-"&amp;E763)</f>
        <v>LOSS-KG01-L25-20251005-AM-ORD-2025-00276</v>
      </c>
      <c r="V763" s="17" t="str">
        <f aca="false">IF(U763="","",IF(COUNTIF($U$5:$U$935,U763)=1,"OK","CHECK"))</f>
        <v>OK</v>
      </c>
      <c r="W763" s="17" t="str">
        <f aca="false">IF(A763="","",IF(AND(T763="OK",V763="OK",G763&gt;=0),"OK","CHECK"))</f>
        <v>OK</v>
      </c>
    </row>
    <row r="764" customFormat="false" ht="18" hidden="false" customHeight="true" outlineLevel="0" collapsed="false">
      <c r="A764" s="18" t="s">
        <v>39</v>
      </c>
      <c r="B764" s="19" t="n">
        <v>25</v>
      </c>
      <c r="C764" s="20" t="n">
        <v>45935</v>
      </c>
      <c r="D764" s="18" t="s">
        <v>43</v>
      </c>
      <c r="E764" s="18" t="s">
        <v>173</v>
      </c>
      <c r="F764" s="18" t="s">
        <v>45</v>
      </c>
      <c r="G764" s="21" t="n">
        <v>2163</v>
      </c>
      <c r="H764" s="22" t="n">
        <v>7.78023885481284E-005</v>
      </c>
      <c r="I764" s="22" t="n">
        <v>0.00327541849957421</v>
      </c>
      <c r="J764" s="22" t="n">
        <v>0.00530830186839285</v>
      </c>
      <c r="K764" s="22" t="n">
        <v>5.22992589702623E-006</v>
      </c>
      <c r="L764" s="22" t="n">
        <v>0.00109683327119027</v>
      </c>
      <c r="M764" s="22" t="n">
        <v>0.003152109629961</v>
      </c>
      <c r="N764" s="22" t="n">
        <v>0.000537827815470641</v>
      </c>
      <c r="O764" s="22" t="n">
        <v>0.00499309045618667</v>
      </c>
      <c r="P764" s="22" t="n">
        <v>0.00294628961426152</v>
      </c>
      <c r="Q764" s="22" t="n">
        <v>0.00151814523021168</v>
      </c>
      <c r="R764" s="22" t="n">
        <v>0.000272728015776879</v>
      </c>
      <c r="S764" s="23" t="n">
        <f aca="false">IF(A764="","",SUM(H764:R764))</f>
        <v>0.0231837767154709</v>
      </c>
      <c r="T764" s="17" t="str">
        <f aca="false">IF(A764="","",IF(AND(MIN(H764:R764)&gt;=0,MAX(H764:R764)&lt;=1,S764&lt;=1),"OK","CHECK"))</f>
        <v>OK</v>
      </c>
      <c r="U764" s="17" t="str">
        <f aca="false">IF(A764="","", "LOSS-"&amp;A764&amp;"-L"&amp;TEXT(B764,"00")&amp;"-"&amp;TEXT(C764,"yyyymmdd")&amp;"-"&amp;D764&amp;"-"&amp;E764)</f>
        <v>LOSS-KG01-L25-20251005-PM-ORD-2025-00277</v>
      </c>
      <c r="V764" s="17" t="str">
        <f aca="false">IF(U764="","",IF(COUNTIF($U$5:$U$935,U764)=1,"OK","CHECK"))</f>
        <v>OK</v>
      </c>
      <c r="W764" s="17" t="str">
        <f aca="false">IF(A764="","",IF(AND(T764="OK",V764="OK",G764&gt;=0),"OK","CHECK"))</f>
        <v>OK</v>
      </c>
    </row>
    <row r="765" customFormat="false" ht="18" hidden="false" customHeight="true" outlineLevel="0" collapsed="false">
      <c r="A765" s="18" t="s">
        <v>39</v>
      </c>
      <c r="B765" s="19" t="n">
        <v>25</v>
      </c>
      <c r="C765" s="20" t="n">
        <v>45936</v>
      </c>
      <c r="D765" s="18" t="s">
        <v>40</v>
      </c>
      <c r="E765" s="18" t="s">
        <v>173</v>
      </c>
      <c r="F765" s="18" t="s">
        <v>42</v>
      </c>
      <c r="G765" s="21" t="n">
        <v>8477</v>
      </c>
      <c r="H765" s="22" t="n">
        <v>0.00451805874827645</v>
      </c>
      <c r="I765" s="22" t="n">
        <v>0.00365075224590773</v>
      </c>
      <c r="J765" s="22" t="n">
        <v>0.00131690225042472</v>
      </c>
      <c r="K765" s="22" t="n">
        <v>0.000598764344217054</v>
      </c>
      <c r="L765" s="22" t="n">
        <v>0.00908069828103764</v>
      </c>
      <c r="M765" s="22" t="n">
        <v>0.000193044065308085</v>
      </c>
      <c r="N765" s="22" t="n">
        <v>0.00809582016897447</v>
      </c>
      <c r="O765" s="22" t="n">
        <v>0.00576524886283379</v>
      </c>
      <c r="P765" s="22" t="n">
        <v>0.00703064180818867</v>
      </c>
      <c r="Q765" s="22" t="n">
        <v>0.00968042065495923</v>
      </c>
      <c r="R765" s="22" t="n">
        <v>0.00689742895466804</v>
      </c>
      <c r="S765" s="23" t="n">
        <f aca="false">IF(A765="","",SUM(H765:R765))</f>
        <v>0.0568277803847959</v>
      </c>
      <c r="T765" s="17" t="str">
        <f aca="false">IF(A765="","",IF(AND(MIN(H765:R765)&gt;=0,MAX(H765:R765)&lt;=1,S765&lt;=1),"OK","CHECK"))</f>
        <v>OK</v>
      </c>
      <c r="U765" s="17" t="str">
        <f aca="false">IF(A765="","", "LOSS-"&amp;A765&amp;"-L"&amp;TEXT(B765,"00")&amp;"-"&amp;TEXT(C765,"yyyymmdd")&amp;"-"&amp;D765&amp;"-"&amp;E765)</f>
        <v>LOSS-KG01-L25-20251006-AM-ORD-2025-00277</v>
      </c>
      <c r="V765" s="17" t="str">
        <f aca="false">IF(U765="","",IF(COUNTIF($U$5:$U$935,U765)=1,"OK","CHECK"))</f>
        <v>OK</v>
      </c>
      <c r="W765" s="17" t="str">
        <f aca="false">IF(A765="","",IF(AND(T765="OK",V765="OK",G765&gt;=0),"OK","CHECK"))</f>
        <v>OK</v>
      </c>
    </row>
    <row r="766" customFormat="false" ht="18" hidden="false" customHeight="true" outlineLevel="0" collapsed="false">
      <c r="A766" s="18" t="s">
        <v>39</v>
      </c>
      <c r="B766" s="19" t="n">
        <v>25</v>
      </c>
      <c r="C766" s="20" t="n">
        <v>45936</v>
      </c>
      <c r="D766" s="18" t="s">
        <v>43</v>
      </c>
      <c r="E766" s="18" t="s">
        <v>173</v>
      </c>
      <c r="F766" s="18" t="s">
        <v>42</v>
      </c>
      <c r="G766" s="21" t="n">
        <v>17059</v>
      </c>
      <c r="H766" s="22" t="n">
        <v>0.0115569196983414</v>
      </c>
      <c r="I766" s="22" t="n">
        <v>0.0132304750658335</v>
      </c>
      <c r="J766" s="22" t="n">
        <v>0.0113015610948561</v>
      </c>
      <c r="K766" s="22" t="n">
        <v>0.000199225029489817</v>
      </c>
      <c r="L766" s="22" t="n">
        <v>0.000291324878410627</v>
      </c>
      <c r="M766" s="22" t="n">
        <v>0.00693685726720994</v>
      </c>
      <c r="N766" s="22" t="n">
        <v>0.00534175601155883</v>
      </c>
      <c r="O766" s="22" t="n">
        <v>0.00167258451517941</v>
      </c>
      <c r="P766" s="22" t="n">
        <v>0.00433069894453807</v>
      </c>
      <c r="Q766" s="22" t="n">
        <v>0.0103466759787292</v>
      </c>
      <c r="R766" s="22" t="n">
        <v>0.000311228952307954</v>
      </c>
      <c r="S766" s="23" t="n">
        <f aca="false">IF(A766="","",SUM(H766:R766))</f>
        <v>0.0655193074364548</v>
      </c>
      <c r="T766" s="17" t="str">
        <f aca="false">IF(A766="","",IF(AND(MIN(H766:R766)&gt;=0,MAX(H766:R766)&lt;=1,S766&lt;=1),"OK","CHECK"))</f>
        <v>OK</v>
      </c>
      <c r="U766" s="17" t="str">
        <f aca="false">IF(A766="","", "LOSS-"&amp;A766&amp;"-L"&amp;TEXT(B766,"00")&amp;"-"&amp;TEXT(C766,"yyyymmdd")&amp;"-"&amp;D766&amp;"-"&amp;E766)</f>
        <v>LOSS-KG01-L25-20251006-PM-ORD-2025-00277</v>
      </c>
      <c r="V766" s="17" t="str">
        <f aca="false">IF(U766="","",IF(COUNTIF($U$5:$U$935,U766)=1,"OK","CHECK"))</f>
        <v>OK</v>
      </c>
      <c r="W766" s="17" t="str">
        <f aca="false">IF(A766="","",IF(AND(T766="OK",V766="OK",G766&gt;=0),"OK","CHECK"))</f>
        <v>OK</v>
      </c>
    </row>
    <row r="767" customFormat="false" ht="18" hidden="false" customHeight="true" outlineLevel="0" collapsed="false">
      <c r="A767" s="18" t="s">
        <v>39</v>
      </c>
      <c r="B767" s="19" t="n">
        <v>25</v>
      </c>
      <c r="C767" s="20" t="n">
        <v>45937</v>
      </c>
      <c r="D767" s="18" t="s">
        <v>40</v>
      </c>
      <c r="E767" s="18" t="s">
        <v>173</v>
      </c>
      <c r="F767" s="18" t="s">
        <v>42</v>
      </c>
      <c r="G767" s="21" t="n">
        <v>4746</v>
      </c>
      <c r="H767" s="22" t="n">
        <v>0.00415342043398606</v>
      </c>
      <c r="I767" s="22" t="n">
        <v>0.00153272673961968</v>
      </c>
      <c r="J767" s="22" t="n">
        <v>0.00545196953788737</v>
      </c>
      <c r="K767" s="22" t="n">
        <v>0.00224501373679511</v>
      </c>
      <c r="L767" s="22" t="n">
        <v>0.000843019021587048</v>
      </c>
      <c r="M767" s="22" t="n">
        <v>0.00731371513404885</v>
      </c>
      <c r="N767" s="22" t="n">
        <v>0.00174205147371216</v>
      </c>
      <c r="O767" s="22" t="n">
        <v>0.00170455883340036</v>
      </c>
      <c r="P767" s="22" t="n">
        <v>0.0019723177044684</v>
      </c>
      <c r="Q767" s="22" t="n">
        <v>6.3133611660294E-005</v>
      </c>
      <c r="R767" s="22" t="n">
        <v>0.00818996835972926</v>
      </c>
      <c r="S767" s="23" t="n">
        <f aca="false">IF(A767="","",SUM(H767:R767))</f>
        <v>0.0352118945868946</v>
      </c>
      <c r="T767" s="17" t="str">
        <f aca="false">IF(A767="","",IF(AND(MIN(H767:R767)&gt;=0,MAX(H767:R767)&lt;=1,S767&lt;=1),"OK","CHECK"))</f>
        <v>OK</v>
      </c>
      <c r="U767" s="17" t="str">
        <f aca="false">IF(A767="","", "LOSS-"&amp;A767&amp;"-L"&amp;TEXT(B767,"00")&amp;"-"&amp;TEXT(C767,"yyyymmdd")&amp;"-"&amp;D767&amp;"-"&amp;E767)</f>
        <v>LOSS-KG01-L25-20251007-AM-ORD-2025-00277</v>
      </c>
      <c r="V767" s="17" t="str">
        <f aca="false">IF(U767="","",IF(COUNTIF($U$5:$U$935,U767)=1,"OK","CHECK"))</f>
        <v>OK</v>
      </c>
      <c r="W767" s="17" t="str">
        <f aca="false">IF(A767="","",IF(AND(T767="OK",V767="OK",G767&gt;=0),"OK","CHECK"))</f>
        <v>OK</v>
      </c>
    </row>
    <row r="768" customFormat="false" ht="18" hidden="false" customHeight="true" outlineLevel="0" collapsed="false">
      <c r="A768" s="18" t="s">
        <v>39</v>
      </c>
      <c r="B768" s="19" t="n">
        <v>25</v>
      </c>
      <c r="C768" s="20" t="n">
        <v>45937</v>
      </c>
      <c r="D768" s="18" t="s">
        <v>43</v>
      </c>
      <c r="E768" s="18" t="s">
        <v>173</v>
      </c>
      <c r="F768" s="18" t="s">
        <v>42</v>
      </c>
      <c r="G768" s="21" t="n">
        <v>13978</v>
      </c>
      <c r="H768" s="22" t="n">
        <v>4.42861944298384E-006</v>
      </c>
      <c r="I768" s="22" t="n">
        <v>0.0046124827990561</v>
      </c>
      <c r="J768" s="22" t="n">
        <v>0.00360324261796061</v>
      </c>
      <c r="K768" s="22" t="n">
        <v>0.008968546502324</v>
      </c>
      <c r="L768" s="22" t="n">
        <v>0.00933684497897171</v>
      </c>
      <c r="M768" s="22" t="n">
        <v>0.000421689004500958</v>
      </c>
      <c r="N768" s="22" t="n">
        <v>0.000719092847287335</v>
      </c>
      <c r="O768" s="22" t="n">
        <v>0.00554710133140294</v>
      </c>
      <c r="P768" s="22" t="n">
        <v>0.00648651807827403</v>
      </c>
      <c r="Q768" s="22" t="n">
        <v>0.0190915312661966</v>
      </c>
      <c r="R768" s="22" t="n">
        <v>0.0111835416034561</v>
      </c>
      <c r="S768" s="23" t="n">
        <f aca="false">IF(A768="","",SUM(H768:R768))</f>
        <v>0.0699750196488734</v>
      </c>
      <c r="T768" s="17" t="str">
        <f aca="false">IF(A768="","",IF(AND(MIN(H768:R768)&gt;=0,MAX(H768:R768)&lt;=1,S768&lt;=1),"OK","CHECK"))</f>
        <v>OK</v>
      </c>
      <c r="U768" s="17" t="str">
        <f aca="false">IF(A768="","", "LOSS-"&amp;A768&amp;"-L"&amp;TEXT(B768,"00")&amp;"-"&amp;TEXT(C768,"yyyymmdd")&amp;"-"&amp;D768&amp;"-"&amp;E768)</f>
        <v>LOSS-KG01-L25-20251007-PM-ORD-2025-00277</v>
      </c>
      <c r="V768" s="17" t="str">
        <f aca="false">IF(U768="","",IF(COUNTIF($U$5:$U$935,U768)=1,"OK","CHECK"))</f>
        <v>OK</v>
      </c>
      <c r="W768" s="17" t="str">
        <f aca="false">IF(A768="","",IF(AND(T768="OK",V768="OK",G768&gt;=0),"OK","CHECK"))</f>
        <v>OK</v>
      </c>
    </row>
    <row r="769" customFormat="false" ht="18" hidden="false" customHeight="true" outlineLevel="0" collapsed="false">
      <c r="A769" s="18" t="s">
        <v>39</v>
      </c>
      <c r="B769" s="19" t="n">
        <v>25</v>
      </c>
      <c r="C769" s="20" t="n">
        <v>45938</v>
      </c>
      <c r="D769" s="18" t="s">
        <v>40</v>
      </c>
      <c r="E769" s="18" t="s">
        <v>173</v>
      </c>
      <c r="F769" s="18" t="s">
        <v>42</v>
      </c>
      <c r="G769" s="21" t="n">
        <v>6058</v>
      </c>
      <c r="H769" s="22" t="n">
        <v>0.0012138499640566</v>
      </c>
      <c r="I769" s="22" t="n">
        <v>0.000705327558314814</v>
      </c>
      <c r="J769" s="22" t="n">
        <v>0.00136388881094218</v>
      </c>
      <c r="K769" s="22" t="n">
        <v>0.00560723939418966</v>
      </c>
      <c r="L769" s="22" t="n">
        <v>0.00110712714991291</v>
      </c>
      <c r="M769" s="22" t="n">
        <v>0.0121265950101888</v>
      </c>
      <c r="N769" s="22" t="n">
        <v>0.00184673786744809</v>
      </c>
      <c r="O769" s="22" t="n">
        <v>0.00495555460608361</v>
      </c>
      <c r="P769" s="22" t="n">
        <v>0.0074956503383958</v>
      </c>
      <c r="Q769" s="22" t="n">
        <v>3.14661600232143E-005</v>
      </c>
      <c r="R769" s="22" t="n">
        <v>1.65918565283733E-005</v>
      </c>
      <c r="S769" s="23" t="n">
        <f aca="false">IF(A769="","",SUM(H769:R769))</f>
        <v>0.0364700287160841</v>
      </c>
      <c r="T769" s="17" t="str">
        <f aca="false">IF(A769="","",IF(AND(MIN(H769:R769)&gt;=0,MAX(H769:R769)&lt;=1,S769&lt;=1),"OK","CHECK"))</f>
        <v>OK</v>
      </c>
      <c r="U769" s="17" t="str">
        <f aca="false">IF(A769="","", "LOSS-"&amp;A769&amp;"-L"&amp;TEXT(B769,"00")&amp;"-"&amp;TEXT(C769,"yyyymmdd")&amp;"-"&amp;D769&amp;"-"&amp;E769)</f>
        <v>LOSS-KG01-L25-20251008-AM-ORD-2025-00277</v>
      </c>
      <c r="V769" s="17" t="str">
        <f aca="false">IF(U769="","",IF(COUNTIF($U$5:$U$935,U769)=1,"OK","CHECK"))</f>
        <v>OK</v>
      </c>
      <c r="W769" s="17" t="str">
        <f aca="false">IF(A769="","",IF(AND(T769="OK",V769="OK",G769&gt;=0),"OK","CHECK"))</f>
        <v>OK</v>
      </c>
    </row>
    <row r="770" customFormat="false" ht="18" hidden="false" customHeight="true" outlineLevel="0" collapsed="false">
      <c r="A770" s="18" t="s">
        <v>39</v>
      </c>
      <c r="B770" s="19" t="n">
        <v>25</v>
      </c>
      <c r="C770" s="20" t="n">
        <v>45938</v>
      </c>
      <c r="D770" s="18" t="s">
        <v>43</v>
      </c>
      <c r="E770" s="18" t="s">
        <v>173</v>
      </c>
      <c r="F770" s="18" t="s">
        <v>42</v>
      </c>
      <c r="G770" s="21" t="n">
        <v>4236</v>
      </c>
      <c r="H770" s="22" t="n">
        <v>0.00646714206419249</v>
      </c>
      <c r="I770" s="22" t="n">
        <v>0.00160874589179779</v>
      </c>
      <c r="J770" s="22" t="n">
        <v>0.000351836004515825</v>
      </c>
      <c r="K770" s="22" t="n">
        <v>2.98181108823335E-007</v>
      </c>
      <c r="L770" s="22" t="n">
        <v>0.00510463403640821</v>
      </c>
      <c r="M770" s="22" t="n">
        <v>0.00132540802523061</v>
      </c>
      <c r="N770" s="22" t="n">
        <v>0.00107275464103811</v>
      </c>
      <c r="O770" s="22" t="n">
        <v>0.0055079451938953</v>
      </c>
      <c r="P770" s="22" t="n">
        <v>2.75480705332403E-005</v>
      </c>
      <c r="Q770" s="22" t="n">
        <v>2.1378583687127E-005</v>
      </c>
      <c r="R770" s="22" t="n">
        <v>0.00488544307840272</v>
      </c>
      <c r="S770" s="23" t="n">
        <f aca="false">IF(A770="","",SUM(H770:R770))</f>
        <v>0.0263731337708103</v>
      </c>
      <c r="T770" s="17" t="str">
        <f aca="false">IF(A770="","",IF(AND(MIN(H770:R770)&gt;=0,MAX(H770:R770)&lt;=1,S770&lt;=1),"OK","CHECK"))</f>
        <v>OK</v>
      </c>
      <c r="U770" s="17" t="str">
        <f aca="false">IF(A770="","", "LOSS-"&amp;A770&amp;"-L"&amp;TEXT(B770,"00")&amp;"-"&amp;TEXT(C770,"yyyymmdd")&amp;"-"&amp;D770&amp;"-"&amp;E770)</f>
        <v>LOSS-KG01-L25-20251008-PM-ORD-2025-00277</v>
      </c>
      <c r="V770" s="17" t="str">
        <f aca="false">IF(U770="","",IF(COUNTIF($U$5:$U$935,U770)=1,"OK","CHECK"))</f>
        <v>OK</v>
      </c>
      <c r="W770" s="17" t="str">
        <f aca="false">IF(A770="","",IF(AND(T770="OK",V770="OK",G770&gt;=0),"OK","CHECK"))</f>
        <v>OK</v>
      </c>
    </row>
    <row r="771" customFormat="false" ht="18" hidden="false" customHeight="true" outlineLevel="0" collapsed="false">
      <c r="A771" s="18" t="s">
        <v>39</v>
      </c>
      <c r="B771" s="19" t="n">
        <v>25</v>
      </c>
      <c r="C771" s="20" t="n">
        <v>45939</v>
      </c>
      <c r="D771" s="18" t="s">
        <v>40</v>
      </c>
      <c r="E771" s="18" t="s">
        <v>173</v>
      </c>
      <c r="F771" s="18" t="s">
        <v>42</v>
      </c>
      <c r="G771" s="21" t="n">
        <v>14054</v>
      </c>
      <c r="H771" s="22" t="n">
        <v>0.0100941185898785</v>
      </c>
      <c r="I771" s="22" t="n">
        <v>0.00439964699155799</v>
      </c>
      <c r="J771" s="22" t="n">
        <v>9.76134499622236E-005</v>
      </c>
      <c r="K771" s="22" t="n">
        <v>0.00773914081684137</v>
      </c>
      <c r="L771" s="22" t="n">
        <v>0.0114898354261495</v>
      </c>
      <c r="M771" s="22" t="n">
        <v>0.00194270779950082</v>
      </c>
      <c r="N771" s="22" t="n">
        <v>0.0162861800675753</v>
      </c>
      <c r="O771" s="22" t="n">
        <v>0.0126503732252928</v>
      </c>
      <c r="P771" s="22" t="n">
        <v>3.97826879482271E-005</v>
      </c>
      <c r="Q771" s="22" t="n">
        <v>7.59872142724395E-005</v>
      </c>
      <c r="R771" s="22" t="n">
        <v>0.00482713461783068</v>
      </c>
      <c r="S771" s="23" t="n">
        <f aca="false">IF(A771="","",SUM(H771:R771))</f>
        <v>0.0696425208868099</v>
      </c>
      <c r="T771" s="17" t="str">
        <f aca="false">IF(A771="","",IF(AND(MIN(H771:R771)&gt;=0,MAX(H771:R771)&lt;=1,S771&lt;=1),"OK","CHECK"))</f>
        <v>OK</v>
      </c>
      <c r="U771" s="17" t="str">
        <f aca="false">IF(A771="","", "LOSS-"&amp;A771&amp;"-L"&amp;TEXT(B771,"00")&amp;"-"&amp;TEXT(C771,"yyyymmdd")&amp;"-"&amp;D771&amp;"-"&amp;E771)</f>
        <v>LOSS-KG01-L25-20251009-AM-ORD-2025-00277</v>
      </c>
      <c r="V771" s="17" t="str">
        <f aca="false">IF(U771="","",IF(COUNTIF($U$5:$U$935,U771)=1,"OK","CHECK"))</f>
        <v>OK</v>
      </c>
      <c r="W771" s="17" t="str">
        <f aca="false">IF(A771="","",IF(AND(T771="OK",V771="OK",G771&gt;=0),"OK","CHECK"))</f>
        <v>OK</v>
      </c>
    </row>
    <row r="772" customFormat="false" ht="18" hidden="false" customHeight="true" outlineLevel="0" collapsed="false">
      <c r="A772" s="18" t="s">
        <v>39</v>
      </c>
      <c r="B772" s="19" t="n">
        <v>25</v>
      </c>
      <c r="C772" s="20" t="n">
        <v>45939</v>
      </c>
      <c r="D772" s="18" t="s">
        <v>43</v>
      </c>
      <c r="E772" s="18" t="s">
        <v>173</v>
      </c>
      <c r="F772" s="18" t="s">
        <v>42</v>
      </c>
      <c r="G772" s="21" t="n">
        <v>12120</v>
      </c>
      <c r="H772" s="22" t="n">
        <v>0.00321393025065097</v>
      </c>
      <c r="I772" s="22" t="n">
        <v>0.000668982724530331</v>
      </c>
      <c r="J772" s="22" t="n">
        <v>0.000736674067784302</v>
      </c>
      <c r="K772" s="22" t="n">
        <v>0.00315607622853364</v>
      </c>
      <c r="L772" s="22" t="n">
        <v>0.00631316294655973</v>
      </c>
      <c r="M772" s="22" t="n">
        <v>0.000886155370014429</v>
      </c>
      <c r="N772" s="22" t="n">
        <v>0.00176155617091271</v>
      </c>
      <c r="O772" s="22" t="n">
        <v>0.00513489473681756</v>
      </c>
      <c r="P772" s="22" t="n">
        <v>0.00638788455322666</v>
      </c>
      <c r="Q772" s="22" t="n">
        <v>0.00233592357265016</v>
      </c>
      <c r="R772" s="22" t="n">
        <v>0.00652096495065018</v>
      </c>
      <c r="S772" s="23" t="n">
        <f aca="false">IF(A772="","",SUM(H772:R772))</f>
        <v>0.0371162055723307</v>
      </c>
      <c r="T772" s="17" t="str">
        <f aca="false">IF(A772="","",IF(AND(MIN(H772:R772)&gt;=0,MAX(H772:R772)&lt;=1,S772&lt;=1),"OK","CHECK"))</f>
        <v>OK</v>
      </c>
      <c r="U772" s="17" t="str">
        <f aca="false">IF(A772="","", "LOSS-"&amp;A772&amp;"-L"&amp;TEXT(B772,"00")&amp;"-"&amp;TEXT(C772,"yyyymmdd")&amp;"-"&amp;D772&amp;"-"&amp;E772)</f>
        <v>LOSS-KG01-L25-20251009-PM-ORD-2025-00277</v>
      </c>
      <c r="V772" s="17" t="str">
        <f aca="false">IF(U772="","",IF(COUNTIF($U$5:$U$935,U772)=1,"OK","CHECK"))</f>
        <v>OK</v>
      </c>
      <c r="W772" s="17" t="str">
        <f aca="false">IF(A772="","",IF(AND(T772="OK",V772="OK",G772&gt;=0),"OK","CHECK"))</f>
        <v>OK</v>
      </c>
    </row>
    <row r="773" customFormat="false" ht="18" hidden="false" customHeight="true" outlineLevel="0" collapsed="false">
      <c r="A773" s="18" t="s">
        <v>39</v>
      </c>
      <c r="B773" s="19" t="n">
        <v>25</v>
      </c>
      <c r="C773" s="20" t="n">
        <v>45940</v>
      </c>
      <c r="D773" s="18" t="s">
        <v>40</v>
      </c>
      <c r="E773" s="18" t="s">
        <v>173</v>
      </c>
      <c r="F773" s="18" t="s">
        <v>61</v>
      </c>
      <c r="G773" s="21" t="n">
        <v>25666</v>
      </c>
      <c r="H773" s="22" t="n">
        <v>0.0219763139804179</v>
      </c>
      <c r="I773" s="22" t="n">
        <v>0.0100508736337749</v>
      </c>
      <c r="J773" s="22" t="n">
        <v>0.00958382464527539</v>
      </c>
      <c r="K773" s="22" t="n">
        <v>6.16817084484881E-005</v>
      </c>
      <c r="L773" s="22" t="n">
        <v>0.00330812663447502</v>
      </c>
      <c r="M773" s="22" t="n">
        <v>0.00990829680049454</v>
      </c>
      <c r="N773" s="22" t="n">
        <v>0.00177890613634268</v>
      </c>
      <c r="O773" s="22" t="n">
        <v>0.019560401581031</v>
      </c>
      <c r="P773" s="22" t="n">
        <v>0.00473392491866366</v>
      </c>
      <c r="Q773" s="22" t="n">
        <v>0.00874279072665217</v>
      </c>
      <c r="R773" s="22" t="n">
        <v>0.0037222533432494</v>
      </c>
      <c r="S773" s="23" t="n">
        <f aca="false">IF(A773="","",SUM(H773:R773))</f>
        <v>0.0934273941088251</v>
      </c>
      <c r="T773" s="17" t="str">
        <f aca="false">IF(A773="","",IF(AND(MIN(H773:R773)&gt;=0,MAX(H773:R773)&lt;=1,S773&lt;=1),"OK","CHECK"))</f>
        <v>OK</v>
      </c>
      <c r="U773" s="17" t="str">
        <f aca="false">IF(A773="","", "LOSS-"&amp;A773&amp;"-L"&amp;TEXT(B773,"00")&amp;"-"&amp;TEXT(C773,"yyyymmdd")&amp;"-"&amp;D773&amp;"-"&amp;E773)</f>
        <v>LOSS-KG01-L25-20251010-AM-ORD-2025-00277</v>
      </c>
      <c r="V773" s="17" t="str">
        <f aca="false">IF(U773="","",IF(COUNTIF($U$5:$U$935,U773)=1,"OK","CHECK"))</f>
        <v>OK</v>
      </c>
      <c r="W773" s="17" t="str">
        <f aca="false">IF(A773="","",IF(AND(T773="OK",V773="OK",G773&gt;=0),"OK","CHECK"))</f>
        <v>OK</v>
      </c>
    </row>
    <row r="774" customFormat="false" ht="18" hidden="false" customHeight="true" outlineLevel="0" collapsed="false">
      <c r="A774" s="18" t="s">
        <v>39</v>
      </c>
      <c r="B774" s="19" t="n">
        <v>25</v>
      </c>
      <c r="C774" s="20" t="n">
        <v>45940</v>
      </c>
      <c r="D774" s="18" t="s">
        <v>43</v>
      </c>
      <c r="E774" s="18" t="s">
        <v>174</v>
      </c>
      <c r="F774" s="18" t="s">
        <v>45</v>
      </c>
      <c r="G774" s="21" t="n">
        <v>713</v>
      </c>
      <c r="H774" s="22" t="n">
        <v>2.54261124602739E-005</v>
      </c>
      <c r="I774" s="22" t="n">
        <v>0.00667824661343703</v>
      </c>
      <c r="J774" s="22" t="n">
        <v>0.00588866111808088</v>
      </c>
      <c r="K774" s="22" t="n">
        <v>0.00395914405948567</v>
      </c>
      <c r="L774" s="22" t="n">
        <v>0.00437233532922349</v>
      </c>
      <c r="M774" s="22" t="n">
        <v>0.00127277226557088</v>
      </c>
      <c r="N774" s="22" t="n">
        <v>0.000126993552057446</v>
      </c>
      <c r="O774" s="22" t="n">
        <v>0.000141373262572769</v>
      </c>
      <c r="P774" s="22" t="n">
        <v>2.84511143339905E-006</v>
      </c>
      <c r="Q774" s="22" t="n">
        <v>0.00479108820736413</v>
      </c>
      <c r="R774" s="22" t="n">
        <v>0.00417850413903715</v>
      </c>
      <c r="S774" s="23" t="n">
        <f aca="false">IF(A774="","",SUM(H774:R774))</f>
        <v>0.0314373897707231</v>
      </c>
      <c r="T774" s="17" t="str">
        <f aca="false">IF(A774="","",IF(AND(MIN(H774:R774)&gt;=0,MAX(H774:R774)&lt;=1,S774&lt;=1),"OK","CHECK"))</f>
        <v>OK</v>
      </c>
      <c r="U774" s="17" t="str">
        <f aca="false">IF(A774="","", "LOSS-"&amp;A774&amp;"-L"&amp;TEXT(B774,"00")&amp;"-"&amp;TEXT(C774,"yyyymmdd")&amp;"-"&amp;D774&amp;"-"&amp;E774)</f>
        <v>LOSS-KG01-L25-20251010-PM-ORD-2025-00278</v>
      </c>
      <c r="V774" s="17" t="str">
        <f aca="false">IF(U774="","",IF(COUNTIF($U$5:$U$935,U774)=1,"OK","CHECK"))</f>
        <v>OK</v>
      </c>
      <c r="W774" s="17" t="str">
        <f aca="false">IF(A774="","",IF(AND(T774="OK",V774="OK",G774&gt;=0),"OK","CHECK"))</f>
        <v>OK</v>
      </c>
    </row>
    <row r="775" customFormat="false" ht="18" hidden="false" customHeight="true" outlineLevel="0" collapsed="false">
      <c r="A775" s="18" t="s">
        <v>39</v>
      </c>
      <c r="B775" s="19" t="n">
        <v>25</v>
      </c>
      <c r="C775" s="20" t="n">
        <v>45941</v>
      </c>
      <c r="D775" s="18" t="s">
        <v>40</v>
      </c>
      <c r="E775" s="18" t="s">
        <v>174</v>
      </c>
      <c r="F775" s="18" t="s">
        <v>42</v>
      </c>
      <c r="G775" s="21" t="n">
        <v>8737</v>
      </c>
      <c r="H775" s="22" t="n">
        <v>0.0039134921891074</v>
      </c>
      <c r="I775" s="22" t="n">
        <v>0.00632076401349419</v>
      </c>
      <c r="J775" s="22" t="n">
        <v>0.00363312344867945</v>
      </c>
      <c r="K775" s="22" t="n">
        <v>0.00238891253850558</v>
      </c>
      <c r="L775" s="22" t="n">
        <v>3.67634236088103E-005</v>
      </c>
      <c r="M775" s="22" t="n">
        <v>0.000418762515074694</v>
      </c>
      <c r="N775" s="22" t="n">
        <v>0.00790261382391667</v>
      </c>
      <c r="O775" s="22" t="n">
        <v>0.00585288382853941</v>
      </c>
      <c r="P775" s="22" t="n">
        <v>0.00955979556668255</v>
      </c>
      <c r="Q775" s="22" t="n">
        <v>0.00112248508574057</v>
      </c>
      <c r="R775" s="22" t="n">
        <v>0.00255069866993682</v>
      </c>
      <c r="S775" s="23" t="n">
        <f aca="false">IF(A775="","",SUM(H775:R775))</f>
        <v>0.0437002951032861</v>
      </c>
      <c r="T775" s="17" t="str">
        <f aca="false">IF(A775="","",IF(AND(MIN(H775:R775)&gt;=0,MAX(H775:R775)&lt;=1,S775&lt;=1),"OK","CHECK"))</f>
        <v>OK</v>
      </c>
      <c r="U775" s="17" t="str">
        <f aca="false">IF(A775="","", "LOSS-"&amp;A775&amp;"-L"&amp;TEXT(B775,"00")&amp;"-"&amp;TEXT(C775,"yyyymmdd")&amp;"-"&amp;D775&amp;"-"&amp;E775)</f>
        <v>LOSS-KG01-L25-20251011-AM-ORD-2025-00278</v>
      </c>
      <c r="V775" s="17" t="str">
        <f aca="false">IF(U775="","",IF(COUNTIF($U$5:$U$935,U775)=1,"OK","CHECK"))</f>
        <v>OK</v>
      </c>
      <c r="W775" s="17" t="str">
        <f aca="false">IF(A775="","",IF(AND(T775="OK",V775="OK",G775&gt;=0),"OK","CHECK"))</f>
        <v>OK</v>
      </c>
    </row>
    <row r="776" customFormat="false" ht="18" hidden="false" customHeight="true" outlineLevel="0" collapsed="false">
      <c r="A776" s="18" t="s">
        <v>39</v>
      </c>
      <c r="B776" s="19" t="n">
        <v>25</v>
      </c>
      <c r="C776" s="20" t="n">
        <v>45941</v>
      </c>
      <c r="D776" s="18" t="s">
        <v>43</v>
      </c>
      <c r="E776" s="18" t="s">
        <v>174</v>
      </c>
      <c r="F776" s="18" t="s">
        <v>42</v>
      </c>
      <c r="G776" s="21" t="n">
        <v>4164</v>
      </c>
      <c r="H776" s="22" t="n">
        <v>0.00215859657692229</v>
      </c>
      <c r="I776" s="22" t="n">
        <v>0.00223803653677194</v>
      </c>
      <c r="J776" s="22" t="n">
        <v>3.54598107528026E-005</v>
      </c>
      <c r="K776" s="22" t="n">
        <v>0.000299781051025697</v>
      </c>
      <c r="L776" s="22" t="n">
        <v>0.000322926258481857</v>
      </c>
      <c r="M776" s="22" t="n">
        <v>0.000423583447588068</v>
      </c>
      <c r="N776" s="22" t="n">
        <v>0.00690625911764552</v>
      </c>
      <c r="O776" s="22" t="n">
        <v>0.0071583404798712</v>
      </c>
      <c r="P776" s="22" t="n">
        <v>0.000776162132076718</v>
      </c>
      <c r="Q776" s="22" t="n">
        <v>0.00401840071683457</v>
      </c>
      <c r="R776" s="22" t="n">
        <v>0.000230564888738497</v>
      </c>
      <c r="S776" s="23" t="n">
        <f aca="false">IF(A776="","",SUM(H776:R776))</f>
        <v>0.0245681110167092</v>
      </c>
      <c r="T776" s="17" t="str">
        <f aca="false">IF(A776="","",IF(AND(MIN(H776:R776)&gt;=0,MAX(H776:R776)&lt;=1,S776&lt;=1),"OK","CHECK"))</f>
        <v>OK</v>
      </c>
      <c r="U776" s="17" t="str">
        <f aca="false">IF(A776="","", "LOSS-"&amp;A776&amp;"-L"&amp;TEXT(B776,"00")&amp;"-"&amp;TEXT(C776,"yyyymmdd")&amp;"-"&amp;D776&amp;"-"&amp;E776)</f>
        <v>LOSS-KG01-L25-20251011-PM-ORD-2025-00278</v>
      </c>
      <c r="V776" s="17" t="str">
        <f aca="false">IF(U776="","",IF(COUNTIF($U$5:$U$935,U776)=1,"OK","CHECK"))</f>
        <v>OK</v>
      </c>
      <c r="W776" s="17" t="str">
        <f aca="false">IF(A776="","",IF(AND(T776="OK",V776="OK",G776&gt;=0),"OK","CHECK"))</f>
        <v>OK</v>
      </c>
    </row>
    <row r="777" customFormat="false" ht="18" hidden="false" customHeight="true" outlineLevel="0" collapsed="false">
      <c r="A777" s="18" t="s">
        <v>39</v>
      </c>
      <c r="B777" s="19" t="n">
        <v>25</v>
      </c>
      <c r="C777" s="20" t="n">
        <v>45942</v>
      </c>
      <c r="D777" s="18" t="s">
        <v>40</v>
      </c>
      <c r="E777" s="18" t="s">
        <v>174</v>
      </c>
      <c r="F777" s="18" t="s">
        <v>42</v>
      </c>
      <c r="G777" s="21" t="n">
        <v>13763</v>
      </c>
      <c r="H777" s="22" t="n">
        <v>0.00258594911287966</v>
      </c>
      <c r="I777" s="22" t="n">
        <v>0.0200952502889881</v>
      </c>
      <c r="J777" s="22" t="n">
        <v>0.000257157417798642</v>
      </c>
      <c r="K777" s="22" t="n">
        <v>0.00645543169967226</v>
      </c>
      <c r="L777" s="22" t="n">
        <v>0.000136315341257305</v>
      </c>
      <c r="M777" s="22" t="n">
        <v>2.46393881525691E-006</v>
      </c>
      <c r="N777" s="22" t="n">
        <v>0.0157038837151833</v>
      </c>
      <c r="O777" s="22" t="n">
        <v>0.0175898954035678</v>
      </c>
      <c r="P777" s="22" t="n">
        <v>0.000587172217307838</v>
      </c>
      <c r="Q777" s="22" t="n">
        <v>0.000224856055474998</v>
      </c>
      <c r="R777" s="22" t="n">
        <v>0.00790976371527229</v>
      </c>
      <c r="S777" s="23" t="n">
        <f aca="false">IF(A777="","",SUM(H777:R777))</f>
        <v>0.0715481389062175</v>
      </c>
      <c r="T777" s="17" t="str">
        <f aca="false">IF(A777="","",IF(AND(MIN(H777:R777)&gt;=0,MAX(H777:R777)&lt;=1,S777&lt;=1),"OK","CHECK"))</f>
        <v>OK</v>
      </c>
      <c r="U777" s="17" t="str">
        <f aca="false">IF(A777="","", "LOSS-"&amp;A777&amp;"-L"&amp;TEXT(B777,"00")&amp;"-"&amp;TEXT(C777,"yyyymmdd")&amp;"-"&amp;D777&amp;"-"&amp;E777)</f>
        <v>LOSS-KG01-L25-20251012-AM-ORD-2025-00278</v>
      </c>
      <c r="V777" s="17" t="str">
        <f aca="false">IF(U777="","",IF(COUNTIF($U$5:$U$935,U777)=1,"OK","CHECK"))</f>
        <v>OK</v>
      </c>
      <c r="W777" s="17" t="str">
        <f aca="false">IF(A777="","",IF(AND(T777="OK",V777="OK",G777&gt;=0),"OK","CHECK"))</f>
        <v>OK</v>
      </c>
    </row>
    <row r="778" customFormat="false" ht="18" hidden="false" customHeight="true" outlineLevel="0" collapsed="false">
      <c r="A778" s="18" t="s">
        <v>39</v>
      </c>
      <c r="B778" s="19" t="n">
        <v>25</v>
      </c>
      <c r="C778" s="20" t="n">
        <v>45942</v>
      </c>
      <c r="D778" s="18" t="s">
        <v>43</v>
      </c>
      <c r="E778" s="18" t="s">
        <v>174</v>
      </c>
      <c r="F778" s="18" t="s">
        <v>42</v>
      </c>
      <c r="G778" s="21" t="n">
        <v>7766</v>
      </c>
      <c r="H778" s="22" t="n">
        <v>7.99866363375514E-009</v>
      </c>
      <c r="I778" s="22" t="n">
        <v>0.000470311180991141</v>
      </c>
      <c r="J778" s="22" t="n">
        <v>0.0208769742640999</v>
      </c>
      <c r="K778" s="22" t="n">
        <v>0.00209995189887445</v>
      </c>
      <c r="L778" s="22" t="n">
        <v>0.00976983312900921</v>
      </c>
      <c r="M778" s="22" t="n">
        <v>0.0166275239244111</v>
      </c>
      <c r="N778" s="22" t="n">
        <v>0.000649595660539914</v>
      </c>
      <c r="O778" s="22" t="n">
        <v>0.00911330981877706</v>
      </c>
      <c r="P778" s="22" t="n">
        <v>0.0121933607363027</v>
      </c>
      <c r="Q778" s="22" t="n">
        <v>0.00441270274819519</v>
      </c>
      <c r="R778" s="22" t="n">
        <v>0.000545279728359943</v>
      </c>
      <c r="S778" s="23" t="n">
        <f aca="false">IF(A778="","",SUM(H778:R778))</f>
        <v>0.0767588510882242</v>
      </c>
      <c r="T778" s="17" t="str">
        <f aca="false">IF(A778="","",IF(AND(MIN(H778:R778)&gt;=0,MAX(H778:R778)&lt;=1,S778&lt;=1),"OK","CHECK"))</f>
        <v>OK</v>
      </c>
      <c r="U778" s="17" t="str">
        <f aca="false">IF(A778="","", "LOSS-"&amp;A778&amp;"-L"&amp;TEXT(B778,"00")&amp;"-"&amp;TEXT(C778,"yyyymmdd")&amp;"-"&amp;D778&amp;"-"&amp;E778)</f>
        <v>LOSS-KG01-L25-20251012-PM-ORD-2025-00278</v>
      </c>
      <c r="V778" s="17" t="str">
        <f aca="false">IF(U778="","",IF(COUNTIF($U$5:$U$935,U778)=1,"OK","CHECK"))</f>
        <v>OK</v>
      </c>
      <c r="W778" s="17" t="str">
        <f aca="false">IF(A778="","",IF(AND(T778="OK",V778="OK",G778&gt;=0),"OK","CHECK"))</f>
        <v>OK</v>
      </c>
    </row>
    <row r="779" customFormat="false" ht="18" hidden="false" customHeight="true" outlineLevel="0" collapsed="false">
      <c r="A779" s="18" t="s">
        <v>39</v>
      </c>
      <c r="B779" s="19" t="n">
        <v>25</v>
      </c>
      <c r="C779" s="20" t="n">
        <v>45943</v>
      </c>
      <c r="D779" s="18" t="s">
        <v>40</v>
      </c>
      <c r="E779" s="18" t="s">
        <v>175</v>
      </c>
      <c r="F779" s="18" t="s">
        <v>45</v>
      </c>
      <c r="G779" s="21" t="n">
        <v>1093</v>
      </c>
      <c r="H779" s="22" t="n">
        <v>0.000987044091715448</v>
      </c>
      <c r="I779" s="22" t="n">
        <v>0.000114501728492221</v>
      </c>
      <c r="J779" s="22" t="n">
        <v>0.00924283275620374</v>
      </c>
      <c r="K779" s="22" t="n">
        <v>0.00182444496274959</v>
      </c>
      <c r="L779" s="22" t="n">
        <v>0.00145073658595621</v>
      </c>
      <c r="M779" s="22" t="n">
        <v>5.01261809927553E-005</v>
      </c>
      <c r="N779" s="22" t="n">
        <v>0.0191458633815272</v>
      </c>
      <c r="O779" s="22" t="n">
        <v>0.0154882192912975</v>
      </c>
      <c r="P779" s="22" t="n">
        <v>0.00216211720152318</v>
      </c>
      <c r="Q779" s="22" t="n">
        <v>0.000411087171077687</v>
      </c>
      <c r="R779" s="22" t="n">
        <v>0.00324265429750388</v>
      </c>
      <c r="S779" s="23" t="n">
        <f aca="false">IF(A779="","",SUM(H779:R779))</f>
        <v>0.0541196276490394</v>
      </c>
      <c r="T779" s="17" t="str">
        <f aca="false">IF(A779="","",IF(AND(MIN(H779:R779)&gt;=0,MAX(H779:R779)&lt;=1,S779&lt;=1),"OK","CHECK"))</f>
        <v>OK</v>
      </c>
      <c r="U779" s="17" t="str">
        <f aca="false">IF(A779="","", "LOSS-"&amp;A779&amp;"-L"&amp;TEXT(B779,"00")&amp;"-"&amp;TEXT(C779,"yyyymmdd")&amp;"-"&amp;D779&amp;"-"&amp;E779)</f>
        <v>LOSS-KG01-L25-20251013-AM-ORD-2025-00279</v>
      </c>
      <c r="V779" s="17" t="str">
        <f aca="false">IF(U779="","",IF(COUNTIF($U$5:$U$935,U779)=1,"OK","CHECK"))</f>
        <v>OK</v>
      </c>
      <c r="W779" s="17" t="str">
        <f aca="false">IF(A779="","",IF(AND(T779="OK",V779="OK",G779&gt;=0),"OK","CHECK"))</f>
        <v>OK</v>
      </c>
    </row>
    <row r="780" customFormat="false" ht="18" hidden="false" customHeight="true" outlineLevel="0" collapsed="false">
      <c r="A780" s="18" t="s">
        <v>39</v>
      </c>
      <c r="B780" s="19" t="n">
        <v>25</v>
      </c>
      <c r="C780" s="20" t="n">
        <v>45943</v>
      </c>
      <c r="D780" s="18" t="s">
        <v>43</v>
      </c>
      <c r="E780" s="18" t="s">
        <v>175</v>
      </c>
      <c r="F780" s="18" t="s">
        <v>42</v>
      </c>
      <c r="G780" s="21" t="n">
        <v>4571</v>
      </c>
      <c r="H780" s="22" t="n">
        <v>0.00236488045366385</v>
      </c>
      <c r="I780" s="22" t="n">
        <v>0.00860017488968637</v>
      </c>
      <c r="J780" s="22" t="n">
        <v>8.11380132734487E-005</v>
      </c>
      <c r="K780" s="22" t="n">
        <v>0.00068883216614506</v>
      </c>
      <c r="L780" s="22" t="n">
        <v>0.00899074162292178</v>
      </c>
      <c r="M780" s="22" t="n">
        <v>0.00050804400708326</v>
      </c>
      <c r="N780" s="22" t="n">
        <v>0.000381289047549542</v>
      </c>
      <c r="O780" s="22" t="n">
        <v>0.000568236229481222</v>
      </c>
      <c r="P780" s="22" t="n">
        <v>9.37844562970102E-005</v>
      </c>
      <c r="Q780" s="22" t="n">
        <v>0.00200975191372106</v>
      </c>
      <c r="R780" s="22" t="n">
        <v>0.000106494936466468</v>
      </c>
      <c r="S780" s="23" t="n">
        <f aca="false">IF(A780="","",SUM(H780:R780))</f>
        <v>0.0243933677362891</v>
      </c>
      <c r="T780" s="17" t="str">
        <f aca="false">IF(A780="","",IF(AND(MIN(H780:R780)&gt;=0,MAX(H780:R780)&lt;=1,S780&lt;=1),"OK","CHECK"))</f>
        <v>OK</v>
      </c>
      <c r="U780" s="17" t="str">
        <f aca="false">IF(A780="","", "LOSS-"&amp;A780&amp;"-L"&amp;TEXT(B780,"00")&amp;"-"&amp;TEXT(C780,"yyyymmdd")&amp;"-"&amp;D780&amp;"-"&amp;E780)</f>
        <v>LOSS-KG01-L25-20251013-PM-ORD-2025-00279</v>
      </c>
      <c r="V780" s="17" t="str">
        <f aca="false">IF(U780="","",IF(COUNTIF($U$5:$U$935,U780)=1,"OK","CHECK"))</f>
        <v>OK</v>
      </c>
      <c r="W780" s="17" t="str">
        <f aca="false">IF(A780="","",IF(AND(T780="OK",V780="OK",G780&gt;=0),"OK","CHECK"))</f>
        <v>OK</v>
      </c>
    </row>
    <row r="781" customFormat="false" ht="18" hidden="false" customHeight="true" outlineLevel="0" collapsed="false">
      <c r="A781" s="18" t="s">
        <v>39</v>
      </c>
      <c r="B781" s="19" t="n">
        <v>25</v>
      </c>
      <c r="C781" s="20" t="n">
        <v>45944</v>
      </c>
      <c r="D781" s="18" t="s">
        <v>40</v>
      </c>
      <c r="E781" s="18" t="s">
        <v>175</v>
      </c>
      <c r="F781" s="18" t="s">
        <v>42</v>
      </c>
      <c r="G781" s="21" t="n">
        <v>16596</v>
      </c>
      <c r="H781" s="22" t="n">
        <v>0.000729244970543539</v>
      </c>
      <c r="I781" s="22" t="n">
        <v>0.00778451412863032</v>
      </c>
      <c r="J781" s="22" t="n">
        <v>0.0226970006878764</v>
      </c>
      <c r="K781" s="22" t="n">
        <v>0.0161546053630964</v>
      </c>
      <c r="L781" s="22" t="n">
        <v>0.00105246330241049</v>
      </c>
      <c r="M781" s="22" t="n">
        <v>0.00126395924817712</v>
      </c>
      <c r="N781" s="22" t="n">
        <v>7.12490968112751E-006</v>
      </c>
      <c r="O781" s="22" t="n">
        <v>0.000946032129826081</v>
      </c>
      <c r="P781" s="22" t="n">
        <v>0.000308881702273402</v>
      </c>
      <c r="Q781" s="22" t="n">
        <v>0.00876728325274174</v>
      </c>
      <c r="R781" s="22" t="n">
        <v>0.0244334510251134</v>
      </c>
      <c r="S781" s="23" t="n">
        <f aca="false">IF(A781="","",SUM(H781:R781))</f>
        <v>0.08414456072037</v>
      </c>
      <c r="T781" s="17" t="str">
        <f aca="false">IF(A781="","",IF(AND(MIN(H781:R781)&gt;=0,MAX(H781:R781)&lt;=1,S781&lt;=1),"OK","CHECK"))</f>
        <v>OK</v>
      </c>
      <c r="U781" s="17" t="str">
        <f aca="false">IF(A781="","", "LOSS-"&amp;A781&amp;"-L"&amp;TEXT(B781,"00")&amp;"-"&amp;TEXT(C781,"yyyymmdd")&amp;"-"&amp;D781&amp;"-"&amp;E781)</f>
        <v>LOSS-KG01-L25-20251014-AM-ORD-2025-00279</v>
      </c>
      <c r="V781" s="17" t="str">
        <f aca="false">IF(U781="","",IF(COUNTIF($U$5:$U$935,U781)=1,"OK","CHECK"))</f>
        <v>OK</v>
      </c>
      <c r="W781" s="17" t="str">
        <f aca="false">IF(A781="","",IF(AND(T781="OK",V781="OK",G781&gt;=0),"OK","CHECK"))</f>
        <v>OK</v>
      </c>
    </row>
    <row r="782" customFormat="false" ht="18" hidden="false" customHeight="true" outlineLevel="0" collapsed="false">
      <c r="A782" s="18" t="s">
        <v>39</v>
      </c>
      <c r="B782" s="19" t="n">
        <v>25</v>
      </c>
      <c r="C782" s="20" t="n">
        <v>45944</v>
      </c>
      <c r="D782" s="18" t="s">
        <v>43</v>
      </c>
      <c r="E782" s="18" t="s">
        <v>175</v>
      </c>
      <c r="F782" s="18" t="s">
        <v>42</v>
      </c>
      <c r="G782" s="21" t="n">
        <v>7626</v>
      </c>
      <c r="H782" s="22" t="n">
        <v>0.00292532615831624</v>
      </c>
      <c r="I782" s="22" t="n">
        <v>0.000338423898962184</v>
      </c>
      <c r="J782" s="22" t="n">
        <v>0.00401546652666338</v>
      </c>
      <c r="K782" s="22" t="n">
        <v>0.000693517968896405</v>
      </c>
      <c r="L782" s="22" t="n">
        <v>0.00880971805092828</v>
      </c>
      <c r="M782" s="22" t="n">
        <v>0.00179338855448714</v>
      </c>
      <c r="N782" s="22" t="n">
        <v>0.00333449765715267</v>
      </c>
      <c r="O782" s="22" t="n">
        <v>0.00117695153058534</v>
      </c>
      <c r="P782" s="22" t="n">
        <v>0.00700392060589133</v>
      </c>
      <c r="Q782" s="22" t="n">
        <v>0.00625919582037659</v>
      </c>
      <c r="R782" s="22" t="n">
        <v>0.0047982593764066</v>
      </c>
      <c r="S782" s="23" t="n">
        <f aca="false">IF(A782="","",SUM(H782:R782))</f>
        <v>0.0411486661486662</v>
      </c>
      <c r="T782" s="17" t="str">
        <f aca="false">IF(A782="","",IF(AND(MIN(H782:R782)&gt;=0,MAX(H782:R782)&lt;=1,S782&lt;=1),"OK","CHECK"))</f>
        <v>OK</v>
      </c>
      <c r="U782" s="17" t="str">
        <f aca="false">IF(A782="","", "LOSS-"&amp;A782&amp;"-L"&amp;TEXT(B782,"00")&amp;"-"&amp;TEXT(C782,"yyyymmdd")&amp;"-"&amp;D782&amp;"-"&amp;E782)</f>
        <v>LOSS-KG01-L25-20251014-PM-ORD-2025-00279</v>
      </c>
      <c r="V782" s="17" t="str">
        <f aca="false">IF(U782="","",IF(COUNTIF($U$5:$U$935,U782)=1,"OK","CHECK"))</f>
        <v>OK</v>
      </c>
      <c r="W782" s="17" t="str">
        <f aca="false">IF(A782="","",IF(AND(T782="OK",V782="OK",G782&gt;=0),"OK","CHECK"))</f>
        <v>OK</v>
      </c>
    </row>
    <row r="783" customFormat="false" ht="18" hidden="false" customHeight="true" outlineLevel="0" collapsed="false">
      <c r="A783" s="18" t="s">
        <v>39</v>
      </c>
      <c r="B783" s="19" t="n">
        <v>25</v>
      </c>
      <c r="C783" s="20" t="n">
        <v>45945</v>
      </c>
      <c r="D783" s="18" t="s">
        <v>40</v>
      </c>
      <c r="E783" s="18" t="s">
        <v>176</v>
      </c>
      <c r="F783" s="18" t="s">
        <v>45</v>
      </c>
      <c r="G783" s="21" t="n">
        <v>4617</v>
      </c>
      <c r="H783" s="22" t="n">
        <v>0.00187652361272432</v>
      </c>
      <c r="I783" s="22" t="n">
        <v>0.0056200706237426</v>
      </c>
      <c r="J783" s="22" t="n">
        <v>0.0073479046798158</v>
      </c>
      <c r="K783" s="22" t="n">
        <v>0.000524961861867794</v>
      </c>
      <c r="L783" s="22" t="n">
        <v>0.00662004678765093</v>
      </c>
      <c r="M783" s="22" t="n">
        <v>0.00057791005672079</v>
      </c>
      <c r="N783" s="22" t="n">
        <v>0.000129368499451664</v>
      </c>
      <c r="O783" s="22" t="n">
        <v>0.00259814545899279</v>
      </c>
      <c r="P783" s="22" t="n">
        <v>0.00289041718243672</v>
      </c>
      <c r="Q783" s="22" t="n">
        <v>0.00970481484345179</v>
      </c>
      <c r="R783" s="22" t="n">
        <v>0.00163217845785974</v>
      </c>
      <c r="S783" s="23" t="n">
        <f aca="false">IF(A783="","",SUM(H783:R783))</f>
        <v>0.0395223420647149</v>
      </c>
      <c r="T783" s="17" t="str">
        <f aca="false">IF(A783="","",IF(AND(MIN(H783:R783)&gt;=0,MAX(H783:R783)&lt;=1,S783&lt;=1),"OK","CHECK"))</f>
        <v>OK</v>
      </c>
      <c r="U783" s="17" t="str">
        <f aca="false">IF(A783="","", "LOSS-"&amp;A783&amp;"-L"&amp;TEXT(B783,"00")&amp;"-"&amp;TEXT(C783,"yyyymmdd")&amp;"-"&amp;D783&amp;"-"&amp;E783)</f>
        <v>LOSS-KG01-L25-20251015-AM-ORD-2025-00280</v>
      </c>
      <c r="V783" s="17" t="str">
        <f aca="false">IF(U783="","",IF(COUNTIF($U$5:$U$935,U783)=1,"OK","CHECK"))</f>
        <v>OK</v>
      </c>
      <c r="W783" s="17" t="str">
        <f aca="false">IF(A783="","",IF(AND(T783="OK",V783="OK",G783&gt;=0),"OK","CHECK"))</f>
        <v>OK</v>
      </c>
    </row>
    <row r="784" customFormat="false" ht="18" hidden="false" customHeight="true" outlineLevel="0" collapsed="false">
      <c r="A784" s="18" t="s">
        <v>39</v>
      </c>
      <c r="B784" s="19" t="n">
        <v>25</v>
      </c>
      <c r="C784" s="20" t="n">
        <v>45945</v>
      </c>
      <c r="D784" s="18" t="s">
        <v>43</v>
      </c>
      <c r="E784" s="18" t="s">
        <v>176</v>
      </c>
      <c r="F784" s="18" t="s">
        <v>42</v>
      </c>
      <c r="G784" s="21" t="n">
        <v>4139</v>
      </c>
      <c r="H784" s="22" t="n">
        <v>0.00090385845269635</v>
      </c>
      <c r="I784" s="22" t="n">
        <v>0.00258520229047704</v>
      </c>
      <c r="J784" s="22" t="n">
        <v>0.00159511863093228</v>
      </c>
      <c r="K784" s="22" t="n">
        <v>0.00430619292832158</v>
      </c>
      <c r="L784" s="22" t="n">
        <v>0.00191621472369759</v>
      </c>
      <c r="M784" s="22" t="n">
        <v>0.00389712360033018</v>
      </c>
      <c r="N784" s="22" t="n">
        <v>0.00233996550401185</v>
      </c>
      <c r="O784" s="22" t="n">
        <v>0.00319785298443529</v>
      </c>
      <c r="P784" s="22" t="n">
        <v>0.00127995764167673</v>
      </c>
      <c r="Q784" s="22" t="n">
        <v>0.00678133242259359</v>
      </c>
      <c r="R784" s="22" t="n">
        <v>0.000111715631440462</v>
      </c>
      <c r="S784" s="23" t="n">
        <f aca="false">IF(A784="","",SUM(H784:R784))</f>
        <v>0.0289145348106129</v>
      </c>
      <c r="T784" s="17" t="str">
        <f aca="false">IF(A784="","",IF(AND(MIN(H784:R784)&gt;=0,MAX(H784:R784)&lt;=1,S784&lt;=1),"OK","CHECK"))</f>
        <v>OK</v>
      </c>
      <c r="U784" s="17" t="str">
        <f aca="false">IF(A784="","", "LOSS-"&amp;A784&amp;"-L"&amp;TEXT(B784,"00")&amp;"-"&amp;TEXT(C784,"yyyymmdd")&amp;"-"&amp;D784&amp;"-"&amp;E784)</f>
        <v>LOSS-KG01-L25-20251015-PM-ORD-2025-00280</v>
      </c>
      <c r="V784" s="17" t="str">
        <f aca="false">IF(U784="","",IF(COUNTIF($U$5:$U$935,U784)=1,"OK","CHECK"))</f>
        <v>OK</v>
      </c>
      <c r="W784" s="17" t="str">
        <f aca="false">IF(A784="","",IF(AND(T784="OK",V784="OK",G784&gt;=0),"OK","CHECK"))</f>
        <v>OK</v>
      </c>
    </row>
    <row r="785" customFormat="false" ht="18" hidden="false" customHeight="true" outlineLevel="0" collapsed="false">
      <c r="A785" s="18" t="s">
        <v>39</v>
      </c>
      <c r="B785" s="19" t="n">
        <v>25</v>
      </c>
      <c r="C785" s="20" t="n">
        <v>45946</v>
      </c>
      <c r="D785" s="18" t="s">
        <v>40</v>
      </c>
      <c r="E785" s="18" t="s">
        <v>176</v>
      </c>
      <c r="F785" s="18" t="s">
        <v>61</v>
      </c>
      <c r="G785" s="21" t="n">
        <v>14278</v>
      </c>
      <c r="H785" s="22" t="n">
        <v>0.00347858781215939</v>
      </c>
      <c r="I785" s="22" t="n">
        <v>5.67399392460018E-005</v>
      </c>
      <c r="J785" s="22" t="n">
        <v>0.0112686815442702</v>
      </c>
      <c r="K785" s="22" t="n">
        <v>0.00374748450854899</v>
      </c>
      <c r="L785" s="22" t="n">
        <v>0.0123239575041337</v>
      </c>
      <c r="M785" s="22" t="n">
        <v>0.00408402242373335</v>
      </c>
      <c r="N785" s="22" t="n">
        <v>0.00991658930467169</v>
      </c>
      <c r="O785" s="22" t="n">
        <v>0.0112476703625392</v>
      </c>
      <c r="P785" s="22" t="n">
        <v>3.63483973660602E-006</v>
      </c>
      <c r="Q785" s="22" t="n">
        <v>0.00888708904063479</v>
      </c>
      <c r="R785" s="22" t="n">
        <v>0.00215084519468872</v>
      </c>
      <c r="S785" s="23" t="n">
        <f aca="false">IF(A785="","",SUM(H785:R785))</f>
        <v>0.0671653024743626</v>
      </c>
      <c r="T785" s="17" t="str">
        <f aca="false">IF(A785="","",IF(AND(MIN(H785:R785)&gt;=0,MAX(H785:R785)&lt;=1,S785&lt;=1),"OK","CHECK"))</f>
        <v>OK</v>
      </c>
      <c r="U785" s="17" t="str">
        <f aca="false">IF(A785="","", "LOSS-"&amp;A785&amp;"-L"&amp;TEXT(B785,"00")&amp;"-"&amp;TEXT(C785,"yyyymmdd")&amp;"-"&amp;D785&amp;"-"&amp;E785)</f>
        <v>LOSS-KG01-L25-20251016-AM-ORD-2025-00280</v>
      </c>
      <c r="V785" s="17" t="str">
        <f aca="false">IF(U785="","",IF(COUNTIF($U$5:$U$935,U785)=1,"OK","CHECK"))</f>
        <v>OK</v>
      </c>
      <c r="W785" s="17" t="str">
        <f aca="false">IF(A785="","",IF(AND(T785="OK",V785="OK",G785&gt;=0),"OK","CHECK"))</f>
        <v>OK</v>
      </c>
    </row>
    <row r="786" customFormat="false" ht="18" hidden="false" customHeight="true" outlineLevel="0" collapsed="false">
      <c r="A786" s="18" t="s">
        <v>39</v>
      </c>
      <c r="B786" s="19" t="n">
        <v>25</v>
      </c>
      <c r="C786" s="20" t="n">
        <v>45946</v>
      </c>
      <c r="D786" s="18" t="s">
        <v>43</v>
      </c>
      <c r="E786" s="18" t="s">
        <v>176</v>
      </c>
      <c r="F786" s="18" t="s">
        <v>42</v>
      </c>
      <c r="G786" s="21" t="n">
        <v>13005</v>
      </c>
      <c r="H786" s="22" t="n">
        <v>0.000594965866339458</v>
      </c>
      <c r="I786" s="22" t="n">
        <v>0.0125215416782667</v>
      </c>
      <c r="J786" s="22" t="n">
        <v>0.000842740072152972</v>
      </c>
      <c r="K786" s="22" t="n">
        <v>0.00144592224717432</v>
      </c>
      <c r="L786" s="22" t="n">
        <v>0.00351893745671959</v>
      </c>
      <c r="M786" s="22" t="n">
        <v>0.0130970637354066</v>
      </c>
      <c r="N786" s="22" t="n">
        <v>0.000214244592826349</v>
      </c>
      <c r="O786" s="22" t="n">
        <v>0.00446249914328418</v>
      </c>
      <c r="P786" s="22" t="n">
        <v>0.0220029893190832</v>
      </c>
      <c r="Q786" s="22" t="n">
        <v>0.0038642317767083</v>
      </c>
      <c r="R786" s="22" t="n">
        <v>0.0174247769565546</v>
      </c>
      <c r="S786" s="23" t="n">
        <f aca="false">IF(A786="","",SUM(H786:R786))</f>
        <v>0.0799899128445163</v>
      </c>
      <c r="T786" s="17" t="str">
        <f aca="false">IF(A786="","",IF(AND(MIN(H786:R786)&gt;=0,MAX(H786:R786)&lt;=1,S786&lt;=1),"OK","CHECK"))</f>
        <v>OK</v>
      </c>
      <c r="U786" s="17" t="str">
        <f aca="false">IF(A786="","", "LOSS-"&amp;A786&amp;"-L"&amp;TEXT(B786,"00")&amp;"-"&amp;TEXT(C786,"yyyymmdd")&amp;"-"&amp;D786&amp;"-"&amp;E786)</f>
        <v>LOSS-KG01-L25-20251016-PM-ORD-2025-00280</v>
      </c>
      <c r="V786" s="17" t="str">
        <f aca="false">IF(U786="","",IF(COUNTIF($U$5:$U$935,U786)=1,"OK","CHECK"))</f>
        <v>OK</v>
      </c>
      <c r="W786" s="17" t="str">
        <f aca="false">IF(A786="","",IF(AND(T786="OK",V786="OK",G786&gt;=0),"OK","CHECK"))</f>
        <v>OK</v>
      </c>
    </row>
    <row r="787" customFormat="false" ht="18" hidden="false" customHeight="true" outlineLevel="0" collapsed="false">
      <c r="A787" s="18" t="s">
        <v>39</v>
      </c>
      <c r="B787" s="19" t="n">
        <v>25</v>
      </c>
      <c r="C787" s="20" t="n">
        <v>45947</v>
      </c>
      <c r="D787" s="18" t="s">
        <v>40</v>
      </c>
      <c r="E787" s="18" t="s">
        <v>177</v>
      </c>
      <c r="F787" s="18" t="s">
        <v>45</v>
      </c>
      <c r="G787" s="21" t="n">
        <v>6948</v>
      </c>
      <c r="H787" s="22" t="n">
        <v>0.00697838698548669</v>
      </c>
      <c r="I787" s="22" t="n">
        <v>0.00480419815627288</v>
      </c>
      <c r="J787" s="22" t="n">
        <v>0.000264250609176326</v>
      </c>
      <c r="K787" s="22" t="n">
        <v>0.00168519270519109</v>
      </c>
      <c r="L787" s="22" t="n">
        <v>0.00778647442648167</v>
      </c>
      <c r="M787" s="22" t="n">
        <v>0.012884287640436</v>
      </c>
      <c r="N787" s="22" t="n">
        <v>0.00656433625551229</v>
      </c>
      <c r="O787" s="22" t="n">
        <v>0.014241004797491</v>
      </c>
      <c r="P787" s="22" t="n">
        <v>0.000728831558633983</v>
      </c>
      <c r="Q787" s="22" t="n">
        <v>0.0231428488904724</v>
      </c>
      <c r="R787" s="22" t="n">
        <v>0.000462260098486277</v>
      </c>
      <c r="S787" s="23" t="n">
        <f aca="false">IF(A787="","",SUM(H787:R787))</f>
        <v>0.0795420721236406</v>
      </c>
      <c r="T787" s="17" t="str">
        <f aca="false">IF(A787="","",IF(AND(MIN(H787:R787)&gt;=0,MAX(H787:R787)&lt;=1,S787&lt;=1),"OK","CHECK"))</f>
        <v>OK</v>
      </c>
      <c r="U787" s="17" t="str">
        <f aca="false">IF(A787="","", "LOSS-"&amp;A787&amp;"-L"&amp;TEXT(B787,"00")&amp;"-"&amp;TEXT(C787,"yyyymmdd")&amp;"-"&amp;D787&amp;"-"&amp;E787)</f>
        <v>LOSS-KG01-L25-20251017-AM-ORD-2025-00281</v>
      </c>
      <c r="V787" s="17" t="str">
        <f aca="false">IF(U787="","",IF(COUNTIF($U$5:$U$935,U787)=1,"OK","CHECK"))</f>
        <v>OK</v>
      </c>
      <c r="W787" s="17" t="str">
        <f aca="false">IF(A787="","",IF(AND(T787="OK",V787="OK",G787&gt;=0),"OK","CHECK"))</f>
        <v>OK</v>
      </c>
    </row>
    <row r="788" customFormat="false" ht="18" hidden="false" customHeight="true" outlineLevel="0" collapsed="false">
      <c r="A788" s="18" t="s">
        <v>39</v>
      </c>
      <c r="B788" s="19" t="n">
        <v>25</v>
      </c>
      <c r="C788" s="20" t="n">
        <v>45947</v>
      </c>
      <c r="D788" s="18" t="s">
        <v>43</v>
      </c>
      <c r="E788" s="18" t="s">
        <v>177</v>
      </c>
      <c r="F788" s="18" t="s">
        <v>42</v>
      </c>
      <c r="G788" s="21" t="n">
        <v>4777</v>
      </c>
      <c r="H788" s="22" t="n">
        <v>0.00293323996250111</v>
      </c>
      <c r="I788" s="22" t="n">
        <v>0.00853939323122363</v>
      </c>
      <c r="J788" s="22" t="n">
        <v>0.00518448506241305</v>
      </c>
      <c r="K788" s="22" t="n">
        <v>0.00829396251438952</v>
      </c>
      <c r="L788" s="22" t="n">
        <v>0.00282738643727094</v>
      </c>
      <c r="M788" s="22" t="n">
        <v>0.00259632340102714</v>
      </c>
      <c r="N788" s="22" t="n">
        <v>0.00422909312992394</v>
      </c>
      <c r="O788" s="22" t="n">
        <v>0.000503268504132034</v>
      </c>
      <c r="P788" s="22" t="n">
        <v>0.00353540702564977</v>
      </c>
      <c r="Q788" s="22" t="n">
        <v>0.00267069735536801</v>
      </c>
      <c r="R788" s="22" t="n">
        <v>0.00558168378801456</v>
      </c>
      <c r="S788" s="23" t="n">
        <f aca="false">IF(A788="","",SUM(H788:R788))</f>
        <v>0.0468949404119137</v>
      </c>
      <c r="T788" s="17" t="str">
        <f aca="false">IF(A788="","",IF(AND(MIN(H788:R788)&gt;=0,MAX(H788:R788)&lt;=1,S788&lt;=1),"OK","CHECK"))</f>
        <v>OK</v>
      </c>
      <c r="U788" s="17" t="str">
        <f aca="false">IF(A788="","", "LOSS-"&amp;A788&amp;"-L"&amp;TEXT(B788,"00")&amp;"-"&amp;TEXT(C788,"yyyymmdd")&amp;"-"&amp;D788&amp;"-"&amp;E788)</f>
        <v>LOSS-KG01-L25-20251017-PM-ORD-2025-00281</v>
      </c>
      <c r="V788" s="17" t="str">
        <f aca="false">IF(U788="","",IF(COUNTIF($U$5:$U$935,U788)=1,"OK","CHECK"))</f>
        <v>OK</v>
      </c>
      <c r="W788" s="17" t="str">
        <f aca="false">IF(A788="","",IF(AND(T788="OK",V788="OK",G788&gt;=0),"OK","CHECK"))</f>
        <v>OK</v>
      </c>
    </row>
    <row r="789" customFormat="false" ht="18" hidden="false" customHeight="true" outlineLevel="0" collapsed="false">
      <c r="A789" s="18" t="s">
        <v>39</v>
      </c>
      <c r="B789" s="19" t="n">
        <v>25</v>
      </c>
      <c r="C789" s="20" t="n">
        <v>45948</v>
      </c>
      <c r="D789" s="18" t="s">
        <v>40</v>
      </c>
      <c r="E789" s="18" t="s">
        <v>177</v>
      </c>
      <c r="F789" s="18" t="s">
        <v>42</v>
      </c>
      <c r="G789" s="21" t="n">
        <v>21178</v>
      </c>
      <c r="H789" s="22" t="n">
        <v>0.0109690723524643</v>
      </c>
      <c r="I789" s="22" t="n">
        <v>0.0132226273088886</v>
      </c>
      <c r="J789" s="22" t="n">
        <v>0.000234314178956872</v>
      </c>
      <c r="K789" s="22" t="n">
        <v>0.0122826592339665</v>
      </c>
      <c r="L789" s="22" t="n">
        <v>0.0105385700003946</v>
      </c>
      <c r="M789" s="22" t="n">
        <v>0.0092784962382501</v>
      </c>
      <c r="N789" s="22" t="n">
        <v>0.0131758618506363</v>
      </c>
      <c r="O789" s="22" t="n">
        <v>0.00696635198797274</v>
      </c>
      <c r="P789" s="22" t="n">
        <v>0.000768686533413839</v>
      </c>
      <c r="Q789" s="22" t="n">
        <v>0.0103141473479273</v>
      </c>
      <c r="R789" s="22" t="n">
        <v>0.00273105934708589</v>
      </c>
      <c r="S789" s="23" t="n">
        <f aca="false">IF(A789="","",SUM(H789:R789))</f>
        <v>0.090481846379957</v>
      </c>
      <c r="T789" s="17" t="str">
        <f aca="false">IF(A789="","",IF(AND(MIN(H789:R789)&gt;=0,MAX(H789:R789)&lt;=1,S789&lt;=1),"OK","CHECK"))</f>
        <v>OK</v>
      </c>
      <c r="U789" s="17" t="str">
        <f aca="false">IF(A789="","", "LOSS-"&amp;A789&amp;"-L"&amp;TEXT(B789,"00")&amp;"-"&amp;TEXT(C789,"yyyymmdd")&amp;"-"&amp;D789&amp;"-"&amp;E789)</f>
        <v>LOSS-KG01-L25-20251018-AM-ORD-2025-00281</v>
      </c>
      <c r="V789" s="17" t="str">
        <f aca="false">IF(U789="","",IF(COUNTIF($U$5:$U$935,U789)=1,"OK","CHECK"))</f>
        <v>OK</v>
      </c>
      <c r="W789" s="17" t="str">
        <f aca="false">IF(A789="","",IF(AND(T789="OK",V789="OK",G789&gt;=0),"OK","CHECK"))</f>
        <v>OK</v>
      </c>
    </row>
    <row r="790" customFormat="false" ht="18" hidden="false" customHeight="true" outlineLevel="0" collapsed="false">
      <c r="A790" s="18" t="s">
        <v>39</v>
      </c>
      <c r="B790" s="19" t="n">
        <v>25</v>
      </c>
      <c r="C790" s="20" t="n">
        <v>45948</v>
      </c>
      <c r="D790" s="18" t="s">
        <v>43</v>
      </c>
      <c r="E790" s="18" t="s">
        <v>177</v>
      </c>
      <c r="F790" s="18" t="s">
        <v>42</v>
      </c>
      <c r="G790" s="21" t="n">
        <v>14895</v>
      </c>
      <c r="H790" s="22" t="n">
        <v>0.00834441624506661</v>
      </c>
      <c r="I790" s="22" t="n">
        <v>0.00828794090794054</v>
      </c>
      <c r="J790" s="22" t="n">
        <v>0.00101453172353174</v>
      </c>
      <c r="K790" s="22" t="n">
        <v>0.0151501289109461</v>
      </c>
      <c r="L790" s="22" t="n">
        <v>0.00678198241961462</v>
      </c>
      <c r="M790" s="22" t="n">
        <v>0.00143397802889825</v>
      </c>
      <c r="N790" s="22" t="n">
        <v>0.00591668293583675</v>
      </c>
      <c r="O790" s="22" t="n">
        <v>0.0115502085370263</v>
      </c>
      <c r="P790" s="22" t="n">
        <v>0.00599770424967254</v>
      </c>
      <c r="Q790" s="22" t="n">
        <v>0.00494321317561338</v>
      </c>
      <c r="R790" s="22" t="n">
        <v>7.03112870825975E-005</v>
      </c>
      <c r="S790" s="23" t="n">
        <f aca="false">IF(A790="","",SUM(H790:R790))</f>
        <v>0.0694910984212294</v>
      </c>
      <c r="T790" s="17" t="str">
        <f aca="false">IF(A790="","",IF(AND(MIN(H790:R790)&gt;=0,MAX(H790:R790)&lt;=1,S790&lt;=1),"OK","CHECK"))</f>
        <v>OK</v>
      </c>
      <c r="U790" s="17" t="str">
        <f aca="false">IF(A790="","", "LOSS-"&amp;A790&amp;"-L"&amp;TEXT(B790,"00")&amp;"-"&amp;TEXT(C790,"yyyymmdd")&amp;"-"&amp;D790&amp;"-"&amp;E790)</f>
        <v>LOSS-KG01-L25-20251018-PM-ORD-2025-00281</v>
      </c>
      <c r="V790" s="17" t="str">
        <f aca="false">IF(U790="","",IF(COUNTIF($U$5:$U$935,U790)=1,"OK","CHECK"))</f>
        <v>OK</v>
      </c>
      <c r="W790" s="17" t="str">
        <f aca="false">IF(A790="","",IF(AND(T790="OK",V790="OK",G790&gt;=0),"OK","CHECK"))</f>
        <v>OK</v>
      </c>
    </row>
    <row r="791" customFormat="false" ht="18" hidden="false" customHeight="true" outlineLevel="0" collapsed="false">
      <c r="A791" s="18" t="s">
        <v>39</v>
      </c>
      <c r="B791" s="19" t="n">
        <v>25</v>
      </c>
      <c r="C791" s="20" t="n">
        <v>45949</v>
      </c>
      <c r="D791" s="18" t="s">
        <v>40</v>
      </c>
      <c r="E791" s="18" t="s">
        <v>177</v>
      </c>
      <c r="F791" s="18" t="s">
        <v>42</v>
      </c>
      <c r="G791" s="21" t="n">
        <v>5838</v>
      </c>
      <c r="H791" s="22" t="n">
        <v>7.14036518741205E-005</v>
      </c>
      <c r="I791" s="22" t="n">
        <v>0.00121652852077763</v>
      </c>
      <c r="J791" s="22" t="n">
        <v>0.00396511519268951</v>
      </c>
      <c r="K791" s="22" t="n">
        <v>0.0026058391799529</v>
      </c>
      <c r="L791" s="22" t="n">
        <v>0.00937031259745379</v>
      </c>
      <c r="M791" s="22" t="n">
        <v>0.00570817565155693</v>
      </c>
      <c r="N791" s="22" t="n">
        <v>1.29649005127093E-005</v>
      </c>
      <c r="O791" s="22" t="n">
        <v>0.00433787196575946</v>
      </c>
      <c r="P791" s="22" t="n">
        <v>8.50020888383308E-005</v>
      </c>
      <c r="Q791" s="22" t="n">
        <v>0.00863038270997778</v>
      </c>
      <c r="R791" s="22" t="n">
        <v>0.000560001528920005</v>
      </c>
      <c r="S791" s="23" t="n">
        <f aca="false">IF(A791="","",SUM(H791:R791))</f>
        <v>0.0365635979883132</v>
      </c>
      <c r="T791" s="17" t="str">
        <f aca="false">IF(A791="","",IF(AND(MIN(H791:R791)&gt;=0,MAX(H791:R791)&lt;=1,S791&lt;=1),"OK","CHECK"))</f>
        <v>OK</v>
      </c>
      <c r="U791" s="17" t="str">
        <f aca="false">IF(A791="","", "LOSS-"&amp;A791&amp;"-L"&amp;TEXT(B791,"00")&amp;"-"&amp;TEXT(C791,"yyyymmdd")&amp;"-"&amp;D791&amp;"-"&amp;E791)</f>
        <v>LOSS-KG01-L25-20251019-AM-ORD-2025-00281</v>
      </c>
      <c r="V791" s="17" t="str">
        <f aca="false">IF(U791="","",IF(COUNTIF($U$5:$U$935,U791)=1,"OK","CHECK"))</f>
        <v>OK</v>
      </c>
      <c r="W791" s="17" t="str">
        <f aca="false">IF(A791="","",IF(AND(T791="OK",V791="OK",G791&gt;=0),"OK","CHECK"))</f>
        <v>OK</v>
      </c>
    </row>
    <row r="792" customFormat="false" ht="18" hidden="false" customHeight="true" outlineLevel="0" collapsed="false">
      <c r="A792" s="18" t="s">
        <v>39</v>
      </c>
      <c r="B792" s="19" t="n">
        <v>25</v>
      </c>
      <c r="C792" s="20" t="n">
        <v>45949</v>
      </c>
      <c r="D792" s="18" t="s">
        <v>43</v>
      </c>
      <c r="E792" s="18" t="s">
        <v>177</v>
      </c>
      <c r="F792" s="18" t="s">
        <v>42</v>
      </c>
      <c r="G792" s="21" t="n">
        <v>8493</v>
      </c>
      <c r="H792" s="22" t="n">
        <v>0.00416780320290932</v>
      </c>
      <c r="I792" s="22" t="n">
        <v>0.00282162172586155</v>
      </c>
      <c r="J792" s="22" t="n">
        <v>0.00321284887690565</v>
      </c>
      <c r="K792" s="22" t="n">
        <v>0.00409611122501027</v>
      </c>
      <c r="L792" s="22" t="n">
        <v>0.0133103509128664</v>
      </c>
      <c r="M792" s="22" t="n">
        <v>0.000491282854990564</v>
      </c>
      <c r="N792" s="22" t="n">
        <v>0.0122846804403845</v>
      </c>
      <c r="O792" s="22" t="n">
        <v>0.00287771815130085</v>
      </c>
      <c r="P792" s="22" t="n">
        <v>0.00203868599948305</v>
      </c>
      <c r="Q792" s="22" t="n">
        <v>8.56756854728524E-005</v>
      </c>
      <c r="R792" s="22" t="n">
        <v>0.00531043445839816</v>
      </c>
      <c r="S792" s="23" t="n">
        <f aca="false">IF(A792="","",SUM(H792:R792))</f>
        <v>0.0506972135335832</v>
      </c>
      <c r="T792" s="17" t="str">
        <f aca="false">IF(A792="","",IF(AND(MIN(H792:R792)&gt;=0,MAX(H792:R792)&lt;=1,S792&lt;=1),"OK","CHECK"))</f>
        <v>OK</v>
      </c>
      <c r="U792" s="17" t="str">
        <f aca="false">IF(A792="","", "LOSS-"&amp;A792&amp;"-L"&amp;TEXT(B792,"00")&amp;"-"&amp;TEXT(C792,"yyyymmdd")&amp;"-"&amp;D792&amp;"-"&amp;E792)</f>
        <v>LOSS-KG01-L25-20251019-PM-ORD-2025-00281</v>
      </c>
      <c r="V792" s="17" t="str">
        <f aca="false">IF(U792="","",IF(COUNTIF($U$5:$U$935,U792)=1,"OK","CHECK"))</f>
        <v>OK</v>
      </c>
      <c r="W792" s="17" t="str">
        <f aca="false">IF(A792="","",IF(AND(T792="OK",V792="OK",G792&gt;=0),"OK","CHECK"))</f>
        <v>OK</v>
      </c>
    </row>
    <row r="793" customFormat="false" ht="18" hidden="false" customHeight="true" outlineLevel="0" collapsed="false">
      <c r="A793" s="18" t="s">
        <v>39</v>
      </c>
      <c r="B793" s="19" t="n">
        <v>25</v>
      </c>
      <c r="C793" s="20" t="n">
        <v>45957</v>
      </c>
      <c r="D793" s="18" t="s">
        <v>40</v>
      </c>
      <c r="E793" s="18" t="s">
        <v>178</v>
      </c>
      <c r="F793" s="18" t="s">
        <v>45</v>
      </c>
      <c r="G793" s="21" t="n">
        <v>3649</v>
      </c>
      <c r="H793" s="22" t="n">
        <v>0.00410674152581013</v>
      </c>
      <c r="I793" s="22" t="n">
        <v>0.00349525924589176</v>
      </c>
      <c r="J793" s="22" t="n">
        <v>0.00168932182912101</v>
      </c>
      <c r="K793" s="22" t="n">
        <v>0.00295678979204486</v>
      </c>
      <c r="L793" s="22" t="n">
        <v>0.00192445429655034</v>
      </c>
      <c r="M793" s="22" t="n">
        <v>0.00233081245403959</v>
      </c>
      <c r="N793" s="22" t="n">
        <v>0.00582816311563111</v>
      </c>
      <c r="O793" s="22" t="n">
        <v>0.002619789606673</v>
      </c>
      <c r="P793" s="22" t="n">
        <v>0.00151162465774741</v>
      </c>
      <c r="Q793" s="22" t="n">
        <v>0.00196179564821197</v>
      </c>
      <c r="R793" s="22" t="n">
        <v>0.00567263422483264</v>
      </c>
      <c r="S793" s="23" t="n">
        <f aca="false">IF(A793="","",SUM(H793:R793))</f>
        <v>0.0340973863965538</v>
      </c>
      <c r="T793" s="17" t="str">
        <f aca="false">IF(A793="","",IF(AND(MIN(H793:R793)&gt;=0,MAX(H793:R793)&lt;=1,S793&lt;=1),"OK","CHECK"))</f>
        <v>OK</v>
      </c>
      <c r="U793" s="17" t="str">
        <f aca="false">IF(A793="","", "LOSS-"&amp;A793&amp;"-L"&amp;TEXT(B793,"00")&amp;"-"&amp;TEXT(C793,"yyyymmdd")&amp;"-"&amp;D793&amp;"-"&amp;E793)</f>
        <v>LOSS-KG01-L25-20251027-AM-ORD-2025-00282</v>
      </c>
      <c r="V793" s="17" t="str">
        <f aca="false">IF(U793="","",IF(COUNTIF($U$5:$U$935,U793)=1,"OK","CHECK"))</f>
        <v>OK</v>
      </c>
      <c r="W793" s="17" t="str">
        <f aca="false">IF(A793="","",IF(AND(T793="OK",V793="OK",G793&gt;=0),"OK","CHECK"))</f>
        <v>OK</v>
      </c>
    </row>
    <row r="794" customFormat="false" ht="18" hidden="false" customHeight="true" outlineLevel="0" collapsed="false">
      <c r="A794" s="18" t="s">
        <v>39</v>
      </c>
      <c r="B794" s="19" t="n">
        <v>25</v>
      </c>
      <c r="C794" s="20" t="n">
        <v>45957</v>
      </c>
      <c r="D794" s="18" t="s">
        <v>43</v>
      </c>
      <c r="E794" s="18" t="s">
        <v>178</v>
      </c>
      <c r="F794" s="18" t="s">
        <v>42</v>
      </c>
      <c r="G794" s="21" t="n">
        <v>10979</v>
      </c>
      <c r="H794" s="22" t="n">
        <v>0.0188601207696018</v>
      </c>
      <c r="I794" s="22" t="n">
        <v>0.000451338785881893</v>
      </c>
      <c r="J794" s="22" t="n">
        <v>0.00717039279130404</v>
      </c>
      <c r="K794" s="22" t="n">
        <v>0.00103571281524721</v>
      </c>
      <c r="L794" s="22" t="n">
        <v>0.0266064723335461</v>
      </c>
      <c r="M794" s="22" t="n">
        <v>3.92389152665043E-005</v>
      </c>
      <c r="N794" s="22" t="n">
        <v>0.01113990764107</v>
      </c>
      <c r="O794" s="22" t="n">
        <v>0.00272642906979705</v>
      </c>
      <c r="P794" s="22" t="n">
        <v>0.00740202065340965</v>
      </c>
      <c r="Q794" s="22" t="n">
        <v>0.00427668842401117</v>
      </c>
      <c r="R794" s="22" t="n">
        <v>0.000933640414254681</v>
      </c>
      <c r="S794" s="23" t="n">
        <f aca="false">IF(A794="","",SUM(H794:R794))</f>
        <v>0.0806419626133901</v>
      </c>
      <c r="T794" s="17" t="str">
        <f aca="false">IF(A794="","",IF(AND(MIN(H794:R794)&gt;=0,MAX(H794:R794)&lt;=1,S794&lt;=1),"OK","CHECK"))</f>
        <v>OK</v>
      </c>
      <c r="U794" s="17" t="str">
        <f aca="false">IF(A794="","", "LOSS-"&amp;A794&amp;"-L"&amp;TEXT(B794,"00")&amp;"-"&amp;TEXT(C794,"yyyymmdd")&amp;"-"&amp;D794&amp;"-"&amp;E794)</f>
        <v>LOSS-KG01-L25-20251027-PM-ORD-2025-00282</v>
      </c>
      <c r="V794" s="17" t="str">
        <f aca="false">IF(U794="","",IF(COUNTIF($U$5:$U$935,U794)=1,"OK","CHECK"))</f>
        <v>OK</v>
      </c>
      <c r="W794" s="17" t="str">
        <f aca="false">IF(A794="","",IF(AND(T794="OK",V794="OK",G794&gt;=0),"OK","CHECK"))</f>
        <v>OK</v>
      </c>
    </row>
    <row r="795" customFormat="false" ht="18" hidden="false" customHeight="true" outlineLevel="0" collapsed="false">
      <c r="A795" s="18" t="s">
        <v>39</v>
      </c>
      <c r="B795" s="19" t="n">
        <v>25</v>
      </c>
      <c r="C795" s="20" t="n">
        <v>45958</v>
      </c>
      <c r="D795" s="18" t="s">
        <v>40</v>
      </c>
      <c r="E795" s="18" t="s">
        <v>178</v>
      </c>
      <c r="F795" s="18" t="s">
        <v>42</v>
      </c>
      <c r="G795" s="21" t="n">
        <v>10782</v>
      </c>
      <c r="H795" s="22" t="n">
        <v>0.00351248148584059</v>
      </c>
      <c r="I795" s="22" t="n">
        <v>0.000506799193499389</v>
      </c>
      <c r="J795" s="22" t="n">
        <v>2.41792156917523E-005</v>
      </c>
      <c r="K795" s="22" t="n">
        <v>0.000651833033186202</v>
      </c>
      <c r="L795" s="22" t="n">
        <v>8.03254235420553E-006</v>
      </c>
      <c r="M795" s="22" t="n">
        <v>0.00719361188290589</v>
      </c>
      <c r="N795" s="22" t="n">
        <v>0.00116692368866027</v>
      </c>
      <c r="O795" s="22" t="n">
        <v>0.00888713756470492</v>
      </c>
      <c r="P795" s="22" t="n">
        <v>0.00130402883743705</v>
      </c>
      <c r="Q795" s="22" t="n">
        <v>0.00344916054021363</v>
      </c>
      <c r="R795" s="22" t="n">
        <v>0.00422409065112786</v>
      </c>
      <c r="S795" s="23" t="n">
        <f aca="false">IF(A795="","",SUM(H795:R795))</f>
        <v>0.0309282786356218</v>
      </c>
      <c r="T795" s="17" t="str">
        <f aca="false">IF(A795="","",IF(AND(MIN(H795:R795)&gt;=0,MAX(H795:R795)&lt;=1,S795&lt;=1),"OK","CHECK"))</f>
        <v>OK</v>
      </c>
      <c r="U795" s="17" t="str">
        <f aca="false">IF(A795="","", "LOSS-"&amp;A795&amp;"-L"&amp;TEXT(B795,"00")&amp;"-"&amp;TEXT(C795,"yyyymmdd")&amp;"-"&amp;D795&amp;"-"&amp;E795)</f>
        <v>LOSS-KG01-L25-20251028-AM-ORD-2025-00282</v>
      </c>
      <c r="V795" s="17" t="str">
        <f aca="false">IF(U795="","",IF(COUNTIF($U$5:$U$935,U795)=1,"OK","CHECK"))</f>
        <v>OK</v>
      </c>
      <c r="W795" s="17" t="str">
        <f aca="false">IF(A795="","",IF(AND(T795="OK",V795="OK",G795&gt;=0),"OK","CHECK"))</f>
        <v>OK</v>
      </c>
    </row>
    <row r="796" customFormat="false" ht="18" hidden="false" customHeight="true" outlineLevel="0" collapsed="false">
      <c r="A796" s="18" t="s">
        <v>39</v>
      </c>
      <c r="B796" s="19" t="n">
        <v>25</v>
      </c>
      <c r="C796" s="20" t="n">
        <v>45958</v>
      </c>
      <c r="D796" s="18" t="s">
        <v>43</v>
      </c>
      <c r="E796" s="18" t="s">
        <v>178</v>
      </c>
      <c r="F796" s="18" t="s">
        <v>42</v>
      </c>
      <c r="G796" s="21" t="n">
        <v>11467</v>
      </c>
      <c r="H796" s="22" t="n">
        <v>0.00755033068389685</v>
      </c>
      <c r="I796" s="22" t="n">
        <v>2.18704400612772E-005</v>
      </c>
      <c r="J796" s="22" t="n">
        <v>0.000363122046208816</v>
      </c>
      <c r="K796" s="22" t="n">
        <v>0.00182184499220036</v>
      </c>
      <c r="L796" s="22" t="n">
        <v>0.00684031642860978</v>
      </c>
      <c r="M796" s="22" t="n">
        <v>0.0141197967978684</v>
      </c>
      <c r="N796" s="22" t="n">
        <v>0.00273590290160192</v>
      </c>
      <c r="O796" s="22" t="n">
        <v>0.00326902124352431</v>
      </c>
      <c r="P796" s="22" t="n">
        <v>0.00147063615944439</v>
      </c>
      <c r="Q796" s="22" t="n">
        <v>0.0203401688597587</v>
      </c>
      <c r="R796" s="22" t="n">
        <v>0.00360258560608998</v>
      </c>
      <c r="S796" s="23" t="n">
        <f aca="false">IF(A796="","",SUM(H796:R796))</f>
        <v>0.0621355961592648</v>
      </c>
      <c r="T796" s="17" t="str">
        <f aca="false">IF(A796="","",IF(AND(MIN(H796:R796)&gt;=0,MAX(H796:R796)&lt;=1,S796&lt;=1),"OK","CHECK"))</f>
        <v>OK</v>
      </c>
      <c r="U796" s="17" t="str">
        <f aca="false">IF(A796="","", "LOSS-"&amp;A796&amp;"-L"&amp;TEXT(B796,"00")&amp;"-"&amp;TEXT(C796,"yyyymmdd")&amp;"-"&amp;D796&amp;"-"&amp;E796)</f>
        <v>LOSS-KG01-L25-20251028-PM-ORD-2025-00282</v>
      </c>
      <c r="V796" s="17" t="str">
        <f aca="false">IF(U796="","",IF(COUNTIF($U$5:$U$935,U796)=1,"OK","CHECK"))</f>
        <v>OK</v>
      </c>
      <c r="W796" s="17" t="str">
        <f aca="false">IF(A796="","",IF(AND(T796="OK",V796="OK",G796&gt;=0),"OK","CHECK"))</f>
        <v>OK</v>
      </c>
    </row>
    <row r="797" customFormat="false" ht="18" hidden="false" customHeight="true" outlineLevel="0" collapsed="false">
      <c r="A797" s="18" t="s">
        <v>39</v>
      </c>
      <c r="B797" s="19" t="n">
        <v>25</v>
      </c>
      <c r="C797" s="20" t="n">
        <v>45959</v>
      </c>
      <c r="D797" s="18" t="s">
        <v>40</v>
      </c>
      <c r="E797" s="18" t="s">
        <v>178</v>
      </c>
      <c r="F797" s="18" t="s">
        <v>42</v>
      </c>
      <c r="G797" s="21" t="n">
        <v>13001</v>
      </c>
      <c r="H797" s="22" t="n">
        <v>0.00611205531228008</v>
      </c>
      <c r="I797" s="22" t="n">
        <v>0.000667105025124072</v>
      </c>
      <c r="J797" s="22" t="n">
        <v>0.00216174952796444</v>
      </c>
      <c r="K797" s="22" t="n">
        <v>0.0115282554208316</v>
      </c>
      <c r="L797" s="22" t="n">
        <v>0.00150101698480584</v>
      </c>
      <c r="M797" s="22" t="n">
        <v>0.00706737721686481</v>
      </c>
      <c r="N797" s="22" t="n">
        <v>0.00697132923678751</v>
      </c>
      <c r="O797" s="22" t="n">
        <v>0.000307290672899885</v>
      </c>
      <c r="P797" s="22" t="n">
        <v>0.0049224054831425</v>
      </c>
      <c r="Q797" s="22" t="n">
        <v>0.00575615015569909</v>
      </c>
      <c r="R797" s="22" t="n">
        <v>0.00125755305956287</v>
      </c>
      <c r="S797" s="23" t="n">
        <f aca="false">IF(A797="","",SUM(H797:R797))</f>
        <v>0.0482522880959627</v>
      </c>
      <c r="T797" s="17" t="str">
        <f aca="false">IF(A797="","",IF(AND(MIN(H797:R797)&gt;=0,MAX(H797:R797)&lt;=1,S797&lt;=1),"OK","CHECK"))</f>
        <v>OK</v>
      </c>
      <c r="U797" s="17" t="str">
        <f aca="false">IF(A797="","", "LOSS-"&amp;A797&amp;"-L"&amp;TEXT(B797,"00")&amp;"-"&amp;TEXT(C797,"yyyymmdd")&amp;"-"&amp;D797&amp;"-"&amp;E797)</f>
        <v>LOSS-KG01-L25-20251029-AM-ORD-2025-00282</v>
      </c>
      <c r="V797" s="17" t="str">
        <f aca="false">IF(U797="","",IF(COUNTIF($U$5:$U$935,U797)=1,"OK","CHECK"))</f>
        <v>OK</v>
      </c>
      <c r="W797" s="17" t="str">
        <f aca="false">IF(A797="","",IF(AND(T797="OK",V797="OK",G797&gt;=0),"OK","CHECK"))</f>
        <v>OK</v>
      </c>
    </row>
    <row r="798" customFormat="false" ht="18" hidden="false" customHeight="true" outlineLevel="0" collapsed="false">
      <c r="A798" s="18" t="s">
        <v>39</v>
      </c>
      <c r="B798" s="19" t="n">
        <v>25</v>
      </c>
      <c r="C798" s="20" t="n">
        <v>45959</v>
      </c>
      <c r="D798" s="18" t="s">
        <v>43</v>
      </c>
      <c r="E798" s="18" t="s">
        <v>178</v>
      </c>
      <c r="F798" s="18" t="s">
        <v>42</v>
      </c>
      <c r="G798" s="21" t="n">
        <v>13586</v>
      </c>
      <c r="H798" s="22" t="n">
        <v>0.0020943716119147</v>
      </c>
      <c r="I798" s="22" t="n">
        <v>0.0102625261592339</v>
      </c>
      <c r="J798" s="22" t="n">
        <v>0.0102606135352758</v>
      </c>
      <c r="K798" s="22" t="n">
        <v>0.000517590831742815</v>
      </c>
      <c r="L798" s="22" t="n">
        <v>0.0126129434034467</v>
      </c>
      <c r="M798" s="22" t="n">
        <v>0.011667381827511</v>
      </c>
      <c r="N798" s="22" t="n">
        <v>0.0119408970611038</v>
      </c>
      <c r="O798" s="22" t="n">
        <v>0.00158225924102374</v>
      </c>
      <c r="P798" s="22" t="n">
        <v>0.000369625531358615</v>
      </c>
      <c r="Q798" s="22" t="n">
        <v>8.66456045517531E-005</v>
      </c>
      <c r="R798" s="22" t="n">
        <v>0.0063319647342132</v>
      </c>
      <c r="S798" s="23" t="n">
        <f aca="false">IF(A798="","",SUM(H798:R798))</f>
        <v>0.067726819541376</v>
      </c>
      <c r="T798" s="17" t="str">
        <f aca="false">IF(A798="","",IF(AND(MIN(H798:R798)&gt;=0,MAX(H798:R798)&lt;=1,S798&lt;=1),"OK","CHECK"))</f>
        <v>OK</v>
      </c>
      <c r="U798" s="17" t="str">
        <f aca="false">IF(A798="","", "LOSS-"&amp;A798&amp;"-L"&amp;TEXT(B798,"00")&amp;"-"&amp;TEXT(C798,"yyyymmdd")&amp;"-"&amp;D798&amp;"-"&amp;E798)</f>
        <v>LOSS-KG01-L25-20251029-PM-ORD-2025-00282</v>
      </c>
      <c r="V798" s="17" t="str">
        <f aca="false">IF(U798="","",IF(COUNTIF($U$5:$U$935,U798)=1,"OK","CHECK"))</f>
        <v>OK</v>
      </c>
      <c r="W798" s="17" t="str">
        <f aca="false">IF(A798="","",IF(AND(T798="OK",V798="OK",G798&gt;=0),"OK","CHECK"))</f>
        <v>OK</v>
      </c>
    </row>
    <row r="799" customFormat="false" ht="18" hidden="false" customHeight="true" outlineLevel="0" collapsed="false">
      <c r="A799" s="18" t="s">
        <v>39</v>
      </c>
      <c r="B799" s="19" t="n">
        <v>25</v>
      </c>
      <c r="C799" s="20" t="n">
        <v>45960</v>
      </c>
      <c r="D799" s="18" t="s">
        <v>40</v>
      </c>
      <c r="E799" s="18" t="s">
        <v>179</v>
      </c>
      <c r="F799" s="18" t="s">
        <v>45</v>
      </c>
      <c r="G799" s="21" t="n">
        <v>8264</v>
      </c>
      <c r="H799" s="22" t="n">
        <v>0.00220567269032139</v>
      </c>
      <c r="I799" s="22" t="n">
        <v>0.00582947520892314</v>
      </c>
      <c r="J799" s="22" t="n">
        <v>0.00234236640204988</v>
      </c>
      <c r="K799" s="22" t="n">
        <v>0.0200833752123965</v>
      </c>
      <c r="L799" s="22" t="n">
        <v>0.00479234572683684</v>
      </c>
      <c r="M799" s="22" t="n">
        <v>0.0171379147124786</v>
      </c>
      <c r="N799" s="22" t="n">
        <v>0.0024187181018139</v>
      </c>
      <c r="O799" s="22" t="n">
        <v>0.000576857463780437</v>
      </c>
      <c r="P799" s="22" t="n">
        <v>0.00679383654233678</v>
      </c>
      <c r="Q799" s="22" t="n">
        <v>0.00334289234280605</v>
      </c>
      <c r="R799" s="22" t="n">
        <v>0.00712070874674874</v>
      </c>
      <c r="S799" s="23" t="n">
        <f aca="false">IF(A799="","",SUM(H799:R799))</f>
        <v>0.0726441631504923</v>
      </c>
      <c r="T799" s="17" t="str">
        <f aca="false">IF(A799="","",IF(AND(MIN(H799:R799)&gt;=0,MAX(H799:R799)&lt;=1,S799&lt;=1),"OK","CHECK"))</f>
        <v>OK</v>
      </c>
      <c r="U799" s="17" t="str">
        <f aca="false">IF(A799="","", "LOSS-"&amp;A799&amp;"-L"&amp;TEXT(B799,"00")&amp;"-"&amp;TEXT(C799,"yyyymmdd")&amp;"-"&amp;D799&amp;"-"&amp;E799)</f>
        <v>LOSS-KG01-L25-20251030-AM-ORD-2025-00283</v>
      </c>
      <c r="V799" s="17" t="str">
        <f aca="false">IF(U799="","",IF(COUNTIF($U$5:$U$935,U799)=1,"OK","CHECK"))</f>
        <v>OK</v>
      </c>
      <c r="W799" s="17" t="str">
        <f aca="false">IF(A799="","",IF(AND(T799="OK",V799="OK",G799&gt;=0),"OK","CHECK"))</f>
        <v>OK</v>
      </c>
    </row>
    <row r="800" customFormat="false" ht="18" hidden="false" customHeight="true" outlineLevel="0" collapsed="false">
      <c r="A800" s="18" t="s">
        <v>39</v>
      </c>
      <c r="B800" s="19" t="n">
        <v>25</v>
      </c>
      <c r="C800" s="20" t="n">
        <v>45960</v>
      </c>
      <c r="D800" s="18" t="s">
        <v>43</v>
      </c>
      <c r="E800" s="18" t="s">
        <v>179</v>
      </c>
      <c r="F800" s="18" t="s">
        <v>42</v>
      </c>
      <c r="G800" s="21" t="n">
        <v>13422</v>
      </c>
      <c r="H800" s="22" t="n">
        <v>0.0174373342121881</v>
      </c>
      <c r="I800" s="22" t="n">
        <v>0.00114253513998695</v>
      </c>
      <c r="J800" s="22" t="n">
        <v>0.00648982852279842</v>
      </c>
      <c r="K800" s="22" t="n">
        <v>0.0141308096354182</v>
      </c>
      <c r="L800" s="22" t="n">
        <v>0.00316687862870488</v>
      </c>
      <c r="M800" s="22" t="n">
        <v>0.0011557655241409</v>
      </c>
      <c r="N800" s="22" t="n">
        <v>0.022731581854233</v>
      </c>
      <c r="O800" s="22" t="n">
        <v>0.00588567429591823</v>
      </c>
      <c r="P800" s="22" t="n">
        <v>0.00725068623846151</v>
      </c>
      <c r="Q800" s="22" t="n">
        <v>0.00353953941534832</v>
      </c>
      <c r="R800" s="22" t="n">
        <v>0.00309459342097255</v>
      </c>
      <c r="S800" s="23" t="n">
        <f aca="false">IF(A800="","",SUM(H800:R800))</f>
        <v>0.0860252268881711</v>
      </c>
      <c r="T800" s="17" t="str">
        <f aca="false">IF(A800="","",IF(AND(MIN(H800:R800)&gt;=0,MAX(H800:R800)&lt;=1,S800&lt;=1),"OK","CHECK"))</f>
        <v>OK</v>
      </c>
      <c r="U800" s="17" t="str">
        <f aca="false">IF(A800="","", "LOSS-"&amp;A800&amp;"-L"&amp;TEXT(B800,"00")&amp;"-"&amp;TEXT(C800,"yyyymmdd")&amp;"-"&amp;D800&amp;"-"&amp;E800)</f>
        <v>LOSS-KG01-L25-20251030-PM-ORD-2025-00283</v>
      </c>
      <c r="V800" s="17" t="str">
        <f aca="false">IF(U800="","",IF(COUNTIF($U$5:$U$935,U800)=1,"OK","CHECK"))</f>
        <v>OK</v>
      </c>
      <c r="W800" s="17" t="str">
        <f aca="false">IF(A800="","",IF(AND(T800="OK",V800="OK",G800&gt;=0),"OK","CHECK"))</f>
        <v>OK</v>
      </c>
    </row>
    <row r="801" customFormat="false" ht="18" hidden="false" customHeight="true" outlineLevel="0" collapsed="false">
      <c r="A801" s="18" t="s">
        <v>39</v>
      </c>
      <c r="B801" s="19" t="n">
        <v>25</v>
      </c>
      <c r="C801" s="20" t="n">
        <v>45961</v>
      </c>
      <c r="D801" s="18" t="s">
        <v>40</v>
      </c>
      <c r="E801" s="18" t="s">
        <v>179</v>
      </c>
      <c r="F801" s="18" t="s">
        <v>42</v>
      </c>
      <c r="G801" s="21" t="n">
        <v>6279</v>
      </c>
      <c r="H801" s="22" t="n">
        <v>0.0105069441082876</v>
      </c>
      <c r="I801" s="22" t="n">
        <v>0.00278151533601127</v>
      </c>
      <c r="J801" s="22" t="n">
        <v>0.000801595921895084</v>
      </c>
      <c r="K801" s="22" t="n">
        <v>0.00173118737309922</v>
      </c>
      <c r="L801" s="22" t="n">
        <v>0.00838502661549943</v>
      </c>
      <c r="M801" s="22" t="n">
        <v>0.0012207874217917</v>
      </c>
      <c r="N801" s="22" t="n">
        <v>0.00431554796259837</v>
      </c>
      <c r="O801" s="22" t="n">
        <v>0.00663088299728686</v>
      </c>
      <c r="P801" s="22" t="n">
        <v>0.00693273027234329</v>
      </c>
      <c r="Q801" s="22" t="n">
        <v>0.000957695149621512</v>
      </c>
      <c r="R801" s="22" t="n">
        <v>0.000794643589943903</v>
      </c>
      <c r="S801" s="23" t="n">
        <f aca="false">IF(A801="","",SUM(H801:R801))</f>
        <v>0.0450585567483782</v>
      </c>
      <c r="T801" s="17" t="str">
        <f aca="false">IF(A801="","",IF(AND(MIN(H801:R801)&gt;=0,MAX(H801:R801)&lt;=1,S801&lt;=1),"OK","CHECK"))</f>
        <v>OK</v>
      </c>
      <c r="U801" s="17" t="str">
        <f aca="false">IF(A801="","", "LOSS-"&amp;A801&amp;"-L"&amp;TEXT(B801,"00")&amp;"-"&amp;TEXT(C801,"yyyymmdd")&amp;"-"&amp;D801&amp;"-"&amp;E801)</f>
        <v>LOSS-KG01-L25-20251031-AM-ORD-2025-00283</v>
      </c>
      <c r="V801" s="17" t="str">
        <f aca="false">IF(U801="","",IF(COUNTIF($U$5:$U$935,U801)=1,"OK","CHECK"))</f>
        <v>OK</v>
      </c>
      <c r="W801" s="17" t="str">
        <f aca="false">IF(A801="","",IF(AND(T801="OK",V801="OK",G801&gt;=0),"OK","CHECK"))</f>
        <v>OK</v>
      </c>
    </row>
    <row r="802" customFormat="false" ht="18" hidden="false" customHeight="true" outlineLevel="0" collapsed="false">
      <c r="A802" s="18" t="s">
        <v>39</v>
      </c>
      <c r="B802" s="19" t="n">
        <v>25</v>
      </c>
      <c r="C802" s="20" t="n">
        <v>45961</v>
      </c>
      <c r="D802" s="18" t="s">
        <v>43</v>
      </c>
      <c r="E802" s="18" t="s">
        <v>180</v>
      </c>
      <c r="F802" s="18" t="s">
        <v>45</v>
      </c>
      <c r="G802" s="21" t="n">
        <v>3278</v>
      </c>
      <c r="H802" s="22" t="n">
        <v>4.1195550976342E-007</v>
      </c>
      <c r="I802" s="22" t="n">
        <v>0.000670125562432236</v>
      </c>
      <c r="J802" s="22" t="n">
        <v>0.00276811755818121</v>
      </c>
      <c r="K802" s="22" t="n">
        <v>0.00549159940611902</v>
      </c>
      <c r="L802" s="22" t="n">
        <v>0.00569512215057846</v>
      </c>
      <c r="M802" s="22" t="n">
        <v>0.00484348342313396</v>
      </c>
      <c r="N802" s="22" t="n">
        <v>3.95714592954124E-005</v>
      </c>
      <c r="O802" s="22" t="n">
        <v>0.00493876366342949</v>
      </c>
      <c r="P802" s="22" t="n">
        <v>0.00595299928248156</v>
      </c>
      <c r="Q802" s="22" t="n">
        <v>0.00255748013519092</v>
      </c>
      <c r="R802" s="22" t="n">
        <v>0.000193619902029832</v>
      </c>
      <c r="S802" s="23" t="n">
        <f aca="false">IF(A802="","",SUM(H802:R802))</f>
        <v>0.0331512944983819</v>
      </c>
      <c r="T802" s="17" t="str">
        <f aca="false">IF(A802="","",IF(AND(MIN(H802:R802)&gt;=0,MAX(H802:R802)&lt;=1,S802&lt;=1),"OK","CHECK"))</f>
        <v>OK</v>
      </c>
      <c r="U802" s="17" t="str">
        <f aca="false">IF(A802="","", "LOSS-"&amp;A802&amp;"-L"&amp;TEXT(B802,"00")&amp;"-"&amp;TEXT(C802,"yyyymmdd")&amp;"-"&amp;D802&amp;"-"&amp;E802)</f>
        <v>LOSS-KG01-L25-20251031-PM-ORD-2025-00284</v>
      </c>
      <c r="V802" s="17" t="str">
        <f aca="false">IF(U802="","",IF(COUNTIF($U$5:$U$935,U802)=1,"OK","CHECK"))</f>
        <v>OK</v>
      </c>
      <c r="W802" s="17" t="str">
        <f aca="false">IF(A802="","",IF(AND(T802="OK",V802="OK",G802&gt;=0),"OK","CHECK"))</f>
        <v>OK</v>
      </c>
    </row>
    <row r="803" customFormat="false" ht="18" hidden="false" customHeight="true" outlineLevel="0" collapsed="false">
      <c r="A803" s="18" t="s">
        <v>39</v>
      </c>
      <c r="B803" s="19" t="n">
        <v>25</v>
      </c>
      <c r="C803" s="20" t="n">
        <v>45962</v>
      </c>
      <c r="D803" s="18" t="s">
        <v>40</v>
      </c>
      <c r="E803" s="18" t="s">
        <v>180</v>
      </c>
      <c r="F803" s="18" t="s">
        <v>42</v>
      </c>
      <c r="G803" s="21" t="n">
        <v>3734</v>
      </c>
      <c r="H803" s="22" t="n">
        <v>0.000673991212737468</v>
      </c>
      <c r="I803" s="22" t="n">
        <v>0.0117928483643316</v>
      </c>
      <c r="J803" s="22" t="n">
        <v>0.00189144896163505</v>
      </c>
      <c r="K803" s="22" t="n">
        <v>0.000946658695564176</v>
      </c>
      <c r="L803" s="22" t="n">
        <v>0.0106990175723384</v>
      </c>
      <c r="M803" s="22" t="n">
        <v>0.000125719534518078</v>
      </c>
      <c r="N803" s="22" t="n">
        <v>0.00225444423671688</v>
      </c>
      <c r="O803" s="22" t="n">
        <v>0.00264523863678676</v>
      </c>
      <c r="P803" s="22" t="n">
        <v>0.000132224442983445</v>
      </c>
      <c r="Q803" s="22" t="n">
        <v>0.00146542337451957</v>
      </c>
      <c r="R803" s="22" t="n">
        <v>0.000196473012875667</v>
      </c>
      <c r="S803" s="23" t="n">
        <f aca="false">IF(A803="","",SUM(H803:R803))</f>
        <v>0.0328234880450071</v>
      </c>
      <c r="T803" s="17" t="str">
        <f aca="false">IF(A803="","",IF(AND(MIN(H803:R803)&gt;=0,MAX(H803:R803)&lt;=1,S803&lt;=1),"OK","CHECK"))</f>
        <v>OK</v>
      </c>
      <c r="U803" s="17" t="str">
        <f aca="false">IF(A803="","", "LOSS-"&amp;A803&amp;"-L"&amp;TEXT(B803,"00")&amp;"-"&amp;TEXT(C803,"yyyymmdd")&amp;"-"&amp;D803&amp;"-"&amp;E803)</f>
        <v>LOSS-KG01-L25-20251101-AM-ORD-2025-00284</v>
      </c>
      <c r="V803" s="17" t="str">
        <f aca="false">IF(U803="","",IF(COUNTIF($U$5:$U$935,U803)=1,"OK","CHECK"))</f>
        <v>OK</v>
      </c>
      <c r="W803" s="17" t="str">
        <f aca="false">IF(A803="","",IF(AND(T803="OK",V803="OK",G803&gt;=0),"OK","CHECK"))</f>
        <v>OK</v>
      </c>
    </row>
    <row r="804" customFormat="false" ht="18" hidden="false" customHeight="true" outlineLevel="0" collapsed="false">
      <c r="A804" s="18" t="s">
        <v>39</v>
      </c>
      <c r="B804" s="19" t="n">
        <v>25</v>
      </c>
      <c r="C804" s="20" t="n">
        <v>45962</v>
      </c>
      <c r="D804" s="18" t="s">
        <v>43</v>
      </c>
      <c r="E804" s="18" t="s">
        <v>180</v>
      </c>
      <c r="F804" s="18" t="s">
        <v>42</v>
      </c>
      <c r="G804" s="21" t="n">
        <v>9544</v>
      </c>
      <c r="H804" s="22" t="n">
        <v>0.0124501181423229</v>
      </c>
      <c r="I804" s="22" t="n">
        <v>0.000743897152669283</v>
      </c>
      <c r="J804" s="22" t="n">
        <v>0.000852773207381606</v>
      </c>
      <c r="K804" s="22" t="n">
        <v>0.000547243381324363</v>
      </c>
      <c r="L804" s="22" t="n">
        <v>0.006973437160833</v>
      </c>
      <c r="M804" s="22" t="n">
        <v>0.000836096831651613</v>
      </c>
      <c r="N804" s="22" t="n">
        <v>0.00319862564934864</v>
      </c>
      <c r="O804" s="22" t="n">
        <v>0.00962957294916994</v>
      </c>
      <c r="P804" s="22" t="n">
        <v>0.0164266722401312</v>
      </c>
      <c r="Q804" s="22" t="n">
        <v>0.000172366921493319</v>
      </c>
      <c r="R804" s="22" t="n">
        <v>0.0115988083690441</v>
      </c>
      <c r="S804" s="23" t="n">
        <f aca="false">IF(A804="","",SUM(H804:R804))</f>
        <v>0.06342961200537</v>
      </c>
      <c r="T804" s="17" t="str">
        <f aca="false">IF(A804="","",IF(AND(MIN(H804:R804)&gt;=0,MAX(H804:R804)&lt;=1,S804&lt;=1),"OK","CHECK"))</f>
        <v>OK</v>
      </c>
      <c r="U804" s="17" t="str">
        <f aca="false">IF(A804="","", "LOSS-"&amp;A804&amp;"-L"&amp;TEXT(B804,"00")&amp;"-"&amp;TEXT(C804,"yyyymmdd")&amp;"-"&amp;D804&amp;"-"&amp;E804)</f>
        <v>LOSS-KG01-L25-20251101-PM-ORD-2025-00284</v>
      </c>
      <c r="V804" s="17" t="str">
        <f aca="false">IF(U804="","",IF(COUNTIF($U$5:$U$935,U804)=1,"OK","CHECK"))</f>
        <v>OK</v>
      </c>
      <c r="W804" s="17" t="str">
        <f aca="false">IF(A804="","",IF(AND(T804="OK",V804="OK",G804&gt;=0),"OK","CHECK"))</f>
        <v>OK</v>
      </c>
    </row>
    <row r="805" customFormat="false" ht="18" hidden="false" customHeight="true" outlineLevel="0" collapsed="false">
      <c r="A805" s="18" t="s">
        <v>39</v>
      </c>
      <c r="B805" s="19" t="n">
        <v>25</v>
      </c>
      <c r="C805" s="20" t="n">
        <v>45963</v>
      </c>
      <c r="D805" s="18" t="s">
        <v>40</v>
      </c>
      <c r="E805" s="18" t="s">
        <v>180</v>
      </c>
      <c r="F805" s="18" t="s">
        <v>42</v>
      </c>
      <c r="G805" s="21" t="n">
        <v>6531</v>
      </c>
      <c r="H805" s="22" t="n">
        <v>0.00210159211797899</v>
      </c>
      <c r="I805" s="22" t="n">
        <v>0.00105753320706664</v>
      </c>
      <c r="J805" s="22" t="n">
        <v>2.70778610628039E-006</v>
      </c>
      <c r="K805" s="22" t="n">
        <v>0.0040472593680018</v>
      </c>
      <c r="L805" s="22" t="n">
        <v>0.0095332000867611</v>
      </c>
      <c r="M805" s="22" t="n">
        <v>0.000235322652275957</v>
      </c>
      <c r="N805" s="22" t="n">
        <v>0.00784487682529598</v>
      </c>
      <c r="O805" s="22" t="n">
        <v>0.00676178575246541</v>
      </c>
      <c r="P805" s="22" t="n">
        <v>0.000843994584470631</v>
      </c>
      <c r="Q805" s="22" t="n">
        <v>0.0062231240004115</v>
      </c>
      <c r="R805" s="22" t="n">
        <v>7.97450936889198E-005</v>
      </c>
      <c r="S805" s="23" t="n">
        <f aca="false">IF(A805="","",SUM(H805:R805))</f>
        <v>0.0387311414745232</v>
      </c>
      <c r="T805" s="17" t="str">
        <f aca="false">IF(A805="","",IF(AND(MIN(H805:R805)&gt;=0,MAX(H805:R805)&lt;=1,S805&lt;=1),"OK","CHECK"))</f>
        <v>OK</v>
      </c>
      <c r="U805" s="17" t="str">
        <f aca="false">IF(A805="","", "LOSS-"&amp;A805&amp;"-L"&amp;TEXT(B805,"00")&amp;"-"&amp;TEXT(C805,"yyyymmdd")&amp;"-"&amp;D805&amp;"-"&amp;E805)</f>
        <v>LOSS-KG01-L25-20251102-AM-ORD-2025-00284</v>
      </c>
      <c r="V805" s="17" t="str">
        <f aca="false">IF(U805="","",IF(COUNTIF($U$5:$U$935,U805)=1,"OK","CHECK"))</f>
        <v>OK</v>
      </c>
      <c r="W805" s="17" t="str">
        <f aca="false">IF(A805="","",IF(AND(T805="OK",V805="OK",G805&gt;=0),"OK","CHECK"))</f>
        <v>OK</v>
      </c>
    </row>
    <row r="806" customFormat="false" ht="18" hidden="false" customHeight="true" outlineLevel="0" collapsed="false">
      <c r="A806" s="18" t="s">
        <v>39</v>
      </c>
      <c r="B806" s="19" t="n">
        <v>25</v>
      </c>
      <c r="C806" s="20" t="n">
        <v>45963</v>
      </c>
      <c r="D806" s="18" t="s">
        <v>43</v>
      </c>
      <c r="E806" s="18" t="s">
        <v>180</v>
      </c>
      <c r="F806" s="18" t="s">
        <v>42</v>
      </c>
      <c r="G806" s="21" t="n">
        <v>13922</v>
      </c>
      <c r="H806" s="22" t="n">
        <v>0.0112611194517888</v>
      </c>
      <c r="I806" s="22" t="n">
        <v>0.000587521015886456</v>
      </c>
      <c r="J806" s="22" t="n">
        <v>0.00273986325643641</v>
      </c>
      <c r="K806" s="22" t="n">
        <v>0.00523292171517554</v>
      </c>
      <c r="L806" s="22" t="n">
        <v>0.0185948164110272</v>
      </c>
      <c r="M806" s="22" t="n">
        <v>0.00905318889345939</v>
      </c>
      <c r="N806" s="22" t="n">
        <v>0.00512489123782987</v>
      </c>
      <c r="O806" s="22" t="n">
        <v>0.00589063236528788</v>
      </c>
      <c r="P806" s="22" t="n">
        <v>0.00684066709984004</v>
      </c>
      <c r="Q806" s="22" t="n">
        <v>0.0130246554590762</v>
      </c>
      <c r="R806" s="22" t="n">
        <v>0.0107288590483283</v>
      </c>
      <c r="S806" s="23" t="n">
        <f aca="false">IF(A806="","",SUM(H806:R806))</f>
        <v>0.0890791359541361</v>
      </c>
      <c r="T806" s="17" t="str">
        <f aca="false">IF(A806="","",IF(AND(MIN(H806:R806)&gt;=0,MAX(H806:R806)&lt;=1,S806&lt;=1),"OK","CHECK"))</f>
        <v>OK</v>
      </c>
      <c r="U806" s="17" t="str">
        <f aca="false">IF(A806="","", "LOSS-"&amp;A806&amp;"-L"&amp;TEXT(B806,"00")&amp;"-"&amp;TEXT(C806,"yyyymmdd")&amp;"-"&amp;D806&amp;"-"&amp;E806)</f>
        <v>LOSS-KG01-L25-20251102-PM-ORD-2025-00284</v>
      </c>
      <c r="V806" s="17" t="str">
        <f aca="false">IF(U806="","",IF(COUNTIF($U$5:$U$935,U806)=1,"OK","CHECK"))</f>
        <v>OK</v>
      </c>
      <c r="W806" s="17" t="str">
        <f aca="false">IF(A806="","",IF(AND(T806="OK",V806="OK",G806&gt;=0),"OK","CHECK"))</f>
        <v>OK</v>
      </c>
    </row>
    <row r="807" customFormat="false" ht="18" hidden="false" customHeight="true" outlineLevel="0" collapsed="false">
      <c r="A807" s="18" t="s">
        <v>39</v>
      </c>
      <c r="B807" s="19" t="n">
        <v>25</v>
      </c>
      <c r="C807" s="20" t="n">
        <v>45964</v>
      </c>
      <c r="D807" s="18" t="s">
        <v>40</v>
      </c>
      <c r="E807" s="18" t="s">
        <v>180</v>
      </c>
      <c r="F807" s="18" t="s">
        <v>42</v>
      </c>
      <c r="G807" s="21" t="n">
        <v>5300</v>
      </c>
      <c r="H807" s="22" t="n">
        <v>2.96579608610602E-007</v>
      </c>
      <c r="I807" s="22" t="n">
        <v>0.000854164568835647</v>
      </c>
      <c r="J807" s="22" t="n">
        <v>0.000362019417205731</v>
      </c>
      <c r="K807" s="22" t="n">
        <v>0.0017334757232103</v>
      </c>
      <c r="L807" s="22" t="n">
        <v>0.00203950102646121</v>
      </c>
      <c r="M807" s="22" t="n">
        <v>0.00385597492277449</v>
      </c>
      <c r="N807" s="22" t="n">
        <v>0.00106030238411653</v>
      </c>
      <c r="O807" s="22" t="n">
        <v>0.00519421835038357</v>
      </c>
      <c r="P807" s="22" t="n">
        <v>0.00573250229204039</v>
      </c>
      <c r="Q807" s="22" t="n">
        <v>0.00203658999634272</v>
      </c>
      <c r="R807" s="22" t="n">
        <v>0.00546259530137713</v>
      </c>
      <c r="S807" s="23" t="n">
        <f aca="false">IF(A807="","",SUM(H807:R807))</f>
        <v>0.0283316405623563</v>
      </c>
      <c r="T807" s="17" t="str">
        <f aca="false">IF(A807="","",IF(AND(MIN(H807:R807)&gt;=0,MAX(H807:R807)&lt;=1,S807&lt;=1),"OK","CHECK"))</f>
        <v>OK</v>
      </c>
      <c r="U807" s="17" t="str">
        <f aca="false">IF(A807="","", "LOSS-"&amp;A807&amp;"-L"&amp;TEXT(B807,"00")&amp;"-"&amp;TEXT(C807,"yyyymmdd")&amp;"-"&amp;D807&amp;"-"&amp;E807)</f>
        <v>LOSS-KG01-L25-20251103-AM-ORD-2025-00284</v>
      </c>
      <c r="V807" s="17" t="str">
        <f aca="false">IF(U807="","",IF(COUNTIF($U$5:$U$935,U807)=1,"OK","CHECK"))</f>
        <v>OK</v>
      </c>
      <c r="W807" s="17" t="str">
        <f aca="false">IF(A807="","",IF(AND(T807="OK",V807="OK",G807&gt;=0),"OK","CHECK"))</f>
        <v>OK</v>
      </c>
    </row>
    <row r="808" customFormat="false" ht="18" hidden="false" customHeight="true" outlineLevel="0" collapsed="false">
      <c r="A808" s="18" t="s">
        <v>39</v>
      </c>
      <c r="B808" s="19" t="n">
        <v>25</v>
      </c>
      <c r="C808" s="20" t="n">
        <v>45964</v>
      </c>
      <c r="D808" s="18" t="s">
        <v>43</v>
      </c>
      <c r="E808" s="18" t="s">
        <v>180</v>
      </c>
      <c r="F808" s="18" t="s">
        <v>42</v>
      </c>
      <c r="G808" s="21" t="n">
        <v>20075</v>
      </c>
      <c r="H808" s="22" t="n">
        <v>0.00956865314974575</v>
      </c>
      <c r="I808" s="22" t="n">
        <v>0.00275197971425597</v>
      </c>
      <c r="J808" s="22" t="n">
        <v>0.0145140400592498</v>
      </c>
      <c r="K808" s="22" t="n">
        <v>0.0118671696591067</v>
      </c>
      <c r="L808" s="22" t="n">
        <v>0.00541335737273065</v>
      </c>
      <c r="M808" s="22" t="n">
        <v>0.00274443917794202</v>
      </c>
      <c r="N808" s="22" t="n">
        <v>0.00904402510428982</v>
      </c>
      <c r="O808" s="22" t="n">
        <v>0.00461663400675253</v>
      </c>
      <c r="P808" s="22" t="n">
        <v>0.00124212993184724</v>
      </c>
      <c r="Q808" s="22" t="n">
        <v>0.0118275993421115</v>
      </c>
      <c r="R808" s="22" t="n">
        <v>0.000303683326583302</v>
      </c>
      <c r="S808" s="23" t="n">
        <f aca="false">IF(A808="","",SUM(H808:R808))</f>
        <v>0.0738937108446153</v>
      </c>
      <c r="T808" s="17" t="str">
        <f aca="false">IF(A808="","",IF(AND(MIN(H808:R808)&gt;=0,MAX(H808:R808)&lt;=1,S808&lt;=1),"OK","CHECK"))</f>
        <v>OK</v>
      </c>
      <c r="U808" s="17" t="str">
        <f aca="false">IF(A808="","", "LOSS-"&amp;A808&amp;"-L"&amp;TEXT(B808,"00")&amp;"-"&amp;TEXT(C808,"yyyymmdd")&amp;"-"&amp;D808&amp;"-"&amp;E808)</f>
        <v>LOSS-KG01-L25-20251103-PM-ORD-2025-00284</v>
      </c>
      <c r="V808" s="17" t="str">
        <f aca="false">IF(U808="","",IF(COUNTIF($U$5:$U$935,U808)=1,"OK","CHECK"))</f>
        <v>OK</v>
      </c>
      <c r="W808" s="17" t="str">
        <f aca="false">IF(A808="","",IF(AND(T808="OK",V808="OK",G808&gt;=0),"OK","CHECK"))</f>
        <v>OK</v>
      </c>
    </row>
    <row r="809" customFormat="false" ht="18" hidden="false" customHeight="true" outlineLevel="0" collapsed="false">
      <c r="A809" s="18" t="s">
        <v>39</v>
      </c>
      <c r="B809" s="19" t="n">
        <v>25</v>
      </c>
      <c r="C809" s="20" t="n">
        <v>45965</v>
      </c>
      <c r="D809" s="18" t="s">
        <v>40</v>
      </c>
      <c r="E809" s="18" t="s">
        <v>180</v>
      </c>
      <c r="F809" s="18" t="s">
        <v>42</v>
      </c>
      <c r="G809" s="21" t="n">
        <v>11009</v>
      </c>
      <c r="H809" s="22" t="n">
        <v>0.00629471357505015</v>
      </c>
      <c r="I809" s="22" t="n">
        <v>0.00328652292551583</v>
      </c>
      <c r="J809" s="22" t="n">
        <v>0.0122035042999737</v>
      </c>
      <c r="K809" s="22" t="n">
        <v>0.0100718839489494</v>
      </c>
      <c r="L809" s="22" t="n">
        <v>0.000987094141716934</v>
      </c>
      <c r="M809" s="22" t="n">
        <v>0.00504559726650217</v>
      </c>
      <c r="N809" s="22" t="n">
        <v>0.0067813554014011</v>
      </c>
      <c r="O809" s="22" t="n">
        <v>0.00224798600170045</v>
      </c>
      <c r="P809" s="22" t="n">
        <v>0.00167013444455645</v>
      </c>
      <c r="Q809" s="22" t="n">
        <v>0.00948577892394288</v>
      </c>
      <c r="R809" s="22" t="n">
        <v>0.00783179880249172</v>
      </c>
      <c r="S809" s="23" t="n">
        <f aca="false">IF(A809="","",SUM(H809:R809))</f>
        <v>0.0659063697318008</v>
      </c>
      <c r="T809" s="17" t="str">
        <f aca="false">IF(A809="","",IF(AND(MIN(H809:R809)&gt;=0,MAX(H809:R809)&lt;=1,S809&lt;=1),"OK","CHECK"))</f>
        <v>OK</v>
      </c>
      <c r="U809" s="17" t="str">
        <f aca="false">IF(A809="","", "LOSS-"&amp;A809&amp;"-L"&amp;TEXT(B809,"00")&amp;"-"&amp;TEXT(C809,"yyyymmdd")&amp;"-"&amp;D809&amp;"-"&amp;E809)</f>
        <v>LOSS-KG01-L25-20251104-AM-ORD-2025-00284</v>
      </c>
      <c r="V809" s="17" t="str">
        <f aca="false">IF(U809="","",IF(COUNTIF($U$5:$U$935,U809)=1,"OK","CHECK"))</f>
        <v>OK</v>
      </c>
      <c r="W809" s="17" t="str">
        <f aca="false">IF(A809="","",IF(AND(T809="OK",V809="OK",G809&gt;=0),"OK","CHECK"))</f>
        <v>OK</v>
      </c>
    </row>
    <row r="810" customFormat="false" ht="18" hidden="false" customHeight="true" outlineLevel="0" collapsed="false">
      <c r="A810" s="18" t="s">
        <v>39</v>
      </c>
      <c r="B810" s="19" t="n">
        <v>25</v>
      </c>
      <c r="C810" s="20" t="n">
        <v>45965</v>
      </c>
      <c r="D810" s="18" t="s">
        <v>43</v>
      </c>
      <c r="E810" s="18" t="s">
        <v>180</v>
      </c>
      <c r="F810" s="18" t="s">
        <v>42</v>
      </c>
      <c r="G810" s="21" t="n">
        <v>5157</v>
      </c>
      <c r="H810" s="22" t="n">
        <v>0.00517161607056155</v>
      </c>
      <c r="I810" s="22" t="n">
        <v>0.000605790692563827</v>
      </c>
      <c r="J810" s="22" t="n">
        <v>0.0018403507077831</v>
      </c>
      <c r="K810" s="22" t="n">
        <v>0.000677224740086779</v>
      </c>
      <c r="L810" s="22" t="n">
        <v>0.00275623949310277</v>
      </c>
      <c r="M810" s="22" t="n">
        <v>0.000102809119597958</v>
      </c>
      <c r="N810" s="22" t="n">
        <v>5.02763630037658E-005</v>
      </c>
      <c r="O810" s="22" t="n">
        <v>0.00350858161266269</v>
      </c>
      <c r="P810" s="22" t="n">
        <v>0.00709009566242266</v>
      </c>
      <c r="Q810" s="22" t="n">
        <v>4.7093518563007E-006</v>
      </c>
      <c r="R810" s="22" t="n">
        <v>0.00635047680619873</v>
      </c>
      <c r="S810" s="23" t="n">
        <f aca="false">IF(A810="","",SUM(H810:R810))</f>
        <v>0.0281581706198401</v>
      </c>
      <c r="T810" s="17" t="str">
        <f aca="false">IF(A810="","",IF(AND(MIN(H810:R810)&gt;=0,MAX(H810:R810)&lt;=1,S810&lt;=1),"OK","CHECK"))</f>
        <v>OK</v>
      </c>
      <c r="U810" s="17" t="str">
        <f aca="false">IF(A810="","", "LOSS-"&amp;A810&amp;"-L"&amp;TEXT(B810,"00")&amp;"-"&amp;TEXT(C810,"yyyymmdd")&amp;"-"&amp;D810&amp;"-"&amp;E810)</f>
        <v>LOSS-KG01-L25-20251104-PM-ORD-2025-00284</v>
      </c>
      <c r="V810" s="17" t="str">
        <f aca="false">IF(U810="","",IF(COUNTIF($U$5:$U$935,U810)=1,"OK","CHECK"))</f>
        <v>OK</v>
      </c>
      <c r="W810" s="17" t="str">
        <f aca="false">IF(A810="","",IF(AND(T810="OK",V810="OK",G810&gt;=0),"OK","CHECK"))</f>
        <v>OK</v>
      </c>
    </row>
    <row r="811" customFormat="false" ht="18" hidden="false" customHeight="true" outlineLevel="0" collapsed="false">
      <c r="A811" s="18" t="s">
        <v>39</v>
      </c>
      <c r="B811" s="19" t="n">
        <v>25</v>
      </c>
      <c r="C811" s="20" t="n">
        <v>45966</v>
      </c>
      <c r="D811" s="18" t="s">
        <v>40</v>
      </c>
      <c r="E811" s="18" t="s">
        <v>181</v>
      </c>
      <c r="F811" s="18" t="s">
        <v>45</v>
      </c>
      <c r="G811" s="21" t="n">
        <v>3795</v>
      </c>
      <c r="H811" s="22" t="n">
        <v>8.18234882534495E-007</v>
      </c>
      <c r="I811" s="22" t="n">
        <v>3.24421202073519E-005</v>
      </c>
      <c r="J811" s="22" t="n">
        <v>0.000508160744543056</v>
      </c>
      <c r="K811" s="22" t="n">
        <v>0.0019674156330073</v>
      </c>
      <c r="L811" s="22" t="n">
        <v>0.00853678987897859</v>
      </c>
      <c r="M811" s="22" t="n">
        <v>0.00718380884415869</v>
      </c>
      <c r="N811" s="22" t="n">
        <v>0.0161235572190223</v>
      </c>
      <c r="O811" s="22" t="n">
        <v>0.000110589196672048</v>
      </c>
      <c r="P811" s="22" t="n">
        <v>0.00116799663240616</v>
      </c>
      <c r="Q811" s="22" t="n">
        <v>0.00863014847681867</v>
      </c>
      <c r="R811" s="22" t="n">
        <v>0.0142507155861416</v>
      </c>
      <c r="S811" s="23" t="n">
        <f aca="false">IF(A811="","",SUM(H811:R811))</f>
        <v>0.0585124425668383</v>
      </c>
      <c r="T811" s="17" t="str">
        <f aca="false">IF(A811="","",IF(AND(MIN(H811:R811)&gt;=0,MAX(H811:R811)&lt;=1,S811&lt;=1),"OK","CHECK"))</f>
        <v>OK</v>
      </c>
      <c r="U811" s="17" t="str">
        <f aca="false">IF(A811="","", "LOSS-"&amp;A811&amp;"-L"&amp;TEXT(B811,"00")&amp;"-"&amp;TEXT(C811,"yyyymmdd")&amp;"-"&amp;D811&amp;"-"&amp;E811)</f>
        <v>LOSS-KG01-L25-20251105-AM-ORD-2025-00285</v>
      </c>
      <c r="V811" s="17" t="str">
        <f aca="false">IF(U811="","",IF(COUNTIF($U$5:$U$935,U811)=1,"OK","CHECK"))</f>
        <v>OK</v>
      </c>
      <c r="W811" s="17" t="str">
        <f aca="false">IF(A811="","",IF(AND(T811="OK",V811="OK",G811&gt;=0),"OK","CHECK"))</f>
        <v>OK</v>
      </c>
    </row>
    <row r="812" customFormat="false" ht="18" hidden="false" customHeight="true" outlineLevel="0" collapsed="false">
      <c r="A812" s="18" t="s">
        <v>39</v>
      </c>
      <c r="B812" s="19" t="n">
        <v>25</v>
      </c>
      <c r="C812" s="20" t="n">
        <v>45966</v>
      </c>
      <c r="D812" s="18" t="s">
        <v>43</v>
      </c>
      <c r="E812" s="18" t="s">
        <v>181</v>
      </c>
      <c r="F812" s="18" t="s">
        <v>42</v>
      </c>
      <c r="G812" s="21" t="n">
        <v>9512</v>
      </c>
      <c r="H812" s="22" t="n">
        <v>0.0169832843219607</v>
      </c>
      <c r="I812" s="22" t="n">
        <v>0.000231535457218855</v>
      </c>
      <c r="J812" s="22" t="n">
        <v>0.00183686573007667</v>
      </c>
      <c r="K812" s="22" t="n">
        <v>0.00174120392737789</v>
      </c>
      <c r="L812" s="22" t="n">
        <v>0.000750344411931879</v>
      </c>
      <c r="M812" s="22" t="n">
        <v>0.00181437163258763</v>
      </c>
      <c r="N812" s="22" t="n">
        <v>0.00399152197416675</v>
      </c>
      <c r="O812" s="22" t="n">
        <v>0.0047063620381935</v>
      </c>
      <c r="P812" s="22" t="n">
        <v>0.00693552868170697</v>
      </c>
      <c r="Q812" s="22" t="n">
        <v>0.00313235695698515</v>
      </c>
      <c r="R812" s="22" t="n">
        <v>0.00941877108449647</v>
      </c>
      <c r="S812" s="23" t="n">
        <f aca="false">IF(A812="","",SUM(H812:R812))</f>
        <v>0.0515421462167025</v>
      </c>
      <c r="T812" s="17" t="str">
        <f aca="false">IF(A812="","",IF(AND(MIN(H812:R812)&gt;=0,MAX(H812:R812)&lt;=1,S812&lt;=1),"OK","CHECK"))</f>
        <v>OK</v>
      </c>
      <c r="U812" s="17" t="str">
        <f aca="false">IF(A812="","", "LOSS-"&amp;A812&amp;"-L"&amp;TEXT(B812,"00")&amp;"-"&amp;TEXT(C812,"yyyymmdd")&amp;"-"&amp;D812&amp;"-"&amp;E812)</f>
        <v>LOSS-KG01-L25-20251105-PM-ORD-2025-00285</v>
      </c>
      <c r="V812" s="17" t="str">
        <f aca="false">IF(U812="","",IF(COUNTIF($U$5:$U$935,U812)=1,"OK","CHECK"))</f>
        <v>OK</v>
      </c>
      <c r="W812" s="17" t="str">
        <f aca="false">IF(A812="","",IF(AND(T812="OK",V812="OK",G812&gt;=0),"OK","CHECK"))</f>
        <v>OK</v>
      </c>
    </row>
    <row r="813" customFormat="false" ht="18" hidden="false" customHeight="true" outlineLevel="0" collapsed="false">
      <c r="A813" s="18" t="s">
        <v>39</v>
      </c>
      <c r="B813" s="19" t="n">
        <v>25</v>
      </c>
      <c r="C813" s="20" t="n">
        <v>45967</v>
      </c>
      <c r="D813" s="18" t="s">
        <v>40</v>
      </c>
      <c r="E813" s="18" t="s">
        <v>181</v>
      </c>
      <c r="F813" s="18" t="s">
        <v>42</v>
      </c>
      <c r="G813" s="21" t="n">
        <v>12658</v>
      </c>
      <c r="H813" s="22" t="n">
        <v>0.006099766548887</v>
      </c>
      <c r="I813" s="22" t="n">
        <v>0.00105708691886886</v>
      </c>
      <c r="J813" s="22" t="n">
        <v>0.00106046660446882</v>
      </c>
      <c r="K813" s="22" t="n">
        <v>0.00354354963204759</v>
      </c>
      <c r="L813" s="22" t="n">
        <v>0.00499105683685555</v>
      </c>
      <c r="M813" s="22" t="n">
        <v>0.00195223949723067</v>
      </c>
      <c r="N813" s="22" t="n">
        <v>0.00504059062724994</v>
      </c>
      <c r="O813" s="22" t="n">
        <v>0.00673707174855895</v>
      </c>
      <c r="P813" s="22" t="n">
        <v>0.000272215200163698</v>
      </c>
      <c r="Q813" s="22" t="n">
        <v>0.0121643642759363</v>
      </c>
      <c r="R813" s="22" t="n">
        <v>0.00625033045653185</v>
      </c>
      <c r="S813" s="23" t="n">
        <f aca="false">IF(A813="","",SUM(H813:R813))</f>
        <v>0.0491687383467992</v>
      </c>
      <c r="T813" s="17" t="str">
        <f aca="false">IF(A813="","",IF(AND(MIN(H813:R813)&gt;=0,MAX(H813:R813)&lt;=1,S813&lt;=1),"OK","CHECK"))</f>
        <v>OK</v>
      </c>
      <c r="U813" s="17" t="str">
        <f aca="false">IF(A813="","", "LOSS-"&amp;A813&amp;"-L"&amp;TEXT(B813,"00")&amp;"-"&amp;TEXT(C813,"yyyymmdd")&amp;"-"&amp;D813&amp;"-"&amp;E813)</f>
        <v>LOSS-KG01-L25-20251106-AM-ORD-2025-00285</v>
      </c>
      <c r="V813" s="17" t="str">
        <f aca="false">IF(U813="","",IF(COUNTIF($U$5:$U$935,U813)=1,"OK","CHECK"))</f>
        <v>OK</v>
      </c>
      <c r="W813" s="17" t="str">
        <f aca="false">IF(A813="","",IF(AND(T813="OK",V813="OK",G813&gt;=0),"OK","CHECK"))</f>
        <v>OK</v>
      </c>
    </row>
    <row r="814" customFormat="false" ht="18" hidden="false" customHeight="true" outlineLevel="0" collapsed="false">
      <c r="A814" s="18" t="s">
        <v>39</v>
      </c>
      <c r="B814" s="19" t="n">
        <v>25</v>
      </c>
      <c r="C814" s="20" t="n">
        <v>45967</v>
      </c>
      <c r="D814" s="18" t="s">
        <v>43</v>
      </c>
      <c r="E814" s="18" t="s">
        <v>181</v>
      </c>
      <c r="F814" s="18" t="s">
        <v>42</v>
      </c>
      <c r="G814" s="21" t="n">
        <v>5764</v>
      </c>
      <c r="H814" s="22" t="n">
        <v>0.00605529887735998</v>
      </c>
      <c r="I814" s="22" t="n">
        <v>0.00123539905517566</v>
      </c>
      <c r="J814" s="22" t="n">
        <v>0.00557661409720238</v>
      </c>
      <c r="K814" s="22" t="n">
        <v>0.00429479321097296</v>
      </c>
      <c r="L814" s="22" t="n">
        <v>0.00357167166387841</v>
      </c>
      <c r="M814" s="22" t="n">
        <v>0.00059119269368461</v>
      </c>
      <c r="N814" s="22" t="n">
        <v>0.00117886924875969</v>
      </c>
      <c r="O814" s="22" t="n">
        <v>0.00385037528110482</v>
      </c>
      <c r="P814" s="22" t="n">
        <v>0.000116172349006216</v>
      </c>
      <c r="Q814" s="22" t="n">
        <v>0.0049394774491051</v>
      </c>
      <c r="R814" s="22" t="n">
        <v>0.00669368464850295</v>
      </c>
      <c r="S814" s="23" t="n">
        <f aca="false">IF(A814="","",SUM(H814:R814))</f>
        <v>0.0381035485747528</v>
      </c>
      <c r="T814" s="17" t="str">
        <f aca="false">IF(A814="","",IF(AND(MIN(H814:R814)&gt;=0,MAX(H814:R814)&lt;=1,S814&lt;=1),"OK","CHECK"))</f>
        <v>OK</v>
      </c>
      <c r="U814" s="17" t="str">
        <f aca="false">IF(A814="","", "LOSS-"&amp;A814&amp;"-L"&amp;TEXT(B814,"00")&amp;"-"&amp;TEXT(C814,"yyyymmdd")&amp;"-"&amp;D814&amp;"-"&amp;E814)</f>
        <v>LOSS-KG01-L25-20251106-PM-ORD-2025-00285</v>
      </c>
      <c r="V814" s="17" t="str">
        <f aca="false">IF(U814="","",IF(COUNTIF($U$5:$U$935,U814)=1,"OK","CHECK"))</f>
        <v>OK</v>
      </c>
      <c r="W814" s="17" t="str">
        <f aca="false">IF(A814="","",IF(AND(T814="OK",V814="OK",G814&gt;=0),"OK","CHECK"))</f>
        <v>OK</v>
      </c>
    </row>
    <row r="815" customFormat="false" ht="18" hidden="false" customHeight="true" outlineLevel="0" collapsed="false">
      <c r="A815" s="18" t="s">
        <v>39</v>
      </c>
      <c r="B815" s="19" t="n">
        <v>25</v>
      </c>
      <c r="C815" s="20" t="n">
        <v>45968</v>
      </c>
      <c r="D815" s="18" t="s">
        <v>40</v>
      </c>
      <c r="E815" s="18" t="s">
        <v>181</v>
      </c>
      <c r="F815" s="18" t="s">
        <v>42</v>
      </c>
      <c r="G815" s="21" t="n">
        <v>19667</v>
      </c>
      <c r="H815" s="22" t="n">
        <v>0.00699317512507126</v>
      </c>
      <c r="I815" s="22" t="n">
        <v>0.0119337666286162</v>
      </c>
      <c r="J815" s="22" t="n">
        <v>0.00117069029308555</v>
      </c>
      <c r="K815" s="22" t="n">
        <v>0.0127378002200877</v>
      </c>
      <c r="L815" s="22" t="n">
        <v>6.83994328031956E-005</v>
      </c>
      <c r="M815" s="22" t="n">
        <v>0.000673872282003335</v>
      </c>
      <c r="N815" s="22" t="n">
        <v>0.00934771752561669</v>
      </c>
      <c r="O815" s="22" t="n">
        <v>0.00707053589812561</v>
      </c>
      <c r="P815" s="22" t="n">
        <v>0.00921404197735302</v>
      </c>
      <c r="Q815" s="22" t="n">
        <v>0.000158267701347174</v>
      </c>
      <c r="R815" s="22" t="n">
        <v>0.000252550940069732</v>
      </c>
      <c r="S815" s="23" t="n">
        <f aca="false">IF(A815="","",SUM(H815:R815))</f>
        <v>0.0596208180241795</v>
      </c>
      <c r="T815" s="17" t="str">
        <f aca="false">IF(A815="","",IF(AND(MIN(H815:R815)&gt;=0,MAX(H815:R815)&lt;=1,S815&lt;=1),"OK","CHECK"))</f>
        <v>OK</v>
      </c>
      <c r="U815" s="17" t="str">
        <f aca="false">IF(A815="","", "LOSS-"&amp;A815&amp;"-L"&amp;TEXT(B815,"00")&amp;"-"&amp;TEXT(C815,"yyyymmdd")&amp;"-"&amp;D815&amp;"-"&amp;E815)</f>
        <v>LOSS-KG01-L25-20251107-AM-ORD-2025-00285</v>
      </c>
      <c r="V815" s="17" t="str">
        <f aca="false">IF(U815="","",IF(COUNTIF($U$5:$U$935,U815)=1,"OK","CHECK"))</f>
        <v>OK</v>
      </c>
      <c r="W815" s="17" t="str">
        <f aca="false">IF(A815="","",IF(AND(T815="OK",V815="OK",G815&gt;=0),"OK","CHECK"))</f>
        <v>OK</v>
      </c>
    </row>
    <row r="816" customFormat="false" ht="18" hidden="false" customHeight="true" outlineLevel="0" collapsed="false">
      <c r="A816" s="18" t="s">
        <v>39</v>
      </c>
      <c r="B816" s="19" t="n">
        <v>25</v>
      </c>
      <c r="C816" s="20" t="n">
        <v>45968</v>
      </c>
      <c r="D816" s="18" t="s">
        <v>43</v>
      </c>
      <c r="E816" s="18" t="s">
        <v>181</v>
      </c>
      <c r="F816" s="18" t="s">
        <v>42</v>
      </c>
      <c r="G816" s="21" t="n">
        <v>4698</v>
      </c>
      <c r="H816" s="22" t="n">
        <v>0.00381089936783668</v>
      </c>
      <c r="I816" s="22" t="n">
        <v>8.69037124918876E-005</v>
      </c>
      <c r="J816" s="22" t="n">
        <v>0.00200464841688469</v>
      </c>
      <c r="K816" s="22" t="n">
        <v>0.00420638308523503</v>
      </c>
      <c r="L816" s="22" t="n">
        <v>0.00226767961290827</v>
      </c>
      <c r="M816" s="22" t="n">
        <v>0.00214129374164841</v>
      </c>
      <c r="N816" s="22" t="n">
        <v>0.00212190904759513</v>
      </c>
      <c r="O816" s="22" t="n">
        <v>1.89556554611614E-005</v>
      </c>
      <c r="P816" s="22" t="n">
        <v>0.00296978283536213</v>
      </c>
      <c r="Q816" s="22" t="n">
        <v>0.00427191633529866</v>
      </c>
      <c r="R816" s="22" t="n">
        <v>0.00147090863427445</v>
      </c>
      <c r="S816" s="23" t="n">
        <f aca="false">IF(A816="","",SUM(H816:R816))</f>
        <v>0.0253712804449965</v>
      </c>
      <c r="T816" s="17" t="str">
        <f aca="false">IF(A816="","",IF(AND(MIN(H816:R816)&gt;=0,MAX(H816:R816)&lt;=1,S816&lt;=1),"OK","CHECK"))</f>
        <v>OK</v>
      </c>
      <c r="U816" s="17" t="str">
        <f aca="false">IF(A816="","", "LOSS-"&amp;A816&amp;"-L"&amp;TEXT(B816,"00")&amp;"-"&amp;TEXT(C816,"yyyymmdd")&amp;"-"&amp;D816&amp;"-"&amp;E816)</f>
        <v>LOSS-KG01-L25-20251107-PM-ORD-2025-00285</v>
      </c>
      <c r="V816" s="17" t="str">
        <f aca="false">IF(U816="","",IF(COUNTIF($U$5:$U$935,U816)=1,"OK","CHECK"))</f>
        <v>OK</v>
      </c>
      <c r="W816" s="17" t="str">
        <f aca="false">IF(A816="","",IF(AND(T816="OK",V816="OK",G816&gt;=0),"OK","CHECK"))</f>
        <v>OK</v>
      </c>
    </row>
    <row r="817" customFormat="false" ht="18" hidden="false" customHeight="true" outlineLevel="0" collapsed="false">
      <c r="A817" s="18" t="s">
        <v>39</v>
      </c>
      <c r="B817" s="19" t="n">
        <v>25</v>
      </c>
      <c r="C817" s="20" t="n">
        <v>45969</v>
      </c>
      <c r="D817" s="18" t="s">
        <v>40</v>
      </c>
      <c r="E817" s="18" t="s">
        <v>181</v>
      </c>
      <c r="F817" s="18" t="s">
        <v>42</v>
      </c>
      <c r="G817" s="21" t="n">
        <v>4509</v>
      </c>
      <c r="H817" s="22" t="n">
        <v>0.00159532078972123</v>
      </c>
      <c r="I817" s="22" t="n">
        <v>0.00221592219870272</v>
      </c>
      <c r="J817" s="22" t="n">
        <v>0.000384644325024328</v>
      </c>
      <c r="K817" s="22" t="n">
        <v>0.00282509568023965</v>
      </c>
      <c r="L817" s="22" t="n">
        <v>0.00110062156398272</v>
      </c>
      <c r="M817" s="22" t="n">
        <v>0.002622059648554</v>
      </c>
      <c r="N817" s="22" t="n">
        <v>0.00543874989940033</v>
      </c>
      <c r="O817" s="22" t="n">
        <v>0.00150938211587517</v>
      </c>
      <c r="P817" s="22" t="n">
        <v>0.00461101370498332</v>
      </c>
      <c r="Q817" s="22" t="n">
        <v>0.0040910113642427</v>
      </c>
      <c r="R817" s="22" t="n">
        <v>0.000289494091977321</v>
      </c>
      <c r="S817" s="23" t="n">
        <f aca="false">IF(A817="","",SUM(H817:R817))</f>
        <v>0.0266833153827035</v>
      </c>
      <c r="T817" s="17" t="str">
        <f aca="false">IF(A817="","",IF(AND(MIN(H817:R817)&gt;=0,MAX(H817:R817)&lt;=1,S817&lt;=1),"OK","CHECK"))</f>
        <v>OK</v>
      </c>
      <c r="U817" s="17" t="str">
        <f aca="false">IF(A817="","", "LOSS-"&amp;A817&amp;"-L"&amp;TEXT(B817,"00")&amp;"-"&amp;TEXT(C817,"yyyymmdd")&amp;"-"&amp;D817&amp;"-"&amp;E817)</f>
        <v>LOSS-KG01-L25-20251108-AM-ORD-2025-00285</v>
      </c>
      <c r="V817" s="17" t="str">
        <f aca="false">IF(U817="","",IF(COUNTIF($U$5:$U$935,U817)=1,"OK","CHECK"))</f>
        <v>OK</v>
      </c>
      <c r="W817" s="17" t="str">
        <f aca="false">IF(A817="","",IF(AND(T817="OK",V817="OK",G817&gt;=0),"OK","CHECK"))</f>
        <v>OK</v>
      </c>
    </row>
    <row r="818" customFormat="false" ht="18" hidden="false" customHeight="true" outlineLevel="0" collapsed="false">
      <c r="A818" s="18" t="s">
        <v>39</v>
      </c>
      <c r="B818" s="19" t="n">
        <v>25</v>
      </c>
      <c r="C818" s="20" t="n">
        <v>45969</v>
      </c>
      <c r="D818" s="18" t="s">
        <v>43</v>
      </c>
      <c r="E818" s="18" t="s">
        <v>181</v>
      </c>
      <c r="F818" s="18" t="s">
        <v>42</v>
      </c>
      <c r="G818" s="21" t="n">
        <v>8191</v>
      </c>
      <c r="H818" s="22" t="n">
        <v>0.000750843337808953</v>
      </c>
      <c r="I818" s="22" t="n">
        <v>0.00281938270108069</v>
      </c>
      <c r="J818" s="22" t="n">
        <v>0.00495821689129106</v>
      </c>
      <c r="K818" s="22" t="n">
        <v>0.00155913720652776</v>
      </c>
      <c r="L818" s="22" t="n">
        <v>0.0217916548673649</v>
      </c>
      <c r="M818" s="22" t="n">
        <v>0.00726669235058487</v>
      </c>
      <c r="N818" s="22" t="n">
        <v>0.001623138535415</v>
      </c>
      <c r="O818" s="22" t="n">
        <v>0.000423395715240555</v>
      </c>
      <c r="P818" s="22" t="n">
        <v>0.000550921002792461</v>
      </c>
      <c r="Q818" s="22" t="n">
        <v>0.0075059440638244</v>
      </c>
      <c r="R818" s="22" t="n">
        <v>2.45884116262486E-005</v>
      </c>
      <c r="S818" s="23" t="n">
        <f aca="false">IF(A818="","",SUM(H818:R818))</f>
        <v>0.0492739150835569</v>
      </c>
      <c r="T818" s="17" t="str">
        <f aca="false">IF(A818="","",IF(AND(MIN(H818:R818)&gt;=0,MAX(H818:R818)&lt;=1,S818&lt;=1),"OK","CHECK"))</f>
        <v>OK</v>
      </c>
      <c r="U818" s="17" t="str">
        <f aca="false">IF(A818="","", "LOSS-"&amp;A818&amp;"-L"&amp;TEXT(B818,"00")&amp;"-"&amp;TEXT(C818,"yyyymmdd")&amp;"-"&amp;D818&amp;"-"&amp;E818)</f>
        <v>LOSS-KG01-L25-20251108-PM-ORD-2025-00285</v>
      </c>
      <c r="V818" s="17" t="str">
        <f aca="false">IF(U818="","",IF(COUNTIF($U$5:$U$935,U818)=1,"OK","CHECK"))</f>
        <v>OK</v>
      </c>
      <c r="W818" s="17" t="str">
        <f aca="false">IF(A818="","",IF(AND(T818="OK",V818="OK",G818&gt;=0),"OK","CHECK"))</f>
        <v>OK</v>
      </c>
    </row>
    <row r="819" customFormat="false" ht="18" hidden="false" customHeight="true" outlineLevel="0" collapsed="false">
      <c r="A819" s="18" t="s">
        <v>39</v>
      </c>
      <c r="B819" s="19" t="n">
        <v>25</v>
      </c>
      <c r="C819" s="20" t="n">
        <v>45970</v>
      </c>
      <c r="D819" s="18" t="s">
        <v>40</v>
      </c>
      <c r="E819" s="18" t="s">
        <v>182</v>
      </c>
      <c r="F819" s="18" t="s">
        <v>45</v>
      </c>
      <c r="G819" s="21" t="n">
        <v>9545</v>
      </c>
      <c r="H819" s="22" t="n">
        <v>0.000364179406731713</v>
      </c>
      <c r="I819" s="22" t="n">
        <v>0.000146136016805582</v>
      </c>
      <c r="J819" s="22" t="n">
        <v>0.0119703637878623</v>
      </c>
      <c r="K819" s="22" t="n">
        <v>0.013116734804024</v>
      </c>
      <c r="L819" s="22" t="n">
        <v>0.00987889983885564</v>
      </c>
      <c r="M819" s="22" t="n">
        <v>0.00262470846443176</v>
      </c>
      <c r="N819" s="22" t="n">
        <v>0.00776323473133087</v>
      </c>
      <c r="O819" s="22" t="n">
        <v>0.00104320790701549</v>
      </c>
      <c r="P819" s="22" t="n">
        <v>0.000187647352379838</v>
      </c>
      <c r="Q819" s="22" t="n">
        <v>5.05996418868865E-005</v>
      </c>
      <c r="R819" s="22" t="n">
        <v>0.013554583123971</v>
      </c>
      <c r="S819" s="23" t="n">
        <f aca="false">IF(A819="","",SUM(H819:R819))</f>
        <v>0.0607002950752951</v>
      </c>
      <c r="T819" s="17" t="str">
        <f aca="false">IF(A819="","",IF(AND(MIN(H819:R819)&gt;=0,MAX(H819:R819)&lt;=1,S819&lt;=1),"OK","CHECK"))</f>
        <v>OK</v>
      </c>
      <c r="U819" s="17" t="str">
        <f aca="false">IF(A819="","", "LOSS-"&amp;A819&amp;"-L"&amp;TEXT(B819,"00")&amp;"-"&amp;TEXT(C819,"yyyymmdd")&amp;"-"&amp;D819&amp;"-"&amp;E819)</f>
        <v>LOSS-KG01-L25-20251109-AM-ORD-2025-00286</v>
      </c>
      <c r="V819" s="17" t="str">
        <f aca="false">IF(U819="","",IF(COUNTIF($U$5:$U$935,U819)=1,"OK","CHECK"))</f>
        <v>OK</v>
      </c>
      <c r="W819" s="17" t="str">
        <f aca="false">IF(A819="","",IF(AND(T819="OK",V819="OK",G819&gt;=0),"OK","CHECK"))</f>
        <v>OK</v>
      </c>
    </row>
    <row r="820" customFormat="false" ht="18" hidden="false" customHeight="true" outlineLevel="0" collapsed="false">
      <c r="A820" s="18" t="s">
        <v>39</v>
      </c>
      <c r="B820" s="19" t="n">
        <v>25</v>
      </c>
      <c r="C820" s="20" t="n">
        <v>45970</v>
      </c>
      <c r="D820" s="18" t="s">
        <v>43</v>
      </c>
      <c r="E820" s="18" t="s">
        <v>182</v>
      </c>
      <c r="F820" s="18" t="s">
        <v>42</v>
      </c>
      <c r="G820" s="21" t="n">
        <v>19895</v>
      </c>
      <c r="H820" s="22" t="n">
        <v>0.00946815950096237</v>
      </c>
      <c r="I820" s="22" t="n">
        <v>0.0169249204098548</v>
      </c>
      <c r="J820" s="22" t="n">
        <v>0.0076445560897694</v>
      </c>
      <c r="K820" s="22" t="n">
        <v>0.000565540505269968</v>
      </c>
      <c r="L820" s="22" t="n">
        <v>0.00383544955255883</v>
      </c>
      <c r="M820" s="22" t="n">
        <v>0.000848830005595492</v>
      </c>
      <c r="N820" s="22" t="n">
        <v>0.00359977264444912</v>
      </c>
      <c r="O820" s="22" t="n">
        <v>0.00943932092411641</v>
      </c>
      <c r="P820" s="22" t="n">
        <v>0.000866295909052518</v>
      </c>
      <c r="Q820" s="22" t="n">
        <v>0.00584751834293943</v>
      </c>
      <c r="R820" s="22" t="n">
        <v>0.00622787726837817</v>
      </c>
      <c r="S820" s="23" t="n">
        <f aca="false">IF(A820="","",SUM(H820:R820))</f>
        <v>0.0652682411529465</v>
      </c>
      <c r="T820" s="17" t="str">
        <f aca="false">IF(A820="","",IF(AND(MIN(H820:R820)&gt;=0,MAX(H820:R820)&lt;=1,S820&lt;=1),"OK","CHECK"))</f>
        <v>OK</v>
      </c>
      <c r="U820" s="17" t="str">
        <f aca="false">IF(A820="","", "LOSS-"&amp;A820&amp;"-L"&amp;TEXT(B820,"00")&amp;"-"&amp;TEXT(C820,"yyyymmdd")&amp;"-"&amp;D820&amp;"-"&amp;E820)</f>
        <v>LOSS-KG01-L25-20251109-PM-ORD-2025-00286</v>
      </c>
      <c r="V820" s="17" t="str">
        <f aca="false">IF(U820="","",IF(COUNTIF($U$5:$U$935,U820)=1,"OK","CHECK"))</f>
        <v>OK</v>
      </c>
      <c r="W820" s="17" t="str">
        <f aca="false">IF(A820="","",IF(AND(T820="OK",V820="OK",G820&gt;=0),"OK","CHECK"))</f>
        <v>OK</v>
      </c>
    </row>
    <row r="821" customFormat="false" ht="18" hidden="false" customHeight="true" outlineLevel="0" collapsed="false">
      <c r="A821" s="18" t="s">
        <v>39</v>
      </c>
      <c r="B821" s="19" t="n">
        <v>25</v>
      </c>
      <c r="C821" s="20" t="n">
        <v>45971</v>
      </c>
      <c r="D821" s="18" t="s">
        <v>40</v>
      </c>
      <c r="E821" s="18" t="s">
        <v>182</v>
      </c>
      <c r="F821" s="18" t="s">
        <v>42</v>
      </c>
      <c r="G821" s="21" t="n">
        <v>11173</v>
      </c>
      <c r="H821" s="22" t="n">
        <v>0.000695404394511135</v>
      </c>
      <c r="I821" s="22" t="n">
        <v>0.0140884296393077</v>
      </c>
      <c r="J821" s="22" t="n">
        <v>1.71894509968403E-005</v>
      </c>
      <c r="K821" s="22" t="n">
        <v>0.000663216088745543</v>
      </c>
      <c r="L821" s="22" t="n">
        <v>0.000483342870344618</v>
      </c>
      <c r="M821" s="22" t="n">
        <v>0.0183105209638307</v>
      </c>
      <c r="N821" s="22" t="n">
        <v>0.0166057762029665</v>
      </c>
      <c r="O821" s="22" t="n">
        <v>0.000919911088015433</v>
      </c>
      <c r="P821" s="22" t="n">
        <v>0.00340554897460876</v>
      </c>
      <c r="Q821" s="22" t="n">
        <v>0.000588150521984497</v>
      </c>
      <c r="R821" s="22" t="n">
        <v>0.00020395120279637</v>
      </c>
      <c r="S821" s="23" t="n">
        <f aca="false">IF(A821="","",SUM(H821:R821))</f>
        <v>0.0559814413981081</v>
      </c>
      <c r="T821" s="17" t="str">
        <f aca="false">IF(A821="","",IF(AND(MIN(H821:R821)&gt;=0,MAX(H821:R821)&lt;=1,S821&lt;=1),"OK","CHECK"))</f>
        <v>OK</v>
      </c>
      <c r="U821" s="17" t="str">
        <f aca="false">IF(A821="","", "LOSS-"&amp;A821&amp;"-L"&amp;TEXT(B821,"00")&amp;"-"&amp;TEXT(C821,"yyyymmdd")&amp;"-"&amp;D821&amp;"-"&amp;E821)</f>
        <v>LOSS-KG01-L25-20251110-AM-ORD-2025-00286</v>
      </c>
      <c r="V821" s="17" t="str">
        <f aca="false">IF(U821="","",IF(COUNTIF($U$5:$U$935,U821)=1,"OK","CHECK"))</f>
        <v>OK</v>
      </c>
      <c r="W821" s="17" t="str">
        <f aca="false">IF(A821="","",IF(AND(T821="OK",V821="OK",G821&gt;=0),"OK","CHECK"))</f>
        <v>OK</v>
      </c>
    </row>
    <row r="822" customFormat="false" ht="18" hidden="false" customHeight="true" outlineLevel="0" collapsed="false">
      <c r="A822" s="18" t="s">
        <v>39</v>
      </c>
      <c r="B822" s="19" t="n">
        <v>25</v>
      </c>
      <c r="C822" s="20" t="n">
        <v>45971</v>
      </c>
      <c r="D822" s="18" t="s">
        <v>43</v>
      </c>
      <c r="E822" s="18" t="s">
        <v>182</v>
      </c>
      <c r="F822" s="18" t="s">
        <v>42</v>
      </c>
      <c r="G822" s="21" t="n">
        <v>7572</v>
      </c>
      <c r="H822" s="22" t="n">
        <v>0.00175561892709157</v>
      </c>
      <c r="I822" s="22" t="n">
        <v>0.00102883607863385</v>
      </c>
      <c r="J822" s="22" t="n">
        <v>0.00701700732968902</v>
      </c>
      <c r="K822" s="22" t="n">
        <v>5.46620480845693E-005</v>
      </c>
      <c r="L822" s="22" t="n">
        <v>0.000884759504802255</v>
      </c>
      <c r="M822" s="22" t="n">
        <v>0.00294466216688963</v>
      </c>
      <c r="N822" s="22" t="n">
        <v>0.000199218347972988</v>
      </c>
      <c r="O822" s="22" t="n">
        <v>0.007738765673562</v>
      </c>
      <c r="P822" s="22" t="n">
        <v>0.00101721242348682</v>
      </c>
      <c r="Q822" s="22" t="n">
        <v>0.00127303166625749</v>
      </c>
      <c r="R822" s="22" t="n">
        <v>0.00894667308626277</v>
      </c>
      <c r="S822" s="23" t="n">
        <f aca="false">IF(A822="","",SUM(H822:R822))</f>
        <v>0.032860447252733</v>
      </c>
      <c r="T822" s="17" t="str">
        <f aca="false">IF(A822="","",IF(AND(MIN(H822:R822)&gt;=0,MAX(H822:R822)&lt;=1,S822&lt;=1),"OK","CHECK"))</f>
        <v>OK</v>
      </c>
      <c r="U822" s="17" t="str">
        <f aca="false">IF(A822="","", "LOSS-"&amp;A822&amp;"-L"&amp;TEXT(B822,"00")&amp;"-"&amp;TEXT(C822,"yyyymmdd")&amp;"-"&amp;D822&amp;"-"&amp;E822)</f>
        <v>LOSS-KG01-L25-20251110-PM-ORD-2025-00286</v>
      </c>
      <c r="V822" s="17" t="str">
        <f aca="false">IF(U822="","",IF(COUNTIF($U$5:$U$935,U822)=1,"OK","CHECK"))</f>
        <v>OK</v>
      </c>
      <c r="W822" s="17" t="str">
        <f aca="false">IF(A822="","",IF(AND(T822="OK",V822="OK",G822&gt;=0),"OK","CHECK"))</f>
        <v>OK</v>
      </c>
    </row>
    <row r="823" customFormat="false" ht="18" hidden="false" customHeight="true" outlineLevel="0" collapsed="false">
      <c r="A823" s="18" t="s">
        <v>39</v>
      </c>
      <c r="B823" s="19" t="n">
        <v>25</v>
      </c>
      <c r="C823" s="20" t="n">
        <v>45972</v>
      </c>
      <c r="D823" s="18" t="s">
        <v>40</v>
      </c>
      <c r="E823" s="18" t="s">
        <v>182</v>
      </c>
      <c r="F823" s="18" t="s">
        <v>42</v>
      </c>
      <c r="G823" s="21" t="n">
        <v>4387</v>
      </c>
      <c r="H823" s="22" t="n">
        <v>0.00462217316036394</v>
      </c>
      <c r="I823" s="22" t="n">
        <v>0.00543184229147081</v>
      </c>
      <c r="J823" s="22" t="n">
        <v>0.00216449049414512</v>
      </c>
      <c r="K823" s="22" t="n">
        <v>0.000760602633523202</v>
      </c>
      <c r="L823" s="22" t="n">
        <v>0.00655058367578189</v>
      </c>
      <c r="M823" s="22" t="n">
        <v>0.000527966062176361</v>
      </c>
      <c r="N823" s="22" t="n">
        <v>0.000110697709639756</v>
      </c>
      <c r="O823" s="22" t="n">
        <v>0.00389694961819321</v>
      </c>
      <c r="P823" s="22" t="n">
        <v>0.00159044476962504</v>
      </c>
      <c r="Q823" s="22" t="n">
        <v>0.00410255091474135</v>
      </c>
      <c r="R823" s="22" t="n">
        <v>0.00180375801017645</v>
      </c>
      <c r="S823" s="23" t="n">
        <f aca="false">IF(A823="","",SUM(H823:R823))</f>
        <v>0.0315620593398371</v>
      </c>
      <c r="T823" s="17" t="str">
        <f aca="false">IF(A823="","",IF(AND(MIN(H823:R823)&gt;=0,MAX(H823:R823)&lt;=1,S823&lt;=1),"OK","CHECK"))</f>
        <v>OK</v>
      </c>
      <c r="U823" s="17" t="str">
        <f aca="false">IF(A823="","", "LOSS-"&amp;A823&amp;"-L"&amp;TEXT(B823,"00")&amp;"-"&amp;TEXT(C823,"yyyymmdd")&amp;"-"&amp;D823&amp;"-"&amp;E823)</f>
        <v>LOSS-KG01-L25-20251111-AM-ORD-2025-00286</v>
      </c>
      <c r="V823" s="17" t="str">
        <f aca="false">IF(U823="","",IF(COUNTIF($U$5:$U$935,U823)=1,"OK","CHECK"))</f>
        <v>OK</v>
      </c>
      <c r="W823" s="17" t="str">
        <f aca="false">IF(A823="","",IF(AND(T823="OK",V823="OK",G823&gt;=0),"OK","CHECK"))</f>
        <v>OK</v>
      </c>
    </row>
    <row r="824" customFormat="false" ht="18" hidden="false" customHeight="true" outlineLevel="0" collapsed="false">
      <c r="A824" s="18" t="s">
        <v>39</v>
      </c>
      <c r="B824" s="19" t="n">
        <v>25</v>
      </c>
      <c r="C824" s="20" t="n">
        <v>45972</v>
      </c>
      <c r="D824" s="18" t="s">
        <v>43</v>
      </c>
      <c r="E824" s="18" t="s">
        <v>182</v>
      </c>
      <c r="F824" s="18" t="s">
        <v>42</v>
      </c>
      <c r="G824" s="21" t="n">
        <v>3404</v>
      </c>
      <c r="H824" s="22" t="n">
        <v>0.000253887114948951</v>
      </c>
      <c r="I824" s="22" t="n">
        <v>0.00150289890146478</v>
      </c>
      <c r="J824" s="22" t="n">
        <v>0.000594064321570312</v>
      </c>
      <c r="K824" s="22" t="n">
        <v>3.72147774445862E-006</v>
      </c>
      <c r="L824" s="22" t="n">
        <v>0.00107614674743135</v>
      </c>
      <c r="M824" s="22" t="n">
        <v>0.00728502369224718</v>
      </c>
      <c r="N824" s="22" t="n">
        <v>0.00324512690224679</v>
      </c>
      <c r="O824" s="22" t="n">
        <v>0.00883527853096612</v>
      </c>
      <c r="P824" s="22" t="n">
        <v>0.00241338878271514</v>
      </c>
      <c r="Q824" s="22" t="n">
        <v>0.00497934375580265</v>
      </c>
      <c r="R824" s="22" t="n">
        <v>0.000131964908522212</v>
      </c>
      <c r="S824" s="23" t="n">
        <f aca="false">IF(A824="","",SUM(H824:R824))</f>
        <v>0.0303208451356599</v>
      </c>
      <c r="T824" s="17" t="str">
        <f aca="false">IF(A824="","",IF(AND(MIN(H824:R824)&gt;=0,MAX(H824:R824)&lt;=1,S824&lt;=1),"OK","CHECK"))</f>
        <v>OK</v>
      </c>
      <c r="U824" s="17" t="str">
        <f aca="false">IF(A824="","", "LOSS-"&amp;A824&amp;"-L"&amp;TEXT(B824,"00")&amp;"-"&amp;TEXT(C824,"yyyymmdd")&amp;"-"&amp;D824&amp;"-"&amp;E824)</f>
        <v>LOSS-KG01-L25-20251111-PM-ORD-2025-00286</v>
      </c>
      <c r="V824" s="17" t="str">
        <f aca="false">IF(U824="","",IF(COUNTIF($U$5:$U$935,U824)=1,"OK","CHECK"))</f>
        <v>OK</v>
      </c>
      <c r="W824" s="17" t="str">
        <f aca="false">IF(A824="","",IF(AND(T824="OK",V824="OK",G824&gt;=0),"OK","CHECK"))</f>
        <v>OK</v>
      </c>
    </row>
    <row r="825" customFormat="false" ht="18" hidden="false" customHeight="true" outlineLevel="0" collapsed="false">
      <c r="A825" s="18" t="s">
        <v>39</v>
      </c>
      <c r="B825" s="19" t="n">
        <v>25</v>
      </c>
      <c r="C825" s="20" t="n">
        <v>45973</v>
      </c>
      <c r="D825" s="18" t="s">
        <v>40</v>
      </c>
      <c r="E825" s="18" t="s">
        <v>183</v>
      </c>
      <c r="F825" s="18" t="s">
        <v>45</v>
      </c>
      <c r="G825" s="21" t="n">
        <v>9544</v>
      </c>
      <c r="H825" s="22" t="n">
        <v>0.0103223032157807</v>
      </c>
      <c r="I825" s="22" t="n">
        <v>0.00471322753699145</v>
      </c>
      <c r="J825" s="22" t="n">
        <v>0.00930129619442782</v>
      </c>
      <c r="K825" s="22" t="n">
        <v>0.00438583019180496</v>
      </c>
      <c r="L825" s="22" t="n">
        <v>9.34747077034006E-008</v>
      </c>
      <c r="M825" s="22" t="n">
        <v>0.00421839464072578</v>
      </c>
      <c r="N825" s="22" t="n">
        <v>0.00250607634939755</v>
      </c>
      <c r="O825" s="22" t="n">
        <v>0.000339875150737328</v>
      </c>
      <c r="P825" s="22" t="n">
        <v>0.0014182511397333</v>
      </c>
      <c r="Q825" s="22" t="n">
        <v>0.00575038485915228</v>
      </c>
      <c r="R825" s="22" t="n">
        <v>0.00459356526664892</v>
      </c>
      <c r="S825" s="23" t="n">
        <f aca="false">IF(A825="","",SUM(H825:R825))</f>
        <v>0.0475492980201078</v>
      </c>
      <c r="T825" s="17" t="str">
        <f aca="false">IF(A825="","",IF(AND(MIN(H825:R825)&gt;=0,MAX(H825:R825)&lt;=1,S825&lt;=1),"OK","CHECK"))</f>
        <v>OK</v>
      </c>
      <c r="U825" s="17" t="str">
        <f aca="false">IF(A825="","", "LOSS-"&amp;A825&amp;"-L"&amp;TEXT(B825,"00")&amp;"-"&amp;TEXT(C825,"yyyymmdd")&amp;"-"&amp;D825&amp;"-"&amp;E825)</f>
        <v>LOSS-KG01-L25-20251112-AM-ORD-2025-00287</v>
      </c>
      <c r="V825" s="17" t="str">
        <f aca="false">IF(U825="","",IF(COUNTIF($U$5:$U$935,U825)=1,"OK","CHECK"))</f>
        <v>OK</v>
      </c>
      <c r="W825" s="17" t="str">
        <f aca="false">IF(A825="","",IF(AND(T825="OK",V825="OK",G825&gt;=0),"OK","CHECK"))</f>
        <v>OK</v>
      </c>
    </row>
    <row r="826" customFormat="false" ht="18" hidden="false" customHeight="true" outlineLevel="0" collapsed="false">
      <c r="A826" s="18" t="s">
        <v>39</v>
      </c>
      <c r="B826" s="19" t="n">
        <v>25</v>
      </c>
      <c r="C826" s="20" t="n">
        <v>45973</v>
      </c>
      <c r="D826" s="18" t="s">
        <v>43</v>
      </c>
      <c r="E826" s="18" t="s">
        <v>183</v>
      </c>
      <c r="F826" s="18" t="s">
        <v>42</v>
      </c>
      <c r="G826" s="21" t="n">
        <v>9473</v>
      </c>
      <c r="H826" s="22" t="n">
        <v>0.00577768392142641</v>
      </c>
      <c r="I826" s="22" t="n">
        <v>0.00830105323268766</v>
      </c>
      <c r="J826" s="22" t="n">
        <v>0.00517119289146864</v>
      </c>
      <c r="K826" s="22" t="n">
        <v>0.000459417041498333</v>
      </c>
      <c r="L826" s="22" t="n">
        <v>0.00501630650297795</v>
      </c>
      <c r="M826" s="22" t="n">
        <v>0.00668949198102395</v>
      </c>
      <c r="N826" s="22" t="n">
        <v>0.000191384602667651</v>
      </c>
      <c r="O826" s="22" t="n">
        <v>0.00905719845520727</v>
      </c>
      <c r="P826" s="22" t="n">
        <v>0.00895405824387656</v>
      </c>
      <c r="Q826" s="22" t="n">
        <v>0.002695627479934</v>
      </c>
      <c r="R826" s="22" t="n">
        <v>0.000170906281941138</v>
      </c>
      <c r="S826" s="23" t="n">
        <f aca="false">IF(A826="","",SUM(H826:R826))</f>
        <v>0.0524843206347096</v>
      </c>
      <c r="T826" s="17" t="str">
        <f aca="false">IF(A826="","",IF(AND(MIN(H826:R826)&gt;=0,MAX(H826:R826)&lt;=1,S826&lt;=1),"OK","CHECK"))</f>
        <v>OK</v>
      </c>
      <c r="U826" s="17" t="str">
        <f aca="false">IF(A826="","", "LOSS-"&amp;A826&amp;"-L"&amp;TEXT(B826,"00")&amp;"-"&amp;TEXT(C826,"yyyymmdd")&amp;"-"&amp;D826&amp;"-"&amp;E826)</f>
        <v>LOSS-KG01-L25-20251112-PM-ORD-2025-00287</v>
      </c>
      <c r="V826" s="17" t="str">
        <f aca="false">IF(U826="","",IF(COUNTIF($U$5:$U$935,U826)=1,"OK","CHECK"))</f>
        <v>OK</v>
      </c>
      <c r="W826" s="17" t="str">
        <f aca="false">IF(A826="","",IF(AND(T826="OK",V826="OK",G826&gt;=0),"OK","CHECK"))</f>
        <v>OK</v>
      </c>
    </row>
    <row r="827" customFormat="false" ht="18" hidden="false" customHeight="true" outlineLevel="0" collapsed="false">
      <c r="A827" s="18" t="s">
        <v>39</v>
      </c>
      <c r="B827" s="19" t="n">
        <v>25</v>
      </c>
      <c r="C827" s="20" t="n">
        <v>45974</v>
      </c>
      <c r="D827" s="18" t="s">
        <v>40</v>
      </c>
      <c r="E827" s="18" t="s">
        <v>183</v>
      </c>
      <c r="F827" s="18" t="s">
        <v>42</v>
      </c>
      <c r="G827" s="21" t="n">
        <v>9160</v>
      </c>
      <c r="H827" s="22" t="n">
        <v>1.45492348574786E-005</v>
      </c>
      <c r="I827" s="22" t="n">
        <v>0.00841371104670699</v>
      </c>
      <c r="J827" s="22" t="n">
        <v>0.0174383291690513</v>
      </c>
      <c r="K827" s="22" t="n">
        <v>0.000334916417427746</v>
      </c>
      <c r="L827" s="22" t="n">
        <v>0.00244924296886616</v>
      </c>
      <c r="M827" s="22" t="n">
        <v>0.00981280541795845</v>
      </c>
      <c r="N827" s="22" t="n">
        <v>0.00972971697937981</v>
      </c>
      <c r="O827" s="22" t="n">
        <v>5.43933461785969E-005</v>
      </c>
      <c r="P827" s="22" t="n">
        <v>0.000655306524182018</v>
      </c>
      <c r="Q827" s="22" t="n">
        <v>2.61691842900064E-005</v>
      </c>
      <c r="R827" s="22" t="n">
        <v>3.6487550947531E-005</v>
      </c>
      <c r="S827" s="23" t="n">
        <f aca="false">IF(A827="","",SUM(H827:R827))</f>
        <v>0.0489656278398461</v>
      </c>
      <c r="T827" s="17" t="str">
        <f aca="false">IF(A827="","",IF(AND(MIN(H827:R827)&gt;=0,MAX(H827:R827)&lt;=1,S827&lt;=1),"OK","CHECK"))</f>
        <v>OK</v>
      </c>
      <c r="U827" s="17" t="str">
        <f aca="false">IF(A827="","", "LOSS-"&amp;A827&amp;"-L"&amp;TEXT(B827,"00")&amp;"-"&amp;TEXT(C827,"yyyymmdd")&amp;"-"&amp;D827&amp;"-"&amp;E827)</f>
        <v>LOSS-KG01-L25-20251113-AM-ORD-2025-00287</v>
      </c>
      <c r="V827" s="17" t="str">
        <f aca="false">IF(U827="","",IF(COUNTIF($U$5:$U$935,U827)=1,"OK","CHECK"))</f>
        <v>OK</v>
      </c>
      <c r="W827" s="17" t="str">
        <f aca="false">IF(A827="","",IF(AND(T827="OK",V827="OK",G827&gt;=0),"OK","CHECK"))</f>
        <v>OK</v>
      </c>
    </row>
    <row r="828" customFormat="false" ht="18" hidden="false" customHeight="true" outlineLevel="0" collapsed="false">
      <c r="A828" s="18" t="s">
        <v>39</v>
      </c>
      <c r="B828" s="19" t="n">
        <v>25</v>
      </c>
      <c r="C828" s="20" t="n">
        <v>45974</v>
      </c>
      <c r="D828" s="18" t="s">
        <v>43</v>
      </c>
      <c r="E828" s="18" t="s">
        <v>183</v>
      </c>
      <c r="F828" s="18" t="s">
        <v>42</v>
      </c>
      <c r="G828" s="21" t="n">
        <v>6505</v>
      </c>
      <c r="H828" s="22" t="n">
        <v>0.00628847074863291</v>
      </c>
      <c r="I828" s="22" t="n">
        <v>0.00259597321452036</v>
      </c>
      <c r="J828" s="22" t="n">
        <v>0.00713907724477578</v>
      </c>
      <c r="K828" s="22" t="n">
        <v>0.00511029623728371</v>
      </c>
      <c r="L828" s="22" t="n">
        <v>0.00235401446530361</v>
      </c>
      <c r="M828" s="22" t="n">
        <v>0.0027523939360677</v>
      </c>
      <c r="N828" s="22" t="n">
        <v>0.0080989340208919</v>
      </c>
      <c r="O828" s="22" t="n">
        <v>0.00208670459559914</v>
      </c>
      <c r="P828" s="22" t="n">
        <v>0.00507434628435908</v>
      </c>
      <c r="Q828" s="22" t="n">
        <v>0.00521971022248968</v>
      </c>
      <c r="R828" s="22" t="n">
        <v>0.00566118479078992</v>
      </c>
      <c r="S828" s="23" t="n">
        <f aca="false">IF(A828="","",SUM(H828:R828))</f>
        <v>0.0523811057607138</v>
      </c>
      <c r="T828" s="17" t="str">
        <f aca="false">IF(A828="","",IF(AND(MIN(H828:R828)&gt;=0,MAX(H828:R828)&lt;=1,S828&lt;=1),"OK","CHECK"))</f>
        <v>OK</v>
      </c>
      <c r="U828" s="17" t="str">
        <f aca="false">IF(A828="","", "LOSS-"&amp;A828&amp;"-L"&amp;TEXT(B828,"00")&amp;"-"&amp;TEXT(C828,"yyyymmdd")&amp;"-"&amp;D828&amp;"-"&amp;E828)</f>
        <v>LOSS-KG01-L25-20251113-PM-ORD-2025-00287</v>
      </c>
      <c r="V828" s="17" t="str">
        <f aca="false">IF(U828="","",IF(COUNTIF($U$5:$U$935,U828)=1,"OK","CHECK"))</f>
        <v>OK</v>
      </c>
      <c r="W828" s="17" t="str">
        <f aca="false">IF(A828="","",IF(AND(T828="OK",V828="OK",G828&gt;=0),"OK","CHECK"))</f>
        <v>OK</v>
      </c>
    </row>
    <row r="829" customFormat="false" ht="18" hidden="false" customHeight="true" outlineLevel="0" collapsed="false">
      <c r="A829" s="18" t="s">
        <v>39</v>
      </c>
      <c r="B829" s="19" t="n">
        <v>25</v>
      </c>
      <c r="C829" s="20" t="n">
        <v>45975</v>
      </c>
      <c r="D829" s="18" t="s">
        <v>40</v>
      </c>
      <c r="E829" s="18" t="s">
        <v>183</v>
      </c>
      <c r="F829" s="18" t="s">
        <v>42</v>
      </c>
      <c r="G829" s="21" t="n">
        <v>6567</v>
      </c>
      <c r="H829" s="22" t="n">
        <v>0.00579978232470502</v>
      </c>
      <c r="I829" s="22" t="n">
        <v>0.00334670664593185</v>
      </c>
      <c r="J829" s="22" t="n">
        <v>0.000959699564633586</v>
      </c>
      <c r="K829" s="22" t="n">
        <v>0.000421367694033147</v>
      </c>
      <c r="L829" s="22" t="n">
        <v>0.00215081804835732</v>
      </c>
      <c r="M829" s="22" t="n">
        <v>0.00642009379737531</v>
      </c>
      <c r="N829" s="22" t="n">
        <v>0.00479371015415094</v>
      </c>
      <c r="O829" s="22" t="n">
        <v>0.00639573471807174</v>
      </c>
      <c r="P829" s="22" t="n">
        <v>0.00469393030016268</v>
      </c>
      <c r="Q829" s="22" t="n">
        <v>0.00497446336427652</v>
      </c>
      <c r="R829" s="22" t="n">
        <v>1.22881881850232E-005</v>
      </c>
      <c r="S829" s="23" t="n">
        <f aca="false">IF(A829="","",SUM(H829:R829))</f>
        <v>0.0399685947998831</v>
      </c>
      <c r="T829" s="17" t="str">
        <f aca="false">IF(A829="","",IF(AND(MIN(H829:R829)&gt;=0,MAX(H829:R829)&lt;=1,S829&lt;=1),"OK","CHECK"))</f>
        <v>OK</v>
      </c>
      <c r="U829" s="17" t="str">
        <f aca="false">IF(A829="","", "LOSS-"&amp;A829&amp;"-L"&amp;TEXT(B829,"00")&amp;"-"&amp;TEXT(C829,"yyyymmdd")&amp;"-"&amp;D829&amp;"-"&amp;E829)</f>
        <v>LOSS-KG01-L25-20251114-AM-ORD-2025-00287</v>
      </c>
      <c r="V829" s="17" t="str">
        <f aca="false">IF(U829="","",IF(COUNTIF($U$5:$U$935,U829)=1,"OK","CHECK"))</f>
        <v>OK</v>
      </c>
      <c r="W829" s="17" t="str">
        <f aca="false">IF(A829="","",IF(AND(T829="OK",V829="OK",G829&gt;=0),"OK","CHECK"))</f>
        <v>OK</v>
      </c>
    </row>
    <row r="830" customFormat="false" ht="18" hidden="false" customHeight="true" outlineLevel="0" collapsed="false">
      <c r="A830" s="18" t="s">
        <v>39</v>
      </c>
      <c r="B830" s="19" t="n">
        <v>25</v>
      </c>
      <c r="C830" s="20" t="n">
        <v>45975</v>
      </c>
      <c r="D830" s="18" t="s">
        <v>43</v>
      </c>
      <c r="E830" s="18" t="s">
        <v>183</v>
      </c>
      <c r="F830" s="18" t="s">
        <v>42</v>
      </c>
      <c r="G830" s="21" t="n">
        <v>6527</v>
      </c>
      <c r="H830" s="22" t="n">
        <v>4.61612407987553E-006</v>
      </c>
      <c r="I830" s="22" t="n">
        <v>0.0146891722868759</v>
      </c>
      <c r="J830" s="22" t="n">
        <v>0.000857451448582726</v>
      </c>
      <c r="K830" s="22" t="n">
        <v>0.00231024864283546</v>
      </c>
      <c r="L830" s="22" t="n">
        <v>0.000103290644823369</v>
      </c>
      <c r="M830" s="22" t="n">
        <v>0.00503652854528851</v>
      </c>
      <c r="N830" s="22" t="n">
        <v>0.0096881674775298</v>
      </c>
      <c r="O830" s="22" t="n">
        <v>0.00157986145402693</v>
      </c>
      <c r="P830" s="22" t="n">
        <v>0.00325274292459365</v>
      </c>
      <c r="Q830" s="22" t="n">
        <v>0.00184801653603237</v>
      </c>
      <c r="R830" s="22" t="n">
        <v>0.0116731346460621</v>
      </c>
      <c r="S830" s="23" t="n">
        <f aca="false">IF(A830="","",SUM(H830:R830))</f>
        <v>0.0510432307307307</v>
      </c>
      <c r="T830" s="17" t="str">
        <f aca="false">IF(A830="","",IF(AND(MIN(H830:R830)&gt;=0,MAX(H830:R830)&lt;=1,S830&lt;=1),"OK","CHECK"))</f>
        <v>OK</v>
      </c>
      <c r="U830" s="17" t="str">
        <f aca="false">IF(A830="","", "LOSS-"&amp;A830&amp;"-L"&amp;TEXT(B830,"00")&amp;"-"&amp;TEXT(C830,"yyyymmdd")&amp;"-"&amp;D830&amp;"-"&amp;E830)</f>
        <v>LOSS-KG01-L25-20251114-PM-ORD-2025-00287</v>
      </c>
      <c r="V830" s="17" t="str">
        <f aca="false">IF(U830="","",IF(COUNTIF($U$5:$U$935,U830)=1,"OK","CHECK"))</f>
        <v>OK</v>
      </c>
      <c r="W830" s="17" t="str">
        <f aca="false">IF(A830="","",IF(AND(T830="OK",V830="OK",G830&gt;=0),"OK","CHECK"))</f>
        <v>OK</v>
      </c>
    </row>
    <row r="831" customFormat="false" ht="18" hidden="false" customHeight="true" outlineLevel="0" collapsed="false">
      <c r="A831" s="18" t="s">
        <v>39</v>
      </c>
      <c r="B831" s="19" t="n">
        <v>25</v>
      </c>
      <c r="C831" s="20" t="n">
        <v>45976</v>
      </c>
      <c r="D831" s="18" t="s">
        <v>40</v>
      </c>
      <c r="E831" s="18" t="s">
        <v>183</v>
      </c>
      <c r="F831" s="18" t="s">
        <v>61</v>
      </c>
      <c r="G831" s="21" t="n">
        <v>9655</v>
      </c>
      <c r="H831" s="22" t="n">
        <v>0.0101289051199681</v>
      </c>
      <c r="I831" s="22" t="n">
        <v>0.00846095830867564</v>
      </c>
      <c r="J831" s="22" t="n">
        <v>0.00362172808661963</v>
      </c>
      <c r="K831" s="22" t="n">
        <v>0.00959353682271509</v>
      </c>
      <c r="L831" s="22" t="n">
        <v>9.74195714650297E-005</v>
      </c>
      <c r="M831" s="22" t="n">
        <v>0.00675139305395142</v>
      </c>
      <c r="N831" s="22" t="n">
        <v>0.00459920336098867</v>
      </c>
      <c r="O831" s="22" t="n">
        <v>0.000312108987397502</v>
      </c>
      <c r="P831" s="22" t="n">
        <v>0.00955894495488934</v>
      </c>
      <c r="Q831" s="22" t="n">
        <v>0.00987012758739483</v>
      </c>
      <c r="R831" s="22" t="n">
        <v>0.0062469248630891</v>
      </c>
      <c r="S831" s="23" t="n">
        <f aca="false">IF(A831="","",SUM(H831:R831))</f>
        <v>0.0692412507171544</v>
      </c>
      <c r="T831" s="17" t="str">
        <f aca="false">IF(A831="","",IF(AND(MIN(H831:R831)&gt;=0,MAX(H831:R831)&lt;=1,S831&lt;=1),"OK","CHECK"))</f>
        <v>OK</v>
      </c>
      <c r="U831" s="17" t="str">
        <f aca="false">IF(A831="","", "LOSS-"&amp;A831&amp;"-L"&amp;TEXT(B831,"00")&amp;"-"&amp;TEXT(C831,"yyyymmdd")&amp;"-"&amp;D831&amp;"-"&amp;E831)</f>
        <v>LOSS-KG01-L25-20251115-AM-ORD-2025-00287</v>
      </c>
      <c r="V831" s="17" t="str">
        <f aca="false">IF(U831="","",IF(COUNTIF($U$5:$U$935,U831)=1,"OK","CHECK"))</f>
        <v>OK</v>
      </c>
      <c r="W831" s="17" t="str">
        <f aca="false">IF(A831="","",IF(AND(T831="OK",V831="OK",G831&gt;=0),"OK","CHECK"))</f>
        <v>OK</v>
      </c>
    </row>
    <row r="832" customFormat="false" ht="18" hidden="false" customHeight="true" outlineLevel="0" collapsed="false">
      <c r="A832" s="18" t="s">
        <v>39</v>
      </c>
      <c r="B832" s="19" t="n">
        <v>25</v>
      </c>
      <c r="C832" s="20" t="n">
        <v>45976</v>
      </c>
      <c r="D832" s="18" t="s">
        <v>43</v>
      </c>
      <c r="E832" s="18" t="s">
        <v>183</v>
      </c>
      <c r="F832" s="18" t="s">
        <v>42</v>
      </c>
      <c r="G832" s="21" t="n">
        <v>15437</v>
      </c>
      <c r="H832" s="22" t="n">
        <v>0.00867200654374329</v>
      </c>
      <c r="I832" s="22" t="n">
        <v>0.000168198349589208</v>
      </c>
      <c r="J832" s="22" t="n">
        <v>0.000777638595126566</v>
      </c>
      <c r="K832" s="22" t="n">
        <v>0.00151115632911988</v>
      </c>
      <c r="L832" s="22" t="n">
        <v>0.0148138790119516</v>
      </c>
      <c r="M832" s="22" t="n">
        <v>0.00514353427201013</v>
      </c>
      <c r="N832" s="22" t="n">
        <v>6.32069144254854E-005</v>
      </c>
      <c r="O832" s="22" t="n">
        <v>0.013330151952657</v>
      </c>
      <c r="P832" s="22" t="n">
        <v>0.0163468095235766</v>
      </c>
      <c r="Q832" s="22" t="n">
        <v>0.00653800438658452</v>
      </c>
      <c r="R832" s="22" t="n">
        <v>0.0193620821362273</v>
      </c>
      <c r="S832" s="23" t="n">
        <f aca="false">IF(A832="","",SUM(H832:R832))</f>
        <v>0.0867266680150116</v>
      </c>
      <c r="T832" s="17" t="str">
        <f aca="false">IF(A832="","",IF(AND(MIN(H832:R832)&gt;=0,MAX(H832:R832)&lt;=1,S832&lt;=1),"OK","CHECK"))</f>
        <v>OK</v>
      </c>
      <c r="U832" s="17" t="str">
        <f aca="false">IF(A832="","", "LOSS-"&amp;A832&amp;"-L"&amp;TEXT(B832,"00")&amp;"-"&amp;TEXT(C832,"yyyymmdd")&amp;"-"&amp;D832&amp;"-"&amp;E832)</f>
        <v>LOSS-KG01-L25-20251115-PM-ORD-2025-00287</v>
      </c>
      <c r="V832" s="17" t="str">
        <f aca="false">IF(U832="","",IF(COUNTIF($U$5:$U$935,U832)=1,"OK","CHECK"))</f>
        <v>OK</v>
      </c>
      <c r="W832" s="17" t="str">
        <f aca="false">IF(A832="","",IF(AND(T832="OK",V832="OK",G832&gt;=0),"OK","CHECK"))</f>
        <v>OK</v>
      </c>
    </row>
    <row r="833" customFormat="false" ht="18" hidden="false" customHeight="true" outlineLevel="0" collapsed="false">
      <c r="A833" s="18" t="s">
        <v>39</v>
      </c>
      <c r="B833" s="19" t="n">
        <v>25</v>
      </c>
      <c r="C833" s="20" t="n">
        <v>45977</v>
      </c>
      <c r="D833" s="18" t="s">
        <v>40</v>
      </c>
      <c r="E833" s="18" t="s">
        <v>184</v>
      </c>
      <c r="F833" s="18" t="s">
        <v>45</v>
      </c>
      <c r="G833" s="21" t="n">
        <v>410</v>
      </c>
      <c r="H833" s="22" t="n">
        <v>7.08096227706059E-005</v>
      </c>
      <c r="I833" s="22" t="n">
        <v>0.0048894116323205</v>
      </c>
      <c r="J833" s="22" t="n">
        <v>0.00259021244923274</v>
      </c>
      <c r="K833" s="22" t="n">
        <v>0.00384089224840904</v>
      </c>
      <c r="L833" s="22" t="n">
        <v>0.000137502082604742</v>
      </c>
      <c r="M833" s="22" t="n">
        <v>0.00164059601404148</v>
      </c>
      <c r="N833" s="22" t="n">
        <v>0.00415753305196952</v>
      </c>
      <c r="O833" s="22" t="n">
        <v>0.00555087457604621</v>
      </c>
      <c r="P833" s="22" t="n">
        <v>0.00013843360396609</v>
      </c>
      <c r="Q833" s="22" t="n">
        <v>0.000256840835296704</v>
      </c>
      <c r="R833" s="22" t="n">
        <v>0.00778749994394842</v>
      </c>
      <c r="S833" s="23" t="n">
        <f aca="false">IF(A833="","",SUM(H833:R833))</f>
        <v>0.0310606060606061</v>
      </c>
      <c r="T833" s="17" t="str">
        <f aca="false">IF(A833="","",IF(AND(MIN(H833:R833)&gt;=0,MAX(H833:R833)&lt;=1,S833&lt;=1),"OK","CHECK"))</f>
        <v>OK</v>
      </c>
      <c r="U833" s="17" t="str">
        <f aca="false">IF(A833="","", "LOSS-"&amp;A833&amp;"-L"&amp;TEXT(B833,"00")&amp;"-"&amp;TEXT(C833,"yyyymmdd")&amp;"-"&amp;D833&amp;"-"&amp;E833)</f>
        <v>LOSS-KG01-L25-20251116-AM-ORD-2025-00288</v>
      </c>
      <c r="V833" s="17" t="str">
        <f aca="false">IF(U833="","",IF(COUNTIF($U$5:$U$935,U833)=1,"OK","CHECK"))</f>
        <v>OK</v>
      </c>
      <c r="W833" s="17" t="str">
        <f aca="false">IF(A833="","",IF(AND(T833="OK",V833="OK",G833&gt;=0),"OK","CHECK"))</f>
        <v>OK</v>
      </c>
    </row>
    <row r="834" customFormat="false" ht="18" hidden="false" customHeight="true" outlineLevel="0" collapsed="false">
      <c r="A834" s="18" t="s">
        <v>39</v>
      </c>
      <c r="B834" s="19" t="n">
        <v>25</v>
      </c>
      <c r="C834" s="20" t="n">
        <v>45977</v>
      </c>
      <c r="D834" s="18" t="s">
        <v>43</v>
      </c>
      <c r="E834" s="18" t="s">
        <v>184</v>
      </c>
      <c r="F834" s="18" t="s">
        <v>42</v>
      </c>
      <c r="G834" s="21" t="n">
        <v>16687</v>
      </c>
      <c r="H834" s="22" t="n">
        <v>0.0161802214997163</v>
      </c>
      <c r="I834" s="22" t="n">
        <v>0.0174701993889798</v>
      </c>
      <c r="J834" s="22" t="n">
        <v>0.00318754394237643</v>
      </c>
      <c r="K834" s="22" t="n">
        <v>0.0107361794774624</v>
      </c>
      <c r="L834" s="22" t="n">
        <v>0.000369522717577207</v>
      </c>
      <c r="M834" s="22" t="n">
        <v>0.000251362329057672</v>
      </c>
      <c r="N834" s="22" t="n">
        <v>0.0112767907898135</v>
      </c>
      <c r="O834" s="22" t="n">
        <v>0.00859502449534556</v>
      </c>
      <c r="P834" s="22" t="n">
        <v>0.000254725908273574</v>
      </c>
      <c r="Q834" s="22" t="n">
        <v>0.00277396803997592</v>
      </c>
      <c r="R834" s="22" t="n">
        <v>0.000206981163078491</v>
      </c>
      <c r="S834" s="23" t="n">
        <f aca="false">IF(A834="","",SUM(H834:R834))</f>
        <v>0.0713025197516569</v>
      </c>
      <c r="T834" s="17" t="str">
        <f aca="false">IF(A834="","",IF(AND(MIN(H834:R834)&gt;=0,MAX(H834:R834)&lt;=1,S834&lt;=1),"OK","CHECK"))</f>
        <v>OK</v>
      </c>
      <c r="U834" s="17" t="str">
        <f aca="false">IF(A834="","", "LOSS-"&amp;A834&amp;"-L"&amp;TEXT(B834,"00")&amp;"-"&amp;TEXT(C834,"yyyymmdd")&amp;"-"&amp;D834&amp;"-"&amp;E834)</f>
        <v>LOSS-KG01-L25-20251116-PM-ORD-2025-00288</v>
      </c>
      <c r="V834" s="17" t="str">
        <f aca="false">IF(U834="","",IF(COUNTIF($U$5:$U$935,U834)=1,"OK","CHECK"))</f>
        <v>OK</v>
      </c>
      <c r="W834" s="17" t="str">
        <f aca="false">IF(A834="","",IF(AND(T834="OK",V834="OK",G834&gt;=0),"OK","CHECK"))</f>
        <v>OK</v>
      </c>
    </row>
    <row r="835" customFormat="false" ht="18" hidden="false" customHeight="true" outlineLevel="0" collapsed="false">
      <c r="A835" s="18" t="s">
        <v>39</v>
      </c>
      <c r="B835" s="19" t="n">
        <v>25</v>
      </c>
      <c r="C835" s="20" t="n">
        <v>45978</v>
      </c>
      <c r="D835" s="18" t="s">
        <v>40</v>
      </c>
      <c r="E835" s="18" t="s">
        <v>184</v>
      </c>
      <c r="F835" s="18" t="s">
        <v>42</v>
      </c>
      <c r="G835" s="21" t="n">
        <v>12837</v>
      </c>
      <c r="H835" s="22" t="n">
        <v>0.0212917628431706</v>
      </c>
      <c r="I835" s="22" t="n">
        <v>4.47108428016497E-005</v>
      </c>
      <c r="J835" s="22" t="n">
        <v>0.00973383161019745</v>
      </c>
      <c r="K835" s="22" t="n">
        <v>2.60047456196142E-005</v>
      </c>
      <c r="L835" s="22" t="n">
        <v>0.000472054391023073</v>
      </c>
      <c r="M835" s="22" t="n">
        <v>0.00300214935366478</v>
      </c>
      <c r="N835" s="22" t="n">
        <v>0.0140761800520425</v>
      </c>
      <c r="O835" s="22" t="n">
        <v>0.00714767614736413</v>
      </c>
      <c r="P835" s="22" t="n">
        <v>0.00488907514192728</v>
      </c>
      <c r="Q835" s="22" t="n">
        <v>0.0015785521809536</v>
      </c>
      <c r="R835" s="22" t="n">
        <v>0.02186430026909</v>
      </c>
      <c r="S835" s="23" t="n">
        <f aca="false">IF(A835="","",SUM(H835:R835))</f>
        <v>0.0841262975778547</v>
      </c>
      <c r="T835" s="17" t="str">
        <f aca="false">IF(A835="","",IF(AND(MIN(H835:R835)&gt;=0,MAX(H835:R835)&lt;=1,S835&lt;=1),"OK","CHECK"))</f>
        <v>OK</v>
      </c>
      <c r="U835" s="17" t="str">
        <f aca="false">IF(A835="","", "LOSS-"&amp;A835&amp;"-L"&amp;TEXT(B835,"00")&amp;"-"&amp;TEXT(C835,"yyyymmdd")&amp;"-"&amp;D835&amp;"-"&amp;E835)</f>
        <v>LOSS-KG01-L25-20251117-AM-ORD-2025-00288</v>
      </c>
      <c r="V835" s="17" t="str">
        <f aca="false">IF(U835="","",IF(COUNTIF($U$5:$U$935,U835)=1,"OK","CHECK"))</f>
        <v>OK</v>
      </c>
      <c r="W835" s="17" t="str">
        <f aca="false">IF(A835="","",IF(AND(T835="OK",V835="OK",G835&gt;=0),"OK","CHECK"))</f>
        <v>OK</v>
      </c>
    </row>
    <row r="836" customFormat="false" ht="18" hidden="false" customHeight="true" outlineLevel="0" collapsed="false">
      <c r="A836" s="18" t="s">
        <v>39</v>
      </c>
      <c r="B836" s="19" t="n">
        <v>25</v>
      </c>
      <c r="C836" s="20" t="n">
        <v>45978</v>
      </c>
      <c r="D836" s="18" t="s">
        <v>43</v>
      </c>
      <c r="E836" s="18" t="s">
        <v>184</v>
      </c>
      <c r="F836" s="18" t="s">
        <v>42</v>
      </c>
      <c r="G836" s="21" t="n">
        <v>6273</v>
      </c>
      <c r="H836" s="22" t="n">
        <v>0.0130541652218647</v>
      </c>
      <c r="I836" s="22" t="n">
        <v>0.00107290530682933</v>
      </c>
      <c r="J836" s="22" t="n">
        <v>0.00201799482271397</v>
      </c>
      <c r="K836" s="22" t="n">
        <v>0.000866928185053632</v>
      </c>
      <c r="L836" s="22" t="n">
        <v>0.00338522068452388</v>
      </c>
      <c r="M836" s="22" t="n">
        <v>0.00101665865652361</v>
      </c>
      <c r="N836" s="22" t="n">
        <v>4.20890359944373E-006</v>
      </c>
      <c r="O836" s="22" t="n">
        <v>0.000748669063074893</v>
      </c>
      <c r="P836" s="22" t="n">
        <v>0.00990912511910691</v>
      </c>
      <c r="Q836" s="22" t="n">
        <v>0.0103562584390474</v>
      </c>
      <c r="R836" s="22" t="n">
        <v>0.00212738484072583</v>
      </c>
      <c r="S836" s="23" t="n">
        <f aca="false">IF(A836="","",SUM(H836:R836))</f>
        <v>0.0445595192430636</v>
      </c>
      <c r="T836" s="17" t="str">
        <f aca="false">IF(A836="","",IF(AND(MIN(H836:R836)&gt;=0,MAX(H836:R836)&lt;=1,S836&lt;=1),"OK","CHECK"))</f>
        <v>OK</v>
      </c>
      <c r="U836" s="17" t="str">
        <f aca="false">IF(A836="","", "LOSS-"&amp;A836&amp;"-L"&amp;TEXT(B836,"00")&amp;"-"&amp;TEXT(C836,"yyyymmdd")&amp;"-"&amp;D836&amp;"-"&amp;E836)</f>
        <v>LOSS-KG01-L25-20251117-PM-ORD-2025-00288</v>
      </c>
      <c r="V836" s="17" t="str">
        <f aca="false">IF(U836="","",IF(COUNTIF($U$5:$U$935,U836)=1,"OK","CHECK"))</f>
        <v>OK</v>
      </c>
      <c r="W836" s="17" t="str">
        <f aca="false">IF(A836="","",IF(AND(T836="OK",V836="OK",G836&gt;=0),"OK","CHECK"))</f>
        <v>OK</v>
      </c>
    </row>
    <row r="837" customFormat="false" ht="18" hidden="false" customHeight="true" outlineLevel="0" collapsed="false">
      <c r="A837" s="18" t="s">
        <v>39</v>
      </c>
      <c r="B837" s="19" t="n">
        <v>25</v>
      </c>
      <c r="C837" s="20" t="n">
        <v>45979</v>
      </c>
      <c r="D837" s="18" t="s">
        <v>40</v>
      </c>
      <c r="E837" s="18" t="s">
        <v>184</v>
      </c>
      <c r="F837" s="18" t="s">
        <v>42</v>
      </c>
      <c r="G837" s="21" t="n">
        <v>7187</v>
      </c>
      <c r="H837" s="22" t="n">
        <v>0.00462867753039274</v>
      </c>
      <c r="I837" s="22" t="n">
        <v>0.000381804708550835</v>
      </c>
      <c r="J837" s="22" t="n">
        <v>0.010508338700507</v>
      </c>
      <c r="K837" s="22" t="n">
        <v>0.000529048677464936</v>
      </c>
      <c r="L837" s="22" t="n">
        <v>0.000138435560634913</v>
      </c>
      <c r="M837" s="22" t="n">
        <v>8.79440159296746E-006</v>
      </c>
      <c r="N837" s="22" t="n">
        <v>0.00531696271565469</v>
      </c>
      <c r="O837" s="22" t="n">
        <v>0.00265773735946909</v>
      </c>
      <c r="P837" s="22" t="n">
        <v>0.00469686839916111</v>
      </c>
      <c r="Q837" s="22" t="n">
        <v>0.014494010508957</v>
      </c>
      <c r="R837" s="22" t="n">
        <v>0.0126076110055679</v>
      </c>
      <c r="S837" s="23" t="n">
        <f aca="false">IF(A837="","",SUM(H837:R837))</f>
        <v>0.0559682895679532</v>
      </c>
      <c r="T837" s="17" t="str">
        <f aca="false">IF(A837="","",IF(AND(MIN(H837:R837)&gt;=0,MAX(H837:R837)&lt;=1,S837&lt;=1),"OK","CHECK"))</f>
        <v>OK</v>
      </c>
      <c r="U837" s="17" t="str">
        <f aca="false">IF(A837="","", "LOSS-"&amp;A837&amp;"-L"&amp;TEXT(B837,"00")&amp;"-"&amp;TEXT(C837,"yyyymmdd")&amp;"-"&amp;D837&amp;"-"&amp;E837)</f>
        <v>LOSS-KG01-L25-20251118-AM-ORD-2025-00288</v>
      </c>
      <c r="V837" s="17" t="str">
        <f aca="false">IF(U837="","",IF(COUNTIF($U$5:$U$935,U837)=1,"OK","CHECK"))</f>
        <v>OK</v>
      </c>
      <c r="W837" s="17" t="str">
        <f aca="false">IF(A837="","",IF(AND(T837="OK",V837="OK",G837&gt;=0),"OK","CHECK"))</f>
        <v>OK</v>
      </c>
    </row>
    <row r="838" customFormat="false" ht="18" hidden="false" customHeight="true" outlineLevel="0" collapsed="false">
      <c r="A838" s="18" t="s">
        <v>39</v>
      </c>
      <c r="B838" s="19" t="n">
        <v>25</v>
      </c>
      <c r="C838" s="20" t="n">
        <v>45979</v>
      </c>
      <c r="D838" s="18" t="s">
        <v>43</v>
      </c>
      <c r="E838" s="18" t="s">
        <v>184</v>
      </c>
      <c r="F838" s="18" t="s">
        <v>42</v>
      </c>
      <c r="G838" s="21" t="n">
        <v>8466</v>
      </c>
      <c r="H838" s="22" t="n">
        <v>0.00394377359682396</v>
      </c>
      <c r="I838" s="22" t="n">
        <v>0.0012663574204628</v>
      </c>
      <c r="J838" s="22" t="n">
        <v>0.000215144680332086</v>
      </c>
      <c r="K838" s="22" t="n">
        <v>0.00422068559749985</v>
      </c>
      <c r="L838" s="22" t="n">
        <v>0.00167423852858879</v>
      </c>
      <c r="M838" s="22" t="n">
        <v>3.47670766688734E-006</v>
      </c>
      <c r="N838" s="22" t="n">
        <v>0.00804397144937749</v>
      </c>
      <c r="O838" s="22" t="n">
        <v>0.000445114734299946</v>
      </c>
      <c r="P838" s="22" t="n">
        <v>0.00851248127923867</v>
      </c>
      <c r="Q838" s="22" t="n">
        <v>0.0117405290860045</v>
      </c>
      <c r="R838" s="22" t="n">
        <v>0.00145376552610802</v>
      </c>
      <c r="S838" s="23" t="n">
        <f aca="false">IF(A838="","",SUM(H838:R838))</f>
        <v>0.041519538606403</v>
      </c>
      <c r="T838" s="17" t="str">
        <f aca="false">IF(A838="","",IF(AND(MIN(H838:R838)&gt;=0,MAX(H838:R838)&lt;=1,S838&lt;=1),"OK","CHECK"))</f>
        <v>OK</v>
      </c>
      <c r="U838" s="17" t="str">
        <f aca="false">IF(A838="","", "LOSS-"&amp;A838&amp;"-L"&amp;TEXT(B838,"00")&amp;"-"&amp;TEXT(C838,"yyyymmdd")&amp;"-"&amp;D838&amp;"-"&amp;E838)</f>
        <v>LOSS-KG01-L25-20251118-PM-ORD-2025-00288</v>
      </c>
      <c r="V838" s="17" t="str">
        <f aca="false">IF(U838="","",IF(COUNTIF($U$5:$U$935,U838)=1,"OK","CHECK"))</f>
        <v>OK</v>
      </c>
      <c r="W838" s="17" t="str">
        <f aca="false">IF(A838="","",IF(AND(T838="OK",V838="OK",G838&gt;=0),"OK","CHECK"))</f>
        <v>OK</v>
      </c>
    </row>
    <row r="839" customFormat="false" ht="18" hidden="false" customHeight="true" outlineLevel="0" collapsed="false">
      <c r="A839" s="18" t="s">
        <v>39</v>
      </c>
      <c r="B839" s="19" t="n">
        <v>25</v>
      </c>
      <c r="C839" s="20" t="n">
        <v>45980</v>
      </c>
      <c r="D839" s="18" t="s">
        <v>40</v>
      </c>
      <c r="E839" s="18" t="s">
        <v>184</v>
      </c>
      <c r="F839" s="18" t="s">
        <v>42</v>
      </c>
      <c r="G839" s="21" t="n">
        <v>14479</v>
      </c>
      <c r="H839" s="22" t="n">
        <v>0.0019979043418965</v>
      </c>
      <c r="I839" s="22" t="n">
        <v>0.00863379128864775</v>
      </c>
      <c r="J839" s="22" t="n">
        <v>0.00906449212274597</v>
      </c>
      <c r="K839" s="22" t="n">
        <v>0.00747500047139116</v>
      </c>
      <c r="L839" s="22" t="n">
        <v>2.10847420797268E-008</v>
      </c>
      <c r="M839" s="22" t="n">
        <v>0.0119535111765369</v>
      </c>
      <c r="N839" s="22" t="n">
        <v>0.00706813820748033</v>
      </c>
      <c r="O839" s="22" t="n">
        <v>0.00446582354336154</v>
      </c>
      <c r="P839" s="22" t="n">
        <v>0.00164480531163001</v>
      </c>
      <c r="Q839" s="22" t="n">
        <v>0.00837904096156628</v>
      </c>
      <c r="R839" s="22" t="n">
        <v>0.00469781448957703</v>
      </c>
      <c r="S839" s="23" t="n">
        <f aca="false">IF(A839="","",SUM(H839:R839))</f>
        <v>0.0653803429995756</v>
      </c>
      <c r="T839" s="17" t="str">
        <f aca="false">IF(A839="","",IF(AND(MIN(H839:R839)&gt;=0,MAX(H839:R839)&lt;=1,S839&lt;=1),"OK","CHECK"))</f>
        <v>OK</v>
      </c>
      <c r="U839" s="17" t="str">
        <f aca="false">IF(A839="","", "LOSS-"&amp;A839&amp;"-L"&amp;TEXT(B839,"00")&amp;"-"&amp;TEXT(C839,"yyyymmdd")&amp;"-"&amp;D839&amp;"-"&amp;E839)</f>
        <v>LOSS-KG01-L25-20251119-AM-ORD-2025-00288</v>
      </c>
      <c r="V839" s="17" t="str">
        <f aca="false">IF(U839="","",IF(COUNTIF($U$5:$U$935,U839)=1,"OK","CHECK"))</f>
        <v>OK</v>
      </c>
      <c r="W839" s="17" t="str">
        <f aca="false">IF(A839="","",IF(AND(T839="OK",V839="OK",G839&gt;=0),"OK","CHECK"))</f>
        <v>OK</v>
      </c>
    </row>
    <row r="840" customFormat="false" ht="18" hidden="false" customHeight="true" outlineLevel="0" collapsed="false">
      <c r="A840" s="18" t="s">
        <v>39</v>
      </c>
      <c r="B840" s="19" t="n">
        <v>25</v>
      </c>
      <c r="C840" s="20" t="n">
        <v>45980</v>
      </c>
      <c r="D840" s="18" t="s">
        <v>43</v>
      </c>
      <c r="E840" s="18" t="s">
        <v>184</v>
      </c>
      <c r="F840" s="18" t="s">
        <v>42</v>
      </c>
      <c r="G840" s="21" t="n">
        <v>8577</v>
      </c>
      <c r="H840" s="22" t="n">
        <v>0.0098813535584069</v>
      </c>
      <c r="I840" s="22" t="n">
        <v>0.00878265005454922</v>
      </c>
      <c r="J840" s="22" t="n">
        <v>0.000763216964804802</v>
      </c>
      <c r="K840" s="22" t="n">
        <v>0.00299984777735442</v>
      </c>
      <c r="L840" s="22" t="n">
        <v>0.000293313650474725</v>
      </c>
      <c r="M840" s="22" t="n">
        <v>0.000530217837175928</v>
      </c>
      <c r="N840" s="22" t="n">
        <v>0.0127431266570613</v>
      </c>
      <c r="O840" s="22" t="n">
        <v>0.00440290652347442</v>
      </c>
      <c r="P840" s="22" t="n">
        <v>0.00424329395385413</v>
      </c>
      <c r="Q840" s="22" t="n">
        <v>0.00218647791892769</v>
      </c>
      <c r="R840" s="22" t="n">
        <v>0.0084734016803188</v>
      </c>
      <c r="S840" s="23" t="n">
        <f aca="false">IF(A840="","",SUM(H840:R840))</f>
        <v>0.0552998065764023</v>
      </c>
      <c r="T840" s="17" t="str">
        <f aca="false">IF(A840="","",IF(AND(MIN(H840:R840)&gt;=0,MAX(H840:R840)&lt;=1,S840&lt;=1),"OK","CHECK"))</f>
        <v>OK</v>
      </c>
      <c r="U840" s="17" t="str">
        <f aca="false">IF(A840="","", "LOSS-"&amp;A840&amp;"-L"&amp;TEXT(B840,"00")&amp;"-"&amp;TEXT(C840,"yyyymmdd")&amp;"-"&amp;D840&amp;"-"&amp;E840)</f>
        <v>LOSS-KG01-L25-20251119-PM-ORD-2025-00288</v>
      </c>
      <c r="V840" s="17" t="str">
        <f aca="false">IF(U840="","",IF(COUNTIF($U$5:$U$935,U840)=1,"OK","CHECK"))</f>
        <v>OK</v>
      </c>
      <c r="W840" s="17" t="str">
        <f aca="false">IF(A840="","",IF(AND(T840="OK",V840="OK",G840&gt;=0),"OK","CHECK"))</f>
        <v>OK</v>
      </c>
    </row>
    <row r="841" customFormat="false" ht="18" hidden="false" customHeight="true" outlineLevel="0" collapsed="false">
      <c r="A841" s="18" t="s">
        <v>39</v>
      </c>
      <c r="B841" s="19" t="n">
        <v>25</v>
      </c>
      <c r="C841" s="20" t="n">
        <v>45981</v>
      </c>
      <c r="D841" s="18" t="s">
        <v>40</v>
      </c>
      <c r="E841" s="18" t="s">
        <v>184</v>
      </c>
      <c r="F841" s="18" t="s">
        <v>42</v>
      </c>
      <c r="G841" s="21" t="n">
        <v>7672</v>
      </c>
      <c r="H841" s="22" t="n">
        <v>0.000235016321599099</v>
      </c>
      <c r="I841" s="22" t="n">
        <v>0.00991007895013627</v>
      </c>
      <c r="J841" s="22" t="n">
        <v>0.00093064072446292</v>
      </c>
      <c r="K841" s="22" t="n">
        <v>7.77171777187909E-005</v>
      </c>
      <c r="L841" s="22" t="n">
        <v>0.00763041590243204</v>
      </c>
      <c r="M841" s="22" t="n">
        <v>0.000337429899212248</v>
      </c>
      <c r="N841" s="22" t="n">
        <v>0.000274456289671442</v>
      </c>
      <c r="O841" s="22" t="n">
        <v>0.0032122798235598</v>
      </c>
      <c r="P841" s="22" t="n">
        <v>4.00680608748192E-005</v>
      </c>
      <c r="Q841" s="22" t="n">
        <v>0.000209696896902757</v>
      </c>
      <c r="R841" s="22" t="n">
        <v>0.00522008020522312</v>
      </c>
      <c r="S841" s="23" t="n">
        <f aca="false">IF(A841="","",SUM(H841:R841))</f>
        <v>0.0280778802517933</v>
      </c>
      <c r="T841" s="17" t="str">
        <f aca="false">IF(A841="","",IF(AND(MIN(H841:R841)&gt;=0,MAX(H841:R841)&lt;=1,S841&lt;=1),"OK","CHECK"))</f>
        <v>OK</v>
      </c>
      <c r="U841" s="17" t="str">
        <f aca="false">IF(A841="","", "LOSS-"&amp;A841&amp;"-L"&amp;TEXT(B841,"00")&amp;"-"&amp;TEXT(C841,"yyyymmdd")&amp;"-"&amp;D841&amp;"-"&amp;E841)</f>
        <v>LOSS-KG01-L25-20251120-AM-ORD-2025-00288</v>
      </c>
      <c r="V841" s="17" t="str">
        <f aca="false">IF(U841="","",IF(COUNTIF($U$5:$U$935,U841)=1,"OK","CHECK"))</f>
        <v>OK</v>
      </c>
      <c r="W841" s="17" t="str">
        <f aca="false">IF(A841="","",IF(AND(T841="OK",V841="OK",G841&gt;=0),"OK","CHECK"))</f>
        <v>OK</v>
      </c>
    </row>
    <row r="842" customFormat="false" ht="18" hidden="false" customHeight="true" outlineLevel="0" collapsed="false">
      <c r="A842" s="18" t="s">
        <v>39</v>
      </c>
      <c r="B842" s="19" t="n">
        <v>25</v>
      </c>
      <c r="C842" s="20" t="n">
        <v>45981</v>
      </c>
      <c r="D842" s="18" t="s">
        <v>43</v>
      </c>
      <c r="E842" s="18" t="s">
        <v>185</v>
      </c>
      <c r="F842" s="18" t="s">
        <v>45</v>
      </c>
      <c r="G842" s="21" t="n">
        <v>640</v>
      </c>
      <c r="H842" s="22" t="n">
        <v>0.0046227674363664</v>
      </c>
      <c r="I842" s="22" t="n">
        <v>0.00625463764477982</v>
      </c>
      <c r="J842" s="22" t="n">
        <v>0.00155432357846184</v>
      </c>
      <c r="K842" s="22" t="n">
        <v>0.000556830944775533</v>
      </c>
      <c r="L842" s="22" t="n">
        <v>0.00772049782754007</v>
      </c>
      <c r="M842" s="22" t="n">
        <v>0.00395093817773969</v>
      </c>
      <c r="N842" s="22" t="n">
        <v>0.0104760608423794</v>
      </c>
      <c r="O842" s="22" t="n">
        <v>0.000146661208802373</v>
      </c>
      <c r="P842" s="22" t="n">
        <v>0.00365504527913168</v>
      </c>
      <c r="Q842" s="22" t="n">
        <v>0.00702372919405513</v>
      </c>
      <c r="R842" s="22" t="n">
        <v>0.00342122391535075</v>
      </c>
      <c r="S842" s="23" t="n">
        <f aca="false">IF(A842="","",SUM(H842:R842))</f>
        <v>0.0493827160493827</v>
      </c>
      <c r="T842" s="17" t="str">
        <f aca="false">IF(A842="","",IF(AND(MIN(H842:R842)&gt;=0,MAX(H842:R842)&lt;=1,S842&lt;=1),"OK","CHECK"))</f>
        <v>OK</v>
      </c>
      <c r="U842" s="17" t="str">
        <f aca="false">IF(A842="","", "LOSS-"&amp;A842&amp;"-L"&amp;TEXT(B842,"00")&amp;"-"&amp;TEXT(C842,"yyyymmdd")&amp;"-"&amp;D842&amp;"-"&amp;E842)</f>
        <v>LOSS-KG01-L25-20251120-PM-ORD-2025-00289</v>
      </c>
      <c r="V842" s="17" t="str">
        <f aca="false">IF(U842="","",IF(COUNTIF($U$5:$U$935,U842)=1,"OK","CHECK"))</f>
        <v>OK</v>
      </c>
      <c r="W842" s="17" t="str">
        <f aca="false">IF(A842="","",IF(AND(T842="OK",V842="OK",G842&gt;=0),"OK","CHECK"))</f>
        <v>OK</v>
      </c>
    </row>
    <row r="843" customFormat="false" ht="18" hidden="false" customHeight="true" outlineLevel="0" collapsed="false">
      <c r="A843" s="18" t="s">
        <v>39</v>
      </c>
      <c r="B843" s="19" t="n">
        <v>25</v>
      </c>
      <c r="C843" s="20" t="n">
        <v>45982</v>
      </c>
      <c r="D843" s="18" t="s">
        <v>40</v>
      </c>
      <c r="E843" s="18" t="s">
        <v>185</v>
      </c>
      <c r="F843" s="18" t="s">
        <v>42</v>
      </c>
      <c r="G843" s="21" t="n">
        <v>18689</v>
      </c>
      <c r="H843" s="22" t="n">
        <v>0.000339219782054808</v>
      </c>
      <c r="I843" s="22" t="n">
        <v>0.0148485892595147</v>
      </c>
      <c r="J843" s="22" t="n">
        <v>0.0056616566444939</v>
      </c>
      <c r="K843" s="22" t="n">
        <v>0.0179341583171865</v>
      </c>
      <c r="L843" s="22" t="n">
        <v>0.000230020671122499</v>
      </c>
      <c r="M843" s="22" t="n">
        <v>0.00204853190317859</v>
      </c>
      <c r="N843" s="22" t="n">
        <v>0.0182299348188871</v>
      </c>
      <c r="O843" s="22" t="n">
        <v>0.00050498110198617</v>
      </c>
      <c r="P843" s="22" t="n">
        <v>0.0154969777246067</v>
      </c>
      <c r="Q843" s="22" t="n">
        <v>0.00801210795345375</v>
      </c>
      <c r="R843" s="22" t="n">
        <v>1.15272599290698E-006</v>
      </c>
      <c r="S843" s="23" t="n">
        <f aca="false">IF(A843="","",SUM(H843:R843))</f>
        <v>0.0833073309024776</v>
      </c>
      <c r="T843" s="17" t="str">
        <f aca="false">IF(A843="","",IF(AND(MIN(H843:R843)&gt;=0,MAX(H843:R843)&lt;=1,S843&lt;=1),"OK","CHECK"))</f>
        <v>OK</v>
      </c>
      <c r="U843" s="17" t="str">
        <f aca="false">IF(A843="","", "LOSS-"&amp;A843&amp;"-L"&amp;TEXT(B843,"00")&amp;"-"&amp;TEXT(C843,"yyyymmdd")&amp;"-"&amp;D843&amp;"-"&amp;E843)</f>
        <v>LOSS-KG01-L25-20251121-AM-ORD-2025-00289</v>
      </c>
      <c r="V843" s="17" t="str">
        <f aca="false">IF(U843="","",IF(COUNTIF($U$5:$U$935,U843)=1,"OK","CHECK"))</f>
        <v>OK</v>
      </c>
      <c r="W843" s="17" t="str">
        <f aca="false">IF(A843="","",IF(AND(T843="OK",V843="OK",G843&gt;=0),"OK","CHECK"))</f>
        <v>OK</v>
      </c>
    </row>
    <row r="844" customFormat="false" ht="18" hidden="false" customHeight="true" outlineLevel="0" collapsed="false">
      <c r="A844" s="18" t="s">
        <v>39</v>
      </c>
      <c r="B844" s="19" t="n">
        <v>25</v>
      </c>
      <c r="C844" s="20" t="n">
        <v>45982</v>
      </c>
      <c r="D844" s="18" t="s">
        <v>43</v>
      </c>
      <c r="E844" s="18" t="s">
        <v>185</v>
      </c>
      <c r="F844" s="18" t="s">
        <v>42</v>
      </c>
      <c r="G844" s="21" t="n">
        <v>13313</v>
      </c>
      <c r="H844" s="22" t="n">
        <v>0.00774755396564485</v>
      </c>
      <c r="I844" s="22" t="n">
        <v>0.011829622714998</v>
      </c>
      <c r="J844" s="22" t="n">
        <v>1.6523925322416E-005</v>
      </c>
      <c r="K844" s="22" t="n">
        <v>5.41979491851308E-005</v>
      </c>
      <c r="L844" s="22" t="n">
        <v>4.47921467657056E-006</v>
      </c>
      <c r="M844" s="22" t="n">
        <v>0.00207845011137025</v>
      </c>
      <c r="N844" s="22" t="n">
        <v>0.0129083013862049</v>
      </c>
      <c r="O844" s="22" t="n">
        <v>0.0144188418574555</v>
      </c>
      <c r="P844" s="22" t="n">
        <v>0.00501992337373257</v>
      </c>
      <c r="Q844" s="22" t="n">
        <v>0.00930397172885666</v>
      </c>
      <c r="R844" s="22" t="n">
        <v>0.00321176903571637</v>
      </c>
      <c r="S844" s="23" t="n">
        <f aca="false">IF(A844="","",SUM(H844:R844))</f>
        <v>0.0665936352631632</v>
      </c>
      <c r="T844" s="17" t="str">
        <f aca="false">IF(A844="","",IF(AND(MIN(H844:R844)&gt;=0,MAX(H844:R844)&lt;=1,S844&lt;=1),"OK","CHECK"))</f>
        <v>OK</v>
      </c>
      <c r="U844" s="17" t="str">
        <f aca="false">IF(A844="","", "LOSS-"&amp;A844&amp;"-L"&amp;TEXT(B844,"00")&amp;"-"&amp;TEXT(C844,"yyyymmdd")&amp;"-"&amp;D844&amp;"-"&amp;E844)</f>
        <v>LOSS-KG01-L25-20251121-PM-ORD-2025-00289</v>
      </c>
      <c r="V844" s="17" t="str">
        <f aca="false">IF(U844="","",IF(COUNTIF($U$5:$U$935,U844)=1,"OK","CHECK"))</f>
        <v>OK</v>
      </c>
      <c r="W844" s="17" t="str">
        <f aca="false">IF(A844="","",IF(AND(T844="OK",V844="OK",G844&gt;=0),"OK","CHECK"))</f>
        <v>OK</v>
      </c>
    </row>
    <row r="845" customFormat="false" ht="18" hidden="false" customHeight="true" outlineLevel="0" collapsed="false">
      <c r="A845" s="18" t="s">
        <v>39</v>
      </c>
      <c r="B845" s="19" t="n">
        <v>25</v>
      </c>
      <c r="C845" s="20" t="n">
        <v>45983</v>
      </c>
      <c r="D845" s="18" t="s">
        <v>40</v>
      </c>
      <c r="E845" s="18" t="s">
        <v>185</v>
      </c>
      <c r="F845" s="18" t="s">
        <v>61</v>
      </c>
      <c r="G845" s="21" t="n">
        <v>29406</v>
      </c>
      <c r="H845" s="22" t="n">
        <v>0.0039233437430048</v>
      </c>
      <c r="I845" s="22" t="n">
        <v>0.0135631239707531</v>
      </c>
      <c r="J845" s="22" t="n">
        <v>0.00850027442431742</v>
      </c>
      <c r="K845" s="22" t="n">
        <v>0.00301351199346927</v>
      </c>
      <c r="L845" s="22" t="n">
        <v>0.00762908196647993</v>
      </c>
      <c r="M845" s="22" t="n">
        <v>0.0132730597363861</v>
      </c>
      <c r="N845" s="22" t="n">
        <v>0.00265354232350509</v>
      </c>
      <c r="O845" s="22" t="n">
        <v>0.00177995884042708</v>
      </c>
      <c r="P845" s="22" t="n">
        <v>0.0155870162545858</v>
      </c>
      <c r="Q845" s="22" t="n">
        <v>0.0195955995799872</v>
      </c>
      <c r="R845" s="22" t="n">
        <v>0.001383271446139</v>
      </c>
      <c r="S845" s="23" t="n">
        <f aca="false">IF(A845="","",SUM(H845:R845))</f>
        <v>0.0909017842790548</v>
      </c>
      <c r="T845" s="17" t="str">
        <f aca="false">IF(A845="","",IF(AND(MIN(H845:R845)&gt;=0,MAX(H845:R845)&lt;=1,S845&lt;=1),"OK","CHECK"))</f>
        <v>OK</v>
      </c>
      <c r="U845" s="17" t="str">
        <f aca="false">IF(A845="","", "LOSS-"&amp;A845&amp;"-L"&amp;TEXT(B845,"00")&amp;"-"&amp;TEXT(C845,"yyyymmdd")&amp;"-"&amp;D845&amp;"-"&amp;E845)</f>
        <v>LOSS-KG01-L25-20251122-AM-ORD-2025-00289</v>
      </c>
      <c r="V845" s="17" t="str">
        <f aca="false">IF(U845="","",IF(COUNTIF($U$5:$U$935,U845)=1,"OK","CHECK"))</f>
        <v>OK</v>
      </c>
      <c r="W845" s="17" t="str">
        <f aca="false">IF(A845="","",IF(AND(T845="OK",V845="OK",G845&gt;=0),"OK","CHECK"))</f>
        <v>OK</v>
      </c>
    </row>
    <row r="846" customFormat="false" ht="18" hidden="false" customHeight="true" outlineLevel="0" collapsed="false">
      <c r="A846" s="18" t="s">
        <v>39</v>
      </c>
      <c r="B846" s="19" t="n">
        <v>25</v>
      </c>
      <c r="C846" s="20" t="n">
        <v>45983</v>
      </c>
      <c r="D846" s="18" t="s">
        <v>43</v>
      </c>
      <c r="E846" s="18" t="s">
        <v>185</v>
      </c>
      <c r="F846" s="18" t="s">
        <v>42</v>
      </c>
      <c r="G846" s="21" t="n">
        <v>24473</v>
      </c>
      <c r="H846" s="22" t="n">
        <v>0.0227864782195994</v>
      </c>
      <c r="I846" s="22" t="n">
        <v>0.000602608778668113</v>
      </c>
      <c r="J846" s="22" t="n">
        <v>0.0211130945174204</v>
      </c>
      <c r="K846" s="22" t="n">
        <v>0.00685952036375464</v>
      </c>
      <c r="L846" s="22" t="n">
        <v>2.40135767937287E-007</v>
      </c>
      <c r="M846" s="22" t="n">
        <v>6.26368064859224E-005</v>
      </c>
      <c r="N846" s="22" t="n">
        <v>0.000113511100177716</v>
      </c>
      <c r="O846" s="22" t="n">
        <v>0.000451850412672561</v>
      </c>
      <c r="P846" s="22" t="n">
        <v>0.0197550088754348</v>
      </c>
      <c r="Q846" s="22" t="n">
        <v>0.000483870831978934</v>
      </c>
      <c r="R846" s="22" t="n">
        <v>0.00138149316205686</v>
      </c>
      <c r="S846" s="23" t="n">
        <f aca="false">IF(A846="","",SUM(H846:R846))</f>
        <v>0.0736103132040173</v>
      </c>
      <c r="T846" s="17" t="str">
        <f aca="false">IF(A846="","",IF(AND(MIN(H846:R846)&gt;=0,MAX(H846:R846)&lt;=1,S846&lt;=1),"OK","CHECK"))</f>
        <v>OK</v>
      </c>
      <c r="U846" s="17" t="str">
        <f aca="false">IF(A846="","", "LOSS-"&amp;A846&amp;"-L"&amp;TEXT(B846,"00")&amp;"-"&amp;TEXT(C846,"yyyymmdd")&amp;"-"&amp;D846&amp;"-"&amp;E846)</f>
        <v>LOSS-KG01-L25-20251122-PM-ORD-2025-00289</v>
      </c>
      <c r="V846" s="17" t="str">
        <f aca="false">IF(U846="","",IF(COUNTIF($U$5:$U$935,U846)=1,"OK","CHECK"))</f>
        <v>OK</v>
      </c>
      <c r="W846" s="17" t="str">
        <f aca="false">IF(A846="","",IF(AND(T846="OK",V846="OK",G846&gt;=0),"OK","CHECK"))</f>
        <v>OK</v>
      </c>
    </row>
    <row r="847" customFormat="false" ht="18" hidden="false" customHeight="true" outlineLevel="0" collapsed="false">
      <c r="A847" s="18" t="s">
        <v>39</v>
      </c>
      <c r="B847" s="19" t="n">
        <v>25</v>
      </c>
      <c r="C847" s="20" t="n">
        <v>45984</v>
      </c>
      <c r="D847" s="18" t="s">
        <v>40</v>
      </c>
      <c r="E847" s="18" t="s">
        <v>185</v>
      </c>
      <c r="F847" s="18" t="s">
        <v>42</v>
      </c>
      <c r="G847" s="21" t="n">
        <v>13464</v>
      </c>
      <c r="H847" s="22" t="n">
        <v>0.0104674966615387</v>
      </c>
      <c r="I847" s="22" t="n">
        <v>0.00874238368411444</v>
      </c>
      <c r="J847" s="22" t="n">
        <v>0.00274201315041624</v>
      </c>
      <c r="K847" s="22" t="n">
        <v>0.000851061684486292</v>
      </c>
      <c r="L847" s="22" t="n">
        <v>0.00325230415920336</v>
      </c>
      <c r="M847" s="22" t="n">
        <v>0.00122863099263883</v>
      </c>
      <c r="N847" s="22" t="n">
        <v>0.0143312787451295</v>
      </c>
      <c r="O847" s="22" t="n">
        <v>0.00385175058991797</v>
      </c>
      <c r="P847" s="22" t="n">
        <v>0.0028933516244989</v>
      </c>
      <c r="Q847" s="22" t="n">
        <v>2.92661456316463E-005</v>
      </c>
      <c r="R847" s="22" t="n">
        <v>2.77672429254344E-006</v>
      </c>
      <c r="S847" s="23" t="n">
        <f aca="false">IF(A847="","",SUM(H847:R847))</f>
        <v>0.0483923141618684</v>
      </c>
      <c r="T847" s="17" t="str">
        <f aca="false">IF(A847="","",IF(AND(MIN(H847:R847)&gt;=0,MAX(H847:R847)&lt;=1,S847&lt;=1),"OK","CHECK"))</f>
        <v>OK</v>
      </c>
      <c r="U847" s="17" t="str">
        <f aca="false">IF(A847="","", "LOSS-"&amp;A847&amp;"-L"&amp;TEXT(B847,"00")&amp;"-"&amp;TEXT(C847,"yyyymmdd")&amp;"-"&amp;D847&amp;"-"&amp;E847)</f>
        <v>LOSS-KG01-L25-20251123-AM-ORD-2025-00289</v>
      </c>
      <c r="V847" s="17" t="str">
        <f aca="false">IF(U847="","",IF(COUNTIF($U$5:$U$935,U847)=1,"OK","CHECK"))</f>
        <v>OK</v>
      </c>
      <c r="W847" s="17" t="str">
        <f aca="false">IF(A847="","",IF(AND(T847="OK",V847="OK",G847&gt;=0),"OK","CHECK"))</f>
        <v>OK</v>
      </c>
    </row>
    <row r="848" customFormat="false" ht="18" hidden="false" customHeight="true" outlineLevel="0" collapsed="false">
      <c r="A848" s="18" t="s">
        <v>39</v>
      </c>
      <c r="B848" s="19" t="n">
        <v>25</v>
      </c>
      <c r="C848" s="20" t="n">
        <v>45984</v>
      </c>
      <c r="D848" s="18" t="s">
        <v>43</v>
      </c>
      <c r="E848" s="18" t="s">
        <v>185</v>
      </c>
      <c r="F848" s="18" t="s">
        <v>42</v>
      </c>
      <c r="G848" s="21" t="n">
        <v>8038</v>
      </c>
      <c r="H848" s="22" t="n">
        <v>0.000126454076856561</v>
      </c>
      <c r="I848" s="22" t="n">
        <v>0.00703635974906097</v>
      </c>
      <c r="J848" s="22" t="n">
        <v>0.00178691176102387</v>
      </c>
      <c r="K848" s="22" t="n">
        <v>0.000153669728368337</v>
      </c>
      <c r="L848" s="22" t="n">
        <v>0.00468060095593341</v>
      </c>
      <c r="M848" s="22" t="n">
        <v>0.0100469575582459</v>
      </c>
      <c r="N848" s="22" t="n">
        <v>0.000155908316581982</v>
      </c>
      <c r="O848" s="22" t="n">
        <v>0.00156472739368959</v>
      </c>
      <c r="P848" s="22" t="n">
        <v>4.92497879288377E-005</v>
      </c>
      <c r="Q848" s="22" t="n">
        <v>9.49745457247278E-005</v>
      </c>
      <c r="R848" s="22" t="n">
        <v>0.0034427884307032</v>
      </c>
      <c r="S848" s="23" t="n">
        <f aca="false">IF(A848="","",SUM(H848:R848))</f>
        <v>0.0291386023041174</v>
      </c>
      <c r="T848" s="17" t="str">
        <f aca="false">IF(A848="","",IF(AND(MIN(H848:R848)&gt;=0,MAX(H848:R848)&lt;=1,S848&lt;=1),"OK","CHECK"))</f>
        <v>OK</v>
      </c>
      <c r="U848" s="17" t="str">
        <f aca="false">IF(A848="","", "LOSS-"&amp;A848&amp;"-L"&amp;TEXT(B848,"00")&amp;"-"&amp;TEXT(C848,"yyyymmdd")&amp;"-"&amp;D848&amp;"-"&amp;E848)</f>
        <v>LOSS-KG01-L25-20251123-PM-ORD-2025-00289</v>
      </c>
      <c r="V848" s="17" t="str">
        <f aca="false">IF(U848="","",IF(COUNTIF($U$5:$U$935,U848)=1,"OK","CHECK"))</f>
        <v>OK</v>
      </c>
      <c r="W848" s="17" t="str">
        <f aca="false">IF(A848="","",IF(AND(T848="OK",V848="OK",G848&gt;=0),"OK","CHECK"))</f>
        <v>OK</v>
      </c>
    </row>
    <row r="849" customFormat="false" ht="18" hidden="false" customHeight="true" outlineLevel="0" collapsed="false">
      <c r="A849" s="18" t="s">
        <v>39</v>
      </c>
      <c r="B849" s="19" t="n">
        <v>25</v>
      </c>
      <c r="C849" s="20" t="n">
        <v>45985</v>
      </c>
      <c r="D849" s="18" t="s">
        <v>40</v>
      </c>
      <c r="E849" s="18" t="s">
        <v>186</v>
      </c>
      <c r="F849" s="18" t="s">
        <v>45</v>
      </c>
      <c r="G849" s="21" t="n">
        <v>584</v>
      </c>
      <c r="H849" s="22" t="n">
        <v>0.00197385211778821</v>
      </c>
      <c r="I849" s="22" t="n">
        <v>0.000122208426309921</v>
      </c>
      <c r="J849" s="22" t="n">
        <v>3.43281728549742E-005</v>
      </c>
      <c r="K849" s="22" t="n">
        <v>0.00600431427326975</v>
      </c>
      <c r="L849" s="22" t="n">
        <v>0.00130432670728838</v>
      </c>
      <c r="M849" s="22" t="n">
        <v>0.0110966528852606</v>
      </c>
      <c r="N849" s="22" t="n">
        <v>0.00781490904377832</v>
      </c>
      <c r="O849" s="22" t="n">
        <v>0.000978818090164253</v>
      </c>
      <c r="P849" s="22" t="n">
        <v>0.0111240216967122</v>
      </c>
      <c r="Q849" s="22" t="n">
        <v>0.010758214719128</v>
      </c>
      <c r="R849" s="22" t="n">
        <v>0.00286242794151959</v>
      </c>
      <c r="S849" s="23" t="n">
        <f aca="false">IF(A849="","",SUM(H849:R849))</f>
        <v>0.0540740740740742</v>
      </c>
      <c r="T849" s="17" t="str">
        <f aca="false">IF(A849="","",IF(AND(MIN(H849:R849)&gt;=0,MAX(H849:R849)&lt;=1,S849&lt;=1),"OK","CHECK"))</f>
        <v>OK</v>
      </c>
      <c r="U849" s="17" t="str">
        <f aca="false">IF(A849="","", "LOSS-"&amp;A849&amp;"-L"&amp;TEXT(B849,"00")&amp;"-"&amp;TEXT(C849,"yyyymmdd")&amp;"-"&amp;D849&amp;"-"&amp;E849)</f>
        <v>LOSS-KG01-L25-20251124-AM-ORD-2025-00290</v>
      </c>
      <c r="V849" s="17" t="str">
        <f aca="false">IF(U849="","",IF(COUNTIF($U$5:$U$935,U849)=1,"OK","CHECK"))</f>
        <v>OK</v>
      </c>
      <c r="W849" s="17" t="str">
        <f aca="false">IF(A849="","",IF(AND(T849="OK",V849="OK",G849&gt;=0),"OK","CHECK"))</f>
        <v>OK</v>
      </c>
    </row>
    <row r="850" customFormat="false" ht="18" hidden="false" customHeight="true" outlineLevel="0" collapsed="false">
      <c r="A850" s="18" t="s">
        <v>39</v>
      </c>
      <c r="B850" s="19" t="n">
        <v>25</v>
      </c>
      <c r="C850" s="20" t="n">
        <v>45985</v>
      </c>
      <c r="D850" s="18" t="s">
        <v>43</v>
      </c>
      <c r="E850" s="18" t="s">
        <v>186</v>
      </c>
      <c r="F850" s="18" t="s">
        <v>42</v>
      </c>
      <c r="G850" s="21" t="n">
        <v>13509</v>
      </c>
      <c r="H850" s="22" t="n">
        <v>0.00141264128204018</v>
      </c>
      <c r="I850" s="22" t="n">
        <v>0.00569677327611573</v>
      </c>
      <c r="J850" s="22" t="n">
        <v>0.00046296340007549</v>
      </c>
      <c r="K850" s="22" t="n">
        <v>0.00137129803691528</v>
      </c>
      <c r="L850" s="22" t="n">
        <v>1.07831391059868E-005</v>
      </c>
      <c r="M850" s="22" t="n">
        <v>0.00671955124701094</v>
      </c>
      <c r="N850" s="22" t="n">
        <v>0.00432170780888686</v>
      </c>
      <c r="O850" s="22" t="n">
        <v>0.0262159250610152</v>
      </c>
      <c r="P850" s="22" t="n">
        <v>0.0162380399541661</v>
      </c>
      <c r="Q850" s="22" t="n">
        <v>0.00708654876392729</v>
      </c>
      <c r="R850" s="22" t="n">
        <v>0.0175624140655573</v>
      </c>
      <c r="S850" s="23" t="n">
        <f aca="false">IF(A850="","",SUM(H850:R850))</f>
        <v>0.0870986460348164</v>
      </c>
      <c r="T850" s="17" t="str">
        <f aca="false">IF(A850="","",IF(AND(MIN(H850:R850)&gt;=0,MAX(H850:R850)&lt;=1,S850&lt;=1),"OK","CHECK"))</f>
        <v>OK</v>
      </c>
      <c r="U850" s="17" t="str">
        <f aca="false">IF(A850="","", "LOSS-"&amp;A850&amp;"-L"&amp;TEXT(B850,"00")&amp;"-"&amp;TEXT(C850,"yyyymmdd")&amp;"-"&amp;D850&amp;"-"&amp;E850)</f>
        <v>LOSS-KG01-L25-20251124-PM-ORD-2025-00290</v>
      </c>
      <c r="V850" s="17" t="str">
        <f aca="false">IF(U850="","",IF(COUNTIF($U$5:$U$935,U850)=1,"OK","CHECK"))</f>
        <v>OK</v>
      </c>
      <c r="W850" s="17" t="str">
        <f aca="false">IF(A850="","",IF(AND(T850="OK",V850="OK",G850&gt;=0),"OK","CHECK"))</f>
        <v>OK</v>
      </c>
    </row>
    <row r="851" customFormat="false" ht="18" hidden="false" customHeight="true" outlineLevel="0" collapsed="false">
      <c r="A851" s="18" t="s">
        <v>39</v>
      </c>
      <c r="B851" s="19" t="n">
        <v>25</v>
      </c>
      <c r="C851" s="20" t="n">
        <v>45986</v>
      </c>
      <c r="D851" s="18" t="s">
        <v>40</v>
      </c>
      <c r="E851" s="18" t="s">
        <v>186</v>
      </c>
      <c r="F851" s="18" t="s">
        <v>42</v>
      </c>
      <c r="G851" s="21" t="n">
        <v>11284</v>
      </c>
      <c r="H851" s="22" t="n">
        <v>0.00563773345240517</v>
      </c>
      <c r="I851" s="22" t="n">
        <v>0.00390523082774192</v>
      </c>
      <c r="J851" s="22" t="n">
        <v>0.000663785775255646</v>
      </c>
      <c r="K851" s="22" t="n">
        <v>0.00499693072642543</v>
      </c>
      <c r="L851" s="22" t="n">
        <v>0.00176707129464645</v>
      </c>
      <c r="M851" s="22" t="n">
        <v>0.0158550956721188</v>
      </c>
      <c r="N851" s="22" t="n">
        <v>0.0102450965282213</v>
      </c>
      <c r="O851" s="22" t="n">
        <v>0.00957692056261248</v>
      </c>
      <c r="P851" s="22" t="n">
        <v>0.00584389558556693</v>
      </c>
      <c r="Q851" s="22" t="n">
        <v>0.000388933926751279</v>
      </c>
      <c r="R851" s="22" t="n">
        <v>0.0104041076916774</v>
      </c>
      <c r="S851" s="23" t="n">
        <f aca="false">IF(A851="","",SUM(H851:R851))</f>
        <v>0.0692848020434228</v>
      </c>
      <c r="T851" s="17" t="str">
        <f aca="false">IF(A851="","",IF(AND(MIN(H851:R851)&gt;=0,MAX(H851:R851)&lt;=1,S851&lt;=1),"OK","CHECK"))</f>
        <v>OK</v>
      </c>
      <c r="U851" s="17" t="str">
        <f aca="false">IF(A851="","", "LOSS-"&amp;A851&amp;"-L"&amp;TEXT(B851,"00")&amp;"-"&amp;TEXT(C851,"yyyymmdd")&amp;"-"&amp;D851&amp;"-"&amp;E851)</f>
        <v>LOSS-KG01-L25-20251125-AM-ORD-2025-00290</v>
      </c>
      <c r="V851" s="17" t="str">
        <f aca="false">IF(U851="","",IF(COUNTIF($U$5:$U$935,U851)=1,"OK","CHECK"))</f>
        <v>OK</v>
      </c>
      <c r="W851" s="17" t="str">
        <f aca="false">IF(A851="","",IF(AND(T851="OK",V851="OK",G851&gt;=0),"OK","CHECK"))</f>
        <v>OK</v>
      </c>
    </row>
    <row r="852" customFormat="false" ht="18" hidden="false" customHeight="true" outlineLevel="0" collapsed="false">
      <c r="A852" s="18" t="s">
        <v>39</v>
      </c>
      <c r="B852" s="19" t="n">
        <v>25</v>
      </c>
      <c r="C852" s="20" t="n">
        <v>45986</v>
      </c>
      <c r="D852" s="18" t="s">
        <v>43</v>
      </c>
      <c r="E852" s="18" t="s">
        <v>186</v>
      </c>
      <c r="F852" s="18" t="s">
        <v>42</v>
      </c>
      <c r="G852" s="21" t="n">
        <v>15883</v>
      </c>
      <c r="H852" s="22" t="n">
        <v>0.0161341335384446</v>
      </c>
      <c r="I852" s="22" t="n">
        <v>0.0155627905080291</v>
      </c>
      <c r="J852" s="22" t="n">
        <v>0.0128672384716541</v>
      </c>
      <c r="K852" s="22" t="n">
        <v>0.0144903804103426</v>
      </c>
      <c r="L852" s="22" t="n">
        <v>0.0034933126819664</v>
      </c>
      <c r="M852" s="22" t="n">
        <v>0.000405997222605577</v>
      </c>
      <c r="N852" s="22" t="n">
        <v>0.00228443574891553</v>
      </c>
      <c r="O852" s="22" t="n">
        <v>7.51667419559318E-005</v>
      </c>
      <c r="P852" s="22" t="n">
        <v>0.00105939397874096</v>
      </c>
      <c r="Q852" s="22" t="n">
        <v>0.00034979135997325</v>
      </c>
      <c r="R852" s="22" t="n">
        <v>0.0133449098742476</v>
      </c>
      <c r="S852" s="23" t="n">
        <f aca="false">IF(A852="","",SUM(H852:R852))</f>
        <v>0.0800675505368756</v>
      </c>
      <c r="T852" s="17" t="str">
        <f aca="false">IF(A852="","",IF(AND(MIN(H852:R852)&gt;=0,MAX(H852:R852)&lt;=1,S852&lt;=1),"OK","CHECK"))</f>
        <v>OK</v>
      </c>
      <c r="U852" s="17" t="str">
        <f aca="false">IF(A852="","", "LOSS-"&amp;A852&amp;"-L"&amp;TEXT(B852,"00")&amp;"-"&amp;TEXT(C852,"yyyymmdd")&amp;"-"&amp;D852&amp;"-"&amp;E852)</f>
        <v>LOSS-KG01-L25-20251125-PM-ORD-2025-00290</v>
      </c>
      <c r="V852" s="17" t="str">
        <f aca="false">IF(U852="","",IF(COUNTIF($U$5:$U$935,U852)=1,"OK","CHECK"))</f>
        <v>OK</v>
      </c>
      <c r="W852" s="17" t="str">
        <f aca="false">IF(A852="","",IF(AND(T852="OK",V852="OK",G852&gt;=0),"OK","CHECK"))</f>
        <v>OK</v>
      </c>
    </row>
    <row r="853" customFormat="false" ht="18" hidden="false" customHeight="true" outlineLevel="0" collapsed="false">
      <c r="A853" s="18" t="s">
        <v>39</v>
      </c>
      <c r="B853" s="19" t="n">
        <v>25</v>
      </c>
      <c r="C853" s="20" t="n">
        <v>45987</v>
      </c>
      <c r="D853" s="18" t="s">
        <v>40</v>
      </c>
      <c r="E853" s="18" t="s">
        <v>187</v>
      </c>
      <c r="F853" s="18" t="s">
        <v>45</v>
      </c>
      <c r="G853" s="21" t="n">
        <v>6693</v>
      </c>
      <c r="H853" s="22" t="n">
        <v>1.38728324205537E-005</v>
      </c>
      <c r="I853" s="22" t="n">
        <v>0.000127673856378005</v>
      </c>
      <c r="J853" s="22" t="n">
        <v>0.00272472596790318</v>
      </c>
      <c r="K853" s="22" t="n">
        <v>0.00662569097089299</v>
      </c>
      <c r="L853" s="22" t="n">
        <v>0.00038636349640463</v>
      </c>
      <c r="M853" s="22" t="n">
        <v>0.0358651575968041</v>
      </c>
      <c r="N853" s="22" t="n">
        <v>0.0151305738420193</v>
      </c>
      <c r="O853" s="22" t="n">
        <v>2.3939088295612E-005</v>
      </c>
      <c r="P853" s="22" t="n">
        <v>0.000177071494204734</v>
      </c>
      <c r="Q853" s="22" t="n">
        <v>0.000522449703572772</v>
      </c>
      <c r="R853" s="22" t="n">
        <v>0.00769178183954552</v>
      </c>
      <c r="S853" s="23" t="n">
        <f aca="false">IF(A853="","",SUM(H853:R853))</f>
        <v>0.0692893006884414</v>
      </c>
      <c r="T853" s="17" t="str">
        <f aca="false">IF(A853="","",IF(AND(MIN(H853:R853)&gt;=0,MAX(H853:R853)&lt;=1,S853&lt;=1),"OK","CHECK"))</f>
        <v>OK</v>
      </c>
      <c r="U853" s="17" t="str">
        <f aca="false">IF(A853="","", "LOSS-"&amp;A853&amp;"-L"&amp;TEXT(B853,"00")&amp;"-"&amp;TEXT(C853,"yyyymmdd")&amp;"-"&amp;D853&amp;"-"&amp;E853)</f>
        <v>LOSS-KG01-L25-20251126-AM-ORD-2025-00291</v>
      </c>
      <c r="V853" s="17" t="str">
        <f aca="false">IF(U853="","",IF(COUNTIF($U$5:$U$935,U853)=1,"OK","CHECK"))</f>
        <v>OK</v>
      </c>
      <c r="W853" s="17" t="str">
        <f aca="false">IF(A853="","",IF(AND(T853="OK",V853="OK",G853&gt;=0),"OK","CHECK"))</f>
        <v>OK</v>
      </c>
    </row>
    <row r="854" customFormat="false" ht="18" hidden="false" customHeight="true" outlineLevel="0" collapsed="false">
      <c r="A854" s="18" t="s">
        <v>39</v>
      </c>
      <c r="B854" s="19" t="n">
        <v>25</v>
      </c>
      <c r="C854" s="20" t="n">
        <v>45987</v>
      </c>
      <c r="D854" s="18" t="s">
        <v>43</v>
      </c>
      <c r="E854" s="18" t="s">
        <v>187</v>
      </c>
      <c r="F854" s="18" t="s">
        <v>42</v>
      </c>
      <c r="G854" s="21" t="n">
        <v>12028</v>
      </c>
      <c r="H854" s="22" t="n">
        <v>0.00227884990952894</v>
      </c>
      <c r="I854" s="22" t="n">
        <v>0.00211039071312753</v>
      </c>
      <c r="J854" s="22" t="n">
        <v>0.00807026223076747</v>
      </c>
      <c r="K854" s="22" t="n">
        <v>1.34790938522188E-005</v>
      </c>
      <c r="L854" s="22" t="n">
        <v>0.00542066133021376</v>
      </c>
      <c r="M854" s="22" t="n">
        <v>0.000666750413954198</v>
      </c>
      <c r="N854" s="22" t="n">
        <v>0.000537909945332923</v>
      </c>
      <c r="O854" s="22" t="n">
        <v>0.00570286580368431</v>
      </c>
      <c r="P854" s="22" t="n">
        <v>0.00294438774055437</v>
      </c>
      <c r="Q854" s="22" t="n">
        <v>0.0065053362170092</v>
      </c>
      <c r="R854" s="22" t="n">
        <v>0.00306165972614139</v>
      </c>
      <c r="S854" s="23" t="n">
        <f aca="false">IF(A854="","",SUM(H854:R854))</f>
        <v>0.0373125531241663</v>
      </c>
      <c r="T854" s="17" t="str">
        <f aca="false">IF(A854="","",IF(AND(MIN(H854:R854)&gt;=0,MAX(H854:R854)&lt;=1,S854&lt;=1),"OK","CHECK"))</f>
        <v>OK</v>
      </c>
      <c r="U854" s="17" t="str">
        <f aca="false">IF(A854="","", "LOSS-"&amp;A854&amp;"-L"&amp;TEXT(B854,"00")&amp;"-"&amp;TEXT(C854,"yyyymmdd")&amp;"-"&amp;D854&amp;"-"&amp;E854)</f>
        <v>LOSS-KG01-L25-20251126-PM-ORD-2025-00291</v>
      </c>
      <c r="V854" s="17" t="str">
        <f aca="false">IF(U854="","",IF(COUNTIF($U$5:$U$935,U854)=1,"OK","CHECK"))</f>
        <v>OK</v>
      </c>
      <c r="W854" s="17" t="str">
        <f aca="false">IF(A854="","",IF(AND(T854="OK",V854="OK",G854&gt;=0),"OK","CHECK"))</f>
        <v>OK</v>
      </c>
    </row>
    <row r="855" customFormat="false" ht="18" hidden="false" customHeight="true" outlineLevel="0" collapsed="false">
      <c r="A855" s="18" t="s">
        <v>39</v>
      </c>
      <c r="B855" s="19" t="n">
        <v>25</v>
      </c>
      <c r="C855" s="20" t="n">
        <v>45988</v>
      </c>
      <c r="D855" s="18" t="s">
        <v>40</v>
      </c>
      <c r="E855" s="18" t="s">
        <v>187</v>
      </c>
      <c r="F855" s="18" t="s">
        <v>42</v>
      </c>
      <c r="G855" s="21" t="n">
        <v>12469</v>
      </c>
      <c r="H855" s="22" t="n">
        <v>0.012709516292806</v>
      </c>
      <c r="I855" s="22" t="n">
        <v>0.0129860471067359</v>
      </c>
      <c r="J855" s="22" t="n">
        <v>0.0125828778126877</v>
      </c>
      <c r="K855" s="22" t="n">
        <v>0.00855252285806755</v>
      </c>
      <c r="L855" s="22" t="n">
        <v>0.00257493110025601</v>
      </c>
      <c r="M855" s="22" t="n">
        <v>0.0115661903674909</v>
      </c>
      <c r="N855" s="22" t="n">
        <v>0.0129941792703865</v>
      </c>
      <c r="O855" s="22" t="n">
        <v>0.00260146271278446</v>
      </c>
      <c r="P855" s="22" t="n">
        <v>0.000768564892453304</v>
      </c>
      <c r="Q855" s="22" t="n">
        <v>0.00169383274424467</v>
      </c>
      <c r="R855" s="22" t="n">
        <v>0.00961688640906823</v>
      </c>
      <c r="S855" s="23" t="n">
        <f aca="false">IF(A855="","",SUM(H855:R855))</f>
        <v>0.0886470115669812</v>
      </c>
      <c r="T855" s="17" t="str">
        <f aca="false">IF(A855="","",IF(AND(MIN(H855:R855)&gt;=0,MAX(H855:R855)&lt;=1,S855&lt;=1),"OK","CHECK"))</f>
        <v>OK</v>
      </c>
      <c r="U855" s="17" t="str">
        <f aca="false">IF(A855="","", "LOSS-"&amp;A855&amp;"-L"&amp;TEXT(B855,"00")&amp;"-"&amp;TEXT(C855,"yyyymmdd")&amp;"-"&amp;D855&amp;"-"&amp;E855)</f>
        <v>LOSS-KG01-L25-20251127-AM-ORD-2025-00291</v>
      </c>
      <c r="V855" s="17" t="str">
        <f aca="false">IF(U855="","",IF(COUNTIF($U$5:$U$935,U855)=1,"OK","CHECK"))</f>
        <v>OK</v>
      </c>
      <c r="W855" s="17" t="str">
        <f aca="false">IF(A855="","",IF(AND(T855="OK",V855="OK",G855&gt;=0),"OK","CHECK"))</f>
        <v>OK</v>
      </c>
    </row>
    <row r="856" customFormat="false" ht="18" hidden="false" customHeight="true" outlineLevel="0" collapsed="false">
      <c r="A856" s="18" t="s">
        <v>39</v>
      </c>
      <c r="B856" s="19" t="n">
        <v>25</v>
      </c>
      <c r="C856" s="20" t="n">
        <v>45988</v>
      </c>
      <c r="D856" s="18" t="s">
        <v>43</v>
      </c>
      <c r="E856" s="18" t="s">
        <v>187</v>
      </c>
      <c r="F856" s="18" t="s">
        <v>42</v>
      </c>
      <c r="G856" s="21" t="n">
        <v>8012</v>
      </c>
      <c r="H856" s="22" t="n">
        <v>1.8908521056857E-005</v>
      </c>
      <c r="I856" s="22" t="n">
        <v>0.00457732421697667</v>
      </c>
      <c r="J856" s="22" t="n">
        <v>0.0055040117133421</v>
      </c>
      <c r="K856" s="22" t="n">
        <v>0.00470689913410981</v>
      </c>
      <c r="L856" s="22" t="n">
        <v>0.00325070481696705</v>
      </c>
      <c r="M856" s="22" t="n">
        <v>0.0109639582654547</v>
      </c>
      <c r="N856" s="22" t="n">
        <v>0.00807819420919214</v>
      </c>
      <c r="O856" s="22" t="n">
        <v>0.0036867967673189</v>
      </c>
      <c r="P856" s="22" t="n">
        <v>0.00319752395076737</v>
      </c>
      <c r="Q856" s="22" t="n">
        <v>0.000658698205100568</v>
      </c>
      <c r="R856" s="22" t="n">
        <v>5.58264651397532E-005</v>
      </c>
      <c r="S856" s="23" t="n">
        <f aca="false">IF(A856="","",SUM(H856:R856))</f>
        <v>0.0446988462654259</v>
      </c>
      <c r="T856" s="17" t="str">
        <f aca="false">IF(A856="","",IF(AND(MIN(H856:R856)&gt;=0,MAX(H856:R856)&lt;=1,S856&lt;=1),"OK","CHECK"))</f>
        <v>OK</v>
      </c>
      <c r="U856" s="17" t="str">
        <f aca="false">IF(A856="","", "LOSS-"&amp;A856&amp;"-L"&amp;TEXT(B856,"00")&amp;"-"&amp;TEXT(C856,"yyyymmdd")&amp;"-"&amp;D856&amp;"-"&amp;E856)</f>
        <v>LOSS-KG01-L25-20251127-PM-ORD-2025-00291</v>
      </c>
      <c r="V856" s="17" t="str">
        <f aca="false">IF(U856="","",IF(COUNTIF($U$5:$U$935,U856)=1,"OK","CHECK"))</f>
        <v>OK</v>
      </c>
      <c r="W856" s="17" t="str">
        <f aca="false">IF(A856="","",IF(AND(T856="OK",V856="OK",G856&gt;=0),"OK","CHECK"))</f>
        <v>OK</v>
      </c>
    </row>
    <row r="857" customFormat="false" ht="18" hidden="false" customHeight="true" outlineLevel="0" collapsed="false">
      <c r="A857" s="18" t="s">
        <v>39</v>
      </c>
      <c r="B857" s="19" t="n">
        <v>25</v>
      </c>
      <c r="C857" s="20" t="n">
        <v>45989</v>
      </c>
      <c r="D857" s="18" t="s">
        <v>40</v>
      </c>
      <c r="E857" s="18" t="s">
        <v>188</v>
      </c>
      <c r="F857" s="18" t="s">
        <v>45</v>
      </c>
      <c r="G857" s="21" t="n">
        <v>1245</v>
      </c>
      <c r="H857" s="22" t="n">
        <v>0.00261108277370756</v>
      </c>
      <c r="I857" s="22" t="n">
        <v>0.00234507829161947</v>
      </c>
      <c r="J857" s="22" t="n">
        <v>0.000176021571853278</v>
      </c>
      <c r="K857" s="22" t="n">
        <v>0.00209123508491684</v>
      </c>
      <c r="L857" s="22" t="n">
        <v>0.00442394641141459</v>
      </c>
      <c r="M857" s="22" t="n">
        <v>0.0068424009945424</v>
      </c>
      <c r="N857" s="22" t="n">
        <v>0.000126726115781323</v>
      </c>
      <c r="O857" s="22" t="n">
        <v>0.0100331694230661</v>
      </c>
      <c r="P857" s="22" t="n">
        <v>0.0111073837996957</v>
      </c>
      <c r="Q857" s="22" t="n">
        <v>0.000268098929261626</v>
      </c>
      <c r="R857" s="22" t="n">
        <v>0.00286152556728262</v>
      </c>
      <c r="S857" s="23" t="n">
        <f aca="false">IF(A857="","",SUM(H857:R857))</f>
        <v>0.0428866689631415</v>
      </c>
      <c r="T857" s="17" t="str">
        <f aca="false">IF(A857="","",IF(AND(MIN(H857:R857)&gt;=0,MAX(H857:R857)&lt;=1,S857&lt;=1),"OK","CHECK"))</f>
        <v>OK</v>
      </c>
      <c r="U857" s="17" t="str">
        <f aca="false">IF(A857="","", "LOSS-"&amp;A857&amp;"-L"&amp;TEXT(B857,"00")&amp;"-"&amp;TEXT(C857,"yyyymmdd")&amp;"-"&amp;D857&amp;"-"&amp;E857)</f>
        <v>LOSS-KG01-L25-20251128-AM-ORD-2025-00292</v>
      </c>
      <c r="V857" s="17" t="str">
        <f aca="false">IF(U857="","",IF(COUNTIF($U$5:$U$935,U857)=1,"OK","CHECK"))</f>
        <v>OK</v>
      </c>
      <c r="W857" s="17" t="str">
        <f aca="false">IF(A857="","",IF(AND(T857="OK",V857="OK",G857&gt;=0),"OK","CHECK"))</f>
        <v>OK</v>
      </c>
    </row>
    <row r="858" customFormat="false" ht="18" hidden="false" customHeight="true" outlineLevel="0" collapsed="false">
      <c r="A858" s="18" t="s">
        <v>39</v>
      </c>
      <c r="B858" s="19" t="n">
        <v>25</v>
      </c>
      <c r="C858" s="20" t="n">
        <v>45989</v>
      </c>
      <c r="D858" s="18" t="s">
        <v>43</v>
      </c>
      <c r="E858" s="18" t="s">
        <v>188</v>
      </c>
      <c r="F858" s="18" t="s">
        <v>61</v>
      </c>
      <c r="G858" s="21" t="n">
        <v>6058</v>
      </c>
      <c r="H858" s="22" t="n">
        <v>0.00950225752874228</v>
      </c>
      <c r="I858" s="22" t="n">
        <v>0.00246363484340806</v>
      </c>
      <c r="J858" s="22" t="n">
        <v>0.00341471131327373</v>
      </c>
      <c r="K858" s="22" t="n">
        <v>0.000645363490331703</v>
      </c>
      <c r="L858" s="22" t="n">
        <v>0.00723051564140482</v>
      </c>
      <c r="M858" s="22" t="n">
        <v>0.00608396712113193</v>
      </c>
      <c r="N858" s="22" t="n">
        <v>0.00199896926973992</v>
      </c>
      <c r="O858" s="22" t="n">
        <v>0.000465965291803441</v>
      </c>
      <c r="P858" s="22" t="n">
        <v>0.00496989226927249</v>
      </c>
      <c r="Q858" s="22" t="n">
        <v>0.00278178361117159</v>
      </c>
      <c r="R858" s="22" t="n">
        <v>0.00365757181740309</v>
      </c>
      <c r="S858" s="23" t="n">
        <f aca="false">IF(A858="","",SUM(H858:R858))</f>
        <v>0.0432146321976831</v>
      </c>
      <c r="T858" s="17" t="str">
        <f aca="false">IF(A858="","",IF(AND(MIN(H858:R858)&gt;=0,MAX(H858:R858)&lt;=1,S858&lt;=1),"OK","CHECK"))</f>
        <v>OK</v>
      </c>
      <c r="U858" s="17" t="str">
        <f aca="false">IF(A858="","", "LOSS-"&amp;A858&amp;"-L"&amp;TEXT(B858,"00")&amp;"-"&amp;TEXT(C858,"yyyymmdd")&amp;"-"&amp;D858&amp;"-"&amp;E858)</f>
        <v>LOSS-KG01-L25-20251128-PM-ORD-2025-00292</v>
      </c>
      <c r="V858" s="17" t="str">
        <f aca="false">IF(U858="","",IF(COUNTIF($U$5:$U$935,U858)=1,"OK","CHECK"))</f>
        <v>OK</v>
      </c>
      <c r="W858" s="17" t="str">
        <f aca="false">IF(A858="","",IF(AND(T858="OK",V858="OK",G858&gt;=0),"OK","CHECK"))</f>
        <v>OK</v>
      </c>
    </row>
    <row r="859" customFormat="false" ht="18" hidden="false" customHeight="true" outlineLevel="0" collapsed="false">
      <c r="A859" s="18" t="s">
        <v>39</v>
      </c>
      <c r="B859" s="19" t="n">
        <v>25</v>
      </c>
      <c r="C859" s="20" t="n">
        <v>45990</v>
      </c>
      <c r="D859" s="18" t="s">
        <v>40</v>
      </c>
      <c r="E859" s="18" t="s">
        <v>188</v>
      </c>
      <c r="F859" s="18" t="s">
        <v>42</v>
      </c>
      <c r="G859" s="21" t="n">
        <v>16023</v>
      </c>
      <c r="H859" s="22" t="n">
        <v>0.00168492506381137</v>
      </c>
      <c r="I859" s="22" t="n">
        <v>0.0065143401436544</v>
      </c>
      <c r="J859" s="22" t="n">
        <v>0.000261702155492129</v>
      </c>
      <c r="K859" s="22" t="n">
        <v>0.00751456344122942</v>
      </c>
      <c r="L859" s="22" t="n">
        <v>0.0131288968549183</v>
      </c>
      <c r="M859" s="22" t="n">
        <v>9.04813869946093E-005</v>
      </c>
      <c r="N859" s="22" t="n">
        <v>0.013639143516777</v>
      </c>
      <c r="O859" s="22" t="n">
        <v>0.00140620505330214</v>
      </c>
      <c r="P859" s="22" t="n">
        <v>0.0157328028289372</v>
      </c>
      <c r="Q859" s="22" t="n">
        <v>0.0145004978708087</v>
      </c>
      <c r="R859" s="22" t="n">
        <v>0.0184144751685208</v>
      </c>
      <c r="S859" s="23" t="n">
        <f aca="false">IF(A859="","",SUM(H859:R859))</f>
        <v>0.0928880334844461</v>
      </c>
      <c r="T859" s="17" t="str">
        <f aca="false">IF(A859="","",IF(AND(MIN(H859:R859)&gt;=0,MAX(H859:R859)&lt;=1,S859&lt;=1),"OK","CHECK"))</f>
        <v>OK</v>
      </c>
      <c r="U859" s="17" t="str">
        <f aca="false">IF(A859="","", "LOSS-"&amp;A859&amp;"-L"&amp;TEXT(B859,"00")&amp;"-"&amp;TEXT(C859,"yyyymmdd")&amp;"-"&amp;D859&amp;"-"&amp;E859)</f>
        <v>LOSS-KG01-L25-20251129-AM-ORD-2025-00292</v>
      </c>
      <c r="V859" s="17" t="str">
        <f aca="false">IF(U859="","",IF(COUNTIF($U$5:$U$935,U859)=1,"OK","CHECK"))</f>
        <v>OK</v>
      </c>
      <c r="W859" s="17" t="str">
        <f aca="false">IF(A859="","",IF(AND(T859="OK",V859="OK",G859&gt;=0),"OK","CHECK"))</f>
        <v>OK</v>
      </c>
    </row>
    <row r="860" customFormat="false" ht="18" hidden="false" customHeight="true" outlineLevel="0" collapsed="false">
      <c r="A860" s="18" t="s">
        <v>39</v>
      </c>
      <c r="B860" s="19" t="n">
        <v>25</v>
      </c>
      <c r="C860" s="20" t="n">
        <v>45990</v>
      </c>
      <c r="D860" s="18" t="s">
        <v>43</v>
      </c>
      <c r="E860" s="18" t="s">
        <v>188</v>
      </c>
      <c r="F860" s="18" t="s">
        <v>42</v>
      </c>
      <c r="G860" s="21" t="n">
        <v>8522</v>
      </c>
      <c r="H860" s="22" t="n">
        <v>0.000278215474296666</v>
      </c>
      <c r="I860" s="22" t="n">
        <v>0.000656196536859431</v>
      </c>
      <c r="J860" s="22" t="n">
        <v>3.71220187680257E-005</v>
      </c>
      <c r="K860" s="22" t="n">
        <v>0.00303203068563435</v>
      </c>
      <c r="L860" s="22" t="n">
        <v>0.0116742421571534</v>
      </c>
      <c r="M860" s="22" t="n">
        <v>0.0101803197604881</v>
      </c>
      <c r="N860" s="22" t="n">
        <v>0.000159549677523236</v>
      </c>
      <c r="O860" s="22" t="n">
        <v>0.00240966365763466</v>
      </c>
      <c r="P860" s="22" t="n">
        <v>0.010102729033737</v>
      </c>
      <c r="Q860" s="22" t="n">
        <v>0.00623592009717205</v>
      </c>
      <c r="R860" s="22" t="n">
        <v>0.00620778829569911</v>
      </c>
      <c r="S860" s="23" t="n">
        <f aca="false">IF(A860="","",SUM(H860:R860))</f>
        <v>0.050973777394966</v>
      </c>
      <c r="T860" s="17" t="str">
        <f aca="false">IF(A860="","",IF(AND(MIN(H860:R860)&gt;=0,MAX(H860:R860)&lt;=1,S860&lt;=1),"OK","CHECK"))</f>
        <v>OK</v>
      </c>
      <c r="U860" s="17" t="str">
        <f aca="false">IF(A860="","", "LOSS-"&amp;A860&amp;"-L"&amp;TEXT(B860,"00")&amp;"-"&amp;TEXT(C860,"yyyymmdd")&amp;"-"&amp;D860&amp;"-"&amp;E860)</f>
        <v>LOSS-KG01-L25-20251129-PM-ORD-2025-00292</v>
      </c>
      <c r="V860" s="17" t="str">
        <f aca="false">IF(U860="","",IF(COUNTIF($U$5:$U$935,U860)=1,"OK","CHECK"))</f>
        <v>OK</v>
      </c>
      <c r="W860" s="17" t="str">
        <f aca="false">IF(A860="","",IF(AND(T860="OK",V860="OK",G860&gt;=0),"OK","CHECK"))</f>
        <v>OK</v>
      </c>
    </row>
    <row r="861" customFormat="false" ht="18" hidden="false" customHeight="true" outlineLevel="0" collapsed="false">
      <c r="A861" s="18" t="s">
        <v>39</v>
      </c>
      <c r="B861" s="19" t="n">
        <v>25</v>
      </c>
      <c r="C861" s="20" t="n">
        <v>45991</v>
      </c>
      <c r="D861" s="18" t="s">
        <v>40</v>
      </c>
      <c r="E861" s="18" t="s">
        <v>188</v>
      </c>
      <c r="F861" s="18" t="s">
        <v>42</v>
      </c>
      <c r="G861" s="21" t="n">
        <v>15695</v>
      </c>
      <c r="H861" s="22" t="n">
        <v>0.00652931007456306</v>
      </c>
      <c r="I861" s="22" t="n">
        <v>0.0071567676166491</v>
      </c>
      <c r="J861" s="22" t="n">
        <v>0.00110483193680224</v>
      </c>
      <c r="K861" s="22" t="n">
        <v>0.0118440113273176</v>
      </c>
      <c r="L861" s="22" t="n">
        <v>0.0133475580789162</v>
      </c>
      <c r="M861" s="22" t="n">
        <v>0.0048869037351364</v>
      </c>
      <c r="N861" s="22" t="n">
        <v>0.0155413756380872</v>
      </c>
      <c r="O861" s="22" t="n">
        <v>0.000114915811964434</v>
      </c>
      <c r="P861" s="22" t="n">
        <v>0.00223866790068876</v>
      </c>
      <c r="Q861" s="22" t="n">
        <v>0.00808160782595692</v>
      </c>
      <c r="R861" s="22" t="n">
        <v>0.0062100635651095</v>
      </c>
      <c r="S861" s="23" t="n">
        <f aca="false">IF(A861="","",SUM(H861:R861))</f>
        <v>0.0770560135111914</v>
      </c>
      <c r="T861" s="17" t="str">
        <f aca="false">IF(A861="","",IF(AND(MIN(H861:R861)&gt;=0,MAX(H861:R861)&lt;=1,S861&lt;=1),"OK","CHECK"))</f>
        <v>OK</v>
      </c>
      <c r="U861" s="17" t="str">
        <f aca="false">IF(A861="","", "LOSS-"&amp;A861&amp;"-L"&amp;TEXT(B861,"00")&amp;"-"&amp;TEXT(C861,"yyyymmdd")&amp;"-"&amp;D861&amp;"-"&amp;E861)</f>
        <v>LOSS-KG01-L25-20251130-AM-ORD-2025-00292</v>
      </c>
      <c r="V861" s="17" t="str">
        <f aca="false">IF(U861="","",IF(COUNTIF($U$5:$U$935,U861)=1,"OK","CHECK"))</f>
        <v>OK</v>
      </c>
      <c r="W861" s="17" t="str">
        <f aca="false">IF(A861="","",IF(AND(T861="OK",V861="OK",G861&gt;=0),"OK","CHECK"))</f>
        <v>OK</v>
      </c>
    </row>
    <row r="862" customFormat="false" ht="18" hidden="false" customHeight="true" outlineLevel="0" collapsed="false">
      <c r="A862" s="18" t="s">
        <v>39</v>
      </c>
      <c r="B862" s="19" t="n">
        <v>25</v>
      </c>
      <c r="C862" s="20" t="n">
        <v>45991</v>
      </c>
      <c r="D862" s="18" t="s">
        <v>43</v>
      </c>
      <c r="E862" s="18" t="s">
        <v>188</v>
      </c>
      <c r="F862" s="18" t="s">
        <v>42</v>
      </c>
      <c r="G862" s="21" t="n">
        <v>8254</v>
      </c>
      <c r="H862" s="22" t="n">
        <v>0.00172418482120405</v>
      </c>
      <c r="I862" s="22" t="n">
        <v>0.00166752664047005</v>
      </c>
      <c r="J862" s="22" t="n">
        <v>0.00646201931282246</v>
      </c>
      <c r="K862" s="22" t="n">
        <v>0.00224032127058937</v>
      </c>
      <c r="L862" s="22" t="n">
        <v>0.00531756655094036</v>
      </c>
      <c r="M862" s="22" t="n">
        <v>0.00527767131758135</v>
      </c>
      <c r="N862" s="22" t="n">
        <v>4.56884157743296E-005</v>
      </c>
      <c r="O862" s="22" t="n">
        <v>0.00129444624547163</v>
      </c>
      <c r="P862" s="22" t="n">
        <v>3.29178267057882E-006</v>
      </c>
      <c r="Q862" s="22" t="n">
        <v>0.004582775627423</v>
      </c>
      <c r="R862" s="22" t="n">
        <v>0.00166219408673033</v>
      </c>
      <c r="S862" s="23" t="n">
        <f aca="false">IF(A862="","",SUM(H862:R862))</f>
        <v>0.0302776860716775</v>
      </c>
      <c r="T862" s="17" t="str">
        <f aca="false">IF(A862="","",IF(AND(MIN(H862:R862)&gt;=0,MAX(H862:R862)&lt;=1,S862&lt;=1),"OK","CHECK"))</f>
        <v>OK</v>
      </c>
      <c r="U862" s="17" t="str">
        <f aca="false">IF(A862="","", "LOSS-"&amp;A862&amp;"-L"&amp;TEXT(B862,"00")&amp;"-"&amp;TEXT(C862,"yyyymmdd")&amp;"-"&amp;D862&amp;"-"&amp;E862)</f>
        <v>LOSS-KG01-L25-20251130-PM-ORD-2025-00292</v>
      </c>
      <c r="V862" s="17" t="str">
        <f aca="false">IF(U862="","",IF(COUNTIF($U$5:$U$935,U862)=1,"OK","CHECK"))</f>
        <v>OK</v>
      </c>
      <c r="W862" s="17" t="str">
        <f aca="false">IF(A862="","",IF(AND(T862="OK",V862="OK",G862&gt;=0),"OK","CHECK"))</f>
        <v>OK</v>
      </c>
    </row>
    <row r="863" customFormat="false" ht="18" hidden="false" customHeight="true" outlineLevel="0" collapsed="false">
      <c r="A863" s="18" t="s">
        <v>39</v>
      </c>
      <c r="B863" s="19" t="n">
        <v>25</v>
      </c>
      <c r="C863" s="20" t="n">
        <v>45992</v>
      </c>
      <c r="D863" s="18" t="s">
        <v>40</v>
      </c>
      <c r="E863" s="18" t="s">
        <v>189</v>
      </c>
      <c r="F863" s="18" t="s">
        <v>45</v>
      </c>
      <c r="G863" s="21" t="n">
        <v>9403</v>
      </c>
      <c r="H863" s="22" t="n">
        <v>0.0105571242948393</v>
      </c>
      <c r="I863" s="22" t="n">
        <v>0.00256689915701668</v>
      </c>
      <c r="J863" s="22" t="n">
        <v>0.0133768471543696</v>
      </c>
      <c r="K863" s="22" t="n">
        <v>2.85056009908699E-005</v>
      </c>
      <c r="L863" s="22" t="n">
        <v>0.0205735306528769</v>
      </c>
      <c r="M863" s="22" t="n">
        <v>0.00015241823267206</v>
      </c>
      <c r="N863" s="22" t="n">
        <v>0.00913440183075687</v>
      </c>
      <c r="O863" s="22" t="n">
        <v>0.00486700054525347</v>
      </c>
      <c r="P863" s="22" t="n">
        <v>0.00206717875799497</v>
      </c>
      <c r="Q863" s="22" t="n">
        <v>0.00875363242937695</v>
      </c>
      <c r="R863" s="22" t="n">
        <v>0.000789645150800513</v>
      </c>
      <c r="S863" s="23" t="n">
        <f aca="false">IF(A863="","",SUM(H863:R863))</f>
        <v>0.0728671838069482</v>
      </c>
      <c r="T863" s="17" t="str">
        <f aca="false">IF(A863="","",IF(AND(MIN(H863:R863)&gt;=0,MAX(H863:R863)&lt;=1,S863&lt;=1),"OK","CHECK"))</f>
        <v>OK</v>
      </c>
      <c r="U863" s="17" t="str">
        <f aca="false">IF(A863="","", "LOSS-"&amp;A863&amp;"-L"&amp;TEXT(B863,"00")&amp;"-"&amp;TEXT(C863,"yyyymmdd")&amp;"-"&amp;D863&amp;"-"&amp;E863)</f>
        <v>LOSS-KG01-L25-20251201-AM-ORD-2025-00293</v>
      </c>
      <c r="V863" s="17" t="str">
        <f aca="false">IF(U863="","",IF(COUNTIF($U$5:$U$935,U863)=1,"OK","CHECK"))</f>
        <v>OK</v>
      </c>
      <c r="W863" s="17" t="str">
        <f aca="false">IF(A863="","",IF(AND(T863="OK",V863="OK",G863&gt;=0),"OK","CHECK"))</f>
        <v>OK</v>
      </c>
    </row>
    <row r="864" customFormat="false" ht="18" hidden="false" customHeight="true" outlineLevel="0" collapsed="false">
      <c r="A864" s="18" t="s">
        <v>39</v>
      </c>
      <c r="B864" s="19" t="n">
        <v>25</v>
      </c>
      <c r="C864" s="20" t="n">
        <v>45992</v>
      </c>
      <c r="D864" s="18" t="s">
        <v>43</v>
      </c>
      <c r="E864" s="18" t="s">
        <v>189</v>
      </c>
      <c r="F864" s="18" t="s">
        <v>42</v>
      </c>
      <c r="G864" s="21" t="n">
        <v>6682</v>
      </c>
      <c r="H864" s="22" t="n">
        <v>0.00013887387594024</v>
      </c>
      <c r="I864" s="22" t="n">
        <v>0.00861035618347619</v>
      </c>
      <c r="J864" s="22" t="n">
        <v>0.00749647673406771</v>
      </c>
      <c r="K864" s="22" t="n">
        <v>0.00261669667127547</v>
      </c>
      <c r="L864" s="22" t="n">
        <v>0.0052235010941149</v>
      </c>
      <c r="M864" s="22" t="n">
        <v>0.000522068165750343</v>
      </c>
      <c r="N864" s="22" t="n">
        <v>0.00927858040335973</v>
      </c>
      <c r="O864" s="22" t="n">
        <v>0.00908443823713821</v>
      </c>
      <c r="P864" s="22" t="n">
        <v>0.00134208083596642</v>
      </c>
      <c r="Q864" s="22" t="n">
        <v>0.00835229686839589</v>
      </c>
      <c r="R864" s="22" t="n">
        <v>0.00279151531926086</v>
      </c>
      <c r="S864" s="23" t="n">
        <f aca="false">IF(A864="","",SUM(H864:R864))</f>
        <v>0.055456884388746</v>
      </c>
      <c r="T864" s="17" t="str">
        <f aca="false">IF(A864="","",IF(AND(MIN(H864:R864)&gt;=0,MAX(H864:R864)&lt;=1,S864&lt;=1),"OK","CHECK"))</f>
        <v>OK</v>
      </c>
      <c r="U864" s="17" t="str">
        <f aca="false">IF(A864="","", "LOSS-"&amp;A864&amp;"-L"&amp;TEXT(B864,"00")&amp;"-"&amp;TEXT(C864,"yyyymmdd")&amp;"-"&amp;D864&amp;"-"&amp;E864)</f>
        <v>LOSS-KG01-L25-20251201-PM-ORD-2025-00293</v>
      </c>
      <c r="V864" s="17" t="str">
        <f aca="false">IF(U864="","",IF(COUNTIF($U$5:$U$935,U864)=1,"OK","CHECK"))</f>
        <v>OK</v>
      </c>
      <c r="W864" s="17" t="str">
        <f aca="false">IF(A864="","",IF(AND(T864="OK",V864="OK",G864&gt;=0),"OK","CHECK"))</f>
        <v>OK</v>
      </c>
    </row>
    <row r="865" customFormat="false" ht="18" hidden="false" customHeight="true" outlineLevel="0" collapsed="false">
      <c r="A865" s="18" t="s">
        <v>39</v>
      </c>
      <c r="B865" s="19" t="n">
        <v>25</v>
      </c>
      <c r="C865" s="20" t="n">
        <v>45993</v>
      </c>
      <c r="D865" s="18" t="s">
        <v>40</v>
      </c>
      <c r="E865" s="18" t="s">
        <v>189</v>
      </c>
      <c r="F865" s="18" t="s">
        <v>42</v>
      </c>
      <c r="G865" s="21" t="n">
        <v>5947</v>
      </c>
      <c r="H865" s="22" t="n">
        <v>6.09243212066829E-005</v>
      </c>
      <c r="I865" s="22" t="n">
        <v>1.05595195603366E-005</v>
      </c>
      <c r="J865" s="22" t="n">
        <v>0.0046661293841838</v>
      </c>
      <c r="K865" s="22" t="n">
        <v>0.0028054600106912</v>
      </c>
      <c r="L865" s="22" t="n">
        <v>0.00164003878389742</v>
      </c>
      <c r="M865" s="22" t="n">
        <v>0.00710765445991593</v>
      </c>
      <c r="N865" s="22" t="n">
        <v>0.0109882145438437</v>
      </c>
      <c r="O865" s="22" t="n">
        <v>0.000517297803564872</v>
      </c>
      <c r="P865" s="22" t="n">
        <v>0.000570881990947074</v>
      </c>
      <c r="Q865" s="22" t="n">
        <v>0.00507802736391111</v>
      </c>
      <c r="R865" s="22" t="n">
        <v>0.00143539552698657</v>
      </c>
      <c r="S865" s="23" t="n">
        <f aca="false">IF(A865="","",SUM(H865:R865))</f>
        <v>0.0348805837087087</v>
      </c>
      <c r="T865" s="17" t="str">
        <f aca="false">IF(A865="","",IF(AND(MIN(H865:R865)&gt;=0,MAX(H865:R865)&lt;=1,S865&lt;=1),"OK","CHECK"))</f>
        <v>OK</v>
      </c>
      <c r="U865" s="17" t="str">
        <f aca="false">IF(A865="","", "LOSS-"&amp;A865&amp;"-L"&amp;TEXT(B865,"00")&amp;"-"&amp;TEXT(C865,"yyyymmdd")&amp;"-"&amp;D865&amp;"-"&amp;E865)</f>
        <v>LOSS-KG01-L25-20251202-AM-ORD-2025-00293</v>
      </c>
      <c r="V865" s="17" t="str">
        <f aca="false">IF(U865="","",IF(COUNTIF($U$5:$U$935,U865)=1,"OK","CHECK"))</f>
        <v>OK</v>
      </c>
      <c r="W865" s="17" t="str">
        <f aca="false">IF(A865="","",IF(AND(T865="OK",V865="OK",G865&gt;=0),"OK","CHECK"))</f>
        <v>OK</v>
      </c>
    </row>
    <row r="866" customFormat="false" ht="18" hidden="false" customHeight="true" outlineLevel="0" collapsed="false">
      <c r="A866" s="18" t="s">
        <v>39</v>
      </c>
      <c r="B866" s="19" t="n">
        <v>25</v>
      </c>
      <c r="C866" s="20" t="n">
        <v>45993</v>
      </c>
      <c r="D866" s="18" t="s">
        <v>43</v>
      </c>
      <c r="E866" s="18" t="s">
        <v>189</v>
      </c>
      <c r="F866" s="18" t="s">
        <v>42</v>
      </c>
      <c r="G866" s="21" t="n">
        <v>14556</v>
      </c>
      <c r="H866" s="22" t="n">
        <v>0.00249903875363557</v>
      </c>
      <c r="I866" s="22" t="n">
        <v>0.00898561529453244</v>
      </c>
      <c r="J866" s="22" t="n">
        <v>0.00685804258999403</v>
      </c>
      <c r="K866" s="22" t="n">
        <v>0.0134122112292688</v>
      </c>
      <c r="L866" s="22" t="n">
        <v>0.00401178150756046</v>
      </c>
      <c r="M866" s="22" t="n">
        <v>0.00383760148354972</v>
      </c>
      <c r="N866" s="22" t="n">
        <v>0.0102627468528783</v>
      </c>
      <c r="O866" s="22" t="n">
        <v>0.00112391515678978</v>
      </c>
      <c r="P866" s="22" t="n">
        <v>0.000420217194820965</v>
      </c>
      <c r="Q866" s="22" t="n">
        <v>0.00690800092115849</v>
      </c>
      <c r="R866" s="22" t="n">
        <v>0.00481461747684949</v>
      </c>
      <c r="S866" s="23" t="n">
        <f aca="false">IF(A866="","",SUM(H866:R866))</f>
        <v>0.063133788461038</v>
      </c>
      <c r="T866" s="17" t="str">
        <f aca="false">IF(A866="","",IF(AND(MIN(H866:R866)&gt;=0,MAX(H866:R866)&lt;=1,S866&lt;=1),"OK","CHECK"))</f>
        <v>OK</v>
      </c>
      <c r="U866" s="17" t="str">
        <f aca="false">IF(A866="","", "LOSS-"&amp;A866&amp;"-L"&amp;TEXT(B866,"00")&amp;"-"&amp;TEXT(C866,"yyyymmdd")&amp;"-"&amp;D866&amp;"-"&amp;E866)</f>
        <v>LOSS-KG01-L25-20251202-PM-ORD-2025-00293</v>
      </c>
      <c r="V866" s="17" t="str">
        <f aca="false">IF(U866="","",IF(COUNTIF($U$5:$U$935,U866)=1,"OK","CHECK"))</f>
        <v>OK</v>
      </c>
      <c r="W866" s="17" t="str">
        <f aca="false">IF(A866="","",IF(AND(T866="OK",V866="OK",G866&gt;=0),"OK","CHECK"))</f>
        <v>OK</v>
      </c>
    </row>
    <row r="867" customFormat="false" ht="18" hidden="false" customHeight="true" outlineLevel="0" collapsed="false">
      <c r="A867" s="18" t="s">
        <v>39</v>
      </c>
      <c r="B867" s="19" t="n">
        <v>25</v>
      </c>
      <c r="C867" s="20" t="n">
        <v>45994</v>
      </c>
      <c r="D867" s="18" t="s">
        <v>40</v>
      </c>
      <c r="E867" s="18" t="s">
        <v>189</v>
      </c>
      <c r="F867" s="18" t="s">
        <v>42</v>
      </c>
      <c r="G867" s="21" t="n">
        <v>13615</v>
      </c>
      <c r="H867" s="22" t="n">
        <v>0.00320993172048944</v>
      </c>
      <c r="I867" s="22" t="n">
        <v>0.00270574825646972</v>
      </c>
      <c r="J867" s="22" t="n">
        <v>0.00712965567667204</v>
      </c>
      <c r="K867" s="22" t="n">
        <v>0.00421893573293818</v>
      </c>
      <c r="L867" s="22" t="n">
        <v>0.0125783853315341</v>
      </c>
      <c r="M867" s="22" t="n">
        <v>0.0109048259800191</v>
      </c>
      <c r="N867" s="22" t="n">
        <v>0.00286903545632796</v>
      </c>
      <c r="O867" s="22" t="n">
        <v>0.00508780979253711</v>
      </c>
      <c r="P867" s="22" t="n">
        <v>0.000899315152959512</v>
      </c>
      <c r="Q867" s="22" t="n">
        <v>0.00436967511098653</v>
      </c>
      <c r="R867" s="22" t="n">
        <v>0.000662828726793626</v>
      </c>
      <c r="S867" s="23" t="n">
        <f aca="false">IF(A867="","",SUM(H867:R867))</f>
        <v>0.0546361469377273</v>
      </c>
      <c r="T867" s="17" t="str">
        <f aca="false">IF(A867="","",IF(AND(MIN(H867:R867)&gt;=0,MAX(H867:R867)&lt;=1,S867&lt;=1),"OK","CHECK"))</f>
        <v>OK</v>
      </c>
      <c r="U867" s="17" t="str">
        <f aca="false">IF(A867="","", "LOSS-"&amp;A867&amp;"-L"&amp;TEXT(B867,"00")&amp;"-"&amp;TEXT(C867,"yyyymmdd")&amp;"-"&amp;D867&amp;"-"&amp;E867)</f>
        <v>LOSS-KG01-L25-20251203-AM-ORD-2025-00293</v>
      </c>
      <c r="V867" s="17" t="str">
        <f aca="false">IF(U867="","",IF(COUNTIF($U$5:$U$935,U867)=1,"OK","CHECK"))</f>
        <v>OK</v>
      </c>
      <c r="W867" s="17" t="str">
        <f aca="false">IF(A867="","",IF(AND(T867="OK",V867="OK",G867&gt;=0),"OK","CHECK"))</f>
        <v>OK</v>
      </c>
    </row>
    <row r="868" customFormat="false" ht="18" hidden="false" customHeight="true" outlineLevel="0" collapsed="false">
      <c r="A868" s="18" t="s">
        <v>39</v>
      </c>
      <c r="B868" s="19" t="n">
        <v>25</v>
      </c>
      <c r="C868" s="20" t="n">
        <v>45994</v>
      </c>
      <c r="D868" s="18" t="s">
        <v>43</v>
      </c>
      <c r="E868" s="18" t="s">
        <v>190</v>
      </c>
      <c r="F868" s="18" t="s">
        <v>45</v>
      </c>
      <c r="G868" s="21" t="n">
        <v>567</v>
      </c>
      <c r="H868" s="22" t="n">
        <v>0.000255767212332118</v>
      </c>
      <c r="I868" s="22" t="n">
        <v>0.0150571946461392</v>
      </c>
      <c r="J868" s="22" t="n">
        <v>0.00014387391368454</v>
      </c>
      <c r="K868" s="22" t="n">
        <v>0.00620910107079433</v>
      </c>
      <c r="L868" s="22" t="n">
        <v>0.000232790470846317</v>
      </c>
      <c r="M868" s="22" t="n">
        <v>0.00335640491496868</v>
      </c>
      <c r="N868" s="22" t="n">
        <v>0.00449565453276505</v>
      </c>
      <c r="O868" s="22" t="n">
        <v>0.00560213005952983</v>
      </c>
      <c r="P868" s="22" t="n">
        <v>0.00113242143471282</v>
      </c>
      <c r="Q868" s="22" t="n">
        <v>0.00437195378916186</v>
      </c>
      <c r="R868" s="22" t="n">
        <v>0.00836145795506524</v>
      </c>
      <c r="S868" s="23" t="n">
        <f aca="false">IF(A868="","",SUM(H868:R868))</f>
        <v>0.04921875</v>
      </c>
      <c r="T868" s="17" t="str">
        <f aca="false">IF(A868="","",IF(AND(MIN(H868:R868)&gt;=0,MAX(H868:R868)&lt;=1,S868&lt;=1),"OK","CHECK"))</f>
        <v>OK</v>
      </c>
      <c r="U868" s="17" t="str">
        <f aca="false">IF(A868="","", "LOSS-"&amp;A868&amp;"-L"&amp;TEXT(B868,"00")&amp;"-"&amp;TEXT(C868,"yyyymmdd")&amp;"-"&amp;D868&amp;"-"&amp;E868)</f>
        <v>LOSS-KG01-L25-20251203-PM-ORD-2025-00294</v>
      </c>
      <c r="V868" s="17" t="str">
        <f aca="false">IF(U868="","",IF(COUNTIF($U$5:$U$935,U868)=1,"OK","CHECK"))</f>
        <v>OK</v>
      </c>
      <c r="W868" s="17" t="str">
        <f aca="false">IF(A868="","",IF(AND(T868="OK",V868="OK",G868&gt;=0),"OK","CHECK"))</f>
        <v>OK</v>
      </c>
    </row>
    <row r="869" customFormat="false" ht="18" hidden="false" customHeight="true" outlineLevel="0" collapsed="false">
      <c r="A869" s="18" t="s">
        <v>39</v>
      </c>
      <c r="B869" s="19" t="n">
        <v>25</v>
      </c>
      <c r="C869" s="20" t="n">
        <v>45995</v>
      </c>
      <c r="D869" s="18" t="s">
        <v>40</v>
      </c>
      <c r="E869" s="18" t="s">
        <v>190</v>
      </c>
      <c r="F869" s="18" t="s">
        <v>42</v>
      </c>
      <c r="G869" s="21" t="n">
        <v>4328</v>
      </c>
      <c r="H869" s="22" t="n">
        <v>0.00302102927156773</v>
      </c>
      <c r="I869" s="22" t="n">
        <v>0.00141448599293496</v>
      </c>
      <c r="J869" s="22" t="n">
        <v>0.00023217695875823</v>
      </c>
      <c r="K869" s="22" t="n">
        <v>0.00241507831020203</v>
      </c>
      <c r="L869" s="22" t="n">
        <v>0.000579331913583759</v>
      </c>
      <c r="M869" s="22" t="n">
        <v>0.00280495296640257</v>
      </c>
      <c r="N869" s="22" t="n">
        <v>0.00097900345402336</v>
      </c>
      <c r="O869" s="22" t="n">
        <v>0.00294221490131193</v>
      </c>
      <c r="P869" s="22" t="n">
        <v>0.0029936764456612</v>
      </c>
      <c r="Q869" s="22" t="n">
        <v>0.00207492771595168</v>
      </c>
      <c r="R869" s="22" t="n">
        <v>0.000732702604010673</v>
      </c>
      <c r="S869" s="23" t="n">
        <f aca="false">IF(A869="","",SUM(H869:R869))</f>
        <v>0.0201895805344081</v>
      </c>
      <c r="T869" s="17" t="str">
        <f aca="false">IF(A869="","",IF(AND(MIN(H869:R869)&gt;=0,MAX(H869:R869)&lt;=1,S869&lt;=1),"OK","CHECK"))</f>
        <v>OK</v>
      </c>
      <c r="U869" s="17" t="str">
        <f aca="false">IF(A869="","", "LOSS-"&amp;A869&amp;"-L"&amp;TEXT(B869,"00")&amp;"-"&amp;TEXT(C869,"yyyymmdd")&amp;"-"&amp;D869&amp;"-"&amp;E869)</f>
        <v>LOSS-KG01-L25-20251204-AM-ORD-2025-00294</v>
      </c>
      <c r="V869" s="17" t="str">
        <f aca="false">IF(U869="","",IF(COUNTIF($U$5:$U$935,U869)=1,"OK","CHECK"))</f>
        <v>OK</v>
      </c>
      <c r="W869" s="17" t="str">
        <f aca="false">IF(A869="","",IF(AND(T869="OK",V869="OK",G869&gt;=0),"OK","CHECK"))</f>
        <v>OK</v>
      </c>
    </row>
    <row r="870" customFormat="false" ht="18" hidden="false" customHeight="true" outlineLevel="0" collapsed="false">
      <c r="A870" s="18" t="s">
        <v>39</v>
      </c>
      <c r="B870" s="19" t="n">
        <v>25</v>
      </c>
      <c r="C870" s="20" t="n">
        <v>45995</v>
      </c>
      <c r="D870" s="18" t="s">
        <v>43</v>
      </c>
      <c r="E870" s="18" t="s">
        <v>190</v>
      </c>
      <c r="F870" s="18" t="s">
        <v>42</v>
      </c>
      <c r="G870" s="21" t="n">
        <v>3240</v>
      </c>
      <c r="H870" s="22" t="n">
        <v>0.000656803814964965</v>
      </c>
      <c r="I870" s="22" t="n">
        <v>1.56242514197366E-005</v>
      </c>
      <c r="J870" s="22" t="n">
        <v>0.00280086875491834</v>
      </c>
      <c r="K870" s="22" t="n">
        <v>0.00136148784287014</v>
      </c>
      <c r="L870" s="22" t="n">
        <v>0.00313354425667226</v>
      </c>
      <c r="M870" s="22" t="n">
        <v>0.00534082833738911</v>
      </c>
      <c r="N870" s="22" t="n">
        <v>0.00108454539578232</v>
      </c>
      <c r="O870" s="22" t="n">
        <v>0.002289813539286</v>
      </c>
      <c r="P870" s="22" t="n">
        <v>0.0039740987378116</v>
      </c>
      <c r="Q870" s="22" t="n">
        <v>0.00670325332032982</v>
      </c>
      <c r="R870" s="22" t="n">
        <v>0.00141151026517975</v>
      </c>
      <c r="S870" s="23" t="n">
        <f aca="false">IF(A870="","",SUM(H870:R870))</f>
        <v>0.028772378516624</v>
      </c>
      <c r="T870" s="17" t="str">
        <f aca="false">IF(A870="","",IF(AND(MIN(H870:R870)&gt;=0,MAX(H870:R870)&lt;=1,S870&lt;=1),"OK","CHECK"))</f>
        <v>OK</v>
      </c>
      <c r="U870" s="17" t="str">
        <f aca="false">IF(A870="","", "LOSS-"&amp;A870&amp;"-L"&amp;TEXT(B870,"00")&amp;"-"&amp;TEXT(C870,"yyyymmdd")&amp;"-"&amp;D870&amp;"-"&amp;E870)</f>
        <v>LOSS-KG01-L25-20251204-PM-ORD-2025-00294</v>
      </c>
      <c r="V870" s="17" t="str">
        <f aca="false">IF(U870="","",IF(COUNTIF($U$5:$U$935,U870)=1,"OK","CHECK"))</f>
        <v>OK</v>
      </c>
      <c r="W870" s="17" t="str">
        <f aca="false">IF(A870="","",IF(AND(T870="OK",V870="OK",G870&gt;=0),"OK","CHECK"))</f>
        <v>OK</v>
      </c>
    </row>
    <row r="871" customFormat="false" ht="18" hidden="false" customHeight="true" outlineLevel="0" collapsed="false">
      <c r="A871" s="18" t="s">
        <v>39</v>
      </c>
      <c r="B871" s="19" t="n">
        <v>25</v>
      </c>
      <c r="C871" s="20" t="n">
        <v>45996</v>
      </c>
      <c r="D871" s="18" t="s">
        <v>40</v>
      </c>
      <c r="E871" s="18" t="s">
        <v>190</v>
      </c>
      <c r="F871" s="18" t="s">
        <v>42</v>
      </c>
      <c r="G871" s="21" t="n">
        <v>14832</v>
      </c>
      <c r="H871" s="22" t="n">
        <v>0.0017574257658723</v>
      </c>
      <c r="I871" s="22" t="n">
        <v>0.00652088552438258</v>
      </c>
      <c r="J871" s="22" t="n">
        <v>0.00057304026202252</v>
      </c>
      <c r="K871" s="22" t="n">
        <v>0.00490835343274296</v>
      </c>
      <c r="L871" s="22" t="n">
        <v>0.000582598588379898</v>
      </c>
      <c r="M871" s="22" t="n">
        <v>0.00284547072546608</v>
      </c>
      <c r="N871" s="22" t="n">
        <v>0.00370939856981738</v>
      </c>
      <c r="O871" s="22" t="n">
        <v>0.000636015366084785</v>
      </c>
      <c r="P871" s="22" t="n">
        <v>0.0216983476602184</v>
      </c>
      <c r="Q871" s="22" t="n">
        <v>0.00837773813768129</v>
      </c>
      <c r="R871" s="22" t="n">
        <v>0.00147248877430916</v>
      </c>
      <c r="S871" s="23" t="n">
        <f aca="false">IF(A871="","",SUM(H871:R871))</f>
        <v>0.0530817628069774</v>
      </c>
      <c r="T871" s="17" t="str">
        <f aca="false">IF(A871="","",IF(AND(MIN(H871:R871)&gt;=0,MAX(H871:R871)&lt;=1,S871&lt;=1),"OK","CHECK"))</f>
        <v>OK</v>
      </c>
      <c r="U871" s="17" t="str">
        <f aca="false">IF(A871="","", "LOSS-"&amp;A871&amp;"-L"&amp;TEXT(B871,"00")&amp;"-"&amp;TEXT(C871,"yyyymmdd")&amp;"-"&amp;D871&amp;"-"&amp;E871)</f>
        <v>LOSS-KG01-L25-20251205-AM-ORD-2025-00294</v>
      </c>
      <c r="V871" s="17" t="str">
        <f aca="false">IF(U871="","",IF(COUNTIF($U$5:$U$935,U871)=1,"OK","CHECK"))</f>
        <v>OK</v>
      </c>
      <c r="W871" s="17" t="str">
        <f aca="false">IF(A871="","",IF(AND(T871="OK",V871="OK",G871&gt;=0),"OK","CHECK"))</f>
        <v>OK</v>
      </c>
    </row>
    <row r="872" customFormat="false" ht="18" hidden="false" customHeight="true" outlineLevel="0" collapsed="false">
      <c r="A872" s="18" t="s">
        <v>39</v>
      </c>
      <c r="B872" s="19" t="n">
        <v>25</v>
      </c>
      <c r="C872" s="20" t="n">
        <v>45996</v>
      </c>
      <c r="D872" s="18" t="s">
        <v>43</v>
      </c>
      <c r="E872" s="18" t="s">
        <v>191</v>
      </c>
      <c r="F872" s="18" t="s">
        <v>45</v>
      </c>
      <c r="G872" s="21" t="n">
        <v>1119</v>
      </c>
      <c r="H872" s="22" t="n">
        <v>0.00841019150811168</v>
      </c>
      <c r="I872" s="22" t="n">
        <v>0.00160339398970145</v>
      </c>
      <c r="J872" s="22" t="n">
        <v>0.00632711985857506</v>
      </c>
      <c r="K872" s="22" t="n">
        <v>2.49486531103971E-009</v>
      </c>
      <c r="L872" s="22" t="n">
        <v>0.0198214633944718</v>
      </c>
      <c r="M872" s="22" t="n">
        <v>0.0195151042144404</v>
      </c>
      <c r="N872" s="22" t="n">
        <v>0.0128348448530155</v>
      </c>
      <c r="O872" s="22" t="n">
        <v>0.00149687385310116</v>
      </c>
      <c r="P872" s="22" t="n">
        <v>0.003389162687171</v>
      </c>
      <c r="Q872" s="22" t="n">
        <v>0.0102746125516421</v>
      </c>
      <c r="R872" s="22" t="n">
        <v>0.0010999578676318</v>
      </c>
      <c r="S872" s="23" t="n">
        <f aca="false">IF(A872="","",SUM(H872:R872))</f>
        <v>0.0847727272727273</v>
      </c>
      <c r="T872" s="17" t="str">
        <f aca="false">IF(A872="","",IF(AND(MIN(H872:R872)&gt;=0,MAX(H872:R872)&lt;=1,S872&lt;=1),"OK","CHECK"))</f>
        <v>OK</v>
      </c>
      <c r="U872" s="17" t="str">
        <f aca="false">IF(A872="","", "LOSS-"&amp;A872&amp;"-L"&amp;TEXT(B872,"00")&amp;"-"&amp;TEXT(C872,"yyyymmdd")&amp;"-"&amp;D872&amp;"-"&amp;E872)</f>
        <v>LOSS-KG01-L25-20251205-PM-ORD-2025-00295</v>
      </c>
      <c r="V872" s="17" t="str">
        <f aca="false">IF(U872="","",IF(COUNTIF($U$5:$U$935,U872)=1,"OK","CHECK"))</f>
        <v>OK</v>
      </c>
      <c r="W872" s="17" t="str">
        <f aca="false">IF(A872="","",IF(AND(T872="OK",V872="OK",G872&gt;=0),"OK","CHECK"))</f>
        <v>OK</v>
      </c>
    </row>
    <row r="873" customFormat="false" ht="18" hidden="false" customHeight="true" outlineLevel="0" collapsed="false">
      <c r="A873" s="18" t="s">
        <v>39</v>
      </c>
      <c r="B873" s="19" t="n">
        <v>25</v>
      </c>
      <c r="C873" s="20" t="n">
        <v>45997</v>
      </c>
      <c r="D873" s="18" t="s">
        <v>40</v>
      </c>
      <c r="E873" s="18" t="s">
        <v>191</v>
      </c>
      <c r="F873" s="18" t="s">
        <v>42</v>
      </c>
      <c r="G873" s="21" t="n">
        <v>7982</v>
      </c>
      <c r="H873" s="22" t="n">
        <v>2.76806008483808E-005</v>
      </c>
      <c r="I873" s="22" t="n">
        <v>0.00311556588264585</v>
      </c>
      <c r="J873" s="22" t="n">
        <v>0.0159085360497449</v>
      </c>
      <c r="K873" s="22" t="n">
        <v>0.00256068072416232</v>
      </c>
      <c r="L873" s="22" t="n">
        <v>0.000375531841090899</v>
      </c>
      <c r="M873" s="22" t="n">
        <v>0.0159897355971883</v>
      </c>
      <c r="N873" s="22" t="n">
        <v>0.00455735557393003</v>
      </c>
      <c r="O873" s="22" t="n">
        <v>0.00594096164770195</v>
      </c>
      <c r="P873" s="22" t="n">
        <v>7.61511962298914E-005</v>
      </c>
      <c r="Q873" s="22" t="n">
        <v>7.9754344488066E-006</v>
      </c>
      <c r="R873" s="22" t="n">
        <v>0.0113777999359429</v>
      </c>
      <c r="S873" s="23" t="n">
        <f aca="false">IF(A873="","",SUM(H873:R873))</f>
        <v>0.0599379744839342</v>
      </c>
      <c r="T873" s="17" t="str">
        <f aca="false">IF(A873="","",IF(AND(MIN(H873:R873)&gt;=0,MAX(H873:R873)&lt;=1,S873&lt;=1),"OK","CHECK"))</f>
        <v>OK</v>
      </c>
      <c r="U873" s="17" t="str">
        <f aca="false">IF(A873="","", "LOSS-"&amp;A873&amp;"-L"&amp;TEXT(B873,"00")&amp;"-"&amp;TEXT(C873,"yyyymmdd")&amp;"-"&amp;D873&amp;"-"&amp;E873)</f>
        <v>LOSS-KG01-L25-20251206-AM-ORD-2025-00295</v>
      </c>
      <c r="V873" s="17" t="str">
        <f aca="false">IF(U873="","",IF(COUNTIF($U$5:$U$935,U873)=1,"OK","CHECK"))</f>
        <v>OK</v>
      </c>
      <c r="W873" s="17" t="str">
        <f aca="false">IF(A873="","",IF(AND(T873="OK",V873="OK",G873&gt;=0),"OK","CHECK"))</f>
        <v>OK</v>
      </c>
    </row>
    <row r="874" customFormat="false" ht="18" hidden="false" customHeight="true" outlineLevel="0" collapsed="false">
      <c r="A874" s="18" t="s">
        <v>39</v>
      </c>
      <c r="B874" s="19" t="n">
        <v>25</v>
      </c>
      <c r="C874" s="20" t="n">
        <v>45997</v>
      </c>
      <c r="D874" s="18" t="s">
        <v>43</v>
      </c>
      <c r="E874" s="18" t="s">
        <v>191</v>
      </c>
      <c r="F874" s="18" t="s">
        <v>42</v>
      </c>
      <c r="G874" s="21" t="n">
        <v>7197</v>
      </c>
      <c r="H874" s="22" t="n">
        <v>7.44539211070349E-005</v>
      </c>
      <c r="I874" s="22" t="n">
        <v>5.10589005437286E-005</v>
      </c>
      <c r="J874" s="22" t="n">
        <v>0.00933714509713342</v>
      </c>
      <c r="K874" s="22" t="n">
        <v>0.000119420223828714</v>
      </c>
      <c r="L874" s="22" t="n">
        <v>0.00751637668806409</v>
      </c>
      <c r="M874" s="22" t="n">
        <v>0.00925338238979434</v>
      </c>
      <c r="N874" s="22" t="n">
        <v>0.00057708013658796</v>
      </c>
      <c r="O874" s="22" t="n">
        <v>0.00409237597994632</v>
      </c>
      <c r="P874" s="22" t="n">
        <v>0.00912196510947073</v>
      </c>
      <c r="Q874" s="22" t="n">
        <v>0.00383553730174278</v>
      </c>
      <c r="R874" s="22" t="n">
        <v>0.000249468060438474</v>
      </c>
      <c r="S874" s="23" t="n">
        <f aca="false">IF(A874="","",SUM(H874:R874))</f>
        <v>0.0442282638086576</v>
      </c>
      <c r="T874" s="17" t="str">
        <f aca="false">IF(A874="","",IF(AND(MIN(H874:R874)&gt;=0,MAX(H874:R874)&lt;=1,S874&lt;=1),"OK","CHECK"))</f>
        <v>OK</v>
      </c>
      <c r="U874" s="17" t="str">
        <f aca="false">IF(A874="","", "LOSS-"&amp;A874&amp;"-L"&amp;TEXT(B874,"00")&amp;"-"&amp;TEXT(C874,"yyyymmdd")&amp;"-"&amp;D874&amp;"-"&amp;E874)</f>
        <v>LOSS-KG01-L25-20251206-PM-ORD-2025-00295</v>
      </c>
      <c r="V874" s="17" t="str">
        <f aca="false">IF(U874="","",IF(COUNTIF($U$5:$U$935,U874)=1,"OK","CHECK"))</f>
        <v>OK</v>
      </c>
      <c r="W874" s="17" t="str">
        <f aca="false">IF(A874="","",IF(AND(T874="OK",V874="OK",G874&gt;=0),"OK","CHECK"))</f>
        <v>OK</v>
      </c>
    </row>
    <row r="875" customFormat="false" ht="18" hidden="false" customHeight="true" outlineLevel="0" collapsed="false">
      <c r="A875" s="18" t="s">
        <v>39</v>
      </c>
      <c r="B875" s="19" t="n">
        <v>25</v>
      </c>
      <c r="C875" s="20" t="n">
        <v>45998</v>
      </c>
      <c r="D875" s="18" t="s">
        <v>40</v>
      </c>
      <c r="E875" s="18" t="s">
        <v>191</v>
      </c>
      <c r="F875" s="18" t="s">
        <v>42</v>
      </c>
      <c r="G875" s="21" t="n">
        <v>8384</v>
      </c>
      <c r="H875" s="22" t="n">
        <v>0.0153601596577821</v>
      </c>
      <c r="I875" s="22" t="n">
        <v>0.000954254074939355</v>
      </c>
      <c r="J875" s="22" t="n">
        <v>0.00378419844616505</v>
      </c>
      <c r="K875" s="22" t="n">
        <v>0.001234177411199</v>
      </c>
      <c r="L875" s="22" t="n">
        <v>0.00514712393050745</v>
      </c>
      <c r="M875" s="22" t="n">
        <v>0.00378890029935075</v>
      </c>
      <c r="N875" s="22" t="n">
        <v>4.10735248490673E-009</v>
      </c>
      <c r="O875" s="22" t="n">
        <v>0.000793793359552967</v>
      </c>
      <c r="P875" s="22" t="n">
        <v>0.00140950445543527</v>
      </c>
      <c r="Q875" s="22" t="n">
        <v>0.0192305913536004</v>
      </c>
      <c r="R875" s="22" t="n">
        <v>0.00235274100211649</v>
      </c>
      <c r="S875" s="23" t="n">
        <f aca="false">IF(A875="","",SUM(H875:R875))</f>
        <v>0.0540554480980013</v>
      </c>
      <c r="T875" s="17" t="str">
        <f aca="false">IF(A875="","",IF(AND(MIN(H875:R875)&gt;=0,MAX(H875:R875)&lt;=1,S875&lt;=1),"OK","CHECK"))</f>
        <v>OK</v>
      </c>
      <c r="U875" s="17" t="str">
        <f aca="false">IF(A875="","", "LOSS-"&amp;A875&amp;"-L"&amp;TEXT(B875,"00")&amp;"-"&amp;TEXT(C875,"yyyymmdd")&amp;"-"&amp;D875&amp;"-"&amp;E875)</f>
        <v>LOSS-KG01-L25-20251207-AM-ORD-2025-00295</v>
      </c>
      <c r="V875" s="17" t="str">
        <f aca="false">IF(U875="","",IF(COUNTIF($U$5:$U$935,U875)=1,"OK","CHECK"))</f>
        <v>OK</v>
      </c>
      <c r="W875" s="17" t="str">
        <f aca="false">IF(A875="","",IF(AND(T875="OK",V875="OK",G875&gt;=0),"OK","CHECK"))</f>
        <v>OK</v>
      </c>
    </row>
    <row r="876" customFormat="false" ht="18" hidden="false" customHeight="true" outlineLevel="0" collapsed="false">
      <c r="A876" s="18" t="s">
        <v>39</v>
      </c>
      <c r="B876" s="19" t="n">
        <v>25</v>
      </c>
      <c r="C876" s="20" t="n">
        <v>45998</v>
      </c>
      <c r="D876" s="18" t="s">
        <v>43</v>
      </c>
      <c r="E876" s="18" t="s">
        <v>191</v>
      </c>
      <c r="F876" s="18" t="s">
        <v>61</v>
      </c>
      <c r="G876" s="21" t="n">
        <v>11833</v>
      </c>
      <c r="H876" s="22" t="n">
        <v>0.00299381927109558</v>
      </c>
      <c r="I876" s="22" t="n">
        <v>0.00183971102298636</v>
      </c>
      <c r="J876" s="22" t="n">
        <v>0.00696996123813679</v>
      </c>
      <c r="K876" s="22" t="n">
        <v>0.0056223432001756</v>
      </c>
      <c r="L876" s="22" t="n">
        <v>0.00949296394271957</v>
      </c>
      <c r="M876" s="22" t="n">
        <v>0.00148825475046416</v>
      </c>
      <c r="N876" s="22" t="n">
        <v>0.0104799741689043</v>
      </c>
      <c r="O876" s="22" t="n">
        <v>0.00645630265709575</v>
      </c>
      <c r="P876" s="22" t="n">
        <v>0.00281551756171534</v>
      </c>
      <c r="Q876" s="22" t="n">
        <v>0.000787984935287541</v>
      </c>
      <c r="R876" s="22" t="n">
        <v>0.00435376858922675</v>
      </c>
      <c r="S876" s="23" t="n">
        <f aca="false">IF(A876="","",SUM(H876:R876))</f>
        <v>0.0533006013378077</v>
      </c>
      <c r="T876" s="17" t="str">
        <f aca="false">IF(A876="","",IF(AND(MIN(H876:R876)&gt;=0,MAX(H876:R876)&lt;=1,S876&lt;=1),"OK","CHECK"))</f>
        <v>OK</v>
      </c>
      <c r="U876" s="17" t="str">
        <f aca="false">IF(A876="","", "LOSS-"&amp;A876&amp;"-L"&amp;TEXT(B876,"00")&amp;"-"&amp;TEXT(C876,"yyyymmdd")&amp;"-"&amp;D876&amp;"-"&amp;E876)</f>
        <v>LOSS-KG01-L25-20251207-PM-ORD-2025-00295</v>
      </c>
      <c r="V876" s="17" t="str">
        <f aca="false">IF(U876="","",IF(COUNTIF($U$5:$U$935,U876)=1,"OK","CHECK"))</f>
        <v>OK</v>
      </c>
      <c r="W876" s="17" t="str">
        <f aca="false">IF(A876="","",IF(AND(T876="OK",V876="OK",G876&gt;=0),"OK","CHECK"))</f>
        <v>OK</v>
      </c>
    </row>
    <row r="877" customFormat="false" ht="18" hidden="false" customHeight="true" outlineLevel="0" collapsed="false">
      <c r="A877" s="18" t="s">
        <v>39</v>
      </c>
      <c r="B877" s="19" t="n">
        <v>25</v>
      </c>
      <c r="C877" s="20" t="n">
        <v>45999</v>
      </c>
      <c r="D877" s="18" t="s">
        <v>40</v>
      </c>
      <c r="E877" s="18" t="s">
        <v>191</v>
      </c>
      <c r="F877" s="18" t="s">
        <v>42</v>
      </c>
      <c r="G877" s="21" t="n">
        <v>14990</v>
      </c>
      <c r="H877" s="22" t="n">
        <v>0.00330461917265371</v>
      </c>
      <c r="I877" s="22" t="n">
        <v>0.00759594671762623</v>
      </c>
      <c r="J877" s="22" t="n">
        <v>0.01369126623464</v>
      </c>
      <c r="K877" s="22" t="n">
        <v>0.00872684218037153</v>
      </c>
      <c r="L877" s="22" t="n">
        <v>0.00134463966852284</v>
      </c>
      <c r="M877" s="22" t="n">
        <v>0.01114532876831</v>
      </c>
      <c r="N877" s="22" t="n">
        <v>0.00311441031301977</v>
      </c>
      <c r="O877" s="22" t="n">
        <v>0.0128297547397765</v>
      </c>
      <c r="P877" s="22" t="n">
        <v>0.00396875737903302</v>
      </c>
      <c r="Q877" s="22" t="n">
        <v>0.00984533866803897</v>
      </c>
      <c r="R877" s="22" t="n">
        <v>0.0144393407540301</v>
      </c>
      <c r="S877" s="23" t="n">
        <f aca="false">IF(A877="","",SUM(H877:R877))</f>
        <v>0.0900062445960227</v>
      </c>
      <c r="T877" s="17" t="str">
        <f aca="false">IF(A877="","",IF(AND(MIN(H877:R877)&gt;=0,MAX(H877:R877)&lt;=1,S877&lt;=1),"OK","CHECK"))</f>
        <v>OK</v>
      </c>
      <c r="U877" s="17" t="str">
        <f aca="false">IF(A877="","", "LOSS-"&amp;A877&amp;"-L"&amp;TEXT(B877,"00")&amp;"-"&amp;TEXT(C877,"yyyymmdd")&amp;"-"&amp;D877&amp;"-"&amp;E877)</f>
        <v>LOSS-KG01-L25-20251208-AM-ORD-2025-00295</v>
      </c>
      <c r="V877" s="17" t="str">
        <f aca="false">IF(U877="","",IF(COUNTIF($U$5:$U$935,U877)=1,"OK","CHECK"))</f>
        <v>OK</v>
      </c>
      <c r="W877" s="17" t="str">
        <f aca="false">IF(A877="","",IF(AND(T877="OK",V877="OK",G877&gt;=0),"OK","CHECK"))</f>
        <v>OK</v>
      </c>
    </row>
    <row r="878" customFormat="false" ht="18" hidden="false" customHeight="true" outlineLevel="0" collapsed="false">
      <c r="A878" s="18" t="s">
        <v>39</v>
      </c>
      <c r="B878" s="19" t="n">
        <v>25</v>
      </c>
      <c r="C878" s="20" t="n">
        <v>45999</v>
      </c>
      <c r="D878" s="18" t="s">
        <v>43</v>
      </c>
      <c r="E878" s="18" t="s">
        <v>191</v>
      </c>
      <c r="F878" s="18" t="s">
        <v>42</v>
      </c>
      <c r="G878" s="21" t="n">
        <v>17775</v>
      </c>
      <c r="H878" s="22" t="n">
        <v>0.0160254643661818</v>
      </c>
      <c r="I878" s="22" t="n">
        <v>7.88588162656383E-005</v>
      </c>
      <c r="J878" s="22" t="n">
        <v>0.00491494289966652</v>
      </c>
      <c r="K878" s="22" t="n">
        <v>0.00905763578351052</v>
      </c>
      <c r="L878" s="22" t="n">
        <v>0.00653055359686237</v>
      </c>
      <c r="M878" s="22" t="n">
        <v>0.00607074639827434</v>
      </c>
      <c r="N878" s="22" t="n">
        <v>0.00552014156220605</v>
      </c>
      <c r="O878" s="22" t="n">
        <v>3.23274744590061E-005</v>
      </c>
      <c r="P878" s="22" t="n">
        <v>0.00540802889055916</v>
      </c>
      <c r="Q878" s="22" t="n">
        <v>0.0152167333903773</v>
      </c>
      <c r="R878" s="22" t="n">
        <v>1.50225020651784E-007</v>
      </c>
      <c r="S878" s="23" t="n">
        <f aca="false">IF(A878="","",SUM(H878:R878))</f>
        <v>0.0688555834033834</v>
      </c>
      <c r="T878" s="17" t="str">
        <f aca="false">IF(A878="","",IF(AND(MIN(H878:R878)&gt;=0,MAX(H878:R878)&lt;=1,S878&lt;=1),"OK","CHECK"))</f>
        <v>OK</v>
      </c>
      <c r="U878" s="17" t="str">
        <f aca="false">IF(A878="","", "LOSS-"&amp;A878&amp;"-L"&amp;TEXT(B878,"00")&amp;"-"&amp;TEXT(C878,"yyyymmdd")&amp;"-"&amp;D878&amp;"-"&amp;E878)</f>
        <v>LOSS-KG01-L25-20251208-PM-ORD-2025-00295</v>
      </c>
      <c r="V878" s="17" t="str">
        <f aca="false">IF(U878="","",IF(COUNTIF($U$5:$U$935,U878)=1,"OK","CHECK"))</f>
        <v>OK</v>
      </c>
      <c r="W878" s="17" t="str">
        <f aca="false">IF(A878="","",IF(AND(T878="OK",V878="OK",G878&gt;=0),"OK","CHECK"))</f>
        <v>OK</v>
      </c>
    </row>
    <row r="879" customFormat="false" ht="18" hidden="false" customHeight="true" outlineLevel="0" collapsed="false">
      <c r="A879" s="18" t="s">
        <v>39</v>
      </c>
      <c r="B879" s="19" t="n">
        <v>25</v>
      </c>
      <c r="C879" s="20" t="n">
        <v>46000</v>
      </c>
      <c r="D879" s="18" t="s">
        <v>40</v>
      </c>
      <c r="E879" s="18" t="s">
        <v>191</v>
      </c>
      <c r="F879" s="18" t="s">
        <v>42</v>
      </c>
      <c r="G879" s="21" t="n">
        <v>12423</v>
      </c>
      <c r="H879" s="22" t="n">
        <v>0.00379353332532154</v>
      </c>
      <c r="I879" s="22" t="n">
        <v>0.0164069205972395</v>
      </c>
      <c r="J879" s="22" t="n">
        <v>0.000499900403671524</v>
      </c>
      <c r="K879" s="22" t="n">
        <v>0.00174152756477669</v>
      </c>
      <c r="L879" s="22" t="n">
        <v>0.00463351294947993</v>
      </c>
      <c r="M879" s="22" t="n">
        <v>0.0040435715273086</v>
      </c>
      <c r="N879" s="22" t="n">
        <v>0.0169813689316537</v>
      </c>
      <c r="O879" s="22" t="n">
        <v>0.000258430968986087</v>
      </c>
      <c r="P879" s="22" t="n">
        <v>0.00121180439950751</v>
      </c>
      <c r="Q879" s="22" t="n">
        <v>0.00251781206557213</v>
      </c>
      <c r="R879" s="22" t="n">
        <v>0.000806058304700642</v>
      </c>
      <c r="S879" s="23" t="n">
        <f aca="false">IF(A879="","",SUM(H879:R879))</f>
        <v>0.0528944410382179</v>
      </c>
      <c r="T879" s="17" t="str">
        <f aca="false">IF(A879="","",IF(AND(MIN(H879:R879)&gt;=0,MAX(H879:R879)&lt;=1,S879&lt;=1),"OK","CHECK"))</f>
        <v>OK</v>
      </c>
      <c r="U879" s="17" t="str">
        <f aca="false">IF(A879="","", "LOSS-"&amp;A879&amp;"-L"&amp;TEXT(B879,"00")&amp;"-"&amp;TEXT(C879,"yyyymmdd")&amp;"-"&amp;D879&amp;"-"&amp;E879)</f>
        <v>LOSS-KG01-L25-20251209-AM-ORD-2025-00295</v>
      </c>
      <c r="V879" s="17" t="str">
        <f aca="false">IF(U879="","",IF(COUNTIF($U$5:$U$935,U879)=1,"OK","CHECK"))</f>
        <v>OK</v>
      </c>
      <c r="W879" s="17" t="str">
        <f aca="false">IF(A879="","",IF(AND(T879="OK",V879="OK",G879&gt;=0),"OK","CHECK"))</f>
        <v>OK</v>
      </c>
    </row>
    <row r="880" customFormat="false" ht="18" hidden="false" customHeight="true" outlineLevel="0" collapsed="false">
      <c r="A880" s="18" t="s">
        <v>39</v>
      </c>
      <c r="B880" s="19" t="n">
        <v>25</v>
      </c>
      <c r="C880" s="20" t="n">
        <v>46000</v>
      </c>
      <c r="D880" s="18" t="s">
        <v>43</v>
      </c>
      <c r="E880" s="18" t="s">
        <v>192</v>
      </c>
      <c r="F880" s="18" t="s">
        <v>45</v>
      </c>
      <c r="G880" s="21" t="n">
        <v>6671</v>
      </c>
      <c r="H880" s="22" t="n">
        <v>0.00330860480787177</v>
      </c>
      <c r="I880" s="22" t="n">
        <v>0.00301377526679564</v>
      </c>
      <c r="J880" s="22" t="n">
        <v>0.00149309031334377</v>
      </c>
      <c r="K880" s="22" t="n">
        <v>0.00378890258962105</v>
      </c>
      <c r="L880" s="22" t="n">
        <v>0.00934877449122805</v>
      </c>
      <c r="M880" s="22" t="n">
        <v>0.00810308214669043</v>
      </c>
      <c r="N880" s="22" t="n">
        <v>0.0178024948292676</v>
      </c>
      <c r="O880" s="22" t="n">
        <v>0.0103827830233096</v>
      </c>
      <c r="P880" s="22" t="n">
        <v>0.00719464974036096</v>
      </c>
      <c r="Q880" s="22" t="n">
        <v>0.0103115522404233</v>
      </c>
      <c r="R880" s="22" t="n">
        <v>0.00641985759250504</v>
      </c>
      <c r="S880" s="23" t="n">
        <f aca="false">IF(A880="","",SUM(H880:R880))</f>
        <v>0.0811675670414172</v>
      </c>
      <c r="T880" s="17" t="str">
        <f aca="false">IF(A880="","",IF(AND(MIN(H880:R880)&gt;=0,MAX(H880:R880)&lt;=1,S880&lt;=1),"OK","CHECK"))</f>
        <v>OK</v>
      </c>
      <c r="U880" s="17" t="str">
        <f aca="false">IF(A880="","", "LOSS-"&amp;A880&amp;"-L"&amp;TEXT(B880,"00")&amp;"-"&amp;TEXT(C880,"yyyymmdd")&amp;"-"&amp;D880&amp;"-"&amp;E880)</f>
        <v>LOSS-KG01-L25-20251209-PM-ORD-2025-00296</v>
      </c>
      <c r="V880" s="17" t="str">
        <f aca="false">IF(U880="","",IF(COUNTIF($U$5:$U$935,U880)=1,"OK","CHECK"))</f>
        <v>OK</v>
      </c>
      <c r="W880" s="17" t="str">
        <f aca="false">IF(A880="","",IF(AND(T880="OK",V880="OK",G880&gt;=0),"OK","CHECK"))</f>
        <v>OK</v>
      </c>
    </row>
    <row r="881" customFormat="false" ht="18" hidden="false" customHeight="true" outlineLevel="0" collapsed="false">
      <c r="A881" s="18" t="s">
        <v>39</v>
      </c>
      <c r="B881" s="19" t="n">
        <v>25</v>
      </c>
      <c r="C881" s="20" t="n">
        <v>46001</v>
      </c>
      <c r="D881" s="18" t="s">
        <v>40</v>
      </c>
      <c r="E881" s="18" t="s">
        <v>192</v>
      </c>
      <c r="F881" s="18" t="s">
        <v>42</v>
      </c>
      <c r="G881" s="21" t="n">
        <v>15489</v>
      </c>
      <c r="H881" s="22" t="n">
        <v>0.001559117067786</v>
      </c>
      <c r="I881" s="22" t="n">
        <v>0.00412269656341849</v>
      </c>
      <c r="J881" s="22" t="n">
        <v>0.00516588857539848</v>
      </c>
      <c r="K881" s="22" t="n">
        <v>0.00761528732637008</v>
      </c>
      <c r="L881" s="22" t="n">
        <v>0.0120617336302117</v>
      </c>
      <c r="M881" s="22" t="n">
        <v>0.00172029321472947</v>
      </c>
      <c r="N881" s="22" t="n">
        <v>0.00555794918733242</v>
      </c>
      <c r="O881" s="22" t="n">
        <v>0.0153855525292432</v>
      </c>
      <c r="P881" s="22" t="n">
        <v>0.0103680550484855</v>
      </c>
      <c r="Q881" s="22" t="n">
        <v>3.90250076588937E-005</v>
      </c>
      <c r="R881" s="22" t="n">
        <v>0.000247343842927434</v>
      </c>
      <c r="S881" s="23" t="n">
        <f aca="false">IF(A881="","",SUM(H881:R881))</f>
        <v>0.0638429419935617</v>
      </c>
      <c r="T881" s="17" t="str">
        <f aca="false">IF(A881="","",IF(AND(MIN(H881:R881)&gt;=0,MAX(H881:R881)&lt;=1,S881&lt;=1),"OK","CHECK"))</f>
        <v>OK</v>
      </c>
      <c r="U881" s="17" t="str">
        <f aca="false">IF(A881="","", "LOSS-"&amp;A881&amp;"-L"&amp;TEXT(B881,"00")&amp;"-"&amp;TEXT(C881,"yyyymmdd")&amp;"-"&amp;D881&amp;"-"&amp;E881)</f>
        <v>LOSS-KG01-L25-20251210-AM-ORD-2025-00296</v>
      </c>
      <c r="V881" s="17" t="str">
        <f aca="false">IF(U881="","",IF(COUNTIF($U$5:$U$935,U881)=1,"OK","CHECK"))</f>
        <v>OK</v>
      </c>
      <c r="W881" s="17" t="str">
        <f aca="false">IF(A881="","",IF(AND(T881="OK",V881="OK",G881&gt;=0),"OK","CHECK"))</f>
        <v>OK</v>
      </c>
    </row>
    <row r="882" customFormat="false" ht="18" hidden="false" customHeight="true" outlineLevel="0" collapsed="false">
      <c r="A882" s="18" t="s">
        <v>39</v>
      </c>
      <c r="B882" s="19" t="n">
        <v>25</v>
      </c>
      <c r="C882" s="20" t="n">
        <v>46001</v>
      </c>
      <c r="D882" s="18" t="s">
        <v>43</v>
      </c>
      <c r="E882" s="18" t="s">
        <v>192</v>
      </c>
      <c r="F882" s="18" t="s">
        <v>42</v>
      </c>
      <c r="G882" s="21" t="n">
        <v>11762</v>
      </c>
      <c r="H882" s="22" t="n">
        <v>0.000306277659312045</v>
      </c>
      <c r="I882" s="22" t="n">
        <v>0.00605277046521534</v>
      </c>
      <c r="J882" s="22" t="n">
        <v>0.00054990783119953</v>
      </c>
      <c r="K882" s="22" t="n">
        <v>0.0120356787651921</v>
      </c>
      <c r="L882" s="22" t="n">
        <v>0.010287195561441</v>
      </c>
      <c r="M882" s="22" t="n">
        <v>0.0166845329594974</v>
      </c>
      <c r="N882" s="22" t="n">
        <v>0.00102379463174906</v>
      </c>
      <c r="O882" s="22" t="n">
        <v>0.014545875327116</v>
      </c>
      <c r="P882" s="22" t="n">
        <v>0.0133320695295233</v>
      </c>
      <c r="Q882" s="22" t="n">
        <v>3.33762840380897E-005</v>
      </c>
      <c r="R882" s="22" t="n">
        <v>0.000216811302532188</v>
      </c>
      <c r="S882" s="23" t="n">
        <f aca="false">IF(A882="","",SUM(H882:R882))</f>
        <v>0.0750682903168161</v>
      </c>
      <c r="T882" s="17" t="str">
        <f aca="false">IF(A882="","",IF(AND(MIN(H882:R882)&gt;=0,MAX(H882:R882)&lt;=1,S882&lt;=1),"OK","CHECK"))</f>
        <v>OK</v>
      </c>
      <c r="U882" s="17" t="str">
        <f aca="false">IF(A882="","", "LOSS-"&amp;A882&amp;"-L"&amp;TEXT(B882,"00")&amp;"-"&amp;TEXT(C882,"yyyymmdd")&amp;"-"&amp;D882&amp;"-"&amp;E882)</f>
        <v>LOSS-KG01-L25-20251210-PM-ORD-2025-00296</v>
      </c>
      <c r="V882" s="17" t="str">
        <f aca="false">IF(U882="","",IF(COUNTIF($U$5:$U$935,U882)=1,"OK","CHECK"))</f>
        <v>OK</v>
      </c>
      <c r="W882" s="17" t="str">
        <f aca="false">IF(A882="","",IF(AND(T882="OK",V882="OK",G882&gt;=0),"OK","CHECK"))</f>
        <v>OK</v>
      </c>
    </row>
    <row r="883" customFormat="false" ht="18" hidden="false" customHeight="true" outlineLevel="0" collapsed="false">
      <c r="A883" s="18" t="s">
        <v>39</v>
      </c>
      <c r="B883" s="19" t="n">
        <v>25</v>
      </c>
      <c r="C883" s="20" t="n">
        <v>46002</v>
      </c>
      <c r="D883" s="18" t="s">
        <v>40</v>
      </c>
      <c r="E883" s="18" t="s">
        <v>192</v>
      </c>
      <c r="F883" s="18" t="s">
        <v>42</v>
      </c>
      <c r="G883" s="21" t="n">
        <v>11281</v>
      </c>
      <c r="H883" s="22" t="n">
        <v>0.00479512412150051</v>
      </c>
      <c r="I883" s="22" t="n">
        <v>0.00380171241488567</v>
      </c>
      <c r="J883" s="22" t="n">
        <v>0.0112943451697926</v>
      </c>
      <c r="K883" s="22" t="n">
        <v>0.00109819402385635</v>
      </c>
      <c r="L883" s="22" t="n">
        <v>0.00756596903780874</v>
      </c>
      <c r="M883" s="22" t="n">
        <v>0.0120673983673562</v>
      </c>
      <c r="N883" s="22" t="n">
        <v>0.00656633506859349</v>
      </c>
      <c r="O883" s="22" t="n">
        <v>0.00332127982595669</v>
      </c>
      <c r="P883" s="22" t="n">
        <v>0.00377954845139167</v>
      </c>
      <c r="Q883" s="22" t="n">
        <v>0.00131583087544438</v>
      </c>
      <c r="R883" s="22" t="n">
        <v>0.0202834258511957</v>
      </c>
      <c r="S883" s="23" t="n">
        <f aca="false">IF(A883="","",SUM(H883:R883))</f>
        <v>0.075889163207782</v>
      </c>
      <c r="T883" s="17" t="str">
        <f aca="false">IF(A883="","",IF(AND(MIN(H883:R883)&gt;=0,MAX(H883:R883)&lt;=1,S883&lt;=1),"OK","CHECK"))</f>
        <v>OK</v>
      </c>
      <c r="U883" s="17" t="str">
        <f aca="false">IF(A883="","", "LOSS-"&amp;A883&amp;"-L"&amp;TEXT(B883,"00")&amp;"-"&amp;TEXT(C883,"yyyymmdd")&amp;"-"&amp;D883&amp;"-"&amp;E883)</f>
        <v>LOSS-KG01-L25-20251211-AM-ORD-2025-00296</v>
      </c>
      <c r="V883" s="17" t="str">
        <f aca="false">IF(U883="","",IF(COUNTIF($U$5:$U$935,U883)=1,"OK","CHECK"))</f>
        <v>OK</v>
      </c>
      <c r="W883" s="17" t="str">
        <f aca="false">IF(A883="","",IF(AND(T883="OK",V883="OK",G883&gt;=0),"OK","CHECK"))</f>
        <v>OK</v>
      </c>
    </row>
    <row r="884" customFormat="false" ht="18" hidden="false" customHeight="true" outlineLevel="0" collapsed="false">
      <c r="A884" s="18" t="s">
        <v>39</v>
      </c>
      <c r="B884" s="19" t="n">
        <v>25</v>
      </c>
      <c r="C884" s="20" t="n">
        <v>46002</v>
      </c>
      <c r="D884" s="18" t="s">
        <v>43</v>
      </c>
      <c r="E884" s="18" t="s">
        <v>192</v>
      </c>
      <c r="F884" s="18" t="s">
        <v>42</v>
      </c>
      <c r="G884" s="21" t="n">
        <v>4996</v>
      </c>
      <c r="H884" s="22" t="n">
        <v>0.0048800403662259</v>
      </c>
      <c r="I884" s="22" t="n">
        <v>0.000116374312276619</v>
      </c>
      <c r="J884" s="22" t="n">
        <v>0.00390431887901193</v>
      </c>
      <c r="K884" s="22" t="n">
        <v>0.00124915249339922</v>
      </c>
      <c r="L884" s="22" t="n">
        <v>0.00418171457696863</v>
      </c>
      <c r="M884" s="22" t="n">
        <v>0.00167118380998489</v>
      </c>
      <c r="N884" s="22" t="n">
        <v>6.85991143754857E-007</v>
      </c>
      <c r="O884" s="22" t="n">
        <v>7.14083730274993E-006</v>
      </c>
      <c r="P884" s="22" t="n">
        <v>0.0050081500656348</v>
      </c>
      <c r="Q884" s="22" t="n">
        <v>0.0038122726100487</v>
      </c>
      <c r="R884" s="22" t="n">
        <v>0.00757748464619536</v>
      </c>
      <c r="S884" s="23" t="n">
        <f aca="false">IF(A884="","",SUM(H884:R884))</f>
        <v>0.0324085185881926</v>
      </c>
      <c r="T884" s="17" t="str">
        <f aca="false">IF(A884="","",IF(AND(MIN(H884:R884)&gt;=0,MAX(H884:R884)&lt;=1,S884&lt;=1),"OK","CHECK"))</f>
        <v>OK</v>
      </c>
      <c r="U884" s="17" t="str">
        <f aca="false">IF(A884="","", "LOSS-"&amp;A884&amp;"-L"&amp;TEXT(B884,"00")&amp;"-"&amp;TEXT(C884,"yyyymmdd")&amp;"-"&amp;D884&amp;"-"&amp;E884)</f>
        <v>LOSS-KG01-L25-20251211-PM-ORD-2025-00296</v>
      </c>
      <c r="V884" s="17" t="str">
        <f aca="false">IF(U884="","",IF(COUNTIF($U$5:$U$935,U884)=1,"OK","CHECK"))</f>
        <v>OK</v>
      </c>
      <c r="W884" s="17" t="str">
        <f aca="false">IF(A884="","",IF(AND(T884="OK",V884="OK",G884&gt;=0),"OK","CHECK"))</f>
        <v>OK</v>
      </c>
    </row>
    <row r="885" customFormat="false" ht="18" hidden="false" customHeight="true" outlineLevel="0" collapsed="false">
      <c r="A885" s="18" t="s">
        <v>39</v>
      </c>
      <c r="B885" s="19" t="n">
        <v>25</v>
      </c>
      <c r="C885" s="20" t="n">
        <v>46003</v>
      </c>
      <c r="D885" s="18" t="s">
        <v>40</v>
      </c>
      <c r="E885" s="18" t="s">
        <v>192</v>
      </c>
      <c r="F885" s="18" t="s">
        <v>42</v>
      </c>
      <c r="G885" s="21" t="n">
        <v>12802</v>
      </c>
      <c r="H885" s="22" t="n">
        <v>0.000874573735112712</v>
      </c>
      <c r="I885" s="22" t="n">
        <v>0.00924637052235337</v>
      </c>
      <c r="J885" s="22" t="n">
        <v>0.000613653660039308</v>
      </c>
      <c r="K885" s="22" t="n">
        <v>2.16128458914171E-005</v>
      </c>
      <c r="L885" s="22" t="n">
        <v>0.00830505760707055</v>
      </c>
      <c r="M885" s="22" t="n">
        <v>0.00977473556901604</v>
      </c>
      <c r="N885" s="22" t="n">
        <v>0.00456431741199141</v>
      </c>
      <c r="O885" s="22" t="n">
        <v>0.000735696168514219</v>
      </c>
      <c r="P885" s="22" t="n">
        <v>0.00799265542287234</v>
      </c>
      <c r="Q885" s="22" t="n">
        <v>0.00727549339335765</v>
      </c>
      <c r="R885" s="22" t="n">
        <v>0.00368774712089314</v>
      </c>
      <c r="S885" s="23" t="n">
        <f aca="false">IF(A885="","",SUM(H885:R885))</f>
        <v>0.0530919134571122</v>
      </c>
      <c r="T885" s="17" t="str">
        <f aca="false">IF(A885="","",IF(AND(MIN(H885:R885)&gt;=0,MAX(H885:R885)&lt;=1,S885&lt;=1),"OK","CHECK"))</f>
        <v>OK</v>
      </c>
      <c r="U885" s="17" t="str">
        <f aca="false">IF(A885="","", "LOSS-"&amp;A885&amp;"-L"&amp;TEXT(B885,"00")&amp;"-"&amp;TEXT(C885,"yyyymmdd")&amp;"-"&amp;D885&amp;"-"&amp;E885)</f>
        <v>LOSS-KG01-L25-20251212-AM-ORD-2025-00296</v>
      </c>
      <c r="V885" s="17" t="str">
        <f aca="false">IF(U885="","",IF(COUNTIF($U$5:$U$935,U885)=1,"OK","CHECK"))</f>
        <v>OK</v>
      </c>
      <c r="W885" s="17" t="str">
        <f aca="false">IF(A885="","",IF(AND(T885="OK",V885="OK",G885&gt;=0),"OK","CHECK"))</f>
        <v>OK</v>
      </c>
    </row>
    <row r="886" customFormat="false" ht="18" hidden="false" customHeight="true" outlineLevel="0" collapsed="false">
      <c r="A886" s="18" t="s">
        <v>39</v>
      </c>
      <c r="B886" s="19" t="n">
        <v>25</v>
      </c>
      <c r="C886" s="20" t="n">
        <v>46003</v>
      </c>
      <c r="D886" s="18" t="s">
        <v>43</v>
      </c>
      <c r="E886" s="18" t="s">
        <v>192</v>
      </c>
      <c r="F886" s="18" t="s">
        <v>42</v>
      </c>
      <c r="G886" s="21" t="n">
        <v>5043</v>
      </c>
      <c r="H886" s="22" t="n">
        <v>0.0026850113325678</v>
      </c>
      <c r="I886" s="22" t="n">
        <v>0.00243135829704288</v>
      </c>
      <c r="J886" s="22" t="n">
        <v>0.00154194431420879</v>
      </c>
      <c r="K886" s="22" t="n">
        <v>0.00274087384647743</v>
      </c>
      <c r="L886" s="22" t="n">
        <v>0.000377938241039534</v>
      </c>
      <c r="M886" s="22" t="n">
        <v>0.00970816256036629</v>
      </c>
      <c r="N886" s="22" t="n">
        <v>0.0125190822651432</v>
      </c>
      <c r="O886" s="22" t="n">
        <v>0.00142965587248526</v>
      </c>
      <c r="P886" s="22" t="n">
        <v>0.010802342930726</v>
      </c>
      <c r="Q886" s="22" t="n">
        <v>0.00346537906286803</v>
      </c>
      <c r="R886" s="22" t="n">
        <v>0.0028333643121879</v>
      </c>
      <c r="S886" s="23" t="n">
        <f aca="false">IF(A886="","",SUM(H886:R886))</f>
        <v>0.0505351130351131</v>
      </c>
      <c r="T886" s="17" t="str">
        <f aca="false">IF(A886="","",IF(AND(MIN(H886:R886)&gt;=0,MAX(H886:R886)&lt;=1,S886&lt;=1),"OK","CHECK"))</f>
        <v>OK</v>
      </c>
      <c r="U886" s="17" t="str">
        <f aca="false">IF(A886="","", "LOSS-"&amp;A886&amp;"-L"&amp;TEXT(B886,"00")&amp;"-"&amp;TEXT(C886,"yyyymmdd")&amp;"-"&amp;D886&amp;"-"&amp;E886)</f>
        <v>LOSS-KG01-L25-20251212-PM-ORD-2025-00296</v>
      </c>
      <c r="V886" s="17" t="str">
        <f aca="false">IF(U886="","",IF(COUNTIF($U$5:$U$935,U886)=1,"OK","CHECK"))</f>
        <v>OK</v>
      </c>
      <c r="W886" s="17" t="str">
        <f aca="false">IF(A886="","",IF(AND(T886="OK",V886="OK",G886&gt;=0),"OK","CHECK"))</f>
        <v>OK</v>
      </c>
    </row>
    <row r="887" customFormat="false" ht="18" hidden="false" customHeight="true" outlineLevel="0" collapsed="false">
      <c r="A887" s="18" t="s">
        <v>39</v>
      </c>
      <c r="B887" s="19" t="n">
        <v>25</v>
      </c>
      <c r="C887" s="20" t="n">
        <v>46004</v>
      </c>
      <c r="D887" s="18" t="s">
        <v>40</v>
      </c>
      <c r="E887" s="18" t="s">
        <v>192</v>
      </c>
      <c r="F887" s="18" t="s">
        <v>42</v>
      </c>
      <c r="G887" s="21" t="n">
        <v>10705</v>
      </c>
      <c r="H887" s="22" t="n">
        <v>0.00447228555800319</v>
      </c>
      <c r="I887" s="22" t="n">
        <v>1.31837597472445E-005</v>
      </c>
      <c r="J887" s="22" t="n">
        <v>0.00314316348782882</v>
      </c>
      <c r="K887" s="22" t="n">
        <v>0.0140579330935147</v>
      </c>
      <c r="L887" s="22" t="n">
        <v>0.00913002792161422</v>
      </c>
      <c r="M887" s="22" t="n">
        <v>0.0144072205209704</v>
      </c>
      <c r="N887" s="22" t="n">
        <v>0.000572329008527055</v>
      </c>
      <c r="O887" s="22" t="n">
        <v>0.0039697985060714</v>
      </c>
      <c r="P887" s="22" t="n">
        <v>0.00573353894065349</v>
      </c>
      <c r="Q887" s="22" t="n">
        <v>0.00279789184799426</v>
      </c>
      <c r="R887" s="22" t="n">
        <v>0.000910388245321058</v>
      </c>
      <c r="S887" s="23" t="n">
        <f aca="false">IF(A887="","",SUM(H887:R887))</f>
        <v>0.0592077608902458</v>
      </c>
      <c r="T887" s="17" t="str">
        <f aca="false">IF(A887="","",IF(AND(MIN(H887:R887)&gt;=0,MAX(H887:R887)&lt;=1,S887&lt;=1),"OK","CHECK"))</f>
        <v>OK</v>
      </c>
      <c r="U887" s="17" t="str">
        <f aca="false">IF(A887="","", "LOSS-"&amp;A887&amp;"-L"&amp;TEXT(B887,"00")&amp;"-"&amp;TEXT(C887,"yyyymmdd")&amp;"-"&amp;D887&amp;"-"&amp;E887)</f>
        <v>LOSS-KG01-L25-20251213-AM-ORD-2025-00296</v>
      </c>
      <c r="V887" s="17" t="str">
        <f aca="false">IF(U887="","",IF(COUNTIF($U$5:$U$935,U887)=1,"OK","CHECK"))</f>
        <v>OK</v>
      </c>
      <c r="W887" s="17" t="str">
        <f aca="false">IF(A887="","",IF(AND(T887="OK",V887="OK",G887&gt;=0),"OK","CHECK"))</f>
        <v>OK</v>
      </c>
    </row>
    <row r="888" customFormat="false" ht="18" hidden="false" customHeight="true" outlineLevel="0" collapsed="false">
      <c r="A888" s="18" t="s">
        <v>39</v>
      </c>
      <c r="B888" s="19" t="n">
        <v>25</v>
      </c>
      <c r="C888" s="20" t="n">
        <v>46004</v>
      </c>
      <c r="D888" s="18" t="s">
        <v>43</v>
      </c>
      <c r="E888" s="18" t="s">
        <v>192</v>
      </c>
      <c r="F888" s="18" t="s">
        <v>42</v>
      </c>
      <c r="G888" s="21" t="n">
        <v>4101</v>
      </c>
      <c r="H888" s="22" t="n">
        <v>0.0056811299185771</v>
      </c>
      <c r="I888" s="22" t="n">
        <v>0.0006184471935472</v>
      </c>
      <c r="J888" s="22" t="n">
        <v>0.00151867904057898</v>
      </c>
      <c r="K888" s="22" t="n">
        <v>0.00134961088815641</v>
      </c>
      <c r="L888" s="22" t="n">
        <v>0.000158862495532071</v>
      </c>
      <c r="M888" s="22" t="n">
        <v>0.00372652568729578</v>
      </c>
      <c r="N888" s="22" t="n">
        <v>0.00551093861751396</v>
      </c>
      <c r="O888" s="22" t="n">
        <v>0.00105136675049667</v>
      </c>
      <c r="P888" s="22" t="n">
        <v>0.000776484949639018</v>
      </c>
      <c r="Q888" s="22" t="n">
        <v>0.000109097116162906</v>
      </c>
      <c r="R888" s="22" t="n">
        <v>0.00371583580054979</v>
      </c>
      <c r="S888" s="23" t="n">
        <f aca="false">IF(A888="","",SUM(H888:R888))</f>
        <v>0.0242169784580499</v>
      </c>
      <c r="T888" s="17" t="str">
        <f aca="false">IF(A888="","",IF(AND(MIN(H888:R888)&gt;=0,MAX(H888:R888)&lt;=1,S888&lt;=1),"OK","CHECK"))</f>
        <v>OK</v>
      </c>
      <c r="U888" s="17" t="str">
        <f aca="false">IF(A888="","", "LOSS-"&amp;A888&amp;"-L"&amp;TEXT(B888,"00")&amp;"-"&amp;TEXT(C888,"yyyymmdd")&amp;"-"&amp;D888&amp;"-"&amp;E888)</f>
        <v>LOSS-KG01-L25-20251213-PM-ORD-2025-00296</v>
      </c>
      <c r="V888" s="17" t="str">
        <f aca="false">IF(U888="","",IF(COUNTIF($U$5:$U$935,U888)=1,"OK","CHECK"))</f>
        <v>OK</v>
      </c>
      <c r="W888" s="17" t="str">
        <f aca="false">IF(A888="","",IF(AND(T888="OK",V888="OK",G888&gt;=0),"OK","CHECK"))</f>
        <v>OK</v>
      </c>
    </row>
    <row r="889" customFormat="false" ht="18" hidden="false" customHeight="true" outlineLevel="0" collapsed="false">
      <c r="A889" s="18" t="s">
        <v>39</v>
      </c>
      <c r="B889" s="19" t="n">
        <v>25</v>
      </c>
      <c r="C889" s="20" t="n">
        <v>46005</v>
      </c>
      <c r="D889" s="18" t="s">
        <v>40</v>
      </c>
      <c r="E889" s="18" t="s">
        <v>192</v>
      </c>
      <c r="F889" s="18" t="s">
        <v>42</v>
      </c>
      <c r="G889" s="21" t="n">
        <v>12572</v>
      </c>
      <c r="H889" s="22" t="n">
        <v>0.00468746766683659</v>
      </c>
      <c r="I889" s="22" t="n">
        <v>0.00154911954722295</v>
      </c>
      <c r="J889" s="22" t="n">
        <v>0.0110149217973506</v>
      </c>
      <c r="K889" s="22" t="n">
        <v>1.07842039109772E-006</v>
      </c>
      <c r="L889" s="22" t="n">
        <v>0.0111717240656528</v>
      </c>
      <c r="M889" s="22" t="n">
        <v>0.00232893538391748</v>
      </c>
      <c r="N889" s="22" t="n">
        <v>0.0094163778509039</v>
      </c>
      <c r="O889" s="22" t="n">
        <v>0.000180374606556484</v>
      </c>
      <c r="P889" s="22" t="n">
        <v>0.000297813501326624</v>
      </c>
      <c r="Q889" s="22" t="n">
        <v>0.000421633640191529</v>
      </c>
      <c r="R889" s="22" t="n">
        <v>0.00746996959495322</v>
      </c>
      <c r="S889" s="23" t="n">
        <f aca="false">IF(A889="","",SUM(H889:R889))</f>
        <v>0.0485394160753033</v>
      </c>
      <c r="T889" s="17" t="str">
        <f aca="false">IF(A889="","",IF(AND(MIN(H889:R889)&gt;=0,MAX(H889:R889)&lt;=1,S889&lt;=1),"OK","CHECK"))</f>
        <v>OK</v>
      </c>
      <c r="U889" s="17" t="str">
        <f aca="false">IF(A889="","", "LOSS-"&amp;A889&amp;"-L"&amp;TEXT(B889,"00")&amp;"-"&amp;TEXT(C889,"yyyymmdd")&amp;"-"&amp;D889&amp;"-"&amp;E889)</f>
        <v>LOSS-KG01-L25-20251214-AM-ORD-2025-00296</v>
      </c>
      <c r="V889" s="17" t="str">
        <f aca="false">IF(U889="","",IF(COUNTIF($U$5:$U$935,U889)=1,"OK","CHECK"))</f>
        <v>OK</v>
      </c>
      <c r="W889" s="17" t="str">
        <f aca="false">IF(A889="","",IF(AND(T889="OK",V889="OK",G889&gt;=0),"OK","CHECK"))</f>
        <v>OK</v>
      </c>
    </row>
    <row r="890" customFormat="false" ht="18" hidden="false" customHeight="true" outlineLevel="0" collapsed="false">
      <c r="A890" s="18" t="s">
        <v>39</v>
      </c>
      <c r="B890" s="19" t="n">
        <v>25</v>
      </c>
      <c r="C890" s="20" t="n">
        <v>46005</v>
      </c>
      <c r="D890" s="18" t="s">
        <v>43</v>
      </c>
      <c r="E890" s="18" t="s">
        <v>193</v>
      </c>
      <c r="F890" s="18" t="s">
        <v>45</v>
      </c>
      <c r="G890" s="21" t="n">
        <v>785</v>
      </c>
      <c r="H890" s="22" t="n">
        <v>0.00526034389921001</v>
      </c>
      <c r="I890" s="22" t="n">
        <v>0.0239515569933846</v>
      </c>
      <c r="J890" s="22" t="n">
        <v>0.00589382753610269</v>
      </c>
      <c r="K890" s="22" t="n">
        <v>0.0111055218542288</v>
      </c>
      <c r="L890" s="22" t="n">
        <v>0.00248500463766892</v>
      </c>
      <c r="M890" s="22" t="n">
        <v>0.000464801217801102</v>
      </c>
      <c r="N890" s="22" t="n">
        <v>0.00257197883332294</v>
      </c>
      <c r="O890" s="22" t="n">
        <v>0.000116768402195391</v>
      </c>
      <c r="P890" s="22" t="n">
        <v>1.9832173419642E-005</v>
      </c>
      <c r="Q890" s="22" t="n">
        <v>0.000161008286236342</v>
      </c>
      <c r="R890" s="22" t="n">
        <v>0.00203271704797228</v>
      </c>
      <c r="S890" s="23" t="n">
        <f aca="false">IF(A890="","",SUM(H890:R890))</f>
        <v>0.0540633608815427</v>
      </c>
      <c r="T890" s="17" t="str">
        <f aca="false">IF(A890="","",IF(AND(MIN(H890:R890)&gt;=0,MAX(H890:R890)&lt;=1,S890&lt;=1),"OK","CHECK"))</f>
        <v>OK</v>
      </c>
      <c r="U890" s="17" t="str">
        <f aca="false">IF(A890="","", "LOSS-"&amp;A890&amp;"-L"&amp;TEXT(B890,"00")&amp;"-"&amp;TEXT(C890,"yyyymmdd")&amp;"-"&amp;D890&amp;"-"&amp;E890)</f>
        <v>LOSS-KG01-L25-20251214-PM-ORD-2025-00297</v>
      </c>
      <c r="V890" s="17" t="str">
        <f aca="false">IF(U890="","",IF(COUNTIF($U$5:$U$935,U890)=1,"OK","CHECK"))</f>
        <v>OK</v>
      </c>
      <c r="W890" s="17" t="str">
        <f aca="false">IF(A890="","",IF(AND(T890="OK",V890="OK",G890&gt;=0),"OK","CHECK"))</f>
        <v>OK</v>
      </c>
    </row>
    <row r="891" customFormat="false" ht="18" hidden="false" customHeight="true" outlineLevel="0" collapsed="false">
      <c r="A891" s="18" t="s">
        <v>39</v>
      </c>
      <c r="B891" s="19" t="n">
        <v>25</v>
      </c>
      <c r="C891" s="20" t="n">
        <v>46006</v>
      </c>
      <c r="D891" s="18" t="s">
        <v>40</v>
      </c>
      <c r="E891" s="18" t="s">
        <v>193</v>
      </c>
      <c r="F891" s="18" t="s">
        <v>42</v>
      </c>
      <c r="G891" s="21" t="n">
        <v>9485</v>
      </c>
      <c r="H891" s="22" t="n">
        <v>0.00860205944364832</v>
      </c>
      <c r="I891" s="22" t="n">
        <v>7.57641838940051E-005</v>
      </c>
      <c r="J891" s="22" t="n">
        <v>0.00737611692662092</v>
      </c>
      <c r="K891" s="22" t="n">
        <v>0.0064523946486898</v>
      </c>
      <c r="L891" s="22" t="n">
        <v>0.00591123898949142</v>
      </c>
      <c r="M891" s="22" t="n">
        <v>0.000561179700756683</v>
      </c>
      <c r="N891" s="22" t="n">
        <v>0.0056473804602938</v>
      </c>
      <c r="O891" s="22" t="n">
        <v>0.00363603968777947</v>
      </c>
      <c r="P891" s="22" t="n">
        <v>0.0087757494500024</v>
      </c>
      <c r="Q891" s="22" t="n">
        <v>3.33012606745875E-007</v>
      </c>
      <c r="R891" s="22" t="n">
        <v>0.00727471447585408</v>
      </c>
      <c r="S891" s="23" t="n">
        <f aca="false">IF(A891="","",SUM(H891:R891))</f>
        <v>0.0543129709796376</v>
      </c>
      <c r="T891" s="17" t="str">
        <f aca="false">IF(A891="","",IF(AND(MIN(H891:R891)&gt;=0,MAX(H891:R891)&lt;=1,S891&lt;=1),"OK","CHECK"))</f>
        <v>OK</v>
      </c>
      <c r="U891" s="17" t="str">
        <f aca="false">IF(A891="","", "LOSS-"&amp;A891&amp;"-L"&amp;TEXT(B891,"00")&amp;"-"&amp;TEXT(C891,"yyyymmdd")&amp;"-"&amp;D891&amp;"-"&amp;E891)</f>
        <v>LOSS-KG01-L25-20251215-AM-ORD-2025-00297</v>
      </c>
      <c r="V891" s="17" t="str">
        <f aca="false">IF(U891="","",IF(COUNTIF($U$5:$U$935,U891)=1,"OK","CHECK"))</f>
        <v>OK</v>
      </c>
      <c r="W891" s="17" t="str">
        <f aca="false">IF(A891="","",IF(AND(T891="OK",V891="OK",G891&gt;=0),"OK","CHECK"))</f>
        <v>OK</v>
      </c>
    </row>
    <row r="892" customFormat="false" ht="18" hidden="false" customHeight="true" outlineLevel="0" collapsed="false">
      <c r="A892" s="18" t="s">
        <v>39</v>
      </c>
      <c r="B892" s="19" t="n">
        <v>25</v>
      </c>
      <c r="C892" s="20" t="n">
        <v>46006</v>
      </c>
      <c r="D892" s="18" t="s">
        <v>43</v>
      </c>
      <c r="E892" s="18" t="s">
        <v>193</v>
      </c>
      <c r="F892" s="18" t="s">
        <v>42</v>
      </c>
      <c r="G892" s="21" t="n">
        <v>8537</v>
      </c>
      <c r="H892" s="22" t="n">
        <v>0.00352702692607814</v>
      </c>
      <c r="I892" s="22" t="n">
        <v>0.000143662277995395</v>
      </c>
      <c r="J892" s="22" t="n">
        <v>0.00424279829506516</v>
      </c>
      <c r="K892" s="22" t="n">
        <v>0.0118006551594844</v>
      </c>
      <c r="L892" s="22" t="n">
        <v>0.00283370099718909</v>
      </c>
      <c r="M892" s="22" t="n">
        <v>0.0029929180928559</v>
      </c>
      <c r="N892" s="22" t="n">
        <v>0.00382173511838938</v>
      </c>
      <c r="O892" s="22" t="n">
        <v>0.000469568789779337</v>
      </c>
      <c r="P892" s="22" t="n">
        <v>7.66316139109103E-005</v>
      </c>
      <c r="Q892" s="22" t="n">
        <v>0.00408617254609793</v>
      </c>
      <c r="R892" s="22" t="n">
        <v>0.00953038523186987</v>
      </c>
      <c r="S892" s="23" t="n">
        <f aca="false">IF(A892="","",SUM(H892:R892))</f>
        <v>0.0435252550487155</v>
      </c>
      <c r="T892" s="17" t="str">
        <f aca="false">IF(A892="","",IF(AND(MIN(H892:R892)&gt;=0,MAX(H892:R892)&lt;=1,S892&lt;=1),"OK","CHECK"))</f>
        <v>OK</v>
      </c>
      <c r="U892" s="17" t="str">
        <f aca="false">IF(A892="","", "LOSS-"&amp;A892&amp;"-L"&amp;TEXT(B892,"00")&amp;"-"&amp;TEXT(C892,"yyyymmdd")&amp;"-"&amp;D892&amp;"-"&amp;E892)</f>
        <v>LOSS-KG01-L25-20251215-PM-ORD-2025-00297</v>
      </c>
      <c r="V892" s="17" t="str">
        <f aca="false">IF(U892="","",IF(COUNTIF($U$5:$U$935,U892)=1,"OK","CHECK"))</f>
        <v>OK</v>
      </c>
      <c r="W892" s="17" t="str">
        <f aca="false">IF(A892="","",IF(AND(T892="OK",V892="OK",G892&gt;=0),"OK","CHECK"))</f>
        <v>OK</v>
      </c>
    </row>
    <row r="893" customFormat="false" ht="18" hidden="false" customHeight="true" outlineLevel="0" collapsed="false">
      <c r="A893" s="18" t="s">
        <v>39</v>
      </c>
      <c r="B893" s="19" t="n">
        <v>25</v>
      </c>
      <c r="C893" s="20" t="n">
        <v>46007</v>
      </c>
      <c r="D893" s="18" t="s">
        <v>40</v>
      </c>
      <c r="E893" s="18" t="s">
        <v>193</v>
      </c>
      <c r="F893" s="18" t="s">
        <v>42</v>
      </c>
      <c r="G893" s="21" t="n">
        <v>22202</v>
      </c>
      <c r="H893" s="22" t="n">
        <v>0.00170052761324761</v>
      </c>
      <c r="I893" s="22" t="n">
        <v>0.0114703233030162</v>
      </c>
      <c r="J893" s="22" t="n">
        <v>0.0106604251103208</v>
      </c>
      <c r="K893" s="22" t="n">
        <v>0.0114767366472694</v>
      </c>
      <c r="L893" s="22" t="n">
        <v>0.000988291209705582</v>
      </c>
      <c r="M893" s="22" t="n">
        <v>0.000241002252361044</v>
      </c>
      <c r="N893" s="22" t="n">
        <v>0.00683153384843269</v>
      </c>
      <c r="O893" s="22" t="n">
        <v>0.00831691541257103</v>
      </c>
      <c r="P893" s="22" t="n">
        <v>0.0096287032837593</v>
      </c>
      <c r="Q893" s="22" t="n">
        <v>0.00539985930964296</v>
      </c>
      <c r="R893" s="22" t="n">
        <v>0.00239158816483636</v>
      </c>
      <c r="S893" s="23" t="n">
        <f aca="false">IF(A893="","",SUM(H893:R893))</f>
        <v>0.069105906155163</v>
      </c>
      <c r="T893" s="17" t="str">
        <f aca="false">IF(A893="","",IF(AND(MIN(H893:R893)&gt;=0,MAX(H893:R893)&lt;=1,S893&lt;=1),"OK","CHECK"))</f>
        <v>OK</v>
      </c>
      <c r="U893" s="17" t="str">
        <f aca="false">IF(A893="","", "LOSS-"&amp;A893&amp;"-L"&amp;TEXT(B893,"00")&amp;"-"&amp;TEXT(C893,"yyyymmdd")&amp;"-"&amp;D893&amp;"-"&amp;E893)</f>
        <v>LOSS-KG01-L25-20251216-AM-ORD-2025-00297</v>
      </c>
      <c r="V893" s="17" t="str">
        <f aca="false">IF(U893="","",IF(COUNTIF($U$5:$U$935,U893)=1,"OK","CHECK"))</f>
        <v>OK</v>
      </c>
      <c r="W893" s="17" t="str">
        <f aca="false">IF(A893="","",IF(AND(T893="OK",V893="OK",G893&gt;=0),"OK","CHECK"))</f>
        <v>OK</v>
      </c>
    </row>
    <row r="894" customFormat="false" ht="18" hidden="false" customHeight="true" outlineLevel="0" collapsed="false">
      <c r="A894" s="18" t="s">
        <v>39</v>
      </c>
      <c r="B894" s="19" t="n">
        <v>25</v>
      </c>
      <c r="C894" s="20" t="n">
        <v>46007</v>
      </c>
      <c r="D894" s="18" t="s">
        <v>43</v>
      </c>
      <c r="E894" s="18" t="s">
        <v>193</v>
      </c>
      <c r="F894" s="18" t="s">
        <v>42</v>
      </c>
      <c r="G894" s="21" t="n">
        <v>14482</v>
      </c>
      <c r="H894" s="22" t="n">
        <v>0.000428119088991019</v>
      </c>
      <c r="I894" s="22" t="n">
        <v>0.000242790465464888</v>
      </c>
      <c r="J894" s="22" t="n">
        <v>0.000534926080248851</v>
      </c>
      <c r="K894" s="22" t="n">
        <v>0.000820547851248349</v>
      </c>
      <c r="L894" s="22" t="n">
        <v>0.0012457930748195</v>
      </c>
      <c r="M894" s="22" t="n">
        <v>0.0106751478536251</v>
      </c>
      <c r="N894" s="22" t="n">
        <v>0.0154419338055715</v>
      </c>
      <c r="O894" s="22" t="n">
        <v>0.00231069137912518</v>
      </c>
      <c r="P894" s="22" t="n">
        <v>0.00365101848487914</v>
      </c>
      <c r="Q894" s="22" t="n">
        <v>0.00957344678598002</v>
      </c>
      <c r="R894" s="22" t="n">
        <v>0.0105039859659505</v>
      </c>
      <c r="S894" s="23" t="n">
        <f aca="false">IF(A894="","",SUM(H894:R894))</f>
        <v>0.0554284008359041</v>
      </c>
      <c r="T894" s="17" t="str">
        <f aca="false">IF(A894="","",IF(AND(MIN(H894:R894)&gt;=0,MAX(H894:R894)&lt;=1,S894&lt;=1),"OK","CHECK"))</f>
        <v>OK</v>
      </c>
      <c r="U894" s="17" t="str">
        <f aca="false">IF(A894="","", "LOSS-"&amp;A894&amp;"-L"&amp;TEXT(B894,"00")&amp;"-"&amp;TEXT(C894,"yyyymmdd")&amp;"-"&amp;D894&amp;"-"&amp;E894)</f>
        <v>LOSS-KG01-L25-20251216-PM-ORD-2025-00297</v>
      </c>
      <c r="V894" s="17" t="str">
        <f aca="false">IF(U894="","",IF(COUNTIF($U$5:$U$935,U894)=1,"OK","CHECK"))</f>
        <v>OK</v>
      </c>
      <c r="W894" s="17" t="str">
        <f aca="false">IF(A894="","",IF(AND(T894="OK",V894="OK",G894&gt;=0),"OK","CHECK"))</f>
        <v>OK</v>
      </c>
    </row>
    <row r="895" customFormat="false" ht="18" hidden="false" customHeight="true" outlineLevel="0" collapsed="false">
      <c r="A895" s="18" t="s">
        <v>39</v>
      </c>
      <c r="B895" s="19" t="n">
        <v>25</v>
      </c>
      <c r="C895" s="20" t="n">
        <v>46008</v>
      </c>
      <c r="D895" s="18" t="s">
        <v>40</v>
      </c>
      <c r="E895" s="18" t="s">
        <v>193</v>
      </c>
      <c r="F895" s="18" t="s">
        <v>42</v>
      </c>
      <c r="G895" s="21" t="n">
        <v>12222</v>
      </c>
      <c r="H895" s="22" t="n">
        <v>0.012520220148976</v>
      </c>
      <c r="I895" s="22" t="n">
        <v>0.00472577705725501</v>
      </c>
      <c r="J895" s="22" t="n">
        <v>0.00354783446197175</v>
      </c>
      <c r="K895" s="22" t="n">
        <v>0.00204734901085404</v>
      </c>
      <c r="L895" s="22" t="n">
        <v>0.0111878221680458</v>
      </c>
      <c r="M895" s="22" t="n">
        <v>0.000475269840013944</v>
      </c>
      <c r="N895" s="22" t="n">
        <v>0.0161301370509065</v>
      </c>
      <c r="O895" s="22" t="n">
        <v>0.0149893356450269</v>
      </c>
      <c r="P895" s="22" t="n">
        <v>0.000509801145255512</v>
      </c>
      <c r="Q895" s="22" t="n">
        <v>0.000272917392118168</v>
      </c>
      <c r="R895" s="22" t="n">
        <v>0.00752646290884467</v>
      </c>
      <c r="S895" s="23" t="n">
        <f aca="false">IF(A895="","",SUM(H895:R895))</f>
        <v>0.0739329268292683</v>
      </c>
      <c r="T895" s="17" t="str">
        <f aca="false">IF(A895="","",IF(AND(MIN(H895:R895)&gt;=0,MAX(H895:R895)&lt;=1,S895&lt;=1),"OK","CHECK"))</f>
        <v>OK</v>
      </c>
      <c r="U895" s="17" t="str">
        <f aca="false">IF(A895="","", "LOSS-"&amp;A895&amp;"-L"&amp;TEXT(B895,"00")&amp;"-"&amp;TEXT(C895,"yyyymmdd")&amp;"-"&amp;D895&amp;"-"&amp;E895)</f>
        <v>LOSS-KG01-L25-20251217-AM-ORD-2025-00297</v>
      </c>
      <c r="V895" s="17" t="str">
        <f aca="false">IF(U895="","",IF(COUNTIF($U$5:$U$935,U895)=1,"OK","CHECK"))</f>
        <v>OK</v>
      </c>
      <c r="W895" s="17" t="str">
        <f aca="false">IF(A895="","",IF(AND(T895="OK",V895="OK",G895&gt;=0),"OK","CHECK"))</f>
        <v>OK</v>
      </c>
    </row>
    <row r="896" customFormat="false" ht="18" hidden="false" customHeight="true" outlineLevel="0" collapsed="false">
      <c r="A896" s="18" t="s">
        <v>39</v>
      </c>
      <c r="B896" s="19" t="n">
        <v>25</v>
      </c>
      <c r="C896" s="20" t="n">
        <v>46008</v>
      </c>
      <c r="D896" s="18" t="s">
        <v>43</v>
      </c>
      <c r="E896" s="18" t="s">
        <v>193</v>
      </c>
      <c r="F896" s="18" t="s">
        <v>42</v>
      </c>
      <c r="G896" s="21" t="n">
        <v>21586</v>
      </c>
      <c r="H896" s="22" t="n">
        <v>0.0101270572860391</v>
      </c>
      <c r="I896" s="22" t="n">
        <v>0.00113485732460689</v>
      </c>
      <c r="J896" s="22" t="n">
        <v>0.00220678186930769</v>
      </c>
      <c r="K896" s="22" t="n">
        <v>0.00134541715368312</v>
      </c>
      <c r="L896" s="22" t="n">
        <v>0.0133258065184097</v>
      </c>
      <c r="M896" s="22" t="n">
        <v>0.0201499884317851</v>
      </c>
      <c r="N896" s="22" t="n">
        <v>0.001511078714682</v>
      </c>
      <c r="O896" s="22" t="n">
        <v>2.07352911050795E-005</v>
      </c>
      <c r="P896" s="22" t="n">
        <v>0.0187214436134096</v>
      </c>
      <c r="Q896" s="22" t="n">
        <v>0.00135869986551958</v>
      </c>
      <c r="R896" s="22" t="n">
        <v>0.00894246149372842</v>
      </c>
      <c r="S896" s="23" t="n">
        <f aca="false">IF(A896="","",SUM(H896:R896))</f>
        <v>0.0788443275622763</v>
      </c>
      <c r="T896" s="17" t="str">
        <f aca="false">IF(A896="","",IF(AND(MIN(H896:R896)&gt;=0,MAX(H896:R896)&lt;=1,S896&lt;=1),"OK","CHECK"))</f>
        <v>OK</v>
      </c>
      <c r="U896" s="17" t="str">
        <f aca="false">IF(A896="","", "LOSS-"&amp;A896&amp;"-L"&amp;TEXT(B896,"00")&amp;"-"&amp;TEXT(C896,"yyyymmdd")&amp;"-"&amp;D896&amp;"-"&amp;E896)</f>
        <v>LOSS-KG01-L25-20251217-PM-ORD-2025-00297</v>
      </c>
      <c r="V896" s="17" t="str">
        <f aca="false">IF(U896="","",IF(COUNTIF($U$5:$U$935,U896)=1,"OK","CHECK"))</f>
        <v>OK</v>
      </c>
      <c r="W896" s="17" t="str">
        <f aca="false">IF(A896="","",IF(AND(T896="OK",V896="OK",G896&gt;=0),"OK","CHECK"))</f>
        <v>OK</v>
      </c>
    </row>
    <row r="897" customFormat="false" ht="18" hidden="false" customHeight="true" outlineLevel="0" collapsed="false">
      <c r="A897" s="18" t="s">
        <v>39</v>
      </c>
      <c r="B897" s="19" t="n">
        <v>25</v>
      </c>
      <c r="C897" s="20" t="n">
        <v>46009</v>
      </c>
      <c r="D897" s="18" t="s">
        <v>40</v>
      </c>
      <c r="E897" s="18" t="s">
        <v>194</v>
      </c>
      <c r="F897" s="18" t="s">
        <v>45</v>
      </c>
      <c r="G897" s="21" t="n">
        <v>1819</v>
      </c>
      <c r="H897" s="22" t="n">
        <v>0.000473447135647495</v>
      </c>
      <c r="I897" s="22" t="n">
        <v>0.00127057902178672</v>
      </c>
      <c r="J897" s="22" t="n">
        <v>0.00318523736939521</v>
      </c>
      <c r="K897" s="22" t="n">
        <v>0.00440413196649752</v>
      </c>
      <c r="L897" s="22" t="n">
        <v>0.00416091390629207</v>
      </c>
      <c r="M897" s="22" t="n">
        <v>3.42440332001796E-005</v>
      </c>
      <c r="N897" s="22" t="n">
        <v>0.000113987706528737</v>
      </c>
      <c r="O897" s="22" t="n">
        <v>0.000218038686853744</v>
      </c>
      <c r="P897" s="22" t="n">
        <v>0.00508456420462324</v>
      </c>
      <c r="Q897" s="22" t="n">
        <v>0.00564393034803265</v>
      </c>
      <c r="R897" s="22" t="n">
        <v>0.000474307455357613</v>
      </c>
      <c r="S897" s="23" t="n">
        <f aca="false">IF(A897="","",SUM(H897:R897))</f>
        <v>0.0250633818342152</v>
      </c>
      <c r="T897" s="17" t="str">
        <f aca="false">IF(A897="","",IF(AND(MIN(H897:R897)&gt;=0,MAX(H897:R897)&lt;=1,S897&lt;=1),"OK","CHECK"))</f>
        <v>OK</v>
      </c>
      <c r="U897" s="17" t="str">
        <f aca="false">IF(A897="","", "LOSS-"&amp;A897&amp;"-L"&amp;TEXT(B897,"00")&amp;"-"&amp;TEXT(C897,"yyyymmdd")&amp;"-"&amp;D897&amp;"-"&amp;E897)</f>
        <v>LOSS-KG01-L25-20251218-AM-ORD-2025-00298</v>
      </c>
      <c r="V897" s="17" t="str">
        <f aca="false">IF(U897="","",IF(COUNTIF($U$5:$U$935,U897)=1,"OK","CHECK"))</f>
        <v>OK</v>
      </c>
      <c r="W897" s="17" t="str">
        <f aca="false">IF(A897="","",IF(AND(T897="OK",V897="OK",G897&gt;=0),"OK","CHECK"))</f>
        <v>OK</v>
      </c>
    </row>
    <row r="898" customFormat="false" ht="18" hidden="false" customHeight="true" outlineLevel="0" collapsed="false">
      <c r="A898" s="18" t="s">
        <v>39</v>
      </c>
      <c r="B898" s="19" t="n">
        <v>25</v>
      </c>
      <c r="C898" s="20" t="n">
        <v>46009</v>
      </c>
      <c r="D898" s="18" t="s">
        <v>43</v>
      </c>
      <c r="E898" s="18" t="s">
        <v>194</v>
      </c>
      <c r="F898" s="18" t="s">
        <v>42</v>
      </c>
      <c r="G898" s="21" t="n">
        <v>7764</v>
      </c>
      <c r="H898" s="22" t="n">
        <v>0.00420447464892967</v>
      </c>
      <c r="I898" s="22" t="n">
        <v>0.00853201710101688</v>
      </c>
      <c r="J898" s="22" t="n">
        <v>0.00778275384954617</v>
      </c>
      <c r="K898" s="22" t="n">
        <v>0.00351514134288058</v>
      </c>
      <c r="L898" s="22" t="n">
        <v>0.0128725853521496</v>
      </c>
      <c r="M898" s="22" t="n">
        <v>0.0078353885868362</v>
      </c>
      <c r="N898" s="22" t="n">
        <v>0.0140829692271853</v>
      </c>
      <c r="O898" s="22" t="n">
        <v>0.00295939714060097</v>
      </c>
      <c r="P898" s="22" t="n">
        <v>0.0118289277546672</v>
      </c>
      <c r="Q898" s="22" t="n">
        <v>0.00230893585920125</v>
      </c>
      <c r="R898" s="22" t="n">
        <v>0.000619791375683337</v>
      </c>
      <c r="S898" s="23" t="n">
        <f aca="false">IF(A898="","",SUM(H898:R898))</f>
        <v>0.0765423822386972</v>
      </c>
      <c r="T898" s="17" t="str">
        <f aca="false">IF(A898="","",IF(AND(MIN(H898:R898)&gt;=0,MAX(H898:R898)&lt;=1,S898&lt;=1),"OK","CHECK"))</f>
        <v>OK</v>
      </c>
      <c r="U898" s="17" t="str">
        <f aca="false">IF(A898="","", "LOSS-"&amp;A898&amp;"-L"&amp;TEXT(B898,"00")&amp;"-"&amp;TEXT(C898,"yyyymmdd")&amp;"-"&amp;D898&amp;"-"&amp;E898)</f>
        <v>LOSS-KG01-L25-20251218-PM-ORD-2025-00298</v>
      </c>
      <c r="V898" s="17" t="str">
        <f aca="false">IF(U898="","",IF(COUNTIF($U$5:$U$935,U898)=1,"OK","CHECK"))</f>
        <v>OK</v>
      </c>
      <c r="W898" s="17" t="str">
        <f aca="false">IF(A898="","",IF(AND(T898="OK",V898="OK",G898&gt;=0),"OK","CHECK"))</f>
        <v>OK</v>
      </c>
    </row>
    <row r="899" customFormat="false" ht="18" hidden="false" customHeight="true" outlineLevel="0" collapsed="false">
      <c r="A899" s="18" t="s">
        <v>39</v>
      </c>
      <c r="B899" s="19" t="n">
        <v>25</v>
      </c>
      <c r="C899" s="20" t="n">
        <v>46010</v>
      </c>
      <c r="D899" s="18" t="s">
        <v>40</v>
      </c>
      <c r="E899" s="18" t="s">
        <v>194</v>
      </c>
      <c r="F899" s="18" t="s">
        <v>42</v>
      </c>
      <c r="G899" s="21" t="n">
        <v>8020</v>
      </c>
      <c r="H899" s="22" t="n">
        <v>0.00282415030769487</v>
      </c>
      <c r="I899" s="22" t="n">
        <v>0.00266138199087157</v>
      </c>
      <c r="J899" s="22" t="n">
        <v>0.00294458038361959</v>
      </c>
      <c r="K899" s="22" t="n">
        <v>0.000177005144819013</v>
      </c>
      <c r="L899" s="22" t="n">
        <v>0.000184234832161909</v>
      </c>
      <c r="M899" s="22" t="n">
        <v>0.000234865395610822</v>
      </c>
      <c r="N899" s="22" t="n">
        <v>0.0044338133594361</v>
      </c>
      <c r="O899" s="22" t="n">
        <v>0.00185742053810482</v>
      </c>
      <c r="P899" s="22" t="n">
        <v>0.00300183463391565</v>
      </c>
      <c r="Q899" s="22" t="n">
        <v>0.00429689641620983</v>
      </c>
      <c r="R899" s="22" t="n">
        <v>0.00515466937573805</v>
      </c>
      <c r="S899" s="23" t="n">
        <f aca="false">IF(A899="","",SUM(H899:R899))</f>
        <v>0.0277708523781822</v>
      </c>
      <c r="T899" s="17" t="str">
        <f aca="false">IF(A899="","",IF(AND(MIN(H899:R899)&gt;=0,MAX(H899:R899)&lt;=1,S899&lt;=1),"OK","CHECK"))</f>
        <v>OK</v>
      </c>
      <c r="U899" s="17" t="str">
        <f aca="false">IF(A899="","", "LOSS-"&amp;A899&amp;"-L"&amp;TEXT(B899,"00")&amp;"-"&amp;TEXT(C899,"yyyymmdd")&amp;"-"&amp;D899&amp;"-"&amp;E899)</f>
        <v>LOSS-KG01-L25-20251219-AM-ORD-2025-00298</v>
      </c>
      <c r="V899" s="17" t="str">
        <f aca="false">IF(U899="","",IF(COUNTIF($U$5:$U$935,U899)=1,"OK","CHECK"))</f>
        <v>OK</v>
      </c>
      <c r="W899" s="17" t="str">
        <f aca="false">IF(A899="","",IF(AND(T899="OK",V899="OK",G899&gt;=0),"OK","CHECK"))</f>
        <v>OK</v>
      </c>
    </row>
    <row r="900" customFormat="false" ht="18" hidden="false" customHeight="true" outlineLevel="0" collapsed="false">
      <c r="A900" s="18" t="s">
        <v>39</v>
      </c>
      <c r="B900" s="19" t="n">
        <v>25</v>
      </c>
      <c r="C900" s="20" t="n">
        <v>46010</v>
      </c>
      <c r="D900" s="18" t="s">
        <v>43</v>
      </c>
      <c r="E900" s="18" t="s">
        <v>195</v>
      </c>
      <c r="F900" s="18" t="s">
        <v>45</v>
      </c>
      <c r="G900" s="21" t="n">
        <v>5108</v>
      </c>
      <c r="H900" s="22" t="n">
        <v>0.00240081843005608</v>
      </c>
      <c r="I900" s="22" t="n">
        <v>3.05545358366795E-006</v>
      </c>
      <c r="J900" s="22" t="n">
        <v>0.00565852849042663</v>
      </c>
      <c r="K900" s="22" t="n">
        <v>0.0123236206392581</v>
      </c>
      <c r="L900" s="22" t="n">
        <v>8.68807409007521E-005</v>
      </c>
      <c r="M900" s="22" t="n">
        <v>0.0118014414308944</v>
      </c>
      <c r="N900" s="22" t="n">
        <v>0.0177785458219941</v>
      </c>
      <c r="O900" s="22" t="n">
        <v>0.0131207351178516</v>
      </c>
      <c r="P900" s="22" t="n">
        <v>0.00124767725324942</v>
      </c>
      <c r="Q900" s="22" t="n">
        <v>0.00980796530650621</v>
      </c>
      <c r="R900" s="22" t="n">
        <v>0.000725242085954614</v>
      </c>
      <c r="S900" s="23" t="n">
        <f aca="false">IF(A900="","",SUM(H900:R900))</f>
        <v>0.0749545107706756</v>
      </c>
      <c r="T900" s="17" t="str">
        <f aca="false">IF(A900="","",IF(AND(MIN(H900:R900)&gt;=0,MAX(H900:R900)&lt;=1,S900&lt;=1),"OK","CHECK"))</f>
        <v>OK</v>
      </c>
      <c r="U900" s="17" t="str">
        <f aca="false">IF(A900="","", "LOSS-"&amp;A900&amp;"-L"&amp;TEXT(B900,"00")&amp;"-"&amp;TEXT(C900,"yyyymmdd")&amp;"-"&amp;D900&amp;"-"&amp;E900)</f>
        <v>LOSS-KG01-L25-20251219-PM-ORD-2025-00299</v>
      </c>
      <c r="V900" s="17" t="str">
        <f aca="false">IF(U900="","",IF(COUNTIF($U$5:$U$935,U900)=1,"OK","CHECK"))</f>
        <v>OK</v>
      </c>
      <c r="W900" s="17" t="str">
        <f aca="false">IF(A900="","",IF(AND(T900="OK",V900="OK",G900&gt;=0),"OK","CHECK"))</f>
        <v>OK</v>
      </c>
    </row>
    <row r="901" customFormat="false" ht="18" hidden="false" customHeight="true" outlineLevel="0" collapsed="false">
      <c r="A901" s="18" t="s">
        <v>39</v>
      </c>
      <c r="B901" s="19" t="n">
        <v>25</v>
      </c>
      <c r="C901" s="20" t="n">
        <v>46011</v>
      </c>
      <c r="D901" s="18" t="s">
        <v>40</v>
      </c>
      <c r="E901" s="18" t="s">
        <v>195</v>
      </c>
      <c r="F901" s="18" t="s">
        <v>42</v>
      </c>
      <c r="G901" s="21" t="n">
        <v>21637</v>
      </c>
      <c r="H901" s="22" t="n">
        <v>0.00254077182612015</v>
      </c>
      <c r="I901" s="22" t="n">
        <v>0.0168063655199307</v>
      </c>
      <c r="J901" s="22" t="n">
        <v>0.0162875094393149</v>
      </c>
      <c r="K901" s="22" t="n">
        <v>0.00179547227801834</v>
      </c>
      <c r="L901" s="22" t="n">
        <v>0.00505491066722271</v>
      </c>
      <c r="M901" s="22" t="n">
        <v>0.0117030884623972</v>
      </c>
      <c r="N901" s="22" t="n">
        <v>0.00120968287182701</v>
      </c>
      <c r="O901" s="22" t="n">
        <v>0.0135796273545046</v>
      </c>
      <c r="P901" s="22" t="n">
        <v>0.00186265288366179</v>
      </c>
      <c r="Q901" s="22" t="n">
        <v>0.000895463184107833</v>
      </c>
      <c r="R901" s="22" t="n">
        <v>0.00158735142332267</v>
      </c>
      <c r="S901" s="23" t="n">
        <f aca="false">IF(A901="","",SUM(H901:R901))</f>
        <v>0.0733228959104279</v>
      </c>
      <c r="T901" s="17" t="str">
        <f aca="false">IF(A901="","",IF(AND(MIN(H901:R901)&gt;=0,MAX(H901:R901)&lt;=1,S901&lt;=1),"OK","CHECK"))</f>
        <v>OK</v>
      </c>
      <c r="U901" s="17" t="str">
        <f aca="false">IF(A901="","", "LOSS-"&amp;A901&amp;"-L"&amp;TEXT(B901,"00")&amp;"-"&amp;TEXT(C901,"yyyymmdd")&amp;"-"&amp;D901&amp;"-"&amp;E901)</f>
        <v>LOSS-KG01-L25-20251220-AM-ORD-2025-00299</v>
      </c>
      <c r="V901" s="17" t="str">
        <f aca="false">IF(U901="","",IF(COUNTIF($U$5:$U$935,U901)=1,"OK","CHECK"))</f>
        <v>OK</v>
      </c>
      <c r="W901" s="17" t="str">
        <f aca="false">IF(A901="","",IF(AND(T901="OK",V901="OK",G901&gt;=0),"OK","CHECK"))</f>
        <v>OK</v>
      </c>
    </row>
    <row r="902" customFormat="false" ht="18" hidden="false" customHeight="true" outlineLevel="0" collapsed="false">
      <c r="A902" s="18" t="s">
        <v>39</v>
      </c>
      <c r="B902" s="19" t="n">
        <v>25</v>
      </c>
      <c r="C902" s="20" t="n">
        <v>46011</v>
      </c>
      <c r="D902" s="18" t="s">
        <v>43</v>
      </c>
      <c r="E902" s="18" t="s">
        <v>195</v>
      </c>
      <c r="F902" s="18" t="s">
        <v>42</v>
      </c>
      <c r="G902" s="21" t="n">
        <v>7068</v>
      </c>
      <c r="H902" s="22" t="n">
        <v>2.19351588137342E-005</v>
      </c>
      <c r="I902" s="22" t="n">
        <v>0.0145415906184733</v>
      </c>
      <c r="J902" s="22" t="n">
        <v>0.0084033502293472</v>
      </c>
      <c r="K902" s="22" t="n">
        <v>0.00690136127565519</v>
      </c>
      <c r="L902" s="22" t="n">
        <v>0.000184907516729585</v>
      </c>
      <c r="M902" s="22" t="n">
        <v>8.19413334523775E-005</v>
      </c>
      <c r="N902" s="22" t="n">
        <v>0.013057740492612</v>
      </c>
      <c r="O902" s="22" t="n">
        <v>0.00332831503970951</v>
      </c>
      <c r="P902" s="22" t="n">
        <v>0.00437625333835612</v>
      </c>
      <c r="Q902" s="22" t="n">
        <v>0.00453414558390571</v>
      </c>
      <c r="R902" s="22" t="n">
        <v>7.68940562399914E-005</v>
      </c>
      <c r="S902" s="23" t="n">
        <f aca="false">IF(A902="","",SUM(H902:R902))</f>
        <v>0.0555084346432947</v>
      </c>
      <c r="T902" s="17" t="str">
        <f aca="false">IF(A902="","",IF(AND(MIN(H902:R902)&gt;=0,MAX(H902:R902)&lt;=1,S902&lt;=1),"OK","CHECK"))</f>
        <v>OK</v>
      </c>
      <c r="U902" s="17" t="str">
        <f aca="false">IF(A902="","", "LOSS-"&amp;A902&amp;"-L"&amp;TEXT(B902,"00")&amp;"-"&amp;TEXT(C902,"yyyymmdd")&amp;"-"&amp;D902&amp;"-"&amp;E902)</f>
        <v>LOSS-KG01-L25-20251220-PM-ORD-2025-00299</v>
      </c>
      <c r="V902" s="17" t="str">
        <f aca="false">IF(U902="","",IF(COUNTIF($U$5:$U$935,U902)=1,"OK","CHECK"))</f>
        <v>OK</v>
      </c>
      <c r="W902" s="17" t="str">
        <f aca="false">IF(A902="","",IF(AND(T902="OK",V902="OK",G902&gt;=0),"OK","CHECK"))</f>
        <v>OK</v>
      </c>
    </row>
    <row r="903" customFormat="false" ht="18" hidden="false" customHeight="true" outlineLevel="0" collapsed="false">
      <c r="A903" s="18" t="s">
        <v>39</v>
      </c>
      <c r="B903" s="19" t="n">
        <v>25</v>
      </c>
      <c r="C903" s="20" t="n">
        <v>46012</v>
      </c>
      <c r="D903" s="18" t="s">
        <v>40</v>
      </c>
      <c r="E903" s="18" t="s">
        <v>195</v>
      </c>
      <c r="F903" s="18" t="s">
        <v>42</v>
      </c>
      <c r="G903" s="21" t="n">
        <v>9948</v>
      </c>
      <c r="H903" s="22" t="n">
        <v>0.00334316267001573</v>
      </c>
      <c r="I903" s="22" t="n">
        <v>0.0181014981958183</v>
      </c>
      <c r="J903" s="22" t="n">
        <v>0.00143934603004796</v>
      </c>
      <c r="K903" s="22" t="n">
        <v>0.0011979049520636</v>
      </c>
      <c r="L903" s="22" t="n">
        <v>0.00830987033501963</v>
      </c>
      <c r="M903" s="22" t="n">
        <v>0.00239178940248525</v>
      </c>
      <c r="N903" s="22" t="n">
        <v>0.00126952361710486</v>
      </c>
      <c r="O903" s="22" t="n">
        <v>5.29554653976475E-005</v>
      </c>
      <c r="P903" s="22" t="n">
        <v>0.0052336506917635</v>
      </c>
      <c r="Q903" s="22" t="n">
        <v>0.0124295422231342</v>
      </c>
      <c r="R903" s="22" t="n">
        <v>0.0143020026793208</v>
      </c>
      <c r="S903" s="23" t="n">
        <f aca="false">IF(A903="","",SUM(H903:R903))</f>
        <v>0.0680712462621715</v>
      </c>
      <c r="T903" s="17" t="str">
        <f aca="false">IF(A903="","",IF(AND(MIN(H903:R903)&gt;=0,MAX(H903:R903)&lt;=1,S903&lt;=1),"OK","CHECK"))</f>
        <v>OK</v>
      </c>
      <c r="U903" s="17" t="str">
        <f aca="false">IF(A903="","", "LOSS-"&amp;A903&amp;"-L"&amp;TEXT(B903,"00")&amp;"-"&amp;TEXT(C903,"yyyymmdd")&amp;"-"&amp;D903&amp;"-"&amp;E903)</f>
        <v>LOSS-KG01-L25-20251221-AM-ORD-2025-00299</v>
      </c>
      <c r="V903" s="17" t="str">
        <f aca="false">IF(U903="","",IF(COUNTIF($U$5:$U$935,U903)=1,"OK","CHECK"))</f>
        <v>OK</v>
      </c>
      <c r="W903" s="17" t="str">
        <f aca="false">IF(A903="","",IF(AND(T903="OK",V903="OK",G903&gt;=0),"OK","CHECK"))</f>
        <v>OK</v>
      </c>
    </row>
    <row r="904" customFormat="false" ht="18" hidden="false" customHeight="true" outlineLevel="0" collapsed="false">
      <c r="A904" s="18" t="s">
        <v>39</v>
      </c>
      <c r="B904" s="19" t="n">
        <v>25</v>
      </c>
      <c r="C904" s="20" t="n">
        <v>46012</v>
      </c>
      <c r="D904" s="18" t="s">
        <v>43</v>
      </c>
      <c r="E904" s="18" t="s">
        <v>195</v>
      </c>
      <c r="F904" s="18" t="s">
        <v>42</v>
      </c>
      <c r="G904" s="21" t="n">
        <v>11931</v>
      </c>
      <c r="H904" s="22" t="n">
        <v>0.00683476624642455</v>
      </c>
      <c r="I904" s="22" t="n">
        <v>0.00325529221136183</v>
      </c>
      <c r="J904" s="22" t="n">
        <v>0.00553527531695407</v>
      </c>
      <c r="K904" s="22" t="n">
        <v>0.00292464539878865</v>
      </c>
      <c r="L904" s="22" t="n">
        <v>0.00887032058825903</v>
      </c>
      <c r="M904" s="22" t="n">
        <v>0.000165580333934511</v>
      </c>
      <c r="N904" s="22" t="n">
        <v>0.00593992303355293</v>
      </c>
      <c r="O904" s="22" t="n">
        <v>0.00611001341338128</v>
      </c>
      <c r="P904" s="22" t="n">
        <v>0.0119512734262335</v>
      </c>
      <c r="Q904" s="22" t="n">
        <v>0.00760159136532436</v>
      </c>
      <c r="R904" s="22" t="n">
        <v>0.00148132792061866</v>
      </c>
      <c r="S904" s="23" t="n">
        <f aca="false">IF(A904="","",SUM(H904:R904))</f>
        <v>0.0606700092548334</v>
      </c>
      <c r="T904" s="17" t="str">
        <f aca="false">IF(A904="","",IF(AND(MIN(H904:R904)&gt;=0,MAX(H904:R904)&lt;=1,S904&lt;=1),"OK","CHECK"))</f>
        <v>OK</v>
      </c>
      <c r="U904" s="17" t="str">
        <f aca="false">IF(A904="","", "LOSS-"&amp;A904&amp;"-L"&amp;TEXT(B904,"00")&amp;"-"&amp;TEXT(C904,"yyyymmdd")&amp;"-"&amp;D904&amp;"-"&amp;E904)</f>
        <v>LOSS-KG01-L25-20251221-PM-ORD-2025-00299</v>
      </c>
      <c r="V904" s="17" t="str">
        <f aca="false">IF(U904="","",IF(COUNTIF($U$5:$U$935,U904)=1,"OK","CHECK"))</f>
        <v>OK</v>
      </c>
      <c r="W904" s="17" t="str">
        <f aca="false">IF(A904="","",IF(AND(T904="OK",V904="OK",G904&gt;=0),"OK","CHECK"))</f>
        <v>OK</v>
      </c>
    </row>
    <row r="905" customFormat="false" ht="18" hidden="false" customHeight="true" outlineLevel="0" collapsed="false">
      <c r="A905" s="18" t="s">
        <v>39</v>
      </c>
      <c r="B905" s="19" t="n">
        <v>25</v>
      </c>
      <c r="C905" s="20" t="n">
        <v>46013</v>
      </c>
      <c r="D905" s="18" t="s">
        <v>40</v>
      </c>
      <c r="E905" s="18" t="s">
        <v>195</v>
      </c>
      <c r="F905" s="18" t="s">
        <v>42</v>
      </c>
      <c r="G905" s="21" t="n">
        <v>5827</v>
      </c>
      <c r="H905" s="22" t="n">
        <v>0.00306438025614642</v>
      </c>
      <c r="I905" s="22" t="n">
        <v>0.000112512669140263</v>
      </c>
      <c r="J905" s="22" t="n">
        <v>0.0021300766960991</v>
      </c>
      <c r="K905" s="22" t="n">
        <v>0.00682179213816117</v>
      </c>
      <c r="L905" s="22" t="n">
        <v>0.00194275788255362</v>
      </c>
      <c r="M905" s="22" t="n">
        <v>0.000482701648124492</v>
      </c>
      <c r="N905" s="22" t="n">
        <v>0.00214786304134237</v>
      </c>
      <c r="O905" s="22" t="n">
        <v>0.00110207417805827</v>
      </c>
      <c r="P905" s="22" t="n">
        <v>0.00286261417047431</v>
      </c>
      <c r="Q905" s="22" t="n">
        <v>0.00248210750737715</v>
      </c>
      <c r="R905" s="22" t="n">
        <v>0.00722285694870831</v>
      </c>
      <c r="S905" s="23" t="n">
        <f aca="false">IF(A905="","",SUM(H905:R905))</f>
        <v>0.0303717371361855</v>
      </c>
      <c r="T905" s="17" t="str">
        <f aca="false">IF(A905="","",IF(AND(MIN(H905:R905)&gt;=0,MAX(H905:R905)&lt;=1,S905&lt;=1),"OK","CHECK"))</f>
        <v>OK</v>
      </c>
      <c r="U905" s="17" t="str">
        <f aca="false">IF(A905="","", "LOSS-"&amp;A905&amp;"-L"&amp;TEXT(B905,"00")&amp;"-"&amp;TEXT(C905,"yyyymmdd")&amp;"-"&amp;D905&amp;"-"&amp;E905)</f>
        <v>LOSS-KG01-L25-20251222-AM-ORD-2025-00299</v>
      </c>
      <c r="V905" s="17" t="str">
        <f aca="false">IF(U905="","",IF(COUNTIF($U$5:$U$935,U905)=1,"OK","CHECK"))</f>
        <v>OK</v>
      </c>
      <c r="W905" s="17" t="str">
        <f aca="false">IF(A905="","",IF(AND(T905="OK",V905="OK",G905&gt;=0),"OK","CHECK"))</f>
        <v>OK</v>
      </c>
    </row>
    <row r="906" customFormat="false" ht="18" hidden="false" customHeight="true" outlineLevel="0" collapsed="false">
      <c r="A906" s="18" t="s">
        <v>39</v>
      </c>
      <c r="B906" s="19" t="n">
        <v>25</v>
      </c>
      <c r="C906" s="20" t="n">
        <v>46013</v>
      </c>
      <c r="D906" s="18" t="s">
        <v>43</v>
      </c>
      <c r="E906" s="18" t="s">
        <v>195</v>
      </c>
      <c r="F906" s="18" t="s">
        <v>42</v>
      </c>
      <c r="G906" s="21" t="n">
        <v>14372</v>
      </c>
      <c r="H906" s="22" t="n">
        <v>0.0032979748091139</v>
      </c>
      <c r="I906" s="22" t="n">
        <v>0.0071394863419551</v>
      </c>
      <c r="J906" s="22" t="n">
        <v>0.00927198732229399</v>
      </c>
      <c r="K906" s="22" t="n">
        <v>0.0069191050922205</v>
      </c>
      <c r="L906" s="22" t="n">
        <v>0.00424737003544362</v>
      </c>
      <c r="M906" s="22" t="n">
        <v>0.00110953046196124</v>
      </c>
      <c r="N906" s="22" t="n">
        <v>0.0114975699548092</v>
      </c>
      <c r="O906" s="22" t="n">
        <v>0.00274288975839576</v>
      </c>
      <c r="P906" s="22" t="n">
        <v>0.00585450060053258</v>
      </c>
      <c r="Q906" s="22" t="n">
        <v>0.00830737523160622</v>
      </c>
      <c r="R906" s="22" t="n">
        <v>0.000129716760491222</v>
      </c>
      <c r="S906" s="23" t="n">
        <f aca="false">IF(A906="","",SUM(H906:R906))</f>
        <v>0.0605175063688233</v>
      </c>
      <c r="T906" s="17" t="str">
        <f aca="false">IF(A906="","",IF(AND(MIN(H906:R906)&gt;=0,MAX(H906:R906)&lt;=1,S906&lt;=1),"OK","CHECK"))</f>
        <v>OK</v>
      </c>
      <c r="U906" s="17" t="str">
        <f aca="false">IF(A906="","", "LOSS-"&amp;A906&amp;"-L"&amp;TEXT(B906,"00")&amp;"-"&amp;TEXT(C906,"yyyymmdd")&amp;"-"&amp;D906&amp;"-"&amp;E906)</f>
        <v>LOSS-KG01-L25-20251222-PM-ORD-2025-00299</v>
      </c>
      <c r="V906" s="17" t="str">
        <f aca="false">IF(U906="","",IF(COUNTIF($U$5:$U$935,U906)=1,"OK","CHECK"))</f>
        <v>OK</v>
      </c>
      <c r="W906" s="17" t="str">
        <f aca="false">IF(A906="","",IF(AND(T906="OK",V906="OK",G906&gt;=0),"OK","CHECK"))</f>
        <v>OK</v>
      </c>
    </row>
    <row r="907" customFormat="false" ht="18" hidden="false" customHeight="true" outlineLevel="0" collapsed="false">
      <c r="A907" s="18" t="s">
        <v>39</v>
      </c>
      <c r="B907" s="19" t="n">
        <v>25</v>
      </c>
      <c r="C907" s="20" t="n">
        <v>46014</v>
      </c>
      <c r="D907" s="18" t="s">
        <v>40</v>
      </c>
      <c r="E907" s="18" t="s">
        <v>196</v>
      </c>
      <c r="F907" s="18" t="s">
        <v>45</v>
      </c>
      <c r="G907" s="21" t="n">
        <v>912</v>
      </c>
      <c r="H907" s="22" t="n">
        <v>0.00478061045793701</v>
      </c>
      <c r="I907" s="22" t="n">
        <v>0.00314421554101653</v>
      </c>
      <c r="J907" s="22" t="n">
        <v>0.000436664093550606</v>
      </c>
      <c r="K907" s="22" t="n">
        <v>0.000366627432893425</v>
      </c>
      <c r="L907" s="22" t="n">
        <v>0.0044503875006602</v>
      </c>
      <c r="M907" s="22" t="n">
        <v>0.00503557481339952</v>
      </c>
      <c r="N907" s="22" t="n">
        <v>0.00659748149402486</v>
      </c>
      <c r="O907" s="22" t="n">
        <v>0.00198013165804867</v>
      </c>
      <c r="P907" s="22" t="n">
        <v>0.00629357580356324</v>
      </c>
      <c r="Q907" s="22" t="n">
        <v>0.00342201945906132</v>
      </c>
      <c r="R907" s="22" t="n">
        <v>0.000207687591255239</v>
      </c>
      <c r="S907" s="23" t="n">
        <f aca="false">IF(A907="","",SUM(H907:R907))</f>
        <v>0.0367149758454106</v>
      </c>
      <c r="T907" s="17" t="str">
        <f aca="false">IF(A907="","",IF(AND(MIN(H907:R907)&gt;=0,MAX(H907:R907)&lt;=1,S907&lt;=1),"OK","CHECK"))</f>
        <v>OK</v>
      </c>
      <c r="U907" s="17" t="str">
        <f aca="false">IF(A907="","", "LOSS-"&amp;A907&amp;"-L"&amp;TEXT(B907,"00")&amp;"-"&amp;TEXT(C907,"yyyymmdd")&amp;"-"&amp;D907&amp;"-"&amp;E907)</f>
        <v>LOSS-KG01-L25-20251223-AM-ORD-2025-00300</v>
      </c>
      <c r="V907" s="17" t="str">
        <f aca="false">IF(U907="","",IF(COUNTIF($U$5:$U$935,U907)=1,"OK","CHECK"))</f>
        <v>OK</v>
      </c>
      <c r="W907" s="17" t="str">
        <f aca="false">IF(A907="","",IF(AND(T907="OK",V907="OK",G907&gt;=0),"OK","CHECK"))</f>
        <v>OK</v>
      </c>
    </row>
    <row r="908" customFormat="false" ht="18" hidden="false" customHeight="true" outlineLevel="0" collapsed="false">
      <c r="A908" s="18" t="s">
        <v>39</v>
      </c>
      <c r="B908" s="19" t="n">
        <v>25</v>
      </c>
      <c r="C908" s="20" t="n">
        <v>46014</v>
      </c>
      <c r="D908" s="18" t="s">
        <v>43</v>
      </c>
      <c r="E908" s="18" t="s">
        <v>196</v>
      </c>
      <c r="F908" s="18" t="s">
        <v>42</v>
      </c>
      <c r="G908" s="21" t="n">
        <v>16993</v>
      </c>
      <c r="H908" s="22" t="n">
        <v>0.000585652080871099</v>
      </c>
      <c r="I908" s="22" t="n">
        <v>0.00139091551360117</v>
      </c>
      <c r="J908" s="22" t="n">
        <v>0.0103868760458608</v>
      </c>
      <c r="K908" s="22" t="n">
        <v>0.00171735925118958</v>
      </c>
      <c r="L908" s="22" t="n">
        <v>0.00677153821372929</v>
      </c>
      <c r="M908" s="22" t="n">
        <v>0.00911206561685867</v>
      </c>
      <c r="N908" s="22" t="n">
        <v>0.00190238090285179</v>
      </c>
      <c r="O908" s="22" t="n">
        <v>0.0210378749711212</v>
      </c>
      <c r="P908" s="22" t="n">
        <v>0.000763524707717862</v>
      </c>
      <c r="Q908" s="22" t="n">
        <v>0.000425838712452929</v>
      </c>
      <c r="R908" s="22" t="n">
        <v>0.013987176232152</v>
      </c>
      <c r="S908" s="23" t="n">
        <f aca="false">IF(A908="","",SUM(H908:R908))</f>
        <v>0.0680812022484064</v>
      </c>
      <c r="T908" s="17" t="str">
        <f aca="false">IF(A908="","",IF(AND(MIN(H908:R908)&gt;=0,MAX(H908:R908)&lt;=1,S908&lt;=1),"OK","CHECK"))</f>
        <v>OK</v>
      </c>
      <c r="U908" s="17" t="str">
        <f aca="false">IF(A908="","", "LOSS-"&amp;A908&amp;"-L"&amp;TEXT(B908,"00")&amp;"-"&amp;TEXT(C908,"yyyymmdd")&amp;"-"&amp;D908&amp;"-"&amp;E908)</f>
        <v>LOSS-KG01-L25-20251223-PM-ORD-2025-00300</v>
      </c>
      <c r="V908" s="17" t="str">
        <f aca="false">IF(U908="","",IF(COUNTIF($U$5:$U$935,U908)=1,"OK","CHECK"))</f>
        <v>OK</v>
      </c>
      <c r="W908" s="17" t="str">
        <f aca="false">IF(A908="","",IF(AND(T908="OK",V908="OK",G908&gt;=0),"OK","CHECK"))</f>
        <v>OK</v>
      </c>
    </row>
    <row r="909" customFormat="false" ht="18" hidden="false" customHeight="true" outlineLevel="0" collapsed="false">
      <c r="A909" s="18" t="s">
        <v>39</v>
      </c>
      <c r="B909" s="19" t="n">
        <v>25</v>
      </c>
      <c r="C909" s="20" t="n">
        <v>46015</v>
      </c>
      <c r="D909" s="18" t="s">
        <v>40</v>
      </c>
      <c r="E909" s="18" t="s">
        <v>196</v>
      </c>
      <c r="F909" s="18" t="s">
        <v>42</v>
      </c>
      <c r="G909" s="21" t="n">
        <v>8904</v>
      </c>
      <c r="H909" s="22" t="n">
        <v>0.00455453038071118</v>
      </c>
      <c r="I909" s="22" t="n">
        <v>1.3640860287402E-005</v>
      </c>
      <c r="J909" s="22" t="n">
        <v>0.0127559341043329</v>
      </c>
      <c r="K909" s="22" t="n">
        <v>0.000372071201878114</v>
      </c>
      <c r="L909" s="22" t="n">
        <v>0.011713601977139</v>
      </c>
      <c r="M909" s="22" t="n">
        <v>0.000665265590750025</v>
      </c>
      <c r="N909" s="22" t="n">
        <v>0.000447991969775922</v>
      </c>
      <c r="O909" s="22" t="n">
        <v>0.0113280558115614</v>
      </c>
      <c r="P909" s="22" t="n">
        <v>0.0128727610024809</v>
      </c>
      <c r="Q909" s="22" t="n">
        <v>0.00763423979869122</v>
      </c>
      <c r="R909" s="22" t="n">
        <v>0.00467697573778875</v>
      </c>
      <c r="S909" s="23" t="n">
        <f aca="false">IF(A909="","",SUM(H909:R909))</f>
        <v>0.0670350684353968</v>
      </c>
      <c r="T909" s="17" t="str">
        <f aca="false">IF(A909="","",IF(AND(MIN(H909:R909)&gt;=0,MAX(H909:R909)&lt;=1,S909&lt;=1),"OK","CHECK"))</f>
        <v>OK</v>
      </c>
      <c r="U909" s="17" t="str">
        <f aca="false">IF(A909="","", "LOSS-"&amp;A909&amp;"-L"&amp;TEXT(B909,"00")&amp;"-"&amp;TEXT(C909,"yyyymmdd")&amp;"-"&amp;D909&amp;"-"&amp;E909)</f>
        <v>LOSS-KG01-L25-20251224-AM-ORD-2025-00300</v>
      </c>
      <c r="V909" s="17" t="str">
        <f aca="false">IF(U909="","",IF(COUNTIF($U$5:$U$935,U909)=1,"OK","CHECK"))</f>
        <v>OK</v>
      </c>
      <c r="W909" s="17" t="str">
        <f aca="false">IF(A909="","",IF(AND(T909="OK",V909="OK",G909&gt;=0),"OK","CHECK"))</f>
        <v>OK</v>
      </c>
    </row>
    <row r="910" customFormat="false" ht="18" hidden="false" customHeight="true" outlineLevel="0" collapsed="false">
      <c r="A910" s="18" t="s">
        <v>39</v>
      </c>
      <c r="B910" s="19" t="n">
        <v>25</v>
      </c>
      <c r="C910" s="20" t="n">
        <v>46015</v>
      </c>
      <c r="D910" s="18" t="s">
        <v>43</v>
      </c>
      <c r="E910" s="18" t="s">
        <v>196</v>
      </c>
      <c r="F910" s="18" t="s">
        <v>42</v>
      </c>
      <c r="G910" s="21" t="n">
        <v>8970</v>
      </c>
      <c r="H910" s="22" t="n">
        <v>0.00326894679989929</v>
      </c>
      <c r="I910" s="22" t="n">
        <v>0.00154282194966519</v>
      </c>
      <c r="J910" s="22" t="n">
        <v>0.000145737655620137</v>
      </c>
      <c r="K910" s="22" t="n">
        <v>0.000994337753096591</v>
      </c>
      <c r="L910" s="22" t="n">
        <v>0.00249024839290678</v>
      </c>
      <c r="M910" s="22" t="n">
        <v>0.00224414263704916</v>
      </c>
      <c r="N910" s="22" t="n">
        <v>3.24336865032947E-007</v>
      </c>
      <c r="O910" s="22" t="n">
        <v>0.000288714084701465</v>
      </c>
      <c r="P910" s="22" t="n">
        <v>0.0198033986331417</v>
      </c>
      <c r="Q910" s="22" t="n">
        <v>0.0154648942768072</v>
      </c>
      <c r="R910" s="22" t="n">
        <v>0.010460755525396</v>
      </c>
      <c r="S910" s="23" t="n">
        <f aca="false">IF(A910="","",SUM(H910:R910))</f>
        <v>0.0567043220451485</v>
      </c>
      <c r="T910" s="17" t="str">
        <f aca="false">IF(A910="","",IF(AND(MIN(H910:R910)&gt;=0,MAX(H910:R910)&lt;=1,S910&lt;=1),"OK","CHECK"))</f>
        <v>OK</v>
      </c>
      <c r="U910" s="17" t="str">
        <f aca="false">IF(A910="","", "LOSS-"&amp;A910&amp;"-L"&amp;TEXT(B910,"00")&amp;"-"&amp;TEXT(C910,"yyyymmdd")&amp;"-"&amp;D910&amp;"-"&amp;E910)</f>
        <v>LOSS-KG01-L25-20251224-PM-ORD-2025-00300</v>
      </c>
      <c r="V910" s="17" t="str">
        <f aca="false">IF(U910="","",IF(COUNTIF($U$5:$U$935,U910)=1,"OK","CHECK"))</f>
        <v>OK</v>
      </c>
      <c r="W910" s="17" t="str">
        <f aca="false">IF(A910="","",IF(AND(T910="OK",V910="OK",G910&gt;=0),"OK","CHECK"))</f>
        <v>OK</v>
      </c>
    </row>
    <row r="911" customFormat="false" ht="18" hidden="false" customHeight="true" outlineLevel="0" collapsed="false">
      <c r="A911" s="18" t="s">
        <v>39</v>
      </c>
      <c r="B911" s="19" t="n">
        <v>25</v>
      </c>
      <c r="C911" s="20" t="n">
        <v>46016</v>
      </c>
      <c r="D911" s="18" t="s">
        <v>40</v>
      </c>
      <c r="E911" s="18" t="s">
        <v>197</v>
      </c>
      <c r="F911" s="18" t="s">
        <v>45</v>
      </c>
      <c r="G911" s="21" t="n">
        <v>2557</v>
      </c>
      <c r="H911" s="22" t="n">
        <v>3.26173581164961E-005</v>
      </c>
      <c r="I911" s="22" t="n">
        <v>1.41096039677845E-005</v>
      </c>
      <c r="J911" s="22" t="n">
        <v>0.0112446040101747</v>
      </c>
      <c r="K911" s="22" t="n">
        <v>0.00566007966149748</v>
      </c>
      <c r="L911" s="22" t="n">
        <v>0.0119658389821232</v>
      </c>
      <c r="M911" s="22" t="n">
        <v>0.013434428102045</v>
      </c>
      <c r="N911" s="22" t="n">
        <v>0.0072762205335134</v>
      </c>
      <c r="O911" s="22" t="n">
        <v>0.00811927710580758</v>
      </c>
      <c r="P911" s="22" t="n">
        <v>0.000235325299622331</v>
      </c>
      <c r="Q911" s="22" t="n">
        <v>0.00476670940185924</v>
      </c>
      <c r="R911" s="22" t="n">
        <v>0.0106265934307127</v>
      </c>
      <c r="S911" s="23" t="n">
        <f aca="false">IF(A911="","",SUM(H911:R911))</f>
        <v>0.0733758034894399</v>
      </c>
      <c r="T911" s="17" t="str">
        <f aca="false">IF(A911="","",IF(AND(MIN(H911:R911)&gt;=0,MAX(H911:R911)&lt;=1,S911&lt;=1),"OK","CHECK"))</f>
        <v>OK</v>
      </c>
      <c r="U911" s="17" t="str">
        <f aca="false">IF(A911="","", "LOSS-"&amp;A911&amp;"-L"&amp;TEXT(B911,"00")&amp;"-"&amp;TEXT(C911,"yyyymmdd")&amp;"-"&amp;D911&amp;"-"&amp;E911)</f>
        <v>LOSS-KG01-L25-20251225-AM-ORD-2025-00301</v>
      </c>
      <c r="V911" s="17" t="str">
        <f aca="false">IF(U911="","",IF(COUNTIF($U$5:$U$935,U911)=1,"OK","CHECK"))</f>
        <v>OK</v>
      </c>
      <c r="W911" s="17" t="str">
        <f aca="false">IF(A911="","",IF(AND(T911="OK",V911="OK",G911&gt;=0),"OK","CHECK"))</f>
        <v>OK</v>
      </c>
    </row>
    <row r="912" customFormat="false" ht="18" hidden="false" customHeight="true" outlineLevel="0" collapsed="false">
      <c r="A912" s="18" t="s">
        <v>39</v>
      </c>
      <c r="B912" s="19" t="n">
        <v>25</v>
      </c>
      <c r="C912" s="20" t="n">
        <v>46016</v>
      </c>
      <c r="D912" s="18" t="s">
        <v>43</v>
      </c>
      <c r="E912" s="18" t="s">
        <v>197</v>
      </c>
      <c r="F912" s="18" t="s">
        <v>42</v>
      </c>
      <c r="G912" s="21" t="n">
        <v>8239</v>
      </c>
      <c r="H912" s="22" t="n">
        <v>0.00060585888990676</v>
      </c>
      <c r="I912" s="22" t="n">
        <v>0.00248803585615722</v>
      </c>
      <c r="J912" s="22" t="n">
        <v>0.000145964357738405</v>
      </c>
      <c r="K912" s="22" t="n">
        <v>6.43537456694721E-005</v>
      </c>
      <c r="L912" s="22" t="n">
        <v>0.00886994555017619</v>
      </c>
      <c r="M912" s="22" t="n">
        <v>0.0136188124384375</v>
      </c>
      <c r="N912" s="22" t="n">
        <v>0.00141489117590928</v>
      </c>
      <c r="O912" s="22" t="n">
        <v>0.00172306664938816</v>
      </c>
      <c r="P912" s="22" t="n">
        <v>0.00100578467013745</v>
      </c>
      <c r="Q912" s="22" t="n">
        <v>0.0150395110839797</v>
      </c>
      <c r="R912" s="22" t="n">
        <v>0.00587489456634159</v>
      </c>
      <c r="S912" s="23" t="n">
        <f aca="false">IF(A912="","",SUM(H912:R912))</f>
        <v>0.0508511189838417</v>
      </c>
      <c r="T912" s="17" t="str">
        <f aca="false">IF(A912="","",IF(AND(MIN(H912:R912)&gt;=0,MAX(H912:R912)&lt;=1,S912&lt;=1),"OK","CHECK"))</f>
        <v>OK</v>
      </c>
      <c r="U912" s="17" t="str">
        <f aca="false">IF(A912="","", "LOSS-"&amp;A912&amp;"-L"&amp;TEXT(B912,"00")&amp;"-"&amp;TEXT(C912,"yyyymmdd")&amp;"-"&amp;D912&amp;"-"&amp;E912)</f>
        <v>LOSS-KG01-L25-20251225-PM-ORD-2025-00301</v>
      </c>
      <c r="V912" s="17" t="str">
        <f aca="false">IF(U912="","",IF(COUNTIF($U$5:$U$935,U912)=1,"OK","CHECK"))</f>
        <v>OK</v>
      </c>
      <c r="W912" s="17" t="str">
        <f aca="false">IF(A912="","",IF(AND(T912="OK",V912="OK",G912&gt;=0),"OK","CHECK"))</f>
        <v>OK</v>
      </c>
    </row>
    <row r="913" customFormat="false" ht="18" hidden="false" customHeight="true" outlineLevel="0" collapsed="false">
      <c r="A913" s="18" t="s">
        <v>39</v>
      </c>
      <c r="B913" s="19" t="n">
        <v>25</v>
      </c>
      <c r="C913" s="20" t="n">
        <v>46017</v>
      </c>
      <c r="D913" s="18" t="s">
        <v>40</v>
      </c>
      <c r="E913" s="18" t="s">
        <v>197</v>
      </c>
      <c r="F913" s="18" t="s">
        <v>42</v>
      </c>
      <c r="G913" s="21" t="n">
        <v>15762</v>
      </c>
      <c r="H913" s="22" t="n">
        <v>0.00732072399923521</v>
      </c>
      <c r="I913" s="22" t="n">
        <v>0.00793518328450608</v>
      </c>
      <c r="J913" s="22" t="n">
        <v>0.00098058896489784</v>
      </c>
      <c r="K913" s="22" t="n">
        <v>0.00787211557006563</v>
      </c>
      <c r="L913" s="22" t="n">
        <v>0.00754180507653173</v>
      </c>
      <c r="M913" s="22" t="n">
        <v>0.00388842792167091</v>
      </c>
      <c r="N913" s="22" t="n">
        <v>0.000245398897099215</v>
      </c>
      <c r="O913" s="22" t="n">
        <v>0.00127281538333136</v>
      </c>
      <c r="P913" s="22" t="n">
        <v>0.00214420704126306</v>
      </c>
      <c r="Q913" s="22" t="n">
        <v>0.0123919372341862</v>
      </c>
      <c r="R913" s="22" t="n">
        <v>0.00128521852737375</v>
      </c>
      <c r="S913" s="23" t="n">
        <f aca="false">IF(A913="","",SUM(H913:R913))</f>
        <v>0.052878421900161</v>
      </c>
      <c r="T913" s="17" t="str">
        <f aca="false">IF(A913="","",IF(AND(MIN(H913:R913)&gt;=0,MAX(H913:R913)&lt;=1,S913&lt;=1),"OK","CHECK"))</f>
        <v>OK</v>
      </c>
      <c r="U913" s="17" t="str">
        <f aca="false">IF(A913="","", "LOSS-"&amp;A913&amp;"-L"&amp;TEXT(B913,"00")&amp;"-"&amp;TEXT(C913,"yyyymmdd")&amp;"-"&amp;D913&amp;"-"&amp;E913)</f>
        <v>LOSS-KG01-L25-20251226-AM-ORD-2025-00301</v>
      </c>
      <c r="V913" s="17" t="str">
        <f aca="false">IF(U913="","",IF(COUNTIF($U$5:$U$935,U913)=1,"OK","CHECK"))</f>
        <v>OK</v>
      </c>
      <c r="W913" s="17" t="str">
        <f aca="false">IF(A913="","",IF(AND(T913="OK",V913="OK",G913&gt;=0),"OK","CHECK"))</f>
        <v>OK</v>
      </c>
    </row>
    <row r="914" customFormat="false" ht="18" hidden="false" customHeight="true" outlineLevel="0" collapsed="false">
      <c r="A914" s="18" t="s">
        <v>39</v>
      </c>
      <c r="B914" s="19" t="n">
        <v>25</v>
      </c>
      <c r="C914" s="20" t="n">
        <v>46017</v>
      </c>
      <c r="D914" s="18" t="s">
        <v>43</v>
      </c>
      <c r="E914" s="18" t="s">
        <v>197</v>
      </c>
      <c r="F914" s="18" t="s">
        <v>42</v>
      </c>
      <c r="G914" s="21" t="n">
        <v>14697</v>
      </c>
      <c r="H914" s="22" t="n">
        <v>0.00792433289703409</v>
      </c>
      <c r="I914" s="22" t="n">
        <v>0.000165243729314634</v>
      </c>
      <c r="J914" s="22" t="n">
        <v>2.30819975490315E-007</v>
      </c>
      <c r="K914" s="22" t="n">
        <v>0.00931779574789185</v>
      </c>
      <c r="L914" s="22" t="n">
        <v>0.0171392573830521</v>
      </c>
      <c r="M914" s="22" t="n">
        <v>0.00361929690963143</v>
      </c>
      <c r="N914" s="22" t="n">
        <v>0.00978763898392627</v>
      </c>
      <c r="O914" s="22" t="n">
        <v>0.0145377884686785</v>
      </c>
      <c r="P914" s="22" t="n">
        <v>2.13257316147941E-007</v>
      </c>
      <c r="Q914" s="22" t="n">
        <v>0.0115756442972356</v>
      </c>
      <c r="R914" s="22" t="n">
        <v>0.00134819790003259</v>
      </c>
      <c r="S914" s="23" t="n">
        <f aca="false">IF(A914="","",SUM(H914:R914))</f>
        <v>0.0754156403940887</v>
      </c>
      <c r="T914" s="17" t="str">
        <f aca="false">IF(A914="","",IF(AND(MIN(H914:R914)&gt;=0,MAX(H914:R914)&lt;=1,S914&lt;=1),"OK","CHECK"))</f>
        <v>OK</v>
      </c>
      <c r="U914" s="17" t="str">
        <f aca="false">IF(A914="","", "LOSS-"&amp;A914&amp;"-L"&amp;TEXT(B914,"00")&amp;"-"&amp;TEXT(C914,"yyyymmdd")&amp;"-"&amp;D914&amp;"-"&amp;E914)</f>
        <v>LOSS-KG01-L25-20251226-PM-ORD-2025-00301</v>
      </c>
      <c r="V914" s="17" t="str">
        <f aca="false">IF(U914="","",IF(COUNTIF($U$5:$U$935,U914)=1,"OK","CHECK"))</f>
        <v>OK</v>
      </c>
      <c r="W914" s="17" t="str">
        <f aca="false">IF(A914="","",IF(AND(T914="OK",V914="OK",G914&gt;=0),"OK","CHECK"))</f>
        <v>OK</v>
      </c>
    </row>
    <row r="915" customFormat="false" ht="18" hidden="false" customHeight="true" outlineLevel="0" collapsed="false">
      <c r="A915" s="18" t="s">
        <v>39</v>
      </c>
      <c r="B915" s="19" t="n">
        <v>25</v>
      </c>
      <c r="C915" s="20" t="n">
        <v>46018</v>
      </c>
      <c r="D915" s="18" t="s">
        <v>40</v>
      </c>
      <c r="E915" s="18" t="s">
        <v>197</v>
      </c>
      <c r="F915" s="18" t="s">
        <v>42</v>
      </c>
      <c r="G915" s="21" t="n">
        <v>5635</v>
      </c>
      <c r="H915" s="22" t="n">
        <v>0.00101742682607377</v>
      </c>
      <c r="I915" s="22" t="n">
        <v>0.00516449930752823</v>
      </c>
      <c r="J915" s="22" t="n">
        <v>0.00134804738050119</v>
      </c>
      <c r="K915" s="22" t="n">
        <v>0.00652258559120668</v>
      </c>
      <c r="L915" s="22" t="n">
        <v>0.00102971557958501</v>
      </c>
      <c r="M915" s="22" t="n">
        <v>0.00764381136973461</v>
      </c>
      <c r="N915" s="22" t="n">
        <v>1.99051280759571E-005</v>
      </c>
      <c r="O915" s="22" t="n">
        <v>0.00175658549634776</v>
      </c>
      <c r="P915" s="22" t="n">
        <v>0.00754167857940424</v>
      </c>
      <c r="Q915" s="22" t="n">
        <v>0.00142552583326709</v>
      </c>
      <c r="R915" s="22" t="n">
        <v>0.000676767289117039</v>
      </c>
      <c r="S915" s="23" t="n">
        <f aca="false">IF(A915="","",SUM(H915:R915))</f>
        <v>0.0341465483808416</v>
      </c>
      <c r="T915" s="17" t="str">
        <f aca="false">IF(A915="","",IF(AND(MIN(H915:R915)&gt;=0,MAX(H915:R915)&lt;=1,S915&lt;=1),"OK","CHECK"))</f>
        <v>OK</v>
      </c>
      <c r="U915" s="17" t="str">
        <f aca="false">IF(A915="","", "LOSS-"&amp;A915&amp;"-L"&amp;TEXT(B915,"00")&amp;"-"&amp;TEXT(C915,"yyyymmdd")&amp;"-"&amp;D915&amp;"-"&amp;E915)</f>
        <v>LOSS-KG01-L25-20251227-AM-ORD-2025-00301</v>
      </c>
      <c r="V915" s="17" t="str">
        <f aca="false">IF(U915="","",IF(COUNTIF($U$5:$U$935,U915)=1,"OK","CHECK"))</f>
        <v>OK</v>
      </c>
      <c r="W915" s="17" t="str">
        <f aca="false">IF(A915="","",IF(AND(T915="OK",V915="OK",G915&gt;=0),"OK","CHECK"))</f>
        <v>OK</v>
      </c>
    </row>
    <row r="916" customFormat="false" ht="18" hidden="false" customHeight="true" outlineLevel="0" collapsed="false">
      <c r="A916" s="18" t="s">
        <v>39</v>
      </c>
      <c r="B916" s="19" t="n">
        <v>25</v>
      </c>
      <c r="C916" s="20" t="n">
        <v>46018</v>
      </c>
      <c r="D916" s="18" t="s">
        <v>43</v>
      </c>
      <c r="E916" s="18" t="s">
        <v>198</v>
      </c>
      <c r="F916" s="18" t="s">
        <v>45</v>
      </c>
      <c r="G916" s="21" t="n">
        <v>14274</v>
      </c>
      <c r="H916" s="22" t="n">
        <v>6.99683751421681E-005</v>
      </c>
      <c r="I916" s="22" t="n">
        <v>0.010514069941139</v>
      </c>
      <c r="J916" s="22" t="n">
        <v>0.00198263739037018</v>
      </c>
      <c r="K916" s="22" t="n">
        <v>0.00176668879455947</v>
      </c>
      <c r="L916" s="22" t="n">
        <v>0.0096611493234672</v>
      </c>
      <c r="M916" s="22" t="n">
        <v>0.00645250048663643</v>
      </c>
      <c r="N916" s="22" t="n">
        <v>0.00636399283911759</v>
      </c>
      <c r="O916" s="22" t="n">
        <v>0.01021009796858</v>
      </c>
      <c r="P916" s="22" t="n">
        <v>0.0114061061765512</v>
      </c>
      <c r="Q916" s="22" t="n">
        <v>0.0125005218098721</v>
      </c>
      <c r="R916" s="22" t="n">
        <v>3.22774026436481E-008</v>
      </c>
      <c r="S916" s="23" t="n">
        <f aca="false">IF(A916="","",SUM(H916:R916))</f>
        <v>0.070927765382838</v>
      </c>
      <c r="T916" s="17" t="str">
        <f aca="false">IF(A916="","",IF(AND(MIN(H916:R916)&gt;=0,MAX(H916:R916)&lt;=1,S916&lt;=1),"OK","CHECK"))</f>
        <v>OK</v>
      </c>
      <c r="U916" s="17" t="str">
        <f aca="false">IF(A916="","", "LOSS-"&amp;A916&amp;"-L"&amp;TEXT(B916,"00")&amp;"-"&amp;TEXT(C916,"yyyymmdd")&amp;"-"&amp;D916&amp;"-"&amp;E916)</f>
        <v>LOSS-KG01-L25-20251227-PM-ORD-2025-00302</v>
      </c>
      <c r="V916" s="17" t="str">
        <f aca="false">IF(U916="","",IF(COUNTIF($U$5:$U$935,U916)=1,"OK","CHECK"))</f>
        <v>OK</v>
      </c>
      <c r="W916" s="17" t="str">
        <f aca="false">IF(A916="","",IF(AND(T916="OK",V916="OK",G916&gt;=0),"OK","CHECK"))</f>
        <v>OK</v>
      </c>
    </row>
    <row r="917" customFormat="false" ht="18" hidden="false" customHeight="true" outlineLevel="0" collapsed="false">
      <c r="A917" s="18" t="s">
        <v>39</v>
      </c>
      <c r="B917" s="19" t="n">
        <v>25</v>
      </c>
      <c r="C917" s="20" t="n">
        <v>46019</v>
      </c>
      <c r="D917" s="18" t="s">
        <v>40</v>
      </c>
      <c r="E917" s="18" t="s">
        <v>198</v>
      </c>
      <c r="F917" s="18" t="s">
        <v>42</v>
      </c>
      <c r="G917" s="21" t="n">
        <v>5340</v>
      </c>
      <c r="H917" s="22" t="n">
        <v>0.00188929895470173</v>
      </c>
      <c r="I917" s="22" t="n">
        <v>0.000992087525919987</v>
      </c>
      <c r="J917" s="22" t="n">
        <v>0.00150385493039231</v>
      </c>
      <c r="K917" s="22" t="n">
        <v>0.00632547356023504</v>
      </c>
      <c r="L917" s="22" t="n">
        <v>0.00793830475731184</v>
      </c>
      <c r="M917" s="22" t="n">
        <v>0.000683458375756111</v>
      </c>
      <c r="N917" s="22" t="n">
        <v>0.00361812938604876</v>
      </c>
      <c r="O917" s="22" t="n">
        <v>1.66443780384095E-005</v>
      </c>
      <c r="P917" s="22" t="n">
        <v>0.0035780223197656</v>
      </c>
      <c r="Q917" s="22" t="n">
        <v>0.0012754092271545</v>
      </c>
      <c r="R917" s="22" t="n">
        <v>0.00298298072090405</v>
      </c>
      <c r="S917" s="23" t="n">
        <f aca="false">IF(A917="","",SUM(H917:R917))</f>
        <v>0.0308036641362283</v>
      </c>
      <c r="T917" s="17" t="str">
        <f aca="false">IF(A917="","",IF(AND(MIN(H917:R917)&gt;=0,MAX(H917:R917)&lt;=1,S917&lt;=1),"OK","CHECK"))</f>
        <v>OK</v>
      </c>
      <c r="U917" s="17" t="str">
        <f aca="false">IF(A917="","", "LOSS-"&amp;A917&amp;"-L"&amp;TEXT(B917,"00")&amp;"-"&amp;TEXT(C917,"yyyymmdd")&amp;"-"&amp;D917&amp;"-"&amp;E917)</f>
        <v>LOSS-KG01-L25-20251228-AM-ORD-2025-00302</v>
      </c>
      <c r="V917" s="17" t="str">
        <f aca="false">IF(U917="","",IF(COUNTIF($U$5:$U$935,U917)=1,"OK","CHECK"))</f>
        <v>OK</v>
      </c>
      <c r="W917" s="17" t="str">
        <f aca="false">IF(A917="","",IF(AND(T917="OK",V917="OK",G917&gt;=0),"OK","CHECK"))</f>
        <v>OK</v>
      </c>
    </row>
    <row r="918" customFormat="false" ht="18" hidden="false" customHeight="true" outlineLevel="0" collapsed="false">
      <c r="A918" s="18" t="s">
        <v>39</v>
      </c>
      <c r="B918" s="19" t="n">
        <v>25</v>
      </c>
      <c r="C918" s="20" t="n">
        <v>46019</v>
      </c>
      <c r="D918" s="18" t="s">
        <v>43</v>
      </c>
      <c r="E918" s="18" t="s">
        <v>198</v>
      </c>
      <c r="F918" s="18" t="s">
        <v>42</v>
      </c>
      <c r="G918" s="21" t="n">
        <v>3527</v>
      </c>
      <c r="H918" s="22" t="n">
        <v>0.000388847615040453</v>
      </c>
      <c r="I918" s="22" t="n">
        <v>0.0018077593401493</v>
      </c>
      <c r="J918" s="22" t="n">
        <v>0.000420032848448126</v>
      </c>
      <c r="K918" s="22" t="n">
        <v>0.00314949576402475</v>
      </c>
      <c r="L918" s="22" t="n">
        <v>0.00146583045689756</v>
      </c>
      <c r="M918" s="22" t="n">
        <v>0.00540375597271484</v>
      </c>
      <c r="N918" s="22" t="n">
        <v>0.00327165041499945</v>
      </c>
      <c r="O918" s="22" t="n">
        <v>0.00168555255430297</v>
      </c>
      <c r="P918" s="22" t="n">
        <v>0.00154836330558638</v>
      </c>
      <c r="Q918" s="22" t="n">
        <v>0.0021633277370014</v>
      </c>
      <c r="R918" s="22" t="n">
        <v>2.44244478927781E-006</v>
      </c>
      <c r="S918" s="23" t="n">
        <f aca="false">IF(A918="","",SUM(H918:R918))</f>
        <v>0.0213070584539545</v>
      </c>
      <c r="T918" s="17" t="str">
        <f aca="false">IF(A918="","",IF(AND(MIN(H918:R918)&gt;=0,MAX(H918:R918)&lt;=1,S918&lt;=1),"OK","CHECK"))</f>
        <v>OK</v>
      </c>
      <c r="U918" s="17" t="str">
        <f aca="false">IF(A918="","", "LOSS-"&amp;A918&amp;"-L"&amp;TEXT(B918,"00")&amp;"-"&amp;TEXT(C918,"yyyymmdd")&amp;"-"&amp;D918&amp;"-"&amp;E918)</f>
        <v>LOSS-KG01-L25-20251228-PM-ORD-2025-00302</v>
      </c>
      <c r="V918" s="17" t="str">
        <f aca="false">IF(U918="","",IF(COUNTIF($U$5:$U$935,U918)=1,"OK","CHECK"))</f>
        <v>OK</v>
      </c>
      <c r="W918" s="17" t="str">
        <f aca="false">IF(A918="","",IF(AND(T918="OK",V918="OK",G918&gt;=0),"OK","CHECK"))</f>
        <v>OK</v>
      </c>
    </row>
    <row r="919" customFormat="false" ht="18" hidden="false" customHeight="true" outlineLevel="0" collapsed="false">
      <c r="A919" s="18" t="s">
        <v>39</v>
      </c>
      <c r="B919" s="19" t="n">
        <v>25</v>
      </c>
      <c r="C919" s="20" t="n">
        <v>46020</v>
      </c>
      <c r="D919" s="18" t="s">
        <v>40</v>
      </c>
      <c r="E919" s="18" t="s">
        <v>198</v>
      </c>
      <c r="F919" s="18" t="s">
        <v>42</v>
      </c>
      <c r="G919" s="21" t="n">
        <v>5938</v>
      </c>
      <c r="H919" s="22" t="n">
        <v>0.000408244395590321</v>
      </c>
      <c r="I919" s="22" t="n">
        <v>0.00139980738297235</v>
      </c>
      <c r="J919" s="22" t="n">
        <v>0.00229845742972693</v>
      </c>
      <c r="K919" s="22" t="n">
        <v>0.00600427464857527</v>
      </c>
      <c r="L919" s="22" t="n">
        <v>0.00238476448581908</v>
      </c>
      <c r="M919" s="22" t="n">
        <v>0.00166324475213703</v>
      </c>
      <c r="N919" s="22" t="n">
        <v>0.00737639292084219</v>
      </c>
      <c r="O919" s="22" t="n">
        <v>0.00324954010806679</v>
      </c>
      <c r="P919" s="22" t="n">
        <v>0.00175470438226054</v>
      </c>
      <c r="Q919" s="22" t="n">
        <v>0.00281219515519664</v>
      </c>
      <c r="R919" s="22" t="n">
        <v>0.000987634506399197</v>
      </c>
      <c r="S919" s="23" t="n">
        <f aca="false">IF(A919="","",SUM(H919:R919))</f>
        <v>0.0303392601675863</v>
      </c>
      <c r="T919" s="17" t="str">
        <f aca="false">IF(A919="","",IF(AND(MIN(H919:R919)&gt;=0,MAX(H919:R919)&lt;=1,S919&lt;=1),"OK","CHECK"))</f>
        <v>OK</v>
      </c>
      <c r="U919" s="17" t="str">
        <f aca="false">IF(A919="","", "LOSS-"&amp;A919&amp;"-L"&amp;TEXT(B919,"00")&amp;"-"&amp;TEXT(C919,"yyyymmdd")&amp;"-"&amp;D919&amp;"-"&amp;E919)</f>
        <v>LOSS-KG01-L25-20251229-AM-ORD-2025-00302</v>
      </c>
      <c r="V919" s="17" t="str">
        <f aca="false">IF(U919="","",IF(COUNTIF($U$5:$U$935,U919)=1,"OK","CHECK"))</f>
        <v>OK</v>
      </c>
      <c r="W919" s="17" t="str">
        <f aca="false">IF(A919="","",IF(AND(T919="OK",V919="OK",G919&gt;=0),"OK","CHECK"))</f>
        <v>OK</v>
      </c>
    </row>
    <row r="920" customFormat="false" ht="18" hidden="false" customHeight="true" outlineLevel="0" collapsed="false">
      <c r="A920" s="18" t="s">
        <v>39</v>
      </c>
      <c r="B920" s="19" t="n">
        <v>25</v>
      </c>
      <c r="C920" s="20" t="n">
        <v>46020</v>
      </c>
      <c r="D920" s="18" t="s">
        <v>43</v>
      </c>
      <c r="E920" s="18" t="s">
        <v>199</v>
      </c>
      <c r="F920" s="18" t="s">
        <v>45</v>
      </c>
      <c r="G920" s="21" t="n">
        <v>6312</v>
      </c>
      <c r="H920" s="22" t="n">
        <v>0.00697857073398647</v>
      </c>
      <c r="I920" s="22" t="n">
        <v>0.0177310846449173</v>
      </c>
      <c r="J920" s="22" t="n">
        <v>0.00165391281011577</v>
      </c>
      <c r="K920" s="22" t="n">
        <v>0.0104291492285084</v>
      </c>
      <c r="L920" s="22" t="n">
        <v>0.000304801502573505</v>
      </c>
      <c r="M920" s="22" t="n">
        <v>0.0104722587613662</v>
      </c>
      <c r="N920" s="22" t="n">
        <v>0.00720836914894832</v>
      </c>
      <c r="O920" s="22" t="n">
        <v>0.024364785176986</v>
      </c>
      <c r="P920" s="22" t="n">
        <v>0.0028418398253702</v>
      </c>
      <c r="Q920" s="22" t="n">
        <v>2.51616940993275E-005</v>
      </c>
      <c r="R920" s="22" t="n">
        <v>0.000383550182401704</v>
      </c>
      <c r="S920" s="23" t="n">
        <f aca="false">IF(A920="","",SUM(H920:R920))</f>
        <v>0.0823934837092732</v>
      </c>
      <c r="T920" s="17" t="str">
        <f aca="false">IF(A920="","",IF(AND(MIN(H920:R920)&gt;=0,MAX(H920:R920)&lt;=1,S920&lt;=1),"OK","CHECK"))</f>
        <v>OK</v>
      </c>
      <c r="U920" s="17" t="str">
        <f aca="false">IF(A920="","", "LOSS-"&amp;A920&amp;"-L"&amp;TEXT(B920,"00")&amp;"-"&amp;TEXT(C920,"yyyymmdd")&amp;"-"&amp;D920&amp;"-"&amp;E920)</f>
        <v>LOSS-KG01-L25-20251229-PM-ORD-2025-00303</v>
      </c>
      <c r="V920" s="17" t="str">
        <f aca="false">IF(U920="","",IF(COUNTIF($U$5:$U$935,U920)=1,"OK","CHECK"))</f>
        <v>OK</v>
      </c>
      <c r="W920" s="17" t="str">
        <f aca="false">IF(A920="","",IF(AND(T920="OK",V920="OK",G920&gt;=0),"OK","CHECK"))</f>
        <v>OK</v>
      </c>
    </row>
    <row r="921" customFormat="false" ht="18" hidden="false" customHeight="true" outlineLevel="0" collapsed="false">
      <c r="A921" s="18" t="s">
        <v>39</v>
      </c>
      <c r="B921" s="19" t="n">
        <v>25</v>
      </c>
      <c r="C921" s="20" t="n">
        <v>46021</v>
      </c>
      <c r="D921" s="18" t="s">
        <v>40</v>
      </c>
      <c r="E921" s="18" t="s">
        <v>199</v>
      </c>
      <c r="F921" s="18" t="s">
        <v>42</v>
      </c>
      <c r="G921" s="21" t="n">
        <v>9465</v>
      </c>
      <c r="H921" s="22" t="n">
        <v>0.00161267471020832</v>
      </c>
      <c r="I921" s="22" t="n">
        <v>0.00426054771674346</v>
      </c>
      <c r="J921" s="22" t="n">
        <v>0.00845458878210807</v>
      </c>
      <c r="K921" s="22" t="n">
        <v>0.00178864942352517</v>
      </c>
      <c r="L921" s="22" t="n">
        <v>0.00803459785665032</v>
      </c>
      <c r="M921" s="22" t="n">
        <v>0.0023586306918251</v>
      </c>
      <c r="N921" s="22" t="n">
        <v>0.00270574463628964</v>
      </c>
      <c r="O921" s="22" t="n">
        <v>0.00659279607441216</v>
      </c>
      <c r="P921" s="22" t="n">
        <v>0.00125096726712239</v>
      </c>
      <c r="Q921" s="22" t="n">
        <v>0.000793334502223291</v>
      </c>
      <c r="R921" s="22" t="n">
        <v>5.35621489651393E-005</v>
      </c>
      <c r="S921" s="23" t="n">
        <f aca="false">IF(A921="","",SUM(H921:R921))</f>
        <v>0.0379060938100731</v>
      </c>
      <c r="T921" s="17" t="str">
        <f aca="false">IF(A921="","",IF(AND(MIN(H921:R921)&gt;=0,MAX(H921:R921)&lt;=1,S921&lt;=1),"OK","CHECK"))</f>
        <v>OK</v>
      </c>
      <c r="U921" s="17" t="str">
        <f aca="false">IF(A921="","", "LOSS-"&amp;A921&amp;"-L"&amp;TEXT(B921,"00")&amp;"-"&amp;TEXT(C921,"yyyymmdd")&amp;"-"&amp;D921&amp;"-"&amp;E921)</f>
        <v>LOSS-KG01-L25-20251230-AM-ORD-2025-00303</v>
      </c>
      <c r="V921" s="17" t="str">
        <f aca="false">IF(U921="","",IF(COUNTIF($U$5:$U$935,U921)=1,"OK","CHECK"))</f>
        <v>OK</v>
      </c>
      <c r="W921" s="17" t="str">
        <f aca="false">IF(A921="","",IF(AND(T921="OK",V921="OK",G921&gt;=0),"OK","CHECK"))</f>
        <v>OK</v>
      </c>
    </row>
    <row r="922" customFormat="false" ht="18" hidden="false" customHeight="true" outlineLevel="0" collapsed="false">
      <c r="A922" s="18" t="s">
        <v>39</v>
      </c>
      <c r="B922" s="19" t="n">
        <v>25</v>
      </c>
      <c r="C922" s="20" t="n">
        <v>46021</v>
      </c>
      <c r="D922" s="18" t="s">
        <v>43</v>
      </c>
      <c r="E922" s="18" t="s">
        <v>199</v>
      </c>
      <c r="F922" s="18" t="s">
        <v>42</v>
      </c>
      <c r="G922" s="21" t="n">
        <v>3441</v>
      </c>
      <c r="H922" s="22" t="n">
        <v>0.00317014405942816</v>
      </c>
      <c r="I922" s="22" t="n">
        <v>0.00251303687124354</v>
      </c>
      <c r="J922" s="22" t="n">
        <v>0.00417037720546573</v>
      </c>
      <c r="K922" s="22" t="n">
        <v>0.0014177982075252</v>
      </c>
      <c r="L922" s="22" t="n">
        <v>0.00378922968804636</v>
      </c>
      <c r="M922" s="22" t="n">
        <v>0.00383984511562086</v>
      </c>
      <c r="N922" s="22" t="n">
        <v>0.00266663238577144</v>
      </c>
      <c r="O922" s="22" t="n">
        <v>0.000566085221269649</v>
      </c>
      <c r="P922" s="22" t="n">
        <v>0.00113072159892018</v>
      </c>
      <c r="Q922" s="22" t="n">
        <v>0.00409514333885228</v>
      </c>
      <c r="R922" s="22" t="n">
        <v>6.01869198283109E-005</v>
      </c>
      <c r="S922" s="23" t="n">
        <f aca="false">IF(A922="","",SUM(H922:R922))</f>
        <v>0.0274192006119717</v>
      </c>
      <c r="T922" s="17" t="str">
        <f aca="false">IF(A922="","",IF(AND(MIN(H922:R922)&gt;=0,MAX(H922:R922)&lt;=1,S922&lt;=1),"OK","CHECK"))</f>
        <v>OK</v>
      </c>
      <c r="U922" s="17" t="str">
        <f aca="false">IF(A922="","", "LOSS-"&amp;A922&amp;"-L"&amp;TEXT(B922,"00")&amp;"-"&amp;TEXT(C922,"yyyymmdd")&amp;"-"&amp;D922&amp;"-"&amp;E922)</f>
        <v>LOSS-KG01-L25-20251230-PM-ORD-2025-00303</v>
      </c>
      <c r="V922" s="17" t="str">
        <f aca="false">IF(U922="","",IF(COUNTIF($U$5:$U$935,U922)=1,"OK","CHECK"))</f>
        <v>OK</v>
      </c>
      <c r="W922" s="17" t="str">
        <f aca="false">IF(A922="","",IF(AND(T922="OK",V922="OK",G922&gt;=0),"OK","CHECK"))</f>
        <v>OK</v>
      </c>
    </row>
    <row r="923" customFormat="false" ht="18" hidden="false" customHeight="true" outlineLevel="0" collapsed="false">
      <c r="A923" s="18" t="s">
        <v>39</v>
      </c>
      <c r="B923" s="19" t="n">
        <v>25</v>
      </c>
      <c r="C923" s="20" t="n">
        <v>46022</v>
      </c>
      <c r="D923" s="18" t="s">
        <v>40</v>
      </c>
      <c r="E923" s="18" t="s">
        <v>199</v>
      </c>
      <c r="F923" s="18" t="s">
        <v>42</v>
      </c>
      <c r="G923" s="21" t="n">
        <v>13147</v>
      </c>
      <c r="H923" s="22" t="n">
        <v>0.00406661066049441</v>
      </c>
      <c r="I923" s="22" t="n">
        <v>0.00145189764298488</v>
      </c>
      <c r="J923" s="22" t="n">
        <v>0.000139738762201967</v>
      </c>
      <c r="K923" s="22" t="n">
        <v>0.00960580814311474</v>
      </c>
      <c r="L923" s="22" t="n">
        <v>0.0040937273269228</v>
      </c>
      <c r="M923" s="22" t="n">
        <v>0.00254638660685402</v>
      </c>
      <c r="N923" s="22" t="n">
        <v>0.000586889782920274</v>
      </c>
      <c r="O923" s="22" t="n">
        <v>9.56295221063651E-005</v>
      </c>
      <c r="P923" s="22" t="n">
        <v>0.00504057572164691</v>
      </c>
      <c r="Q923" s="22" t="n">
        <v>0.0109133322567627</v>
      </c>
      <c r="R923" s="22" t="n">
        <v>0.00714297180572025</v>
      </c>
      <c r="S923" s="23" t="n">
        <f aca="false">IF(A923="","",SUM(H923:R923))</f>
        <v>0.0456835682317293</v>
      </c>
      <c r="T923" s="17" t="str">
        <f aca="false">IF(A923="","",IF(AND(MIN(H923:R923)&gt;=0,MAX(H923:R923)&lt;=1,S923&lt;=1),"OK","CHECK"))</f>
        <v>OK</v>
      </c>
      <c r="U923" s="17" t="str">
        <f aca="false">IF(A923="","", "LOSS-"&amp;A923&amp;"-L"&amp;TEXT(B923,"00")&amp;"-"&amp;TEXT(C923,"yyyymmdd")&amp;"-"&amp;D923&amp;"-"&amp;E923)</f>
        <v>LOSS-KG01-L25-20251231-AM-ORD-2025-00303</v>
      </c>
      <c r="V923" s="17" t="str">
        <f aca="false">IF(U923="","",IF(COUNTIF($U$5:$U$935,U923)=1,"OK","CHECK"))</f>
        <v>OK</v>
      </c>
      <c r="W923" s="17" t="str">
        <f aca="false">IF(A923="","",IF(AND(T923="OK",V923="OK",G923&gt;=0),"OK","CHECK"))</f>
        <v>OK</v>
      </c>
    </row>
    <row r="924" customFormat="false" ht="18" hidden="false" customHeight="true" outlineLevel="0" collapsed="false">
      <c r="A924" s="18" t="s">
        <v>39</v>
      </c>
      <c r="B924" s="19" t="n">
        <v>25</v>
      </c>
      <c r="C924" s="20" t="n">
        <v>46022</v>
      </c>
      <c r="D924" s="18" t="s">
        <v>43</v>
      </c>
      <c r="E924" s="18" t="s">
        <v>199</v>
      </c>
      <c r="F924" s="18" t="s">
        <v>42</v>
      </c>
      <c r="G924" s="21" t="n">
        <v>13532</v>
      </c>
      <c r="H924" s="22" t="n">
        <v>0.000616636955681969</v>
      </c>
      <c r="I924" s="22" t="n">
        <v>0.000248898674204537</v>
      </c>
      <c r="J924" s="22" t="n">
        <v>0.0149716975318123</v>
      </c>
      <c r="K924" s="22" t="n">
        <v>0.00478166242448327</v>
      </c>
      <c r="L924" s="22" t="n">
        <v>0.000559353424005735</v>
      </c>
      <c r="M924" s="22" t="n">
        <v>0.00208939360497108</v>
      </c>
      <c r="N924" s="22" t="n">
        <v>0.000780274659114338</v>
      </c>
      <c r="O924" s="22" t="n">
        <v>0.010720994174386</v>
      </c>
      <c r="P924" s="22" t="n">
        <v>0.00672000618965548</v>
      </c>
      <c r="Q924" s="22" t="n">
        <v>0.00773208520850347</v>
      </c>
      <c r="R924" s="22" t="n">
        <v>0.000163335179706016</v>
      </c>
      <c r="S924" s="23" t="n">
        <f aca="false">IF(A924="","",SUM(H924:R924))</f>
        <v>0.0493843380265242</v>
      </c>
      <c r="T924" s="17" t="str">
        <f aca="false">IF(A924="","",IF(AND(MIN(H924:R924)&gt;=0,MAX(H924:R924)&lt;=1,S924&lt;=1),"OK","CHECK"))</f>
        <v>OK</v>
      </c>
      <c r="U924" s="17" t="str">
        <f aca="false">IF(A924="","", "LOSS-"&amp;A924&amp;"-L"&amp;TEXT(B924,"00")&amp;"-"&amp;TEXT(C924,"yyyymmdd")&amp;"-"&amp;D924&amp;"-"&amp;E924)</f>
        <v>LOSS-KG01-L25-20251231-PM-ORD-2025-00303</v>
      </c>
      <c r="V924" s="17" t="str">
        <f aca="false">IF(U924="","",IF(COUNTIF($U$5:$U$935,U924)=1,"OK","CHECK"))</f>
        <v>OK</v>
      </c>
      <c r="W924" s="17" t="str">
        <f aca="false">IF(A924="","",IF(AND(T924="OK",V924="OK",G924&gt;=0),"OK","CHECK"))</f>
        <v>OK</v>
      </c>
    </row>
    <row r="925" customFormat="false" ht="18" hidden="false" customHeight="true" outlineLevel="0" collapsed="false">
      <c r="S925" s="23" t="str">
        <f aca="false">IF(A925="","",SUM(H925:R925))</f>
        <v/>
      </c>
      <c r="T925" s="17" t="str">
        <f aca="false">IF(A925="","",IF(AND(MIN(H925:R925)&gt;=0,MAX(H925:R925)&lt;=1,S925&lt;=1),"OK","CHECK"))</f>
        <v/>
      </c>
      <c r="U925" s="17" t="str">
        <f aca="false">IF(A925="","", "LOSS-"&amp;A925&amp;"-L"&amp;TEXT(B925,"00")&amp;"-"&amp;TEXT(C925,"yyyymmdd")&amp;"-"&amp;D925&amp;"-"&amp;E925)</f>
        <v/>
      </c>
      <c r="V925" s="17" t="str">
        <f aca="false">IF(U925="","",IF(COUNTIF($U$5:$U$935,U925)=1,"OK","CHECK"))</f>
        <v/>
      </c>
      <c r="W925" s="17" t="str">
        <f aca="false">IF(A925="","",IF(AND(T925="OK",V925="OK",G925&gt;=0),"OK","CHECK"))</f>
        <v/>
      </c>
    </row>
    <row r="926" customFormat="false" ht="18" hidden="false" customHeight="true" outlineLevel="0" collapsed="false">
      <c r="S926" s="23" t="str">
        <f aca="false">IF(A926="","",SUM(H926:R926))</f>
        <v/>
      </c>
      <c r="T926" s="17" t="str">
        <f aca="false">IF(A926="","",IF(AND(MIN(H926:R926)&gt;=0,MAX(H926:R926)&lt;=1,S926&lt;=1),"OK","CHECK"))</f>
        <v/>
      </c>
      <c r="U926" s="17" t="str">
        <f aca="false">IF(A926="","", "LOSS-"&amp;A926&amp;"-L"&amp;TEXT(B926,"00")&amp;"-"&amp;TEXT(C926,"yyyymmdd")&amp;"-"&amp;D926&amp;"-"&amp;E926)</f>
        <v/>
      </c>
      <c r="V926" s="17" t="str">
        <f aca="false">IF(U926="","",IF(COUNTIF($U$5:$U$935,U926)=1,"OK","CHECK"))</f>
        <v/>
      </c>
      <c r="W926" s="17" t="str">
        <f aca="false">IF(A926="","",IF(AND(T926="OK",V926="OK",G926&gt;=0),"OK","CHECK"))</f>
        <v/>
      </c>
    </row>
    <row r="927" customFormat="false" ht="18" hidden="false" customHeight="true" outlineLevel="0" collapsed="false">
      <c r="S927" s="23" t="str">
        <f aca="false">IF(A927="","",SUM(H927:R927))</f>
        <v/>
      </c>
      <c r="T927" s="17" t="str">
        <f aca="false">IF(A927="","",IF(AND(MIN(H927:R927)&gt;=0,MAX(H927:R927)&lt;=1,S927&lt;=1),"OK","CHECK"))</f>
        <v/>
      </c>
      <c r="U927" s="17" t="str">
        <f aca="false">IF(A927="","", "LOSS-"&amp;A927&amp;"-L"&amp;TEXT(B927,"00")&amp;"-"&amp;TEXT(C927,"yyyymmdd")&amp;"-"&amp;D927&amp;"-"&amp;E927)</f>
        <v/>
      </c>
      <c r="V927" s="17" t="str">
        <f aca="false">IF(U927="","",IF(COUNTIF($U$5:$U$935,U927)=1,"OK","CHECK"))</f>
        <v/>
      </c>
      <c r="W927" s="17" t="str">
        <f aca="false">IF(A927="","",IF(AND(T927="OK",V927="OK",G927&gt;=0),"OK","CHECK"))</f>
        <v/>
      </c>
    </row>
    <row r="928" customFormat="false" ht="18" hidden="false" customHeight="true" outlineLevel="0" collapsed="false">
      <c r="S928" s="23" t="str">
        <f aca="false">IF(A928="","",SUM(H928:R928))</f>
        <v/>
      </c>
      <c r="T928" s="17" t="str">
        <f aca="false">IF(A928="","",IF(AND(MIN(H928:R928)&gt;=0,MAX(H928:R928)&lt;=1,S928&lt;=1),"OK","CHECK"))</f>
        <v/>
      </c>
      <c r="U928" s="17" t="str">
        <f aca="false">IF(A928="","", "LOSS-"&amp;A928&amp;"-L"&amp;TEXT(B928,"00")&amp;"-"&amp;TEXT(C928,"yyyymmdd")&amp;"-"&amp;D928&amp;"-"&amp;E928)</f>
        <v/>
      </c>
      <c r="V928" s="17" t="str">
        <f aca="false">IF(U928="","",IF(COUNTIF($U$5:$U$935,U928)=1,"OK","CHECK"))</f>
        <v/>
      </c>
      <c r="W928" s="17" t="str">
        <f aca="false">IF(A928="","",IF(AND(T928="OK",V928="OK",G928&gt;=0),"OK","CHECK"))</f>
        <v/>
      </c>
    </row>
    <row r="929" customFormat="false" ht="18" hidden="false" customHeight="true" outlineLevel="0" collapsed="false">
      <c r="S929" s="23" t="str">
        <f aca="false">IF(A929="","",SUM(H929:R929))</f>
        <v/>
      </c>
      <c r="T929" s="17" t="str">
        <f aca="false">IF(A929="","",IF(AND(MIN(H929:R929)&gt;=0,MAX(H929:R929)&lt;=1,S929&lt;=1),"OK","CHECK"))</f>
        <v/>
      </c>
      <c r="U929" s="17" t="str">
        <f aca="false">IF(A929="","", "LOSS-"&amp;A929&amp;"-L"&amp;TEXT(B929,"00")&amp;"-"&amp;TEXT(C929,"yyyymmdd")&amp;"-"&amp;D929&amp;"-"&amp;E929)</f>
        <v/>
      </c>
      <c r="V929" s="17" t="str">
        <f aca="false">IF(U929="","",IF(COUNTIF($U$5:$U$935,U929)=1,"OK","CHECK"))</f>
        <v/>
      </c>
      <c r="W929" s="17" t="str">
        <f aca="false">IF(A929="","",IF(AND(T929="OK",V929="OK",G929&gt;=0),"OK","CHECK"))</f>
        <v/>
      </c>
    </row>
    <row r="930" customFormat="false" ht="18" hidden="false" customHeight="true" outlineLevel="0" collapsed="false">
      <c r="S930" s="23" t="str">
        <f aca="false">IF(A930="","",SUM(H930:R930))</f>
        <v/>
      </c>
      <c r="T930" s="17" t="str">
        <f aca="false">IF(A930="","",IF(AND(MIN(H930:R930)&gt;=0,MAX(H930:R930)&lt;=1,S930&lt;=1),"OK","CHECK"))</f>
        <v/>
      </c>
      <c r="U930" s="17" t="str">
        <f aca="false">IF(A930="","", "LOSS-"&amp;A930&amp;"-L"&amp;TEXT(B930,"00")&amp;"-"&amp;TEXT(C930,"yyyymmdd")&amp;"-"&amp;D930&amp;"-"&amp;E930)</f>
        <v/>
      </c>
      <c r="V930" s="17" t="str">
        <f aca="false">IF(U930="","",IF(COUNTIF($U$5:$U$935,U930)=1,"OK","CHECK"))</f>
        <v/>
      </c>
      <c r="W930" s="17" t="str">
        <f aca="false">IF(A930="","",IF(AND(T930="OK",V930="OK",G930&gt;=0),"OK","CHECK"))</f>
        <v/>
      </c>
    </row>
    <row r="931" customFormat="false" ht="18" hidden="false" customHeight="true" outlineLevel="0" collapsed="false">
      <c r="S931" s="23" t="str">
        <f aca="false">IF(A931="","",SUM(H931:R931))</f>
        <v/>
      </c>
      <c r="T931" s="17" t="str">
        <f aca="false">IF(A931="","",IF(AND(MIN(H931:R931)&gt;=0,MAX(H931:R931)&lt;=1,S931&lt;=1),"OK","CHECK"))</f>
        <v/>
      </c>
      <c r="U931" s="17" t="str">
        <f aca="false">IF(A931="","", "LOSS-"&amp;A931&amp;"-L"&amp;TEXT(B931,"00")&amp;"-"&amp;TEXT(C931,"yyyymmdd")&amp;"-"&amp;D931&amp;"-"&amp;E931)</f>
        <v/>
      </c>
      <c r="V931" s="17" t="str">
        <f aca="false">IF(U931="","",IF(COUNTIF($U$5:$U$935,U931)=1,"OK","CHECK"))</f>
        <v/>
      </c>
      <c r="W931" s="17" t="str">
        <f aca="false">IF(A931="","",IF(AND(T931="OK",V931="OK",G931&gt;=0),"OK","CHECK"))</f>
        <v/>
      </c>
    </row>
    <row r="932" customFormat="false" ht="18" hidden="false" customHeight="true" outlineLevel="0" collapsed="false">
      <c r="S932" s="23" t="str">
        <f aca="false">IF(A932="","",SUM(H932:R932))</f>
        <v/>
      </c>
      <c r="T932" s="17" t="str">
        <f aca="false">IF(A932="","",IF(AND(MIN(H932:R932)&gt;=0,MAX(H932:R932)&lt;=1,S932&lt;=1),"OK","CHECK"))</f>
        <v/>
      </c>
      <c r="U932" s="17" t="str">
        <f aca="false">IF(A932="","", "LOSS-"&amp;A932&amp;"-L"&amp;TEXT(B932,"00")&amp;"-"&amp;TEXT(C932,"yyyymmdd")&amp;"-"&amp;D932&amp;"-"&amp;E932)</f>
        <v/>
      </c>
      <c r="V932" s="17" t="str">
        <f aca="false">IF(U932="","",IF(COUNTIF($U$5:$U$935,U932)=1,"OK","CHECK"))</f>
        <v/>
      </c>
      <c r="W932" s="17" t="str">
        <f aca="false">IF(A932="","",IF(AND(T932="OK",V932="OK",G932&gt;=0),"OK","CHECK"))</f>
        <v/>
      </c>
    </row>
    <row r="933" customFormat="false" ht="18" hidden="false" customHeight="true" outlineLevel="0" collapsed="false">
      <c r="S933" s="23" t="str">
        <f aca="false">IF(A933="","",SUM(H933:R933))</f>
        <v/>
      </c>
      <c r="T933" s="17" t="str">
        <f aca="false">IF(A933="","",IF(AND(MIN(H933:R933)&gt;=0,MAX(H933:R933)&lt;=1,S933&lt;=1),"OK","CHECK"))</f>
        <v/>
      </c>
      <c r="U933" s="17" t="str">
        <f aca="false">IF(A933="","", "LOSS-"&amp;A933&amp;"-L"&amp;TEXT(B933,"00")&amp;"-"&amp;TEXT(C933,"yyyymmdd")&amp;"-"&amp;D933&amp;"-"&amp;E933)</f>
        <v/>
      </c>
      <c r="V933" s="17" t="str">
        <f aca="false">IF(U933="","",IF(COUNTIF($U$5:$U$935,U933)=1,"OK","CHECK"))</f>
        <v/>
      </c>
      <c r="W933" s="17" t="str">
        <f aca="false">IF(A933="","",IF(AND(T933="OK",V933="OK",G933&gt;=0),"OK","CHECK"))</f>
        <v/>
      </c>
    </row>
    <row r="934" customFormat="false" ht="18" hidden="false" customHeight="true" outlineLevel="0" collapsed="false">
      <c r="S934" s="23" t="str">
        <f aca="false">IF(A934="","",SUM(H934:R934))</f>
        <v/>
      </c>
      <c r="T934" s="17" t="str">
        <f aca="false">IF(A934="","",IF(AND(MIN(H934:R934)&gt;=0,MAX(H934:R934)&lt;=1,S934&lt;=1),"OK","CHECK"))</f>
        <v/>
      </c>
      <c r="U934" s="17" t="str">
        <f aca="false">IF(A934="","", "LOSS-"&amp;A934&amp;"-L"&amp;TEXT(B934,"00")&amp;"-"&amp;TEXT(C934,"yyyymmdd")&amp;"-"&amp;D934&amp;"-"&amp;E934)</f>
        <v/>
      </c>
      <c r="V934" s="17" t="str">
        <f aca="false">IF(U934="","",IF(COUNTIF($U$5:$U$935,U934)=1,"OK","CHECK"))</f>
        <v/>
      </c>
      <c r="W934" s="17" t="str">
        <f aca="false">IF(A934="","",IF(AND(T934="OK",V934="OK",G934&gt;=0),"OK","CHECK"))</f>
        <v/>
      </c>
    </row>
    <row r="935" customFormat="false" ht="18" hidden="false" customHeight="true" outlineLevel="0" collapsed="false">
      <c r="S935" s="23" t="str">
        <f aca="false">IF(A935="","",SUM(H935:R935))</f>
        <v/>
      </c>
      <c r="T935" s="17" t="str">
        <f aca="false">IF(A935="","",IF(AND(MIN(H935:R935)&gt;=0,MAX(H935:R935)&lt;=1,S935&lt;=1),"OK","CHECK"))</f>
        <v/>
      </c>
      <c r="U935" s="17" t="str">
        <f aca="false">IF(A935="","", "LOSS-"&amp;A935&amp;"-L"&amp;TEXT(B935,"00")&amp;"-"&amp;TEXT(C935,"yyyymmdd")&amp;"-"&amp;D935&amp;"-"&amp;E935)</f>
        <v/>
      </c>
      <c r="V935" s="17" t="str">
        <f aca="false">IF(U935="","",IF(COUNTIF($U$5:$U$935,U935)=1,"OK","CHECK"))</f>
        <v/>
      </c>
      <c r="W935" s="17" t="str">
        <f aca="false">IF(A935="","",IF(AND(T935="OK",V935="OK",G935&gt;=0),"OK","CHECK"))</f>
        <v/>
      </c>
    </row>
    <row r="936" customFormat="false" ht="18" hidden="false" customHeight="true" outlineLevel="0" collapsed="false"/>
    <row r="937" customFormat="false" ht="18" hidden="false" customHeight="true" outlineLevel="0" collapsed="false"/>
    <row r="938" customFormat="false" ht="18" hidden="false" customHeight="true" outlineLevel="0" collapsed="false"/>
    <row r="939" customFormat="false" ht="18" hidden="false" customHeight="true" outlineLevel="0" collapsed="false"/>
    <row r="940" customFormat="false" ht="18" hidden="false" customHeight="true" outlineLevel="0" collapsed="false"/>
    <row r="941" customFormat="false" ht="18" hidden="false" customHeight="true" outlineLevel="0" collapsed="false"/>
    <row r="942" customFormat="false" ht="18" hidden="false" customHeight="true" outlineLevel="0" collapsed="false"/>
    <row r="943" customFormat="false" ht="18" hidden="false" customHeight="true" outlineLevel="0" collapsed="false"/>
    <row r="944" customFormat="false" ht="18" hidden="false" customHeight="true" outlineLevel="0" collapsed="false"/>
    <row r="945" customFormat="false" ht="18" hidden="false" customHeight="true" outlineLevel="0" collapsed="false"/>
    <row r="946" customFormat="false" ht="18" hidden="false" customHeight="true" outlineLevel="0" collapsed="false"/>
    <row r="947" customFormat="false" ht="18" hidden="false" customHeight="true" outlineLevel="0" collapsed="false"/>
    <row r="948" customFormat="false" ht="18" hidden="false" customHeight="true" outlineLevel="0" collapsed="false"/>
    <row r="949" customFormat="false" ht="18" hidden="false" customHeight="true" outlineLevel="0" collapsed="false"/>
    <row r="950" customFormat="false" ht="18" hidden="false" customHeight="true" outlineLevel="0" collapsed="false"/>
    <row r="951" customFormat="false" ht="18" hidden="false" customHeight="true" outlineLevel="0" collapsed="false"/>
    <row r="952" customFormat="false" ht="18" hidden="false" customHeight="true" outlineLevel="0" collapsed="false"/>
    <row r="953" customFormat="false" ht="18" hidden="false" customHeight="true" outlineLevel="0" collapsed="false"/>
    <row r="954" customFormat="false" ht="18" hidden="false" customHeight="true" outlineLevel="0" collapsed="false"/>
    <row r="955" customFormat="false" ht="18" hidden="false" customHeight="true" outlineLevel="0" collapsed="false"/>
    <row r="956" customFormat="false" ht="18" hidden="false" customHeight="true" outlineLevel="0" collapsed="false"/>
    <row r="957" customFormat="false" ht="18" hidden="false" customHeight="true" outlineLevel="0" collapsed="false"/>
    <row r="958" customFormat="false" ht="18" hidden="false" customHeight="true" outlineLevel="0" collapsed="false"/>
    <row r="959" customFormat="false" ht="18" hidden="false" customHeight="true" outlineLevel="0" collapsed="false"/>
    <row r="960" customFormat="false" ht="18" hidden="false" customHeight="true" outlineLevel="0" collapsed="false"/>
    <row r="961" customFormat="false" ht="18" hidden="false" customHeight="true" outlineLevel="0" collapsed="false"/>
    <row r="962" customFormat="false" ht="18" hidden="false" customHeight="true" outlineLevel="0" collapsed="false"/>
    <row r="963" customFormat="false" ht="18" hidden="false" customHeight="true" outlineLevel="0" collapsed="false"/>
    <row r="964" customFormat="false" ht="18" hidden="false" customHeight="true" outlineLevel="0" collapsed="false"/>
    <row r="965" customFormat="false" ht="18" hidden="false" customHeight="true" outlineLevel="0" collapsed="false"/>
    <row r="966" customFormat="false" ht="18" hidden="false" customHeight="true" outlineLevel="0" collapsed="false"/>
    <row r="967" customFormat="false" ht="18" hidden="false" customHeight="true" outlineLevel="0" collapsed="false"/>
    <row r="968" customFormat="false" ht="18" hidden="false" customHeight="true" outlineLevel="0" collapsed="false"/>
    <row r="969" customFormat="false" ht="18" hidden="false" customHeight="true" outlineLevel="0" collapsed="false"/>
    <row r="970" customFormat="false" ht="18" hidden="false" customHeight="true" outlineLevel="0" collapsed="false"/>
    <row r="971" customFormat="false" ht="18" hidden="false" customHeight="true" outlineLevel="0" collapsed="false"/>
    <row r="972" customFormat="false" ht="18" hidden="false" customHeight="true" outlineLevel="0" collapsed="false"/>
    <row r="973" customFormat="false" ht="18" hidden="false" customHeight="true" outlineLevel="0" collapsed="false"/>
    <row r="974" customFormat="false" ht="18" hidden="false" customHeight="true" outlineLevel="0" collapsed="false"/>
    <row r="975" customFormat="false" ht="18" hidden="false" customHeight="true" outlineLevel="0" collapsed="false"/>
    <row r="976" customFormat="false" ht="18" hidden="false" customHeight="true" outlineLevel="0" collapsed="false"/>
    <row r="977" customFormat="false" ht="18" hidden="false" customHeight="true" outlineLevel="0" collapsed="false"/>
    <row r="978" customFormat="false" ht="18" hidden="false" customHeight="true" outlineLevel="0" collapsed="false"/>
    <row r="979" customFormat="false" ht="18" hidden="false" customHeight="true" outlineLevel="0" collapsed="false"/>
    <row r="980" customFormat="false" ht="18" hidden="false" customHeight="true" outlineLevel="0" collapsed="false"/>
    <row r="981" customFormat="false" ht="18" hidden="false" customHeight="true" outlineLevel="0" collapsed="false"/>
    <row r="982" customFormat="false" ht="18" hidden="false" customHeight="true" outlineLevel="0" collapsed="false"/>
    <row r="983" customFormat="false" ht="18" hidden="false" customHeight="true" outlineLevel="0" collapsed="false"/>
    <row r="984" customFormat="false" ht="18" hidden="false" customHeight="true" outlineLevel="0" collapsed="false"/>
    <row r="985" customFormat="false" ht="18" hidden="false" customHeight="true" outlineLevel="0" collapsed="false"/>
    <row r="986" customFormat="false" ht="18" hidden="false" customHeight="true" outlineLevel="0" collapsed="false"/>
    <row r="987" customFormat="false" ht="18" hidden="false" customHeight="true" outlineLevel="0" collapsed="false"/>
    <row r="988" customFormat="false" ht="18" hidden="false" customHeight="true" outlineLevel="0" collapsed="false"/>
    <row r="989" customFormat="false" ht="18" hidden="false" customHeight="true" outlineLevel="0" collapsed="false"/>
    <row r="990" customFormat="false" ht="18" hidden="false" customHeight="true" outlineLevel="0" collapsed="false"/>
    <row r="991" customFormat="false" ht="18" hidden="false" customHeight="true" outlineLevel="0" collapsed="false"/>
    <row r="992" customFormat="false" ht="18" hidden="false" customHeight="true" outlineLevel="0" collapsed="false"/>
    <row r="993" customFormat="false" ht="18" hidden="false" customHeight="true" outlineLevel="0" collapsed="false"/>
    <row r="994" customFormat="false" ht="18" hidden="false" customHeight="true" outlineLevel="0" collapsed="false"/>
    <row r="995" customFormat="false" ht="18" hidden="false" customHeight="true" outlineLevel="0" collapsed="false"/>
    <row r="996" customFormat="false" ht="18" hidden="false" customHeight="true" outlineLevel="0" collapsed="false"/>
    <row r="997" customFormat="false" ht="18" hidden="false" customHeight="true" outlineLevel="0" collapsed="false"/>
    <row r="998" customFormat="false" ht="18" hidden="false" customHeight="true" outlineLevel="0" collapsed="false"/>
    <row r="999" customFormat="false" ht="18" hidden="false" customHeight="true" outlineLevel="0" collapsed="false"/>
    <row r="1000" customFormat="false" ht="18" hidden="false" customHeight="true" outlineLevel="0" collapsed="false"/>
    <row r="1001" customFormat="false" ht="18" hidden="false" customHeight="true" outlineLevel="0" collapsed="false"/>
    <row r="1002" customFormat="false" ht="18" hidden="false" customHeight="true" outlineLevel="0" collapsed="false"/>
    <row r="1003" customFormat="false" ht="18" hidden="false" customHeight="true" outlineLevel="0" collapsed="false"/>
    <row r="1004" customFormat="false" ht="18" hidden="false" customHeight="true" outlineLevel="0" collapsed="false"/>
    <row r="1005" customFormat="false" ht="18" hidden="false" customHeight="true" outlineLevel="0" collapsed="false"/>
    <row r="1006" customFormat="false" ht="18" hidden="false" customHeight="true" outlineLevel="0" collapsed="false"/>
    <row r="1007" customFormat="false" ht="18" hidden="false" customHeight="true" outlineLevel="0" collapsed="false"/>
    <row r="1008" customFormat="false" ht="18" hidden="false" customHeight="true" outlineLevel="0" collapsed="false"/>
    <row r="1009" customFormat="false" ht="18" hidden="false" customHeight="true" outlineLevel="0" collapsed="false"/>
    <row r="1010" customFormat="false" ht="18" hidden="false" customHeight="true" outlineLevel="0" collapsed="false"/>
    <row r="1011" customFormat="false" ht="18" hidden="false" customHeight="true" outlineLevel="0" collapsed="false"/>
    <row r="1012" customFormat="false" ht="18" hidden="false" customHeight="true" outlineLevel="0" collapsed="false"/>
    <row r="1013" customFormat="false" ht="18" hidden="false" customHeight="true" outlineLevel="0" collapsed="false"/>
    <row r="1014" customFormat="false" ht="18" hidden="false" customHeight="true" outlineLevel="0" collapsed="false"/>
    <row r="1015" customFormat="false" ht="18" hidden="false" customHeight="true" outlineLevel="0" collapsed="false"/>
    <row r="1016" customFormat="false" ht="18" hidden="false" customHeight="true" outlineLevel="0" collapsed="false"/>
    <row r="1017" customFormat="false" ht="18" hidden="false" customHeight="true" outlineLevel="0" collapsed="false"/>
    <row r="1018" customFormat="false" ht="18" hidden="false" customHeight="true" outlineLevel="0" collapsed="false"/>
    <row r="1019" customFormat="false" ht="18" hidden="false" customHeight="true" outlineLevel="0" collapsed="false"/>
    <row r="1020" customFormat="false" ht="18" hidden="false" customHeight="true" outlineLevel="0" collapsed="false"/>
    <row r="1021" customFormat="false" ht="18" hidden="false" customHeight="true" outlineLevel="0" collapsed="false"/>
    <row r="1022" customFormat="false" ht="18" hidden="false" customHeight="true" outlineLevel="0" collapsed="false"/>
    <row r="1023" customFormat="false" ht="18" hidden="false" customHeight="true" outlineLevel="0" collapsed="false"/>
    <row r="1024" customFormat="false" ht="18" hidden="false" customHeight="true" outlineLevel="0" collapsed="false"/>
    <row r="1025" customFormat="false" ht="18" hidden="false" customHeight="true" outlineLevel="0" collapsed="false"/>
    <row r="1026" customFormat="false" ht="18" hidden="false" customHeight="true" outlineLevel="0" collapsed="false"/>
    <row r="1027" customFormat="false" ht="18" hidden="false" customHeight="true" outlineLevel="0" collapsed="false"/>
    <row r="1028" customFormat="false" ht="18" hidden="false" customHeight="true" outlineLevel="0" collapsed="false"/>
    <row r="1029" customFormat="false" ht="18" hidden="false" customHeight="true" outlineLevel="0" collapsed="false"/>
    <row r="1030" customFormat="false" ht="18" hidden="false" customHeight="true" outlineLevel="0" collapsed="false"/>
    <row r="1031" customFormat="false" ht="18" hidden="false" customHeight="true" outlineLevel="0" collapsed="false"/>
    <row r="1032" customFormat="false" ht="18" hidden="false" customHeight="true" outlineLevel="0" collapsed="false"/>
    <row r="1033" customFormat="false" ht="18" hidden="false" customHeight="true" outlineLevel="0" collapsed="false"/>
    <row r="1034" customFormat="false" ht="18" hidden="false" customHeight="true" outlineLevel="0" collapsed="false"/>
    <row r="1035" customFormat="false" ht="18" hidden="false" customHeight="true" outlineLevel="0" collapsed="false"/>
    <row r="1036" customFormat="false" ht="18" hidden="false" customHeight="true" outlineLevel="0" collapsed="false"/>
    <row r="1037" customFormat="false" ht="18" hidden="false" customHeight="true" outlineLevel="0" collapsed="false"/>
    <row r="1038" customFormat="false" ht="18" hidden="false" customHeight="true" outlineLevel="0" collapsed="false"/>
    <row r="1039" customFormat="false" ht="18" hidden="false" customHeight="true" outlineLevel="0" collapsed="false"/>
    <row r="1040" customFormat="false" ht="18" hidden="false" customHeight="true" outlineLevel="0" collapsed="false"/>
    <row r="1041" customFormat="false" ht="18" hidden="false" customHeight="true" outlineLevel="0" collapsed="false"/>
    <row r="1042" customFormat="false" ht="18" hidden="false" customHeight="true" outlineLevel="0" collapsed="false"/>
    <row r="1043" customFormat="false" ht="18" hidden="false" customHeight="true" outlineLevel="0" collapsed="false"/>
    <row r="1044" customFormat="false" ht="18" hidden="false" customHeight="true" outlineLevel="0" collapsed="false"/>
    <row r="1045" customFormat="false" ht="18" hidden="false" customHeight="true" outlineLevel="0" collapsed="false"/>
    <row r="1046" customFormat="false" ht="18" hidden="false" customHeight="true" outlineLevel="0" collapsed="false"/>
    <row r="1047" customFormat="false" ht="18" hidden="false" customHeight="true" outlineLevel="0" collapsed="false"/>
    <row r="1048" customFormat="false" ht="18" hidden="false" customHeight="true" outlineLevel="0" collapsed="false"/>
    <row r="1049" customFormat="false" ht="18" hidden="false" customHeight="true" outlineLevel="0" collapsed="false"/>
    <row r="1050" customFormat="false" ht="18" hidden="false" customHeight="true" outlineLevel="0" collapsed="false"/>
    <row r="1051" customFormat="false" ht="18" hidden="false" customHeight="true" outlineLevel="0" collapsed="false"/>
    <row r="1052" customFormat="false" ht="18" hidden="false" customHeight="true" outlineLevel="0" collapsed="false"/>
    <row r="1053" customFormat="false" ht="18" hidden="false" customHeight="true" outlineLevel="0" collapsed="false"/>
    <row r="1054" customFormat="false" ht="18" hidden="false" customHeight="true" outlineLevel="0" collapsed="false"/>
    <row r="1055" customFormat="false" ht="18" hidden="false" customHeight="true" outlineLevel="0" collapsed="false"/>
    <row r="1056" customFormat="false" ht="18" hidden="false" customHeight="true" outlineLevel="0" collapsed="false"/>
    <row r="1057" customFormat="false" ht="18" hidden="false" customHeight="true" outlineLevel="0" collapsed="false"/>
    <row r="1058" customFormat="false" ht="18" hidden="false" customHeight="true" outlineLevel="0" collapsed="false"/>
    <row r="1059" customFormat="false" ht="18" hidden="false" customHeight="true" outlineLevel="0" collapsed="false"/>
    <row r="1060" customFormat="false" ht="18" hidden="false" customHeight="true" outlineLevel="0" collapsed="false"/>
    <row r="1061" customFormat="false" ht="18" hidden="false" customHeight="true" outlineLevel="0" collapsed="false"/>
    <row r="1062" customFormat="false" ht="18" hidden="false" customHeight="true" outlineLevel="0" collapsed="false"/>
    <row r="1063" customFormat="false" ht="18" hidden="false" customHeight="true" outlineLevel="0" collapsed="false"/>
    <row r="1064" customFormat="false" ht="18" hidden="false" customHeight="true" outlineLevel="0" collapsed="false"/>
    <row r="1065" customFormat="false" ht="18" hidden="false" customHeight="true" outlineLevel="0" collapsed="false"/>
    <row r="1066" customFormat="false" ht="18" hidden="false" customHeight="true" outlineLevel="0" collapsed="false"/>
    <row r="1067" customFormat="false" ht="18" hidden="false" customHeight="true" outlineLevel="0" collapsed="false"/>
    <row r="1068" customFormat="false" ht="18" hidden="false" customHeight="true" outlineLevel="0" collapsed="false"/>
    <row r="1069" customFormat="false" ht="18" hidden="false" customHeight="true" outlineLevel="0" collapsed="false"/>
    <row r="1070" customFormat="false" ht="18" hidden="false" customHeight="true" outlineLevel="0" collapsed="false"/>
    <row r="1071" customFormat="false" ht="18" hidden="false" customHeight="true" outlineLevel="0" collapsed="false"/>
    <row r="1072" customFormat="false" ht="18" hidden="false" customHeight="true" outlineLevel="0" collapsed="false"/>
    <row r="1073" customFormat="false" ht="18" hidden="false" customHeight="true" outlineLevel="0" collapsed="false"/>
    <row r="1074" customFormat="false" ht="18" hidden="false" customHeight="true" outlineLevel="0" collapsed="false"/>
    <row r="1075" customFormat="false" ht="18" hidden="false" customHeight="true" outlineLevel="0" collapsed="false"/>
    <row r="1076" customFormat="false" ht="18" hidden="false" customHeight="true" outlineLevel="0" collapsed="false"/>
    <row r="1077" customFormat="false" ht="18" hidden="false" customHeight="true" outlineLevel="0" collapsed="false"/>
    <row r="1078" customFormat="false" ht="18" hidden="false" customHeight="true" outlineLevel="0" collapsed="false"/>
    <row r="1079" customFormat="false" ht="18" hidden="false" customHeight="true" outlineLevel="0" collapsed="false"/>
    <row r="1080" customFormat="false" ht="18" hidden="false" customHeight="true" outlineLevel="0" collapsed="false"/>
    <row r="1081" customFormat="false" ht="18" hidden="false" customHeight="true" outlineLevel="0" collapsed="false"/>
    <row r="1082" customFormat="false" ht="18" hidden="false" customHeight="true" outlineLevel="0" collapsed="false"/>
    <row r="1083" customFormat="false" ht="18" hidden="false" customHeight="true" outlineLevel="0" collapsed="false"/>
    <row r="1084" customFormat="false" ht="18" hidden="false" customHeight="true" outlineLevel="0" collapsed="false"/>
    <row r="1085" customFormat="false" ht="18" hidden="false" customHeight="true" outlineLevel="0" collapsed="false"/>
    <row r="1086" customFormat="false" ht="18" hidden="false" customHeight="true" outlineLevel="0" collapsed="false"/>
    <row r="1087" customFormat="false" ht="18" hidden="false" customHeight="true" outlineLevel="0" collapsed="false"/>
    <row r="1088" customFormat="false" ht="18" hidden="false" customHeight="true" outlineLevel="0" collapsed="false"/>
    <row r="1089" customFormat="false" ht="18" hidden="false" customHeight="true" outlineLevel="0" collapsed="false"/>
    <row r="1090" customFormat="false" ht="18" hidden="false" customHeight="true" outlineLevel="0" collapsed="false"/>
    <row r="1091" customFormat="false" ht="18" hidden="false" customHeight="true" outlineLevel="0" collapsed="false"/>
    <row r="1092" customFormat="false" ht="18" hidden="false" customHeight="true" outlineLevel="0" collapsed="false"/>
    <row r="1093" customFormat="false" ht="18" hidden="false" customHeight="true" outlineLevel="0" collapsed="false"/>
    <row r="1094" customFormat="false" ht="18" hidden="false" customHeight="true" outlineLevel="0" collapsed="false"/>
    <row r="1095" customFormat="false" ht="18" hidden="false" customHeight="true" outlineLevel="0" collapsed="false"/>
    <row r="1096" customFormat="false" ht="18" hidden="false" customHeight="true" outlineLevel="0" collapsed="false"/>
    <row r="1097" customFormat="false" ht="18" hidden="false" customHeight="true" outlineLevel="0" collapsed="false"/>
    <row r="1098" customFormat="false" ht="18" hidden="false" customHeight="true" outlineLevel="0" collapsed="false"/>
    <row r="1099" customFormat="false" ht="18" hidden="false" customHeight="true" outlineLevel="0" collapsed="false"/>
    <row r="1100" customFormat="false" ht="18" hidden="false" customHeight="true" outlineLevel="0" collapsed="false"/>
    <row r="1101" customFormat="false" ht="18" hidden="false" customHeight="true" outlineLevel="0" collapsed="false"/>
    <row r="1102" customFormat="false" ht="18" hidden="false" customHeight="true" outlineLevel="0" collapsed="false"/>
    <row r="1103" customFormat="false" ht="18" hidden="false" customHeight="true" outlineLevel="0" collapsed="false"/>
    <row r="1104" customFormat="false" ht="18" hidden="false" customHeight="true" outlineLevel="0" collapsed="false"/>
    <row r="1105" customFormat="false" ht="18" hidden="false" customHeight="true" outlineLevel="0" collapsed="false"/>
    <row r="1106" customFormat="false" ht="18" hidden="false" customHeight="true" outlineLevel="0" collapsed="false"/>
    <row r="1107" customFormat="false" ht="18" hidden="false" customHeight="true" outlineLevel="0" collapsed="false"/>
    <row r="1108" customFormat="false" ht="18" hidden="false" customHeight="true" outlineLevel="0" collapsed="false"/>
    <row r="1109" customFormat="false" ht="18" hidden="false" customHeight="true" outlineLevel="0" collapsed="false"/>
    <row r="1110" customFormat="false" ht="18" hidden="false" customHeight="true" outlineLevel="0" collapsed="false"/>
    <row r="1111" customFormat="false" ht="18" hidden="false" customHeight="true" outlineLevel="0" collapsed="false"/>
    <row r="1112" customFormat="false" ht="18" hidden="false" customHeight="true" outlineLevel="0" collapsed="false"/>
    <row r="1113" customFormat="false" ht="18" hidden="false" customHeight="true" outlineLevel="0" collapsed="false"/>
    <row r="1114" customFormat="false" ht="18" hidden="false" customHeight="true" outlineLevel="0" collapsed="false"/>
    <row r="1115" customFormat="false" ht="18" hidden="false" customHeight="true" outlineLevel="0" collapsed="false"/>
    <row r="1116" customFormat="false" ht="18" hidden="false" customHeight="true" outlineLevel="0" collapsed="false"/>
    <row r="1117" customFormat="false" ht="18" hidden="false" customHeight="true" outlineLevel="0" collapsed="false"/>
    <row r="1118" customFormat="false" ht="18" hidden="false" customHeight="true" outlineLevel="0" collapsed="false"/>
    <row r="1119" customFormat="false" ht="18" hidden="false" customHeight="true" outlineLevel="0" collapsed="false"/>
    <row r="1120" customFormat="false" ht="18" hidden="false" customHeight="true" outlineLevel="0" collapsed="false"/>
    <row r="1121" customFormat="false" ht="18" hidden="false" customHeight="true" outlineLevel="0" collapsed="false"/>
    <row r="1122" customFormat="false" ht="18" hidden="false" customHeight="true" outlineLevel="0" collapsed="false"/>
    <row r="1123" customFormat="false" ht="18" hidden="false" customHeight="true" outlineLevel="0" collapsed="false"/>
    <row r="1124" customFormat="false" ht="18" hidden="false" customHeight="true" outlineLevel="0" collapsed="false"/>
    <row r="1125" customFormat="false" ht="18" hidden="false" customHeight="true" outlineLevel="0" collapsed="false"/>
    <row r="1126" customFormat="false" ht="18" hidden="false" customHeight="true" outlineLevel="0" collapsed="false"/>
    <row r="1127" customFormat="false" ht="18" hidden="false" customHeight="true" outlineLevel="0" collapsed="false"/>
    <row r="1128" customFormat="false" ht="18" hidden="false" customHeight="true" outlineLevel="0" collapsed="false"/>
    <row r="1129" customFormat="false" ht="18" hidden="false" customHeight="true" outlineLevel="0" collapsed="false"/>
    <row r="1130" customFormat="false" ht="18" hidden="false" customHeight="true" outlineLevel="0" collapsed="false"/>
    <row r="1131" customFormat="false" ht="18" hidden="false" customHeight="true" outlineLevel="0" collapsed="false"/>
    <row r="1132" customFormat="false" ht="18" hidden="false" customHeight="true" outlineLevel="0" collapsed="false"/>
    <row r="1133" customFormat="false" ht="18" hidden="false" customHeight="true" outlineLevel="0" collapsed="false"/>
    <row r="1134" customFormat="false" ht="18" hidden="false" customHeight="true" outlineLevel="0" collapsed="false"/>
    <row r="1135" customFormat="false" ht="18" hidden="false" customHeight="true" outlineLevel="0" collapsed="false"/>
    <row r="1136" customFormat="false" ht="18" hidden="false" customHeight="true" outlineLevel="0" collapsed="false"/>
    <row r="1137" customFormat="false" ht="18" hidden="false" customHeight="true" outlineLevel="0" collapsed="false"/>
    <row r="1138" customFormat="false" ht="18" hidden="false" customHeight="true" outlineLevel="0" collapsed="false"/>
    <row r="1139" customFormat="false" ht="18" hidden="false" customHeight="true" outlineLevel="0" collapsed="false"/>
    <row r="1140" customFormat="false" ht="18" hidden="false" customHeight="true" outlineLevel="0" collapsed="false"/>
    <row r="1141" customFormat="false" ht="18" hidden="false" customHeight="true" outlineLevel="0" collapsed="false"/>
    <row r="1142" customFormat="false" ht="18" hidden="false" customHeight="true" outlineLevel="0" collapsed="false"/>
    <row r="1143" customFormat="false" ht="18" hidden="false" customHeight="true" outlineLevel="0" collapsed="false"/>
    <row r="1144" customFormat="false" ht="18" hidden="false" customHeight="true" outlineLevel="0" collapsed="false"/>
    <row r="1145" customFormat="false" ht="18" hidden="false" customHeight="true" outlineLevel="0" collapsed="false"/>
    <row r="1146" customFormat="false" ht="18" hidden="false" customHeight="true" outlineLevel="0" collapsed="false"/>
    <row r="1147" customFormat="false" ht="18" hidden="false" customHeight="true" outlineLevel="0" collapsed="false"/>
    <row r="1148" customFormat="false" ht="18" hidden="false" customHeight="true" outlineLevel="0" collapsed="false"/>
    <row r="1149" customFormat="false" ht="18" hidden="false" customHeight="true" outlineLevel="0" collapsed="false"/>
    <row r="1150" customFormat="false" ht="18" hidden="false" customHeight="true" outlineLevel="0" collapsed="false"/>
    <row r="1151" customFormat="false" ht="18" hidden="false" customHeight="true" outlineLevel="0" collapsed="false"/>
    <row r="1152" customFormat="false" ht="18" hidden="false" customHeight="true" outlineLevel="0" collapsed="false"/>
    <row r="1153" customFormat="false" ht="18" hidden="false" customHeight="true" outlineLevel="0" collapsed="false"/>
    <row r="1154" customFormat="false" ht="18" hidden="false" customHeight="true" outlineLevel="0" collapsed="false"/>
    <row r="1155" customFormat="false" ht="18" hidden="false" customHeight="true" outlineLevel="0" collapsed="false"/>
    <row r="1156" customFormat="false" ht="18" hidden="false" customHeight="true" outlineLevel="0" collapsed="false"/>
    <row r="1157" customFormat="false" ht="18" hidden="false" customHeight="true" outlineLevel="0" collapsed="false"/>
    <row r="1158" customFormat="false" ht="18" hidden="false" customHeight="true" outlineLevel="0" collapsed="false"/>
    <row r="1159" customFormat="false" ht="18" hidden="false" customHeight="true" outlineLevel="0" collapsed="false"/>
    <row r="1160" customFormat="false" ht="18" hidden="false" customHeight="true" outlineLevel="0" collapsed="false"/>
    <row r="1161" customFormat="false" ht="18" hidden="false" customHeight="true" outlineLevel="0" collapsed="false"/>
    <row r="1162" customFormat="false" ht="18" hidden="false" customHeight="true" outlineLevel="0" collapsed="false"/>
    <row r="1163" customFormat="false" ht="18" hidden="false" customHeight="true" outlineLevel="0" collapsed="false"/>
    <row r="1164" customFormat="false" ht="18" hidden="false" customHeight="true" outlineLevel="0" collapsed="false"/>
    <row r="1165" customFormat="false" ht="18" hidden="false" customHeight="true" outlineLevel="0" collapsed="false"/>
    <row r="1166" customFormat="false" ht="18" hidden="false" customHeight="true" outlineLevel="0" collapsed="false"/>
    <row r="1167" customFormat="false" ht="18" hidden="false" customHeight="true" outlineLevel="0" collapsed="false"/>
    <row r="1168" customFormat="false" ht="18" hidden="false" customHeight="true" outlineLevel="0" collapsed="false"/>
    <row r="1169" customFormat="false" ht="18" hidden="false" customHeight="true" outlineLevel="0" collapsed="false"/>
    <row r="1170" customFormat="false" ht="18" hidden="false" customHeight="true" outlineLevel="0" collapsed="false"/>
    <row r="1171" customFormat="false" ht="18" hidden="false" customHeight="true" outlineLevel="0" collapsed="false"/>
    <row r="1172" customFormat="false" ht="18" hidden="false" customHeight="true" outlineLevel="0" collapsed="false"/>
    <row r="1173" customFormat="false" ht="18" hidden="false" customHeight="true" outlineLevel="0" collapsed="false"/>
    <row r="1174" customFormat="false" ht="18" hidden="false" customHeight="true" outlineLevel="0" collapsed="false"/>
    <row r="1175" customFormat="false" ht="18" hidden="false" customHeight="true" outlineLevel="0" collapsed="false"/>
    <row r="1176" customFormat="false" ht="18" hidden="false" customHeight="true" outlineLevel="0" collapsed="false"/>
    <row r="1177" customFormat="false" ht="18" hidden="false" customHeight="true" outlineLevel="0" collapsed="false"/>
    <row r="1178" customFormat="false" ht="18" hidden="false" customHeight="true" outlineLevel="0" collapsed="false"/>
    <row r="1179" customFormat="false" ht="18" hidden="false" customHeight="true" outlineLevel="0" collapsed="false"/>
    <row r="1180" customFormat="false" ht="18" hidden="false" customHeight="true" outlineLevel="0" collapsed="false"/>
    <row r="1181" customFormat="false" ht="18" hidden="false" customHeight="true" outlineLevel="0" collapsed="false"/>
    <row r="1182" customFormat="false" ht="18" hidden="false" customHeight="true" outlineLevel="0" collapsed="false"/>
    <row r="1183" customFormat="false" ht="18" hidden="false" customHeight="true" outlineLevel="0" collapsed="false"/>
    <row r="1184" customFormat="false" ht="18" hidden="false" customHeight="true" outlineLevel="0" collapsed="false"/>
    <row r="1185" customFormat="false" ht="18" hidden="false" customHeight="true" outlineLevel="0" collapsed="false"/>
    <row r="1186" customFormat="false" ht="18" hidden="false" customHeight="true" outlineLevel="0" collapsed="false"/>
    <row r="1187" customFormat="false" ht="18" hidden="false" customHeight="true" outlineLevel="0" collapsed="false"/>
    <row r="1188" customFormat="false" ht="18" hidden="false" customHeight="true" outlineLevel="0" collapsed="false"/>
    <row r="1189" customFormat="false" ht="18" hidden="false" customHeight="true" outlineLevel="0" collapsed="false"/>
    <row r="1190" customFormat="false" ht="18" hidden="false" customHeight="true" outlineLevel="0" collapsed="false"/>
    <row r="1191" customFormat="false" ht="18" hidden="false" customHeight="true" outlineLevel="0" collapsed="false"/>
    <row r="1192" customFormat="false" ht="18" hidden="false" customHeight="true" outlineLevel="0" collapsed="false"/>
    <row r="1193" customFormat="false" ht="18" hidden="false" customHeight="true" outlineLevel="0" collapsed="false"/>
    <row r="1194" customFormat="false" ht="18" hidden="false" customHeight="true" outlineLevel="0" collapsed="false"/>
    <row r="1195" customFormat="false" ht="18" hidden="false" customHeight="true" outlineLevel="0" collapsed="false"/>
    <row r="1196" customFormat="false" ht="18" hidden="false" customHeight="true" outlineLevel="0" collapsed="false"/>
    <row r="1197" customFormat="false" ht="18" hidden="false" customHeight="true" outlineLevel="0" collapsed="false"/>
    <row r="1198" customFormat="false" ht="18" hidden="false" customHeight="true" outlineLevel="0" collapsed="false"/>
    <row r="1199" customFormat="false" ht="18" hidden="false" customHeight="true" outlineLevel="0" collapsed="false"/>
    <row r="1200" customFormat="false" ht="18" hidden="false" customHeight="true" outlineLevel="0" collapsed="false"/>
    <row r="1201" customFormat="false" ht="18" hidden="false" customHeight="true" outlineLevel="0" collapsed="false"/>
    <row r="1202" customFormat="false" ht="18" hidden="false" customHeight="true" outlineLevel="0" collapsed="false"/>
    <row r="1203" customFormat="false" ht="18" hidden="false" customHeight="true" outlineLevel="0" collapsed="false"/>
    <row r="1204" customFormat="false" ht="18" hidden="false" customHeight="true" outlineLevel="0" collapsed="false"/>
    <row r="1205" customFormat="false" ht="18" hidden="false" customHeight="true" outlineLevel="0" collapsed="false"/>
    <row r="1206" customFormat="false" ht="18" hidden="false" customHeight="true" outlineLevel="0" collapsed="false"/>
    <row r="1207" customFormat="false" ht="18" hidden="false" customHeight="true" outlineLevel="0" collapsed="false"/>
    <row r="1208" customFormat="false" ht="18" hidden="false" customHeight="true" outlineLevel="0" collapsed="false"/>
    <row r="1209" customFormat="false" ht="18" hidden="false" customHeight="true" outlineLevel="0" collapsed="false"/>
    <row r="1210" customFormat="false" ht="18" hidden="false" customHeight="true" outlineLevel="0" collapsed="false"/>
    <row r="1211" customFormat="false" ht="18" hidden="false" customHeight="true" outlineLevel="0" collapsed="false"/>
    <row r="1212" customFormat="false" ht="18" hidden="false" customHeight="true" outlineLevel="0" collapsed="false"/>
    <row r="1213" customFormat="false" ht="18" hidden="false" customHeight="true" outlineLevel="0" collapsed="false"/>
    <row r="1214" customFormat="false" ht="18" hidden="false" customHeight="true" outlineLevel="0" collapsed="false"/>
    <row r="1215" customFormat="false" ht="18" hidden="false" customHeight="true" outlineLevel="0" collapsed="false"/>
    <row r="1216" customFormat="false" ht="18" hidden="false" customHeight="true" outlineLevel="0" collapsed="false"/>
    <row r="1217" customFormat="false" ht="18" hidden="false" customHeight="true" outlineLevel="0" collapsed="false"/>
    <row r="1218" customFormat="false" ht="18" hidden="false" customHeight="true" outlineLevel="0" collapsed="false"/>
    <row r="1219" customFormat="false" ht="18" hidden="false" customHeight="true" outlineLevel="0" collapsed="false"/>
    <row r="1220" customFormat="false" ht="18" hidden="false" customHeight="true" outlineLevel="0" collapsed="false"/>
    <row r="1221" customFormat="false" ht="18" hidden="false" customHeight="true" outlineLevel="0" collapsed="false"/>
    <row r="1222" customFormat="false" ht="18" hidden="false" customHeight="true" outlineLevel="0" collapsed="false"/>
    <row r="1223" customFormat="false" ht="18" hidden="false" customHeight="true" outlineLevel="0" collapsed="false"/>
    <row r="1224" customFormat="false" ht="18" hidden="false" customHeight="true" outlineLevel="0" collapsed="false"/>
    <row r="1225" customFormat="false" ht="18" hidden="false" customHeight="true" outlineLevel="0" collapsed="false"/>
    <row r="1226" customFormat="false" ht="18" hidden="false" customHeight="true" outlineLevel="0" collapsed="false"/>
    <row r="1227" customFormat="false" ht="18" hidden="false" customHeight="true" outlineLevel="0" collapsed="false"/>
    <row r="1228" customFormat="false" ht="18" hidden="false" customHeight="true" outlineLevel="0" collapsed="false"/>
    <row r="1229" customFormat="false" ht="18" hidden="false" customHeight="true" outlineLevel="0" collapsed="false"/>
    <row r="1230" customFormat="false" ht="18" hidden="false" customHeight="true" outlineLevel="0" collapsed="false"/>
    <row r="1231" customFormat="false" ht="18" hidden="false" customHeight="true" outlineLevel="0" collapsed="false"/>
    <row r="1232" customFormat="false" ht="18" hidden="false" customHeight="true" outlineLevel="0" collapsed="false"/>
    <row r="1233" customFormat="false" ht="18" hidden="false" customHeight="true" outlineLevel="0" collapsed="false"/>
    <row r="1234" customFormat="false" ht="18" hidden="false" customHeight="true" outlineLevel="0" collapsed="false"/>
    <row r="1235" customFormat="false" ht="18" hidden="false" customHeight="true" outlineLevel="0" collapsed="false"/>
    <row r="1236" customFormat="false" ht="18" hidden="false" customHeight="true" outlineLevel="0" collapsed="false"/>
    <row r="1237" customFormat="false" ht="18" hidden="false" customHeight="true" outlineLevel="0" collapsed="false"/>
    <row r="1238" customFormat="false" ht="18" hidden="false" customHeight="true" outlineLevel="0" collapsed="false"/>
    <row r="1239" customFormat="false" ht="18" hidden="false" customHeight="true" outlineLevel="0" collapsed="false"/>
    <row r="1240" customFormat="false" ht="18" hidden="false" customHeight="true" outlineLevel="0" collapsed="false"/>
    <row r="1241" customFormat="false" ht="18" hidden="false" customHeight="true" outlineLevel="0" collapsed="false"/>
    <row r="1242" customFormat="false" ht="18" hidden="false" customHeight="true" outlineLevel="0" collapsed="false"/>
    <row r="1243" customFormat="false" ht="18" hidden="false" customHeight="true" outlineLevel="0" collapsed="false"/>
    <row r="1244" customFormat="false" ht="18" hidden="false" customHeight="true" outlineLevel="0" collapsed="false"/>
    <row r="1245" customFormat="false" ht="18" hidden="false" customHeight="true" outlineLevel="0" collapsed="false"/>
    <row r="1246" customFormat="false" ht="18" hidden="false" customHeight="true" outlineLevel="0" collapsed="false"/>
    <row r="1247" customFormat="false" ht="18" hidden="false" customHeight="true" outlineLevel="0" collapsed="false"/>
    <row r="1248" customFormat="false" ht="18" hidden="false" customHeight="true" outlineLevel="0" collapsed="false"/>
    <row r="1249" customFormat="false" ht="18" hidden="false" customHeight="true" outlineLevel="0" collapsed="false"/>
    <row r="1250" customFormat="false" ht="18" hidden="false" customHeight="true" outlineLevel="0" collapsed="false"/>
    <row r="1251" customFormat="false" ht="18" hidden="false" customHeight="true" outlineLevel="0" collapsed="false"/>
    <row r="1252" customFormat="false" ht="18" hidden="false" customHeight="true" outlineLevel="0" collapsed="false"/>
    <row r="1253" customFormat="false" ht="18" hidden="false" customHeight="true" outlineLevel="0" collapsed="false"/>
    <row r="1254" customFormat="false" ht="18" hidden="false" customHeight="true" outlineLevel="0" collapsed="false"/>
    <row r="1255" customFormat="false" ht="18" hidden="false" customHeight="true" outlineLevel="0" collapsed="false"/>
    <row r="1256" customFormat="false" ht="18" hidden="false" customHeight="true" outlineLevel="0" collapsed="false"/>
    <row r="1257" customFormat="false" ht="18" hidden="false" customHeight="true" outlineLevel="0" collapsed="false"/>
    <row r="1258" customFormat="false" ht="18" hidden="false" customHeight="true" outlineLevel="0" collapsed="false"/>
    <row r="1259" customFormat="false" ht="18" hidden="false" customHeight="true" outlineLevel="0" collapsed="false"/>
    <row r="1260" customFormat="false" ht="18" hidden="false" customHeight="true" outlineLevel="0" collapsed="false"/>
    <row r="1261" customFormat="false" ht="18" hidden="false" customHeight="true" outlineLevel="0" collapsed="false"/>
    <row r="1262" customFormat="false" ht="18" hidden="false" customHeight="true" outlineLevel="0" collapsed="false"/>
    <row r="1263" customFormat="false" ht="18" hidden="false" customHeight="true" outlineLevel="0" collapsed="false"/>
    <row r="1264" customFormat="false" ht="18" hidden="false" customHeight="true" outlineLevel="0" collapsed="false"/>
    <row r="1265" customFormat="false" ht="18" hidden="false" customHeight="true" outlineLevel="0" collapsed="false"/>
    <row r="1266" customFormat="false" ht="18" hidden="false" customHeight="true" outlineLevel="0" collapsed="false"/>
    <row r="1267" customFormat="false" ht="18" hidden="false" customHeight="true" outlineLevel="0" collapsed="false"/>
    <row r="1268" customFormat="false" ht="18" hidden="false" customHeight="true" outlineLevel="0" collapsed="false"/>
    <row r="1269" customFormat="false" ht="18" hidden="false" customHeight="true" outlineLevel="0" collapsed="false"/>
    <row r="1270" customFormat="false" ht="18" hidden="false" customHeight="true" outlineLevel="0" collapsed="false"/>
    <row r="1271" customFormat="false" ht="18" hidden="false" customHeight="true" outlineLevel="0" collapsed="false"/>
    <row r="1272" customFormat="false" ht="18" hidden="false" customHeight="true" outlineLevel="0" collapsed="false"/>
    <row r="1273" customFormat="false" ht="18" hidden="false" customHeight="true" outlineLevel="0" collapsed="false"/>
    <row r="1274" customFormat="false" ht="18" hidden="false" customHeight="true" outlineLevel="0" collapsed="false"/>
    <row r="1275" customFormat="false" ht="18" hidden="false" customHeight="true" outlineLevel="0" collapsed="false"/>
    <row r="1276" customFormat="false" ht="18" hidden="false" customHeight="true" outlineLevel="0" collapsed="false"/>
    <row r="1277" customFormat="false" ht="18" hidden="false" customHeight="true" outlineLevel="0" collapsed="false"/>
    <row r="1278" customFormat="false" ht="18" hidden="false" customHeight="true" outlineLevel="0" collapsed="false"/>
    <row r="1279" customFormat="false" ht="18" hidden="false" customHeight="true" outlineLevel="0" collapsed="false"/>
    <row r="1280" customFormat="false" ht="18" hidden="false" customHeight="true" outlineLevel="0" collapsed="false"/>
    <row r="1281" customFormat="false" ht="18" hidden="false" customHeight="true" outlineLevel="0" collapsed="false"/>
    <row r="1282" customFormat="false" ht="18" hidden="false" customHeight="true" outlineLevel="0" collapsed="false"/>
    <row r="1283" customFormat="false" ht="18" hidden="false" customHeight="true" outlineLevel="0" collapsed="false"/>
    <row r="1284" customFormat="false" ht="18" hidden="false" customHeight="true" outlineLevel="0" collapsed="false"/>
    <row r="1285" customFormat="false" ht="18" hidden="false" customHeight="true" outlineLevel="0" collapsed="false"/>
    <row r="1286" customFormat="false" ht="18" hidden="false" customHeight="true" outlineLevel="0" collapsed="false"/>
    <row r="1287" customFormat="false" ht="18" hidden="false" customHeight="true" outlineLevel="0" collapsed="false"/>
    <row r="1288" customFormat="false" ht="18" hidden="false" customHeight="true" outlineLevel="0" collapsed="false"/>
    <row r="1289" customFormat="false" ht="18" hidden="false" customHeight="true" outlineLevel="0" collapsed="false"/>
    <row r="1290" customFormat="false" ht="18" hidden="false" customHeight="true" outlineLevel="0" collapsed="false"/>
    <row r="1291" customFormat="false" ht="18" hidden="false" customHeight="true" outlineLevel="0" collapsed="false"/>
    <row r="1292" customFormat="false" ht="18" hidden="false" customHeight="true" outlineLevel="0" collapsed="false"/>
    <row r="1293" customFormat="false" ht="18" hidden="false" customHeight="true" outlineLevel="0" collapsed="false"/>
    <row r="1294" customFormat="false" ht="18" hidden="false" customHeight="true" outlineLevel="0" collapsed="false"/>
    <row r="1295" customFormat="false" ht="18" hidden="false" customHeight="true" outlineLevel="0" collapsed="false"/>
    <row r="1296" customFormat="false" ht="18" hidden="false" customHeight="true" outlineLevel="0" collapsed="false"/>
    <row r="1297" customFormat="false" ht="18" hidden="false" customHeight="true" outlineLevel="0" collapsed="false"/>
    <row r="1298" customFormat="false" ht="18" hidden="false" customHeight="true" outlineLevel="0" collapsed="false"/>
    <row r="1299" customFormat="false" ht="18" hidden="false" customHeight="true" outlineLevel="0" collapsed="false"/>
    <row r="1300" customFormat="false" ht="18" hidden="false" customHeight="true" outlineLevel="0" collapsed="false"/>
    <row r="1301" customFormat="false" ht="18" hidden="false" customHeight="true" outlineLevel="0" collapsed="false"/>
    <row r="1302" customFormat="false" ht="18" hidden="false" customHeight="true" outlineLevel="0" collapsed="false"/>
    <row r="1303" customFormat="false" ht="18" hidden="false" customHeight="true" outlineLevel="0" collapsed="false"/>
    <row r="1304" customFormat="false" ht="18" hidden="false" customHeight="true" outlineLevel="0" collapsed="false"/>
    <row r="1305" customFormat="false" ht="18" hidden="false" customHeight="true" outlineLevel="0" collapsed="false"/>
    <row r="1306" customFormat="false" ht="18" hidden="false" customHeight="true" outlineLevel="0" collapsed="false"/>
    <row r="1307" customFormat="false" ht="18" hidden="false" customHeight="true" outlineLevel="0" collapsed="false"/>
    <row r="1308" customFormat="false" ht="18" hidden="false" customHeight="true" outlineLevel="0" collapsed="false"/>
    <row r="1309" customFormat="false" ht="18" hidden="false" customHeight="true" outlineLevel="0" collapsed="false"/>
    <row r="1310" customFormat="false" ht="18" hidden="false" customHeight="true" outlineLevel="0" collapsed="false"/>
    <row r="1311" customFormat="false" ht="18" hidden="false" customHeight="true" outlineLevel="0" collapsed="false"/>
    <row r="1312" customFormat="false" ht="18" hidden="false" customHeight="true" outlineLevel="0" collapsed="false"/>
    <row r="1313" customFormat="false" ht="18" hidden="false" customHeight="true" outlineLevel="0" collapsed="false"/>
    <row r="1314" customFormat="false" ht="18" hidden="false" customHeight="true" outlineLevel="0" collapsed="false"/>
    <row r="1315" customFormat="false" ht="18" hidden="false" customHeight="true" outlineLevel="0" collapsed="false"/>
    <row r="1316" customFormat="false" ht="18" hidden="false" customHeight="true" outlineLevel="0" collapsed="false"/>
    <row r="1317" customFormat="false" ht="18" hidden="false" customHeight="true" outlineLevel="0" collapsed="false"/>
    <row r="1318" customFormat="false" ht="18" hidden="false" customHeight="true" outlineLevel="0" collapsed="false"/>
    <row r="1319" customFormat="false" ht="18" hidden="false" customHeight="true" outlineLevel="0" collapsed="false"/>
    <row r="1320" customFormat="false" ht="18" hidden="false" customHeight="true" outlineLevel="0" collapsed="false"/>
    <row r="1321" customFormat="false" ht="18" hidden="false" customHeight="true" outlineLevel="0" collapsed="false"/>
    <row r="1322" customFormat="false" ht="18" hidden="false" customHeight="true" outlineLevel="0" collapsed="false"/>
    <row r="1323" customFormat="false" ht="18" hidden="false" customHeight="true" outlineLevel="0" collapsed="false"/>
    <row r="1324" customFormat="false" ht="18" hidden="false" customHeight="true" outlineLevel="0" collapsed="false"/>
    <row r="1325" customFormat="false" ht="18" hidden="false" customHeight="true" outlineLevel="0" collapsed="false"/>
    <row r="1326" customFormat="false" ht="18" hidden="false" customHeight="true" outlineLevel="0" collapsed="false"/>
    <row r="1327" customFormat="false" ht="18" hidden="false" customHeight="true" outlineLevel="0" collapsed="false"/>
    <row r="1328" customFormat="false" ht="18" hidden="false" customHeight="true" outlineLevel="0" collapsed="false"/>
    <row r="1329" customFormat="false" ht="18" hidden="false" customHeight="true" outlineLevel="0" collapsed="false"/>
    <row r="1330" customFormat="false" ht="18" hidden="false" customHeight="true" outlineLevel="0" collapsed="false"/>
    <row r="1331" customFormat="false" ht="18" hidden="false" customHeight="true" outlineLevel="0" collapsed="false"/>
    <row r="1332" customFormat="false" ht="18" hidden="false" customHeight="true" outlineLevel="0" collapsed="false"/>
    <row r="1333" customFormat="false" ht="18" hidden="false" customHeight="true" outlineLevel="0" collapsed="false"/>
    <row r="1334" customFormat="false" ht="18" hidden="false" customHeight="true" outlineLevel="0" collapsed="false"/>
    <row r="1335" customFormat="false" ht="18" hidden="false" customHeight="true" outlineLevel="0" collapsed="false"/>
    <row r="1336" customFormat="false" ht="18" hidden="false" customHeight="true" outlineLevel="0" collapsed="false"/>
    <row r="1337" customFormat="false" ht="18" hidden="false" customHeight="true" outlineLevel="0" collapsed="false"/>
    <row r="1338" customFormat="false" ht="18" hidden="false" customHeight="true" outlineLevel="0" collapsed="false"/>
    <row r="1339" customFormat="false" ht="18" hidden="false" customHeight="true" outlineLevel="0" collapsed="false"/>
    <row r="1340" customFormat="false" ht="18" hidden="false" customHeight="true" outlineLevel="0" collapsed="false"/>
    <row r="1341" customFormat="false" ht="18" hidden="false" customHeight="true" outlineLevel="0" collapsed="false"/>
    <row r="1342" customFormat="false" ht="18" hidden="false" customHeight="true" outlineLevel="0" collapsed="false"/>
    <row r="1343" customFormat="false" ht="18" hidden="false" customHeight="true" outlineLevel="0" collapsed="false"/>
    <row r="1344" customFormat="false" ht="18" hidden="false" customHeight="true" outlineLevel="0" collapsed="false"/>
    <row r="1345" customFormat="false" ht="18" hidden="false" customHeight="true" outlineLevel="0" collapsed="false"/>
    <row r="1346" customFormat="false" ht="18" hidden="false" customHeight="true" outlineLevel="0" collapsed="false"/>
    <row r="1347" customFormat="false" ht="18" hidden="false" customHeight="true" outlineLevel="0" collapsed="false"/>
    <row r="1348" customFormat="false" ht="18" hidden="false" customHeight="true" outlineLevel="0" collapsed="false"/>
    <row r="1349" customFormat="false" ht="18" hidden="false" customHeight="true" outlineLevel="0" collapsed="false"/>
    <row r="1350" customFormat="false" ht="18" hidden="false" customHeight="true" outlineLevel="0" collapsed="false"/>
    <row r="1351" customFormat="false" ht="18" hidden="false" customHeight="true" outlineLevel="0" collapsed="false"/>
    <row r="1352" customFormat="false" ht="18" hidden="false" customHeight="true" outlineLevel="0" collapsed="false"/>
    <row r="1353" customFormat="false" ht="18" hidden="false" customHeight="true" outlineLevel="0" collapsed="false"/>
    <row r="1354" customFormat="false" ht="18" hidden="false" customHeight="true" outlineLevel="0" collapsed="false"/>
    <row r="1355" customFormat="false" ht="18" hidden="false" customHeight="true" outlineLevel="0" collapsed="false"/>
    <row r="1356" customFormat="false" ht="18" hidden="false" customHeight="true" outlineLevel="0" collapsed="false"/>
    <row r="1357" customFormat="false" ht="18" hidden="false" customHeight="true" outlineLevel="0" collapsed="false"/>
    <row r="1358" customFormat="false" ht="18" hidden="false" customHeight="true" outlineLevel="0" collapsed="false"/>
    <row r="1359" customFormat="false" ht="18" hidden="false" customHeight="true" outlineLevel="0" collapsed="false"/>
    <row r="1360" customFormat="false" ht="18" hidden="false" customHeight="true" outlineLevel="0" collapsed="false"/>
    <row r="1361" customFormat="false" ht="18" hidden="false" customHeight="true" outlineLevel="0" collapsed="false"/>
    <row r="1362" customFormat="false" ht="18" hidden="false" customHeight="true" outlineLevel="0" collapsed="false"/>
    <row r="1363" customFormat="false" ht="18" hidden="false" customHeight="true" outlineLevel="0" collapsed="false"/>
    <row r="1364" customFormat="false" ht="18" hidden="false" customHeight="true" outlineLevel="0" collapsed="false"/>
    <row r="1365" customFormat="false" ht="18" hidden="false" customHeight="true" outlineLevel="0" collapsed="false"/>
    <row r="1366" customFormat="false" ht="18" hidden="false" customHeight="true" outlineLevel="0" collapsed="false"/>
    <row r="1367" customFormat="false" ht="18" hidden="false" customHeight="true" outlineLevel="0" collapsed="false"/>
    <row r="1368" customFormat="false" ht="18" hidden="false" customHeight="true" outlineLevel="0" collapsed="false"/>
    <row r="1369" customFormat="false" ht="18" hidden="false" customHeight="true" outlineLevel="0" collapsed="false"/>
    <row r="1370" customFormat="false" ht="18" hidden="false" customHeight="true" outlineLevel="0" collapsed="false"/>
    <row r="1371" customFormat="false" ht="18" hidden="false" customHeight="true" outlineLevel="0" collapsed="false"/>
    <row r="1372" customFormat="false" ht="18" hidden="false" customHeight="true" outlineLevel="0" collapsed="false"/>
    <row r="1373" customFormat="false" ht="18" hidden="false" customHeight="true" outlineLevel="0" collapsed="false"/>
    <row r="1374" customFormat="false" ht="18" hidden="false" customHeight="true" outlineLevel="0" collapsed="false"/>
    <row r="1375" customFormat="false" ht="18" hidden="false" customHeight="true" outlineLevel="0" collapsed="false"/>
    <row r="1376" customFormat="false" ht="18" hidden="false" customHeight="true" outlineLevel="0" collapsed="false"/>
    <row r="1377" customFormat="false" ht="18" hidden="false" customHeight="true" outlineLevel="0" collapsed="false"/>
    <row r="1378" customFormat="false" ht="18" hidden="false" customHeight="true" outlineLevel="0" collapsed="false"/>
    <row r="1379" customFormat="false" ht="18" hidden="false" customHeight="true" outlineLevel="0" collapsed="false"/>
    <row r="1380" customFormat="false" ht="18" hidden="false" customHeight="true" outlineLevel="0" collapsed="false"/>
    <row r="1381" customFormat="false" ht="18" hidden="false" customHeight="true" outlineLevel="0" collapsed="false"/>
    <row r="1382" customFormat="false" ht="18" hidden="false" customHeight="true" outlineLevel="0" collapsed="false"/>
    <row r="1383" customFormat="false" ht="18" hidden="false" customHeight="true" outlineLevel="0" collapsed="false"/>
    <row r="1384" customFormat="false" ht="18" hidden="false" customHeight="true" outlineLevel="0" collapsed="false"/>
    <row r="1385" customFormat="false" ht="18" hidden="false" customHeight="true" outlineLevel="0" collapsed="false"/>
    <row r="1386" customFormat="false" ht="18" hidden="false" customHeight="true" outlineLevel="0" collapsed="false"/>
    <row r="1387" customFormat="false" ht="18" hidden="false" customHeight="true" outlineLevel="0" collapsed="false"/>
    <row r="1388" customFormat="false" ht="18" hidden="false" customHeight="true" outlineLevel="0" collapsed="false"/>
    <row r="1389" customFormat="false" ht="18" hidden="false" customHeight="true" outlineLevel="0" collapsed="false"/>
    <row r="1390" customFormat="false" ht="18" hidden="false" customHeight="true" outlineLevel="0" collapsed="false"/>
    <row r="1391" customFormat="false" ht="18" hidden="false" customHeight="true" outlineLevel="0" collapsed="false"/>
    <row r="1392" customFormat="false" ht="18" hidden="false" customHeight="true" outlineLevel="0" collapsed="false"/>
    <row r="1393" customFormat="false" ht="18" hidden="false" customHeight="true" outlineLevel="0" collapsed="false"/>
    <row r="1394" customFormat="false" ht="18" hidden="false" customHeight="true" outlineLevel="0" collapsed="false"/>
    <row r="1395" customFormat="false" ht="18" hidden="false" customHeight="true" outlineLevel="0" collapsed="false"/>
    <row r="1396" customFormat="false" ht="18" hidden="false" customHeight="true" outlineLevel="0" collapsed="false"/>
    <row r="1397" customFormat="false" ht="18" hidden="false" customHeight="true" outlineLevel="0" collapsed="false"/>
    <row r="1398" customFormat="false" ht="18" hidden="false" customHeight="true" outlineLevel="0" collapsed="false"/>
    <row r="1399" customFormat="false" ht="18" hidden="false" customHeight="true" outlineLevel="0" collapsed="false"/>
    <row r="1400" customFormat="false" ht="18" hidden="false" customHeight="true" outlineLevel="0" collapsed="false"/>
    <row r="1401" customFormat="false" ht="18" hidden="false" customHeight="true" outlineLevel="0" collapsed="false"/>
    <row r="1402" customFormat="false" ht="18" hidden="false" customHeight="true" outlineLevel="0" collapsed="false"/>
    <row r="1403" customFormat="false" ht="18" hidden="false" customHeight="true" outlineLevel="0" collapsed="false"/>
    <row r="1404" customFormat="false" ht="18" hidden="false" customHeight="true" outlineLevel="0" collapsed="false"/>
    <row r="1405" customFormat="false" ht="18" hidden="false" customHeight="true" outlineLevel="0" collapsed="false"/>
    <row r="1406" customFormat="false" ht="18" hidden="false" customHeight="true" outlineLevel="0" collapsed="false"/>
    <row r="1407" customFormat="false" ht="18" hidden="false" customHeight="true" outlineLevel="0" collapsed="false"/>
    <row r="1408" customFormat="false" ht="18" hidden="false" customHeight="true" outlineLevel="0" collapsed="false"/>
    <row r="1409" customFormat="false" ht="18" hidden="false" customHeight="true" outlineLevel="0" collapsed="false"/>
    <row r="1410" customFormat="false" ht="18" hidden="false" customHeight="true" outlineLevel="0" collapsed="false"/>
    <row r="1411" customFormat="false" ht="18" hidden="false" customHeight="true" outlineLevel="0" collapsed="false"/>
    <row r="1412" customFormat="false" ht="18" hidden="false" customHeight="true" outlineLevel="0" collapsed="false"/>
    <row r="1413" customFormat="false" ht="18" hidden="false" customHeight="true" outlineLevel="0" collapsed="false"/>
    <row r="1414" customFormat="false" ht="18" hidden="false" customHeight="true" outlineLevel="0" collapsed="false"/>
    <row r="1415" customFormat="false" ht="18" hidden="false" customHeight="true" outlineLevel="0" collapsed="false"/>
    <row r="1416" customFormat="false" ht="18" hidden="false" customHeight="true" outlineLevel="0" collapsed="false"/>
    <row r="1417" customFormat="false" ht="18" hidden="false" customHeight="true" outlineLevel="0" collapsed="false"/>
    <row r="1418" customFormat="false" ht="18" hidden="false" customHeight="true" outlineLevel="0" collapsed="false"/>
    <row r="1419" customFormat="false" ht="18" hidden="false" customHeight="true" outlineLevel="0" collapsed="false"/>
    <row r="1420" customFormat="false" ht="18" hidden="false" customHeight="true" outlineLevel="0" collapsed="false"/>
    <row r="1421" customFormat="false" ht="18" hidden="false" customHeight="true" outlineLevel="0" collapsed="false"/>
    <row r="1422" customFormat="false" ht="18" hidden="false" customHeight="true" outlineLevel="0" collapsed="false"/>
    <row r="1423" customFormat="false" ht="18" hidden="false" customHeight="true" outlineLevel="0" collapsed="false"/>
    <row r="1424" customFormat="false" ht="18" hidden="false" customHeight="true" outlineLevel="0" collapsed="false"/>
    <row r="1425" customFormat="false" ht="18" hidden="false" customHeight="true" outlineLevel="0" collapsed="false"/>
    <row r="1426" customFormat="false" ht="18" hidden="false" customHeight="true" outlineLevel="0" collapsed="false"/>
    <row r="1427" customFormat="false" ht="18" hidden="false" customHeight="true" outlineLevel="0" collapsed="false"/>
    <row r="1428" customFormat="false" ht="18" hidden="false" customHeight="true" outlineLevel="0" collapsed="false"/>
    <row r="1429" customFormat="false" ht="18" hidden="false" customHeight="true" outlineLevel="0" collapsed="false"/>
    <row r="1430" customFormat="false" ht="18" hidden="false" customHeight="true" outlineLevel="0" collapsed="false"/>
    <row r="1431" customFormat="false" ht="18" hidden="false" customHeight="true" outlineLevel="0" collapsed="false"/>
    <row r="1432" customFormat="false" ht="18" hidden="false" customHeight="true" outlineLevel="0" collapsed="false"/>
    <row r="1433" customFormat="false" ht="18" hidden="false" customHeight="true" outlineLevel="0" collapsed="false"/>
    <row r="1434" customFormat="false" ht="18" hidden="false" customHeight="true" outlineLevel="0" collapsed="false"/>
    <row r="1435" customFormat="false" ht="18" hidden="false" customHeight="true" outlineLevel="0" collapsed="false"/>
    <row r="1436" customFormat="false" ht="18" hidden="false" customHeight="true" outlineLevel="0" collapsed="false"/>
    <row r="1437" customFormat="false" ht="18" hidden="false" customHeight="true" outlineLevel="0" collapsed="false"/>
    <row r="1438" customFormat="false" ht="18" hidden="false" customHeight="true" outlineLevel="0" collapsed="false"/>
    <row r="1439" customFormat="false" ht="18" hidden="false" customHeight="true" outlineLevel="0" collapsed="false"/>
    <row r="1440" customFormat="false" ht="18" hidden="false" customHeight="true" outlineLevel="0" collapsed="false"/>
    <row r="1441" customFormat="false" ht="18" hidden="false" customHeight="true" outlineLevel="0" collapsed="false"/>
    <row r="1442" customFormat="false" ht="18" hidden="false" customHeight="true" outlineLevel="0" collapsed="false"/>
    <row r="1443" customFormat="false" ht="18" hidden="false" customHeight="true" outlineLevel="0" collapsed="false"/>
    <row r="1444" customFormat="false" ht="18" hidden="false" customHeight="true" outlineLevel="0" collapsed="false"/>
    <row r="1445" customFormat="false" ht="18" hidden="false" customHeight="true" outlineLevel="0" collapsed="false"/>
    <row r="1446" customFormat="false" ht="18" hidden="false" customHeight="true" outlineLevel="0" collapsed="false"/>
    <row r="1447" customFormat="false" ht="18" hidden="false" customHeight="true" outlineLevel="0" collapsed="false"/>
    <row r="1448" customFormat="false" ht="18" hidden="false" customHeight="true" outlineLevel="0" collapsed="false"/>
    <row r="1449" customFormat="false" ht="18" hidden="false" customHeight="true" outlineLevel="0" collapsed="false"/>
    <row r="1450" customFormat="false" ht="18" hidden="false" customHeight="true" outlineLevel="0" collapsed="false"/>
    <row r="1451" customFormat="false" ht="18" hidden="false" customHeight="true" outlineLevel="0" collapsed="false"/>
    <row r="1452" customFormat="false" ht="18" hidden="false" customHeight="true" outlineLevel="0" collapsed="false"/>
    <row r="1453" customFormat="false" ht="18" hidden="false" customHeight="true" outlineLevel="0" collapsed="false"/>
    <row r="1454" customFormat="false" ht="18" hidden="false" customHeight="true" outlineLevel="0" collapsed="false"/>
    <row r="1455" customFormat="false" ht="18" hidden="false" customHeight="true" outlineLevel="0" collapsed="false"/>
    <row r="1456" customFormat="false" ht="18" hidden="false" customHeight="true" outlineLevel="0" collapsed="false"/>
    <row r="1457" customFormat="false" ht="18" hidden="false" customHeight="true" outlineLevel="0" collapsed="false"/>
    <row r="1458" customFormat="false" ht="18" hidden="false" customHeight="true" outlineLevel="0" collapsed="false"/>
    <row r="1459" customFormat="false" ht="18" hidden="false" customHeight="true" outlineLevel="0" collapsed="false"/>
    <row r="1460" customFormat="false" ht="18" hidden="false" customHeight="true" outlineLevel="0" collapsed="false"/>
    <row r="1461" customFormat="false" ht="18" hidden="false" customHeight="true" outlineLevel="0" collapsed="false"/>
    <row r="1462" customFormat="false" ht="18" hidden="false" customHeight="true" outlineLevel="0" collapsed="false"/>
    <row r="1463" customFormat="false" ht="18" hidden="false" customHeight="true" outlineLevel="0" collapsed="false"/>
    <row r="1464" customFormat="false" ht="18" hidden="false" customHeight="true" outlineLevel="0" collapsed="false"/>
    <row r="1465" customFormat="false" ht="18" hidden="false" customHeight="true" outlineLevel="0" collapsed="false"/>
    <row r="1466" customFormat="false" ht="18" hidden="false" customHeight="true" outlineLevel="0" collapsed="false"/>
    <row r="1467" customFormat="false" ht="18" hidden="false" customHeight="true" outlineLevel="0" collapsed="false"/>
    <row r="1468" customFormat="false" ht="18" hidden="false" customHeight="true" outlineLevel="0" collapsed="false"/>
    <row r="1469" customFormat="false" ht="18" hidden="false" customHeight="true" outlineLevel="0" collapsed="false"/>
    <row r="1470" customFormat="false" ht="18" hidden="false" customHeight="true" outlineLevel="0" collapsed="false"/>
    <row r="1471" customFormat="false" ht="18" hidden="false" customHeight="true" outlineLevel="0" collapsed="false"/>
    <row r="1472" customFormat="false" ht="18" hidden="false" customHeight="true" outlineLevel="0" collapsed="false"/>
    <row r="1473" customFormat="false" ht="18" hidden="false" customHeight="true" outlineLevel="0" collapsed="false"/>
    <row r="1474" customFormat="false" ht="18" hidden="false" customHeight="true" outlineLevel="0" collapsed="false"/>
    <row r="1475" customFormat="false" ht="18" hidden="false" customHeight="true" outlineLevel="0" collapsed="false"/>
    <row r="1476" customFormat="false" ht="18" hidden="false" customHeight="true" outlineLevel="0" collapsed="false"/>
    <row r="1477" customFormat="false" ht="18" hidden="false" customHeight="true" outlineLevel="0" collapsed="false"/>
    <row r="1478" customFormat="false" ht="18" hidden="false" customHeight="true" outlineLevel="0" collapsed="false"/>
    <row r="1479" customFormat="false" ht="18" hidden="false" customHeight="true" outlineLevel="0" collapsed="false"/>
    <row r="1480" customFormat="false" ht="18" hidden="false" customHeight="true" outlineLevel="0" collapsed="false"/>
    <row r="1481" customFormat="false" ht="18" hidden="false" customHeight="true" outlineLevel="0" collapsed="false"/>
    <row r="1482" customFormat="false" ht="18" hidden="false" customHeight="true" outlineLevel="0" collapsed="false"/>
    <row r="1483" customFormat="false" ht="18" hidden="false" customHeight="true" outlineLevel="0" collapsed="false"/>
    <row r="1484" customFormat="false" ht="18" hidden="false" customHeight="true" outlineLevel="0" collapsed="false"/>
    <row r="1485" customFormat="false" ht="18" hidden="false" customHeight="true" outlineLevel="0" collapsed="false"/>
    <row r="1486" customFormat="false" ht="18" hidden="false" customHeight="true" outlineLevel="0" collapsed="false"/>
    <row r="1487" customFormat="false" ht="18" hidden="false" customHeight="true" outlineLevel="0" collapsed="false"/>
    <row r="1488" customFormat="false" ht="18" hidden="false" customHeight="true" outlineLevel="0" collapsed="false"/>
    <row r="1489" customFormat="false" ht="18" hidden="false" customHeight="true" outlineLevel="0" collapsed="false"/>
    <row r="1490" customFormat="false" ht="18" hidden="false" customHeight="true" outlineLevel="0" collapsed="false"/>
    <row r="1491" customFormat="false" ht="18" hidden="false" customHeight="true" outlineLevel="0" collapsed="false"/>
    <row r="1492" customFormat="false" ht="18" hidden="false" customHeight="true" outlineLevel="0" collapsed="false"/>
    <row r="1493" customFormat="false" ht="18" hidden="false" customHeight="true" outlineLevel="0" collapsed="false"/>
    <row r="1494" customFormat="false" ht="18" hidden="false" customHeight="true" outlineLevel="0" collapsed="false"/>
    <row r="1495" customFormat="false" ht="18" hidden="false" customHeight="true" outlineLevel="0" collapsed="false"/>
    <row r="1496" customFormat="false" ht="18" hidden="false" customHeight="true" outlineLevel="0" collapsed="false"/>
    <row r="1497" customFormat="false" ht="18" hidden="false" customHeight="true" outlineLevel="0" collapsed="false"/>
    <row r="1498" customFormat="false" ht="18" hidden="false" customHeight="true" outlineLevel="0" collapsed="false"/>
    <row r="1499" customFormat="false" ht="18" hidden="false" customHeight="true" outlineLevel="0" collapsed="false"/>
    <row r="1500" customFormat="false" ht="18" hidden="false" customHeight="true" outlineLevel="0" collapsed="false"/>
    <row r="1501" customFormat="false" ht="18" hidden="false" customHeight="true" outlineLevel="0" collapsed="false"/>
    <row r="1502" customFormat="false" ht="18" hidden="false" customHeight="true" outlineLevel="0" collapsed="false"/>
    <row r="1503" customFormat="false" ht="18" hidden="false" customHeight="true" outlineLevel="0" collapsed="false"/>
    <row r="1504" customFormat="false" ht="18" hidden="false" customHeight="true" outlineLevel="0" collapsed="false"/>
    <row r="1505" customFormat="false" ht="18" hidden="false" customHeight="true" outlineLevel="0" collapsed="false"/>
    <row r="1506" customFormat="false" ht="18" hidden="false" customHeight="true" outlineLevel="0" collapsed="false"/>
    <row r="1507" customFormat="false" ht="18" hidden="false" customHeight="true" outlineLevel="0" collapsed="false"/>
    <row r="1508" customFormat="false" ht="18" hidden="false" customHeight="true" outlineLevel="0" collapsed="false"/>
    <row r="1509" customFormat="false" ht="18" hidden="false" customHeight="true" outlineLevel="0" collapsed="false"/>
    <row r="1510" customFormat="false" ht="18" hidden="false" customHeight="true" outlineLevel="0" collapsed="false"/>
    <row r="1511" customFormat="false" ht="18" hidden="false" customHeight="true" outlineLevel="0" collapsed="false"/>
    <row r="1512" customFormat="false" ht="18" hidden="false" customHeight="true" outlineLevel="0" collapsed="false"/>
    <row r="1513" customFormat="false" ht="18" hidden="false" customHeight="true" outlineLevel="0" collapsed="false"/>
    <row r="1514" customFormat="false" ht="18" hidden="false" customHeight="true" outlineLevel="0" collapsed="false"/>
    <row r="1515" customFormat="false" ht="18" hidden="false" customHeight="true" outlineLevel="0" collapsed="false"/>
    <row r="1516" customFormat="false" ht="18" hidden="false" customHeight="true" outlineLevel="0" collapsed="false"/>
    <row r="1517" customFormat="false" ht="18" hidden="false" customHeight="true" outlineLevel="0" collapsed="false"/>
    <row r="1518" customFormat="false" ht="18" hidden="false" customHeight="true" outlineLevel="0" collapsed="false"/>
    <row r="1519" customFormat="false" ht="18" hidden="false" customHeight="true" outlineLevel="0" collapsed="false"/>
    <row r="1520" customFormat="false" ht="18" hidden="false" customHeight="true" outlineLevel="0" collapsed="false"/>
    <row r="1521" customFormat="false" ht="18" hidden="false" customHeight="true" outlineLevel="0" collapsed="false"/>
    <row r="1522" customFormat="false" ht="18" hidden="false" customHeight="true" outlineLevel="0" collapsed="false"/>
    <row r="1523" customFormat="false" ht="18" hidden="false" customHeight="true" outlineLevel="0" collapsed="false"/>
    <row r="1524" customFormat="false" ht="18" hidden="false" customHeight="true" outlineLevel="0" collapsed="false"/>
    <row r="1525" customFormat="false" ht="18" hidden="false" customHeight="true" outlineLevel="0" collapsed="false"/>
    <row r="1526" customFormat="false" ht="18" hidden="false" customHeight="true" outlineLevel="0" collapsed="false"/>
    <row r="1527" customFormat="false" ht="18" hidden="false" customHeight="true" outlineLevel="0" collapsed="false"/>
    <row r="1528" customFormat="false" ht="18" hidden="false" customHeight="true" outlineLevel="0" collapsed="false"/>
    <row r="1529" customFormat="false" ht="18" hidden="false" customHeight="true" outlineLevel="0" collapsed="false"/>
    <row r="1530" customFormat="false" ht="18" hidden="false" customHeight="true" outlineLevel="0" collapsed="false"/>
    <row r="1531" customFormat="false" ht="18" hidden="false" customHeight="true" outlineLevel="0" collapsed="false"/>
    <row r="1532" customFormat="false" ht="18" hidden="false" customHeight="true" outlineLevel="0" collapsed="false"/>
    <row r="1533" customFormat="false" ht="18" hidden="false" customHeight="true" outlineLevel="0" collapsed="false"/>
    <row r="1534" customFormat="false" ht="18" hidden="false" customHeight="true" outlineLevel="0" collapsed="false"/>
    <row r="1535" customFormat="false" ht="18" hidden="false" customHeight="true" outlineLevel="0" collapsed="false"/>
    <row r="1536" customFormat="false" ht="18" hidden="false" customHeight="true" outlineLevel="0" collapsed="false"/>
    <row r="1537" customFormat="false" ht="18" hidden="false" customHeight="true" outlineLevel="0" collapsed="false"/>
    <row r="1538" customFormat="false" ht="18" hidden="false" customHeight="true" outlineLevel="0" collapsed="false"/>
    <row r="1539" customFormat="false" ht="18" hidden="false" customHeight="true" outlineLevel="0" collapsed="false"/>
    <row r="1540" customFormat="false" ht="18" hidden="false" customHeight="true" outlineLevel="0" collapsed="false"/>
    <row r="1541" customFormat="false" ht="18" hidden="false" customHeight="true" outlineLevel="0" collapsed="false"/>
    <row r="1542" customFormat="false" ht="18" hidden="false" customHeight="true" outlineLevel="0" collapsed="false"/>
    <row r="1543" customFormat="false" ht="18" hidden="false" customHeight="true" outlineLevel="0" collapsed="false"/>
    <row r="1544" customFormat="false" ht="18" hidden="false" customHeight="true" outlineLevel="0" collapsed="false"/>
    <row r="1545" customFormat="false" ht="18" hidden="false" customHeight="true" outlineLevel="0" collapsed="false"/>
    <row r="1546" customFormat="false" ht="18" hidden="false" customHeight="true" outlineLevel="0" collapsed="false"/>
    <row r="1547" customFormat="false" ht="18" hidden="false" customHeight="true" outlineLevel="0" collapsed="false"/>
    <row r="1548" customFormat="false" ht="18" hidden="false" customHeight="true" outlineLevel="0" collapsed="false"/>
    <row r="1549" customFormat="false" ht="18" hidden="false" customHeight="true" outlineLevel="0" collapsed="false"/>
    <row r="1550" customFormat="false" ht="18" hidden="false" customHeight="true" outlineLevel="0" collapsed="false"/>
    <row r="1551" customFormat="false" ht="18" hidden="false" customHeight="true" outlineLevel="0" collapsed="false"/>
    <row r="1552" customFormat="false" ht="18" hidden="false" customHeight="true" outlineLevel="0" collapsed="false"/>
    <row r="1553" customFormat="false" ht="18" hidden="false" customHeight="true" outlineLevel="0" collapsed="false"/>
    <row r="1554" customFormat="false" ht="18" hidden="false" customHeight="true" outlineLevel="0" collapsed="false"/>
    <row r="1555" customFormat="false" ht="18" hidden="false" customHeight="true" outlineLevel="0" collapsed="false"/>
    <row r="1556" customFormat="false" ht="18" hidden="false" customHeight="true" outlineLevel="0" collapsed="false"/>
    <row r="1557" customFormat="false" ht="18" hidden="false" customHeight="true" outlineLevel="0" collapsed="false"/>
    <row r="1558" customFormat="false" ht="18" hidden="false" customHeight="true" outlineLevel="0" collapsed="false"/>
    <row r="1559" customFormat="false" ht="18" hidden="false" customHeight="true" outlineLevel="0" collapsed="false"/>
    <row r="1560" customFormat="false" ht="18" hidden="false" customHeight="true" outlineLevel="0" collapsed="false"/>
    <row r="1561" customFormat="false" ht="18" hidden="false" customHeight="true" outlineLevel="0" collapsed="false"/>
    <row r="1562" customFormat="false" ht="18" hidden="false" customHeight="true" outlineLevel="0" collapsed="false"/>
    <row r="1563" customFormat="false" ht="18" hidden="false" customHeight="true" outlineLevel="0" collapsed="false"/>
    <row r="1564" customFormat="false" ht="18" hidden="false" customHeight="true" outlineLevel="0" collapsed="false"/>
    <row r="1565" customFormat="false" ht="18" hidden="false" customHeight="true" outlineLevel="0" collapsed="false"/>
    <row r="1566" customFormat="false" ht="18" hidden="false" customHeight="true" outlineLevel="0" collapsed="false"/>
    <row r="1567" customFormat="false" ht="18" hidden="false" customHeight="true" outlineLevel="0" collapsed="false"/>
    <row r="1568" customFormat="false" ht="18" hidden="false" customHeight="true" outlineLevel="0" collapsed="false"/>
    <row r="1569" customFormat="false" ht="18" hidden="false" customHeight="true" outlineLevel="0" collapsed="false"/>
    <row r="1570" customFormat="false" ht="18" hidden="false" customHeight="true" outlineLevel="0" collapsed="false"/>
    <row r="1571" customFormat="false" ht="18" hidden="false" customHeight="true" outlineLevel="0" collapsed="false"/>
    <row r="1572" customFormat="false" ht="18" hidden="false" customHeight="true" outlineLevel="0" collapsed="false"/>
    <row r="1573" customFormat="false" ht="18" hidden="false" customHeight="true" outlineLevel="0" collapsed="false"/>
    <row r="1574" customFormat="false" ht="18" hidden="false" customHeight="true" outlineLevel="0" collapsed="false"/>
    <row r="1575" customFormat="false" ht="18" hidden="false" customHeight="true" outlineLevel="0" collapsed="false"/>
    <row r="1576" customFormat="false" ht="18" hidden="false" customHeight="true" outlineLevel="0" collapsed="false"/>
    <row r="1577" customFormat="false" ht="18" hidden="false" customHeight="true" outlineLevel="0" collapsed="false"/>
    <row r="1578" customFormat="false" ht="18" hidden="false" customHeight="true" outlineLevel="0" collapsed="false"/>
    <row r="1579" customFormat="false" ht="18" hidden="false" customHeight="true" outlineLevel="0" collapsed="false"/>
    <row r="1580" customFormat="false" ht="18" hidden="false" customHeight="true" outlineLevel="0" collapsed="false"/>
    <row r="1581" customFormat="false" ht="18" hidden="false" customHeight="true" outlineLevel="0" collapsed="false"/>
    <row r="1582" customFormat="false" ht="18" hidden="false" customHeight="true" outlineLevel="0" collapsed="false"/>
    <row r="1583" customFormat="false" ht="18" hidden="false" customHeight="true" outlineLevel="0" collapsed="false"/>
    <row r="1584" customFormat="false" ht="18" hidden="false" customHeight="true" outlineLevel="0" collapsed="false"/>
    <row r="1585" customFormat="false" ht="18" hidden="false" customHeight="true" outlineLevel="0" collapsed="false"/>
    <row r="1586" customFormat="false" ht="18" hidden="false" customHeight="true" outlineLevel="0" collapsed="false"/>
    <row r="1587" customFormat="false" ht="18" hidden="false" customHeight="true" outlineLevel="0" collapsed="false"/>
    <row r="1588" customFormat="false" ht="18" hidden="false" customHeight="true" outlineLevel="0" collapsed="false"/>
    <row r="1589" customFormat="false" ht="18" hidden="false" customHeight="true" outlineLevel="0" collapsed="false"/>
    <row r="1590" customFormat="false" ht="18" hidden="false" customHeight="true" outlineLevel="0" collapsed="false"/>
    <row r="1591" customFormat="false" ht="18" hidden="false" customHeight="true" outlineLevel="0" collapsed="false"/>
    <row r="1592" customFormat="false" ht="18" hidden="false" customHeight="true" outlineLevel="0" collapsed="false"/>
    <row r="1593" customFormat="false" ht="18" hidden="false" customHeight="true" outlineLevel="0" collapsed="false"/>
    <row r="1594" customFormat="false" ht="18" hidden="false" customHeight="true" outlineLevel="0" collapsed="false"/>
    <row r="1595" customFormat="false" ht="18" hidden="false" customHeight="true" outlineLevel="0" collapsed="false"/>
    <row r="1596" customFormat="false" ht="18" hidden="false" customHeight="true" outlineLevel="0" collapsed="false"/>
    <row r="1597" customFormat="false" ht="18" hidden="false" customHeight="true" outlineLevel="0" collapsed="false"/>
    <row r="1598" customFormat="false" ht="18" hidden="false" customHeight="true" outlineLevel="0" collapsed="false"/>
    <row r="1599" customFormat="false" ht="18" hidden="false" customHeight="true" outlineLevel="0" collapsed="false"/>
    <row r="1600" customFormat="false" ht="18" hidden="false" customHeight="true" outlineLevel="0" collapsed="false"/>
    <row r="1601" customFormat="false" ht="18" hidden="false" customHeight="true" outlineLevel="0" collapsed="false"/>
    <row r="1602" customFormat="false" ht="18" hidden="false" customHeight="true" outlineLevel="0" collapsed="false"/>
    <row r="1603" customFormat="false" ht="18" hidden="false" customHeight="true" outlineLevel="0" collapsed="false"/>
    <row r="1604" customFormat="false" ht="18" hidden="false" customHeight="true" outlineLevel="0" collapsed="false"/>
    <row r="1605" customFormat="false" ht="18" hidden="false" customHeight="true" outlineLevel="0" collapsed="false"/>
    <row r="1606" customFormat="false" ht="18" hidden="false" customHeight="true" outlineLevel="0" collapsed="false"/>
    <row r="1607" customFormat="false" ht="18" hidden="false" customHeight="true" outlineLevel="0" collapsed="false"/>
    <row r="1608" customFormat="false" ht="18" hidden="false" customHeight="true" outlineLevel="0" collapsed="false"/>
    <row r="1609" customFormat="false" ht="18" hidden="false" customHeight="true" outlineLevel="0" collapsed="false"/>
    <row r="1610" customFormat="false" ht="18" hidden="false" customHeight="true" outlineLevel="0" collapsed="false"/>
    <row r="1611" customFormat="false" ht="18" hidden="false" customHeight="true" outlineLevel="0" collapsed="false"/>
    <row r="1612" customFormat="false" ht="18" hidden="false" customHeight="true" outlineLevel="0" collapsed="false"/>
    <row r="1613" customFormat="false" ht="18" hidden="false" customHeight="true" outlineLevel="0" collapsed="false"/>
    <row r="1614" customFormat="false" ht="18" hidden="false" customHeight="true" outlineLevel="0" collapsed="false"/>
    <row r="1615" customFormat="false" ht="18" hidden="false" customHeight="true" outlineLevel="0" collapsed="false"/>
    <row r="1616" customFormat="false" ht="18" hidden="false" customHeight="true" outlineLevel="0" collapsed="false"/>
    <row r="1617" customFormat="false" ht="18" hidden="false" customHeight="true" outlineLevel="0" collapsed="false"/>
    <row r="1618" customFormat="false" ht="18" hidden="false" customHeight="true" outlineLevel="0" collapsed="false"/>
    <row r="1619" customFormat="false" ht="18" hidden="false" customHeight="true" outlineLevel="0" collapsed="false"/>
    <row r="1620" customFormat="false" ht="18" hidden="false" customHeight="true" outlineLevel="0" collapsed="false"/>
    <row r="1621" customFormat="false" ht="18" hidden="false" customHeight="true" outlineLevel="0" collapsed="false"/>
    <row r="1622" customFormat="false" ht="18" hidden="false" customHeight="true" outlineLevel="0" collapsed="false"/>
    <row r="1623" customFormat="false" ht="18" hidden="false" customHeight="true" outlineLevel="0" collapsed="false"/>
    <row r="1624" customFormat="false" ht="18" hidden="false" customHeight="true" outlineLevel="0" collapsed="false"/>
    <row r="1625" customFormat="false" ht="18" hidden="false" customHeight="true" outlineLevel="0" collapsed="false"/>
    <row r="1626" customFormat="false" ht="18" hidden="false" customHeight="true" outlineLevel="0" collapsed="false"/>
    <row r="1627" customFormat="false" ht="18" hidden="false" customHeight="true" outlineLevel="0" collapsed="false"/>
    <row r="1628" customFormat="false" ht="18" hidden="false" customHeight="true" outlineLevel="0" collapsed="false"/>
    <row r="1629" customFormat="false" ht="18" hidden="false" customHeight="true" outlineLevel="0" collapsed="false"/>
    <row r="1630" customFormat="false" ht="18" hidden="false" customHeight="true" outlineLevel="0" collapsed="false"/>
    <row r="1631" customFormat="false" ht="18" hidden="false" customHeight="true" outlineLevel="0" collapsed="false"/>
    <row r="1632" customFormat="false" ht="18" hidden="false" customHeight="true" outlineLevel="0" collapsed="false"/>
    <row r="1633" customFormat="false" ht="18" hidden="false" customHeight="true" outlineLevel="0" collapsed="false"/>
    <row r="1634" customFormat="false" ht="18" hidden="false" customHeight="true" outlineLevel="0" collapsed="false"/>
    <row r="1635" customFormat="false" ht="18" hidden="false" customHeight="true" outlineLevel="0" collapsed="false"/>
    <row r="1636" customFormat="false" ht="18" hidden="false" customHeight="true" outlineLevel="0" collapsed="false"/>
    <row r="1637" customFormat="false" ht="18" hidden="false" customHeight="true" outlineLevel="0" collapsed="false"/>
    <row r="1638" customFormat="false" ht="18" hidden="false" customHeight="true" outlineLevel="0" collapsed="false"/>
    <row r="1639" customFormat="false" ht="18" hidden="false" customHeight="true" outlineLevel="0" collapsed="false"/>
    <row r="1640" customFormat="false" ht="18" hidden="false" customHeight="true" outlineLevel="0" collapsed="false"/>
    <row r="1641" customFormat="false" ht="18" hidden="false" customHeight="true" outlineLevel="0" collapsed="false"/>
    <row r="1642" customFormat="false" ht="18" hidden="false" customHeight="true" outlineLevel="0" collapsed="false"/>
    <row r="1643" customFormat="false" ht="18" hidden="false" customHeight="true" outlineLevel="0" collapsed="false"/>
    <row r="1644" customFormat="false" ht="18" hidden="false" customHeight="true" outlineLevel="0" collapsed="false"/>
    <row r="1645" customFormat="false" ht="18" hidden="false" customHeight="true" outlineLevel="0" collapsed="false"/>
    <row r="1646" customFormat="false" ht="18" hidden="false" customHeight="true" outlineLevel="0" collapsed="false"/>
    <row r="1647" customFormat="false" ht="18" hidden="false" customHeight="true" outlineLevel="0" collapsed="false"/>
    <row r="1648" customFormat="false" ht="18" hidden="false" customHeight="true" outlineLevel="0" collapsed="false"/>
    <row r="1649" customFormat="false" ht="18" hidden="false" customHeight="true" outlineLevel="0" collapsed="false"/>
    <row r="1650" customFormat="false" ht="18" hidden="false" customHeight="true" outlineLevel="0" collapsed="false"/>
    <row r="1651" customFormat="false" ht="18" hidden="false" customHeight="true" outlineLevel="0" collapsed="false"/>
    <row r="1652" customFormat="false" ht="18" hidden="false" customHeight="true" outlineLevel="0" collapsed="false"/>
    <row r="1653" customFormat="false" ht="18" hidden="false" customHeight="true" outlineLevel="0" collapsed="false"/>
    <row r="1654" customFormat="false" ht="18" hidden="false" customHeight="true" outlineLevel="0" collapsed="false"/>
    <row r="1655" customFormat="false" ht="18" hidden="false" customHeight="true" outlineLevel="0" collapsed="false"/>
    <row r="1656" customFormat="false" ht="18" hidden="false" customHeight="true" outlineLevel="0" collapsed="false"/>
    <row r="1657" customFormat="false" ht="18" hidden="false" customHeight="true" outlineLevel="0" collapsed="false"/>
    <row r="1658" customFormat="false" ht="18" hidden="false" customHeight="true" outlineLevel="0" collapsed="false"/>
    <row r="1659" customFormat="false" ht="18" hidden="false" customHeight="true" outlineLevel="0" collapsed="false"/>
    <row r="1660" customFormat="false" ht="18" hidden="false" customHeight="true" outlineLevel="0" collapsed="false"/>
    <row r="1661" customFormat="false" ht="18" hidden="false" customHeight="true" outlineLevel="0" collapsed="false"/>
    <row r="1662" customFormat="false" ht="18" hidden="false" customHeight="true" outlineLevel="0" collapsed="false"/>
    <row r="1663" customFormat="false" ht="18" hidden="false" customHeight="true" outlineLevel="0" collapsed="false"/>
    <row r="1664" customFormat="false" ht="18" hidden="false" customHeight="true" outlineLevel="0" collapsed="false"/>
    <row r="1665" customFormat="false" ht="18" hidden="false" customHeight="true" outlineLevel="0" collapsed="false"/>
    <row r="1666" customFormat="false" ht="18" hidden="false" customHeight="true" outlineLevel="0" collapsed="false"/>
    <row r="1667" customFormat="false" ht="18" hidden="false" customHeight="true" outlineLevel="0" collapsed="false"/>
    <row r="1668" customFormat="false" ht="18" hidden="false" customHeight="true" outlineLevel="0" collapsed="false"/>
    <row r="1669" customFormat="false" ht="18" hidden="false" customHeight="true" outlineLevel="0" collapsed="false"/>
    <row r="1670" customFormat="false" ht="18" hidden="false" customHeight="true" outlineLevel="0" collapsed="false"/>
    <row r="1671" customFormat="false" ht="18" hidden="false" customHeight="true" outlineLevel="0" collapsed="false"/>
    <row r="1672" customFormat="false" ht="18" hidden="false" customHeight="true" outlineLevel="0" collapsed="false"/>
    <row r="1673" customFormat="false" ht="18" hidden="false" customHeight="true" outlineLevel="0" collapsed="false"/>
    <row r="1674" customFormat="false" ht="18" hidden="false" customHeight="true" outlineLevel="0" collapsed="false"/>
    <row r="1675" customFormat="false" ht="18" hidden="false" customHeight="true" outlineLevel="0" collapsed="false"/>
    <row r="1676" customFormat="false" ht="18" hidden="false" customHeight="true" outlineLevel="0" collapsed="false"/>
    <row r="1677" customFormat="false" ht="18" hidden="false" customHeight="true" outlineLevel="0" collapsed="false"/>
    <row r="1678" customFormat="false" ht="18" hidden="false" customHeight="true" outlineLevel="0" collapsed="false"/>
    <row r="1679" customFormat="false" ht="18" hidden="false" customHeight="true" outlineLevel="0" collapsed="false"/>
    <row r="1680" customFormat="false" ht="18" hidden="false" customHeight="true" outlineLevel="0" collapsed="false"/>
    <row r="1681" customFormat="false" ht="18" hidden="false" customHeight="true" outlineLevel="0" collapsed="false"/>
    <row r="1682" customFormat="false" ht="18" hidden="false" customHeight="true" outlineLevel="0" collapsed="false"/>
    <row r="1683" customFormat="false" ht="18" hidden="false" customHeight="true" outlineLevel="0" collapsed="false"/>
    <row r="1684" customFormat="false" ht="18" hidden="false" customHeight="true" outlineLevel="0" collapsed="false"/>
    <row r="1685" customFormat="false" ht="18" hidden="false" customHeight="true" outlineLevel="0" collapsed="false"/>
    <row r="1686" customFormat="false" ht="18" hidden="false" customHeight="true" outlineLevel="0" collapsed="false"/>
    <row r="1687" customFormat="false" ht="18" hidden="false" customHeight="true" outlineLevel="0" collapsed="false"/>
    <row r="1688" customFormat="false" ht="18" hidden="false" customHeight="true" outlineLevel="0" collapsed="false"/>
    <row r="1689" customFormat="false" ht="18" hidden="false" customHeight="true" outlineLevel="0" collapsed="false"/>
    <row r="1690" customFormat="false" ht="18" hidden="false" customHeight="true" outlineLevel="0" collapsed="false"/>
    <row r="1691" customFormat="false" ht="18" hidden="false" customHeight="true" outlineLevel="0" collapsed="false"/>
    <row r="1692" customFormat="false" ht="18" hidden="false" customHeight="true" outlineLevel="0" collapsed="false"/>
    <row r="1693" customFormat="false" ht="18" hidden="false" customHeight="true" outlineLevel="0" collapsed="false"/>
    <row r="1694" customFormat="false" ht="18" hidden="false" customHeight="true" outlineLevel="0" collapsed="false"/>
    <row r="1695" customFormat="false" ht="18" hidden="false" customHeight="true" outlineLevel="0" collapsed="false"/>
    <row r="1696" customFormat="false" ht="18" hidden="false" customHeight="true" outlineLevel="0" collapsed="false"/>
    <row r="1697" customFormat="false" ht="18" hidden="false" customHeight="true" outlineLevel="0" collapsed="false"/>
    <row r="1698" customFormat="false" ht="18" hidden="false" customHeight="true" outlineLevel="0" collapsed="false"/>
    <row r="1699" customFormat="false" ht="18" hidden="false" customHeight="true" outlineLevel="0" collapsed="false"/>
    <row r="1700" customFormat="false" ht="18" hidden="false" customHeight="true" outlineLevel="0" collapsed="false"/>
    <row r="1701" customFormat="false" ht="18" hidden="false" customHeight="true" outlineLevel="0" collapsed="false"/>
    <row r="1702" customFormat="false" ht="18" hidden="false" customHeight="true" outlineLevel="0" collapsed="false"/>
    <row r="1703" customFormat="false" ht="18" hidden="false" customHeight="true" outlineLevel="0" collapsed="false"/>
    <row r="1704" customFormat="false" ht="18" hidden="false" customHeight="true" outlineLevel="0" collapsed="false"/>
    <row r="1705" customFormat="false" ht="18" hidden="false" customHeight="true" outlineLevel="0" collapsed="false"/>
    <row r="1706" customFormat="false" ht="18" hidden="false" customHeight="true" outlineLevel="0" collapsed="false"/>
    <row r="1707" customFormat="false" ht="18" hidden="false" customHeight="true" outlineLevel="0" collapsed="false"/>
    <row r="1708" customFormat="false" ht="18" hidden="false" customHeight="true" outlineLevel="0" collapsed="false"/>
    <row r="1709" customFormat="false" ht="18" hidden="false" customHeight="true" outlineLevel="0" collapsed="false"/>
    <row r="1710" customFormat="false" ht="18" hidden="false" customHeight="true" outlineLevel="0" collapsed="false"/>
    <row r="1711" customFormat="false" ht="18" hidden="false" customHeight="true" outlineLevel="0" collapsed="false"/>
    <row r="1712" customFormat="false" ht="18" hidden="false" customHeight="true" outlineLevel="0" collapsed="false"/>
    <row r="1713" customFormat="false" ht="18" hidden="false" customHeight="true" outlineLevel="0" collapsed="false"/>
    <row r="1714" customFormat="false" ht="18" hidden="false" customHeight="true" outlineLevel="0" collapsed="false"/>
    <row r="1715" customFormat="false" ht="18" hidden="false" customHeight="true" outlineLevel="0" collapsed="false"/>
    <row r="1716" customFormat="false" ht="18" hidden="false" customHeight="true" outlineLevel="0" collapsed="false"/>
    <row r="1717" customFormat="false" ht="18" hidden="false" customHeight="true" outlineLevel="0" collapsed="false"/>
    <row r="1718" customFormat="false" ht="18" hidden="false" customHeight="true" outlineLevel="0" collapsed="false"/>
    <row r="1719" customFormat="false" ht="18" hidden="false" customHeight="true" outlineLevel="0" collapsed="false"/>
    <row r="1720" customFormat="false" ht="18" hidden="false" customHeight="true" outlineLevel="0" collapsed="false"/>
    <row r="1721" customFormat="false" ht="18" hidden="false" customHeight="true" outlineLevel="0" collapsed="false"/>
    <row r="1722" customFormat="false" ht="18" hidden="false" customHeight="true" outlineLevel="0" collapsed="false"/>
    <row r="1723" customFormat="false" ht="18" hidden="false" customHeight="true" outlineLevel="0" collapsed="false"/>
    <row r="1724" customFormat="false" ht="18" hidden="false" customHeight="true" outlineLevel="0" collapsed="false"/>
    <row r="1725" customFormat="false" ht="18" hidden="false" customHeight="true" outlineLevel="0" collapsed="false"/>
    <row r="1726" customFormat="false" ht="18" hidden="false" customHeight="true" outlineLevel="0" collapsed="false"/>
    <row r="1727" customFormat="false" ht="18" hidden="false" customHeight="true" outlineLevel="0" collapsed="false"/>
    <row r="1728" customFormat="false" ht="18" hidden="false" customHeight="true" outlineLevel="0" collapsed="false"/>
    <row r="1729" customFormat="false" ht="18" hidden="false" customHeight="true" outlineLevel="0" collapsed="false"/>
    <row r="1730" customFormat="false" ht="18" hidden="false" customHeight="true" outlineLevel="0" collapsed="false"/>
    <row r="1731" customFormat="false" ht="18" hidden="false" customHeight="true" outlineLevel="0" collapsed="false"/>
    <row r="1732" customFormat="false" ht="18" hidden="false" customHeight="true" outlineLevel="0" collapsed="false"/>
    <row r="1733" customFormat="false" ht="18" hidden="false" customHeight="true" outlineLevel="0" collapsed="false"/>
    <row r="1734" customFormat="false" ht="18" hidden="false" customHeight="true" outlineLevel="0" collapsed="false"/>
    <row r="1735" customFormat="false" ht="18" hidden="false" customHeight="true" outlineLevel="0" collapsed="false"/>
    <row r="1736" customFormat="false" ht="18" hidden="false" customHeight="true" outlineLevel="0" collapsed="false"/>
    <row r="1737" customFormat="false" ht="18" hidden="false" customHeight="true" outlineLevel="0" collapsed="false"/>
    <row r="1738" customFormat="false" ht="18" hidden="false" customHeight="true" outlineLevel="0" collapsed="false"/>
    <row r="1739" customFormat="false" ht="18" hidden="false" customHeight="true" outlineLevel="0" collapsed="false"/>
    <row r="1740" customFormat="false" ht="18" hidden="false" customHeight="true" outlineLevel="0" collapsed="false"/>
    <row r="1741" customFormat="false" ht="18" hidden="false" customHeight="true" outlineLevel="0" collapsed="false"/>
    <row r="1742" customFormat="false" ht="18" hidden="false" customHeight="true" outlineLevel="0" collapsed="false"/>
    <row r="1743" customFormat="false" ht="18" hidden="false" customHeight="true" outlineLevel="0" collapsed="false"/>
    <row r="1744" customFormat="false" ht="18" hidden="false" customHeight="true" outlineLevel="0" collapsed="false"/>
    <row r="1745" customFormat="false" ht="18" hidden="false" customHeight="true" outlineLevel="0" collapsed="false"/>
    <row r="1746" customFormat="false" ht="18" hidden="false" customHeight="true" outlineLevel="0" collapsed="false"/>
    <row r="1747" customFormat="false" ht="18" hidden="false" customHeight="true" outlineLevel="0" collapsed="false"/>
    <row r="1748" customFormat="false" ht="18" hidden="false" customHeight="true" outlineLevel="0" collapsed="false"/>
    <row r="1749" customFormat="false" ht="18" hidden="false" customHeight="true" outlineLevel="0" collapsed="false"/>
    <row r="1750" customFormat="false" ht="18" hidden="false" customHeight="true" outlineLevel="0" collapsed="false"/>
    <row r="1751" customFormat="false" ht="18" hidden="false" customHeight="true" outlineLevel="0" collapsed="false"/>
    <row r="1752" customFormat="false" ht="18" hidden="false" customHeight="true" outlineLevel="0" collapsed="false"/>
    <row r="1753" customFormat="false" ht="18" hidden="false" customHeight="true" outlineLevel="0" collapsed="false"/>
    <row r="1754" customFormat="false" ht="18" hidden="false" customHeight="true" outlineLevel="0" collapsed="false"/>
    <row r="1755" customFormat="false" ht="18" hidden="false" customHeight="true" outlineLevel="0" collapsed="false"/>
    <row r="1756" customFormat="false" ht="18" hidden="false" customHeight="true" outlineLevel="0" collapsed="false"/>
    <row r="1757" customFormat="false" ht="18" hidden="false" customHeight="true" outlineLevel="0" collapsed="false"/>
    <row r="1758" customFormat="false" ht="18" hidden="false" customHeight="true" outlineLevel="0" collapsed="false"/>
    <row r="1759" customFormat="false" ht="18" hidden="false" customHeight="true" outlineLevel="0" collapsed="false"/>
    <row r="1760" customFormat="false" ht="18" hidden="false" customHeight="true" outlineLevel="0" collapsed="false"/>
    <row r="1761" customFormat="false" ht="18" hidden="false" customHeight="true" outlineLevel="0" collapsed="false"/>
    <row r="1762" customFormat="false" ht="18" hidden="false" customHeight="true" outlineLevel="0" collapsed="false"/>
    <row r="1763" customFormat="false" ht="18" hidden="false" customHeight="true" outlineLevel="0" collapsed="false"/>
    <row r="1764" customFormat="false" ht="18" hidden="false" customHeight="true" outlineLevel="0" collapsed="false"/>
    <row r="1765" customFormat="false" ht="18" hidden="false" customHeight="true" outlineLevel="0" collapsed="false"/>
    <row r="1766" customFormat="false" ht="18" hidden="false" customHeight="true" outlineLevel="0" collapsed="false"/>
    <row r="1767" customFormat="false" ht="18" hidden="false" customHeight="true" outlineLevel="0" collapsed="false"/>
    <row r="1768" customFormat="false" ht="18" hidden="false" customHeight="true" outlineLevel="0" collapsed="false"/>
    <row r="1769" customFormat="false" ht="18" hidden="false" customHeight="true" outlineLevel="0" collapsed="false"/>
    <row r="1770" customFormat="false" ht="18" hidden="false" customHeight="true" outlineLevel="0" collapsed="false"/>
    <row r="1771" customFormat="false" ht="18" hidden="false" customHeight="true" outlineLevel="0" collapsed="false"/>
    <row r="1772" customFormat="false" ht="18" hidden="false" customHeight="true" outlineLevel="0" collapsed="false"/>
    <row r="1773" customFormat="false" ht="18" hidden="false" customHeight="true" outlineLevel="0" collapsed="false"/>
    <row r="1774" customFormat="false" ht="18" hidden="false" customHeight="true" outlineLevel="0" collapsed="false"/>
    <row r="1775" customFormat="false" ht="18" hidden="false" customHeight="true" outlineLevel="0" collapsed="false"/>
    <row r="1776" customFormat="false" ht="18" hidden="false" customHeight="true" outlineLevel="0" collapsed="false"/>
    <row r="1777" customFormat="false" ht="18" hidden="false" customHeight="true" outlineLevel="0" collapsed="false"/>
    <row r="1778" customFormat="false" ht="18" hidden="false" customHeight="true" outlineLevel="0" collapsed="false"/>
    <row r="1779" customFormat="false" ht="18" hidden="false" customHeight="true" outlineLevel="0" collapsed="false"/>
    <row r="1780" customFormat="false" ht="18" hidden="false" customHeight="true" outlineLevel="0" collapsed="false"/>
    <row r="1781" customFormat="false" ht="18" hidden="false" customHeight="true" outlineLevel="0" collapsed="false"/>
    <row r="1782" customFormat="false" ht="18" hidden="false" customHeight="true" outlineLevel="0" collapsed="false"/>
    <row r="1783" customFormat="false" ht="18" hidden="false" customHeight="true" outlineLevel="0" collapsed="false"/>
    <row r="1784" customFormat="false" ht="18" hidden="false" customHeight="true" outlineLevel="0" collapsed="false"/>
    <row r="1785" customFormat="false" ht="18" hidden="false" customHeight="true" outlineLevel="0" collapsed="false"/>
    <row r="1786" customFormat="false" ht="18" hidden="false" customHeight="true" outlineLevel="0" collapsed="false"/>
    <row r="1787" customFormat="false" ht="18" hidden="false" customHeight="true" outlineLevel="0" collapsed="false"/>
    <row r="1788" customFormat="false" ht="18" hidden="false" customHeight="true" outlineLevel="0" collapsed="false"/>
    <row r="1789" customFormat="false" ht="18" hidden="false" customHeight="true" outlineLevel="0" collapsed="false"/>
    <row r="1790" customFormat="false" ht="18" hidden="false" customHeight="true" outlineLevel="0" collapsed="false"/>
    <row r="1791" customFormat="false" ht="18" hidden="false" customHeight="true" outlineLevel="0" collapsed="false"/>
    <row r="1792" customFormat="false" ht="18" hidden="false" customHeight="true" outlineLevel="0" collapsed="false"/>
    <row r="1793" customFormat="false" ht="18" hidden="false" customHeight="true" outlineLevel="0" collapsed="false"/>
    <row r="1794" customFormat="false" ht="18" hidden="false" customHeight="true" outlineLevel="0" collapsed="false"/>
    <row r="1795" customFormat="false" ht="18" hidden="false" customHeight="true" outlineLevel="0" collapsed="false"/>
    <row r="1796" customFormat="false" ht="18" hidden="false" customHeight="true" outlineLevel="0" collapsed="false"/>
    <row r="1797" customFormat="false" ht="18" hidden="false" customHeight="true" outlineLevel="0" collapsed="false"/>
    <row r="1798" customFormat="false" ht="18" hidden="false" customHeight="true" outlineLevel="0" collapsed="false"/>
    <row r="1799" customFormat="false" ht="18" hidden="false" customHeight="true" outlineLevel="0" collapsed="false"/>
    <row r="1800" customFormat="false" ht="18" hidden="false" customHeight="true" outlineLevel="0" collapsed="false"/>
    <row r="1801" customFormat="false" ht="18" hidden="false" customHeight="true" outlineLevel="0" collapsed="false"/>
    <row r="1802" customFormat="false" ht="18" hidden="false" customHeight="true" outlineLevel="0" collapsed="false"/>
    <row r="1803" customFormat="false" ht="18" hidden="false" customHeight="true" outlineLevel="0" collapsed="false"/>
    <row r="1804" customFormat="false" ht="18" hidden="false" customHeight="true" outlineLevel="0" collapsed="false"/>
    <row r="1805" customFormat="false" ht="18" hidden="false" customHeight="true" outlineLevel="0" collapsed="false"/>
    <row r="1806" customFormat="false" ht="18" hidden="false" customHeight="true" outlineLevel="0" collapsed="false"/>
    <row r="1807" customFormat="false" ht="18" hidden="false" customHeight="true" outlineLevel="0" collapsed="false"/>
    <row r="1808" customFormat="false" ht="18" hidden="false" customHeight="true" outlineLevel="0" collapsed="false"/>
    <row r="1809" customFormat="false" ht="18" hidden="false" customHeight="true" outlineLevel="0" collapsed="false"/>
    <row r="1810" customFormat="false" ht="18" hidden="false" customHeight="true" outlineLevel="0" collapsed="false"/>
    <row r="1811" customFormat="false" ht="18" hidden="false" customHeight="true" outlineLevel="0" collapsed="false"/>
    <row r="1812" customFormat="false" ht="18" hidden="false" customHeight="true" outlineLevel="0" collapsed="false"/>
    <row r="1813" customFormat="false" ht="18" hidden="false" customHeight="true" outlineLevel="0" collapsed="false"/>
    <row r="1814" customFormat="false" ht="18" hidden="false" customHeight="true" outlineLevel="0" collapsed="false"/>
    <row r="1815" customFormat="false" ht="18" hidden="false" customHeight="true" outlineLevel="0" collapsed="false"/>
    <row r="1816" customFormat="false" ht="18" hidden="false" customHeight="true" outlineLevel="0" collapsed="false"/>
    <row r="1817" customFormat="false" ht="18" hidden="false" customHeight="true" outlineLevel="0" collapsed="false"/>
    <row r="1818" customFormat="false" ht="18" hidden="false" customHeight="true" outlineLevel="0" collapsed="false"/>
    <row r="1819" customFormat="false" ht="18" hidden="false" customHeight="true" outlineLevel="0" collapsed="false"/>
    <row r="1820" customFormat="false" ht="18" hidden="false" customHeight="true" outlineLevel="0" collapsed="false"/>
    <row r="1821" customFormat="false" ht="18" hidden="false" customHeight="true" outlineLevel="0" collapsed="false"/>
    <row r="1822" customFormat="false" ht="18" hidden="false" customHeight="true" outlineLevel="0" collapsed="false"/>
    <row r="1823" customFormat="false" ht="18" hidden="false" customHeight="true" outlineLevel="0" collapsed="false"/>
    <row r="1824" customFormat="false" ht="18" hidden="false" customHeight="true" outlineLevel="0" collapsed="false"/>
    <row r="1825" customFormat="false" ht="18" hidden="false" customHeight="true" outlineLevel="0" collapsed="false"/>
    <row r="1826" customFormat="false" ht="18" hidden="false" customHeight="true" outlineLevel="0" collapsed="false"/>
    <row r="1827" customFormat="false" ht="18" hidden="false" customHeight="true" outlineLevel="0" collapsed="false"/>
    <row r="1828" customFormat="false" ht="18" hidden="false" customHeight="true" outlineLevel="0" collapsed="false"/>
    <row r="1829" customFormat="false" ht="18" hidden="false" customHeight="true" outlineLevel="0" collapsed="false"/>
    <row r="1830" customFormat="false" ht="18" hidden="false" customHeight="true" outlineLevel="0" collapsed="false"/>
    <row r="1831" customFormat="false" ht="18" hidden="false" customHeight="true" outlineLevel="0" collapsed="false"/>
    <row r="1832" customFormat="false" ht="18" hidden="false" customHeight="true" outlineLevel="0" collapsed="false"/>
    <row r="1833" customFormat="false" ht="18" hidden="false" customHeight="true" outlineLevel="0" collapsed="false"/>
    <row r="1834" customFormat="false" ht="18" hidden="false" customHeight="true" outlineLevel="0" collapsed="false"/>
    <row r="1835" customFormat="false" ht="18" hidden="false" customHeight="true" outlineLevel="0" collapsed="false"/>
    <row r="1836" customFormat="false" ht="18" hidden="false" customHeight="true" outlineLevel="0" collapsed="false"/>
    <row r="1837" customFormat="false" ht="18" hidden="false" customHeight="true" outlineLevel="0" collapsed="false"/>
    <row r="1838" customFormat="false" ht="18" hidden="false" customHeight="true" outlineLevel="0" collapsed="false"/>
    <row r="1839" customFormat="false" ht="18" hidden="false" customHeight="true" outlineLevel="0" collapsed="false"/>
    <row r="1840" customFormat="false" ht="18" hidden="false" customHeight="true" outlineLevel="0" collapsed="false"/>
    <row r="1841" customFormat="false" ht="18" hidden="false" customHeight="true" outlineLevel="0" collapsed="false"/>
    <row r="1842" customFormat="false" ht="18" hidden="false" customHeight="true" outlineLevel="0" collapsed="false"/>
    <row r="1843" customFormat="false" ht="18" hidden="false" customHeight="true" outlineLevel="0" collapsed="false"/>
    <row r="1844" customFormat="false" ht="18" hidden="false" customHeight="true" outlineLevel="0" collapsed="false"/>
    <row r="1845" customFormat="false" ht="18" hidden="false" customHeight="true" outlineLevel="0" collapsed="false"/>
    <row r="1846" customFormat="false" ht="18" hidden="false" customHeight="true" outlineLevel="0" collapsed="false"/>
    <row r="1847" customFormat="false" ht="18" hidden="false" customHeight="true" outlineLevel="0" collapsed="false"/>
    <row r="1848" customFormat="false" ht="18" hidden="false" customHeight="true" outlineLevel="0" collapsed="false"/>
    <row r="1849" customFormat="false" ht="18" hidden="false" customHeight="true" outlineLevel="0" collapsed="false"/>
    <row r="1850" customFormat="false" ht="18" hidden="false" customHeight="true" outlineLevel="0" collapsed="false"/>
    <row r="1851" customFormat="false" ht="18" hidden="false" customHeight="true" outlineLevel="0" collapsed="false"/>
    <row r="1852" customFormat="false" ht="18" hidden="false" customHeight="true" outlineLevel="0" collapsed="false"/>
    <row r="1853" customFormat="false" ht="18" hidden="false" customHeight="true" outlineLevel="0" collapsed="false"/>
    <row r="1854" customFormat="false" ht="18" hidden="false" customHeight="true" outlineLevel="0" collapsed="false"/>
    <row r="1855" customFormat="false" ht="18" hidden="false" customHeight="true" outlineLevel="0" collapsed="false"/>
    <row r="1856" customFormat="false" ht="18" hidden="false" customHeight="true" outlineLevel="0" collapsed="false"/>
    <row r="1857" customFormat="false" ht="18" hidden="false" customHeight="true" outlineLevel="0" collapsed="false"/>
    <row r="1858" customFormat="false" ht="18" hidden="false" customHeight="true" outlineLevel="0" collapsed="false"/>
    <row r="1859" customFormat="false" ht="18" hidden="false" customHeight="true" outlineLevel="0" collapsed="false"/>
    <row r="1860" customFormat="false" ht="18" hidden="false" customHeight="true" outlineLevel="0" collapsed="false"/>
    <row r="1861" customFormat="false" ht="18" hidden="false" customHeight="true" outlineLevel="0" collapsed="false"/>
    <row r="1862" customFormat="false" ht="18" hidden="false" customHeight="true" outlineLevel="0" collapsed="false"/>
    <row r="1863" customFormat="false" ht="18" hidden="false" customHeight="true" outlineLevel="0" collapsed="false"/>
    <row r="1864" customFormat="false" ht="18" hidden="false" customHeight="true" outlineLevel="0" collapsed="false"/>
    <row r="1865" customFormat="false" ht="18" hidden="false" customHeight="true" outlineLevel="0" collapsed="false"/>
    <row r="1866" customFormat="false" ht="18" hidden="false" customHeight="true" outlineLevel="0" collapsed="false"/>
    <row r="1867" customFormat="false" ht="18" hidden="false" customHeight="true" outlineLevel="0" collapsed="false"/>
    <row r="1868" customFormat="false" ht="18" hidden="false" customHeight="true" outlineLevel="0" collapsed="false"/>
    <row r="1869" customFormat="false" ht="18" hidden="false" customHeight="true" outlineLevel="0" collapsed="false"/>
    <row r="1870" customFormat="false" ht="18" hidden="false" customHeight="true" outlineLevel="0" collapsed="false"/>
    <row r="1871" customFormat="false" ht="18" hidden="false" customHeight="true" outlineLevel="0" collapsed="false"/>
    <row r="1872" customFormat="false" ht="18" hidden="false" customHeight="true" outlineLevel="0" collapsed="false"/>
    <row r="1873" customFormat="false" ht="18" hidden="false" customHeight="true" outlineLevel="0" collapsed="false"/>
    <row r="1874" customFormat="false" ht="18" hidden="false" customHeight="true" outlineLevel="0" collapsed="false"/>
    <row r="1875" customFormat="false" ht="18" hidden="false" customHeight="true" outlineLevel="0" collapsed="false"/>
    <row r="1876" customFormat="false" ht="18" hidden="false" customHeight="true" outlineLevel="0" collapsed="false"/>
    <row r="1877" customFormat="false" ht="18" hidden="false" customHeight="true" outlineLevel="0" collapsed="false"/>
    <row r="1878" customFormat="false" ht="18" hidden="false" customHeight="true" outlineLevel="0" collapsed="false"/>
    <row r="1879" customFormat="false" ht="18" hidden="false" customHeight="true" outlineLevel="0" collapsed="false"/>
    <row r="1880" customFormat="false" ht="18" hidden="false" customHeight="true" outlineLevel="0" collapsed="false"/>
    <row r="1881" customFormat="false" ht="18" hidden="false" customHeight="true" outlineLevel="0" collapsed="false"/>
    <row r="1882" customFormat="false" ht="18" hidden="false" customHeight="true" outlineLevel="0" collapsed="false"/>
    <row r="1883" customFormat="false" ht="18" hidden="false" customHeight="true" outlineLevel="0" collapsed="false"/>
    <row r="1884" customFormat="false" ht="18" hidden="false" customHeight="true" outlineLevel="0" collapsed="false"/>
    <row r="1885" customFormat="false" ht="18" hidden="false" customHeight="true" outlineLevel="0" collapsed="false"/>
    <row r="1886" customFormat="false" ht="18" hidden="false" customHeight="true" outlineLevel="0" collapsed="false"/>
    <row r="1887" customFormat="false" ht="18" hidden="false" customHeight="true" outlineLevel="0" collapsed="false"/>
    <row r="1888" customFormat="false" ht="18" hidden="false" customHeight="true" outlineLevel="0" collapsed="false"/>
    <row r="1889" customFormat="false" ht="18" hidden="false" customHeight="true" outlineLevel="0" collapsed="false"/>
    <row r="1890" customFormat="false" ht="18" hidden="false" customHeight="true" outlineLevel="0" collapsed="false"/>
    <row r="1891" customFormat="false" ht="18" hidden="false" customHeight="true" outlineLevel="0" collapsed="false"/>
    <row r="1892" customFormat="false" ht="18" hidden="false" customHeight="true" outlineLevel="0" collapsed="false"/>
    <row r="1893" customFormat="false" ht="18" hidden="false" customHeight="true" outlineLevel="0" collapsed="false"/>
    <row r="1894" customFormat="false" ht="18" hidden="false" customHeight="true" outlineLevel="0" collapsed="false"/>
    <row r="1895" customFormat="false" ht="18" hidden="false" customHeight="true" outlineLevel="0" collapsed="false"/>
    <row r="1896" customFormat="false" ht="18" hidden="false" customHeight="true" outlineLevel="0" collapsed="false"/>
    <row r="1897" customFormat="false" ht="18" hidden="false" customHeight="true" outlineLevel="0" collapsed="false"/>
    <row r="1898" customFormat="false" ht="18" hidden="false" customHeight="true" outlineLevel="0" collapsed="false"/>
    <row r="1899" customFormat="false" ht="18" hidden="false" customHeight="true" outlineLevel="0" collapsed="false"/>
    <row r="1900" customFormat="false" ht="18" hidden="false" customHeight="true" outlineLevel="0" collapsed="false"/>
    <row r="1901" customFormat="false" ht="18" hidden="false" customHeight="true" outlineLevel="0" collapsed="false"/>
    <row r="1902" customFormat="false" ht="18" hidden="false" customHeight="true" outlineLevel="0" collapsed="false"/>
    <row r="1903" customFormat="false" ht="18" hidden="false" customHeight="true" outlineLevel="0" collapsed="false"/>
    <row r="1904" customFormat="false" ht="18" hidden="false" customHeight="true" outlineLevel="0" collapsed="false"/>
    <row r="1905" customFormat="false" ht="18" hidden="false" customHeight="true" outlineLevel="0" collapsed="false"/>
    <row r="1906" customFormat="false" ht="18" hidden="false" customHeight="true" outlineLevel="0" collapsed="false"/>
    <row r="1907" customFormat="false" ht="18" hidden="false" customHeight="true" outlineLevel="0" collapsed="false"/>
    <row r="1908" customFormat="false" ht="18" hidden="false" customHeight="true" outlineLevel="0" collapsed="false"/>
    <row r="1909" customFormat="false" ht="18" hidden="false" customHeight="true" outlineLevel="0" collapsed="false"/>
    <row r="1910" customFormat="false" ht="18" hidden="false" customHeight="true" outlineLevel="0" collapsed="false"/>
    <row r="1911" customFormat="false" ht="18" hidden="false" customHeight="true" outlineLevel="0" collapsed="false"/>
    <row r="1912" customFormat="false" ht="18" hidden="false" customHeight="true" outlineLevel="0" collapsed="false"/>
    <row r="1913" customFormat="false" ht="18" hidden="false" customHeight="true" outlineLevel="0" collapsed="false"/>
    <row r="1914" customFormat="false" ht="18" hidden="false" customHeight="true" outlineLevel="0" collapsed="false"/>
    <row r="1915" customFormat="false" ht="18" hidden="false" customHeight="true" outlineLevel="0" collapsed="false"/>
    <row r="1916" customFormat="false" ht="18" hidden="false" customHeight="true" outlineLevel="0" collapsed="false"/>
    <row r="1917" customFormat="false" ht="18" hidden="false" customHeight="true" outlineLevel="0" collapsed="false"/>
    <row r="1918" customFormat="false" ht="18" hidden="false" customHeight="true" outlineLevel="0" collapsed="false"/>
    <row r="1919" customFormat="false" ht="18" hidden="false" customHeight="true" outlineLevel="0" collapsed="false"/>
    <row r="1920" customFormat="false" ht="18" hidden="false" customHeight="true" outlineLevel="0" collapsed="false"/>
    <row r="1921" customFormat="false" ht="18" hidden="false" customHeight="true" outlineLevel="0" collapsed="false"/>
    <row r="1922" customFormat="false" ht="18" hidden="false" customHeight="true" outlineLevel="0" collapsed="false"/>
    <row r="1923" customFormat="false" ht="18" hidden="false" customHeight="true" outlineLevel="0" collapsed="false"/>
    <row r="1924" customFormat="false" ht="18" hidden="false" customHeight="true" outlineLevel="0" collapsed="false"/>
    <row r="1925" customFormat="false" ht="18" hidden="false" customHeight="true" outlineLevel="0" collapsed="false"/>
    <row r="1926" customFormat="false" ht="18" hidden="false" customHeight="true" outlineLevel="0" collapsed="false"/>
    <row r="1927" customFormat="false" ht="18" hidden="false" customHeight="true" outlineLevel="0" collapsed="false"/>
    <row r="1928" customFormat="false" ht="18" hidden="false" customHeight="true" outlineLevel="0" collapsed="false"/>
    <row r="1929" customFormat="false" ht="18" hidden="false" customHeight="true" outlineLevel="0" collapsed="false"/>
    <row r="1930" customFormat="false" ht="18" hidden="false" customHeight="true" outlineLevel="0" collapsed="false"/>
    <row r="1931" customFormat="false" ht="18" hidden="false" customHeight="true" outlineLevel="0" collapsed="false"/>
    <row r="1932" customFormat="false" ht="18" hidden="false" customHeight="true" outlineLevel="0" collapsed="false"/>
    <row r="1933" customFormat="false" ht="18" hidden="false" customHeight="true" outlineLevel="0" collapsed="false"/>
    <row r="1934" customFormat="false" ht="18" hidden="false" customHeight="true" outlineLevel="0" collapsed="false"/>
    <row r="1935" customFormat="false" ht="18" hidden="false" customHeight="true" outlineLevel="0" collapsed="false"/>
    <row r="1936" customFormat="false" ht="18" hidden="false" customHeight="true" outlineLevel="0" collapsed="false"/>
    <row r="1937" customFormat="false" ht="18" hidden="false" customHeight="true" outlineLevel="0" collapsed="false"/>
    <row r="1938" customFormat="false" ht="18" hidden="false" customHeight="true" outlineLevel="0" collapsed="false"/>
    <row r="1939" customFormat="false" ht="18" hidden="false" customHeight="true" outlineLevel="0" collapsed="false"/>
    <row r="1940" customFormat="false" ht="18" hidden="false" customHeight="true" outlineLevel="0" collapsed="false"/>
    <row r="1941" customFormat="false" ht="18" hidden="false" customHeight="true" outlineLevel="0" collapsed="false"/>
    <row r="1942" customFormat="false" ht="18" hidden="false" customHeight="true" outlineLevel="0" collapsed="false"/>
    <row r="1943" customFormat="false" ht="18" hidden="false" customHeight="true" outlineLevel="0" collapsed="false"/>
    <row r="1944" customFormat="false" ht="18" hidden="false" customHeight="true" outlineLevel="0" collapsed="false"/>
    <row r="1945" customFormat="false" ht="18" hidden="false" customHeight="true" outlineLevel="0" collapsed="false"/>
    <row r="1946" customFormat="false" ht="18" hidden="false" customHeight="true" outlineLevel="0" collapsed="false"/>
    <row r="1947" customFormat="false" ht="18" hidden="false" customHeight="true" outlineLevel="0" collapsed="false"/>
    <row r="1948" customFormat="false" ht="18" hidden="false" customHeight="true" outlineLevel="0" collapsed="false"/>
    <row r="1949" customFormat="false" ht="18" hidden="false" customHeight="true" outlineLevel="0" collapsed="false"/>
    <row r="1950" customFormat="false" ht="18" hidden="false" customHeight="true" outlineLevel="0" collapsed="false"/>
    <row r="1951" customFormat="false" ht="18" hidden="false" customHeight="true" outlineLevel="0" collapsed="false"/>
    <row r="1952" customFormat="false" ht="18" hidden="false" customHeight="true" outlineLevel="0" collapsed="false"/>
    <row r="1953" customFormat="false" ht="18" hidden="false" customHeight="true" outlineLevel="0" collapsed="false"/>
    <row r="1954" customFormat="false" ht="18" hidden="false" customHeight="true" outlineLevel="0" collapsed="false"/>
    <row r="1955" customFormat="false" ht="18" hidden="false" customHeight="true" outlineLevel="0" collapsed="false"/>
    <row r="1956" customFormat="false" ht="18" hidden="false" customHeight="true" outlineLevel="0" collapsed="false"/>
    <row r="1957" customFormat="false" ht="18" hidden="false" customHeight="true" outlineLevel="0" collapsed="false"/>
    <row r="1958" customFormat="false" ht="18" hidden="false" customHeight="true" outlineLevel="0" collapsed="false"/>
    <row r="1959" customFormat="false" ht="18" hidden="false" customHeight="true" outlineLevel="0" collapsed="false"/>
    <row r="1960" customFormat="false" ht="18" hidden="false" customHeight="true" outlineLevel="0" collapsed="false"/>
    <row r="1961" customFormat="false" ht="18" hidden="false" customHeight="true" outlineLevel="0" collapsed="false"/>
    <row r="1962" customFormat="false" ht="18" hidden="false" customHeight="true" outlineLevel="0" collapsed="false"/>
    <row r="1963" customFormat="false" ht="18" hidden="false" customHeight="true" outlineLevel="0" collapsed="false"/>
    <row r="1964" customFormat="false" ht="18" hidden="false" customHeight="true" outlineLevel="0" collapsed="false"/>
    <row r="1965" customFormat="false" ht="18" hidden="false" customHeight="true" outlineLevel="0" collapsed="false"/>
    <row r="1966" customFormat="false" ht="18" hidden="false" customHeight="true" outlineLevel="0" collapsed="false"/>
    <row r="1967" customFormat="false" ht="18" hidden="false" customHeight="true" outlineLevel="0" collapsed="false"/>
    <row r="1968" customFormat="false" ht="18" hidden="false" customHeight="true" outlineLevel="0" collapsed="false"/>
    <row r="1969" customFormat="false" ht="18" hidden="false" customHeight="true" outlineLevel="0" collapsed="false"/>
    <row r="1970" customFormat="false" ht="18" hidden="false" customHeight="true" outlineLevel="0" collapsed="false"/>
    <row r="1971" customFormat="false" ht="18" hidden="false" customHeight="true" outlineLevel="0" collapsed="false"/>
    <row r="1972" customFormat="false" ht="18" hidden="false" customHeight="true" outlineLevel="0" collapsed="false"/>
    <row r="1973" customFormat="false" ht="18" hidden="false" customHeight="true" outlineLevel="0" collapsed="false"/>
    <row r="1974" customFormat="false" ht="18" hidden="false" customHeight="true" outlineLevel="0" collapsed="false"/>
    <row r="1975" customFormat="false" ht="18" hidden="false" customHeight="true" outlineLevel="0" collapsed="false"/>
    <row r="1976" customFormat="false" ht="18" hidden="false" customHeight="true" outlineLevel="0" collapsed="false"/>
    <row r="1977" customFormat="false" ht="18" hidden="false" customHeight="true" outlineLevel="0" collapsed="false"/>
    <row r="1978" customFormat="false" ht="18" hidden="false" customHeight="true" outlineLevel="0" collapsed="false"/>
    <row r="1979" customFormat="false" ht="18" hidden="false" customHeight="true" outlineLevel="0" collapsed="false"/>
    <row r="1980" customFormat="false" ht="18" hidden="false" customHeight="true" outlineLevel="0" collapsed="false"/>
    <row r="1981" customFormat="false" ht="18" hidden="false" customHeight="true" outlineLevel="0" collapsed="false"/>
    <row r="1982" customFormat="false" ht="18" hidden="false" customHeight="true" outlineLevel="0" collapsed="false"/>
    <row r="1983" customFormat="false" ht="18" hidden="false" customHeight="true" outlineLevel="0" collapsed="false"/>
    <row r="1984" customFormat="false" ht="18" hidden="false" customHeight="true" outlineLevel="0" collapsed="false"/>
    <row r="1985" customFormat="false" ht="18" hidden="false" customHeight="true" outlineLevel="0" collapsed="false"/>
    <row r="1986" customFormat="false" ht="18" hidden="false" customHeight="true" outlineLevel="0" collapsed="false"/>
    <row r="1987" customFormat="false" ht="18" hidden="false" customHeight="true" outlineLevel="0" collapsed="false"/>
    <row r="1988" customFormat="false" ht="18" hidden="false" customHeight="true" outlineLevel="0" collapsed="false"/>
    <row r="1989" customFormat="false" ht="18" hidden="false" customHeight="true" outlineLevel="0" collapsed="false"/>
    <row r="1990" customFormat="false" ht="18" hidden="false" customHeight="true" outlineLevel="0" collapsed="false"/>
    <row r="1991" customFormat="false" ht="18" hidden="false" customHeight="true" outlineLevel="0" collapsed="false"/>
    <row r="1992" customFormat="false" ht="18" hidden="false" customHeight="true" outlineLevel="0" collapsed="false"/>
    <row r="1993" customFormat="false" ht="18" hidden="false" customHeight="true" outlineLevel="0" collapsed="false"/>
    <row r="1994" customFormat="false" ht="18" hidden="false" customHeight="true" outlineLevel="0" collapsed="false"/>
    <row r="1995" customFormat="false" ht="18" hidden="false" customHeight="true" outlineLevel="0" collapsed="false"/>
    <row r="1996" customFormat="false" ht="18" hidden="false" customHeight="true" outlineLevel="0" collapsed="false"/>
    <row r="1997" customFormat="false" ht="18" hidden="false" customHeight="true" outlineLevel="0" collapsed="false"/>
    <row r="1998" customFormat="false" ht="18" hidden="false" customHeight="true" outlineLevel="0" collapsed="false"/>
    <row r="1999" customFormat="false" ht="18" hidden="false" customHeight="true" outlineLevel="0" collapsed="false"/>
    <row r="2000" customFormat="false" ht="18" hidden="false" customHeight="true" outlineLevel="0" collapsed="false"/>
    <row r="2001" customFormat="false" ht="18" hidden="false" customHeight="true" outlineLevel="0" collapsed="false"/>
    <row r="2002" customFormat="false" ht="18" hidden="false" customHeight="true" outlineLevel="0" collapsed="false"/>
    <row r="2003" customFormat="false" ht="18" hidden="false" customHeight="true" outlineLevel="0" collapsed="false"/>
    <row r="2004" customFormat="false" ht="18" hidden="false" customHeight="true" outlineLevel="0" collapsed="false"/>
    <row r="2005" customFormat="false" ht="18" hidden="false" customHeight="true" outlineLevel="0" collapsed="false"/>
    <row r="2006" customFormat="false" ht="18" hidden="false" customHeight="true" outlineLevel="0" collapsed="false"/>
    <row r="2007" customFormat="false" ht="18" hidden="false" customHeight="true" outlineLevel="0" collapsed="false"/>
    <row r="2008" customFormat="false" ht="18" hidden="false" customHeight="true" outlineLevel="0" collapsed="false"/>
    <row r="2009" customFormat="false" ht="18" hidden="false" customHeight="true" outlineLevel="0" collapsed="false"/>
    <row r="2010" customFormat="false" ht="18" hidden="false" customHeight="true" outlineLevel="0" collapsed="false"/>
    <row r="2011" customFormat="false" ht="18" hidden="false" customHeight="true" outlineLevel="0" collapsed="false"/>
    <row r="2012" customFormat="false" ht="18" hidden="false" customHeight="true" outlineLevel="0" collapsed="false"/>
    <row r="2013" customFormat="false" ht="18" hidden="false" customHeight="true" outlineLevel="0" collapsed="false"/>
    <row r="2014" customFormat="false" ht="18" hidden="false" customHeight="true" outlineLevel="0" collapsed="false"/>
    <row r="2015" customFormat="false" ht="18" hidden="false" customHeight="true" outlineLevel="0" collapsed="false"/>
    <row r="2016" customFormat="false" ht="18" hidden="false" customHeight="true" outlineLevel="0" collapsed="false"/>
    <row r="2017" customFormat="false" ht="18" hidden="false" customHeight="true" outlineLevel="0" collapsed="false"/>
    <row r="2018" customFormat="false" ht="18" hidden="false" customHeight="true" outlineLevel="0" collapsed="false"/>
    <row r="2019" customFormat="false" ht="18" hidden="false" customHeight="true" outlineLevel="0" collapsed="false"/>
    <row r="2020" customFormat="false" ht="18" hidden="false" customHeight="true" outlineLevel="0" collapsed="false"/>
    <row r="2021" customFormat="false" ht="18" hidden="false" customHeight="true" outlineLevel="0" collapsed="false"/>
    <row r="2022" customFormat="false" ht="18" hidden="false" customHeight="true" outlineLevel="0" collapsed="false"/>
    <row r="2023" customFormat="false" ht="18" hidden="false" customHeight="true" outlineLevel="0" collapsed="false"/>
    <row r="2024" customFormat="false" ht="18" hidden="false" customHeight="true" outlineLevel="0" collapsed="false"/>
    <row r="2025" customFormat="false" ht="18" hidden="false" customHeight="true" outlineLevel="0" collapsed="false"/>
    <row r="2026" customFormat="false" ht="18" hidden="false" customHeight="true" outlineLevel="0" collapsed="false"/>
    <row r="2027" customFormat="false" ht="18" hidden="false" customHeight="true" outlineLevel="0" collapsed="false"/>
    <row r="2028" customFormat="false" ht="18" hidden="false" customHeight="true" outlineLevel="0" collapsed="false"/>
    <row r="2029" customFormat="false" ht="18" hidden="false" customHeight="true" outlineLevel="0" collapsed="false"/>
    <row r="2030" customFormat="false" ht="18" hidden="false" customHeight="true" outlineLevel="0" collapsed="false"/>
    <row r="2031" customFormat="false" ht="18" hidden="false" customHeight="true" outlineLevel="0" collapsed="false"/>
    <row r="2032" customFormat="false" ht="18" hidden="false" customHeight="true" outlineLevel="0" collapsed="false"/>
    <row r="2033" customFormat="false" ht="18" hidden="false" customHeight="true" outlineLevel="0" collapsed="false"/>
    <row r="2034" customFormat="false" ht="18" hidden="false" customHeight="true" outlineLevel="0" collapsed="false"/>
    <row r="2035" customFormat="false" ht="18" hidden="false" customHeight="true" outlineLevel="0" collapsed="false"/>
    <row r="2036" customFormat="false" ht="18" hidden="false" customHeight="true" outlineLevel="0" collapsed="false"/>
    <row r="2037" customFormat="false" ht="18" hidden="false" customHeight="true" outlineLevel="0" collapsed="false"/>
    <row r="2038" customFormat="false" ht="18" hidden="false" customHeight="true" outlineLevel="0" collapsed="false"/>
    <row r="2039" customFormat="false" ht="18" hidden="false" customHeight="true" outlineLevel="0" collapsed="false"/>
    <row r="2040" customFormat="false" ht="18" hidden="false" customHeight="true" outlineLevel="0" collapsed="false"/>
    <row r="2041" customFormat="false" ht="18" hidden="false" customHeight="true" outlineLevel="0" collapsed="false"/>
    <row r="2042" customFormat="false" ht="18" hidden="false" customHeight="true" outlineLevel="0" collapsed="false"/>
    <row r="2043" customFormat="false" ht="18" hidden="false" customHeight="true" outlineLevel="0" collapsed="false"/>
    <row r="2044" customFormat="false" ht="18" hidden="false" customHeight="true" outlineLevel="0" collapsed="false"/>
    <row r="2045" customFormat="false" ht="18" hidden="false" customHeight="true" outlineLevel="0" collapsed="false"/>
    <row r="2046" customFormat="false" ht="18" hidden="false" customHeight="true" outlineLevel="0" collapsed="false"/>
    <row r="2047" customFormat="false" ht="18" hidden="false" customHeight="true" outlineLevel="0" collapsed="false"/>
    <row r="2048" customFormat="false" ht="18" hidden="false" customHeight="true" outlineLevel="0" collapsed="false"/>
    <row r="2049" customFormat="false" ht="18" hidden="false" customHeight="true" outlineLevel="0" collapsed="false"/>
    <row r="2050" customFormat="false" ht="18" hidden="false" customHeight="true" outlineLevel="0" collapsed="false"/>
    <row r="2051" customFormat="false" ht="18" hidden="false" customHeight="true" outlineLevel="0" collapsed="false"/>
    <row r="2052" customFormat="false" ht="18" hidden="false" customHeight="true" outlineLevel="0" collapsed="false"/>
    <row r="2053" customFormat="false" ht="18" hidden="false" customHeight="true" outlineLevel="0" collapsed="false"/>
    <row r="2054" customFormat="false" ht="18" hidden="false" customHeight="true" outlineLevel="0" collapsed="false"/>
    <row r="2055" customFormat="false" ht="18" hidden="false" customHeight="true" outlineLevel="0" collapsed="false"/>
    <row r="2056" customFormat="false" ht="18" hidden="false" customHeight="true" outlineLevel="0" collapsed="false"/>
    <row r="2057" customFormat="false" ht="18" hidden="false" customHeight="true" outlineLevel="0" collapsed="false"/>
    <row r="2058" customFormat="false" ht="18" hidden="false" customHeight="true" outlineLevel="0" collapsed="false"/>
    <row r="2059" customFormat="false" ht="18" hidden="false" customHeight="true" outlineLevel="0" collapsed="false"/>
    <row r="2060" customFormat="false" ht="18" hidden="false" customHeight="true" outlineLevel="0" collapsed="false"/>
    <row r="2061" customFormat="false" ht="18" hidden="false" customHeight="true" outlineLevel="0" collapsed="false"/>
    <row r="2062" customFormat="false" ht="18" hidden="false" customHeight="true" outlineLevel="0" collapsed="false"/>
    <row r="2063" customFormat="false" ht="18" hidden="false" customHeight="true" outlineLevel="0" collapsed="false"/>
    <row r="2064" customFormat="false" ht="18" hidden="false" customHeight="true" outlineLevel="0" collapsed="false"/>
    <row r="2065" customFormat="false" ht="18" hidden="false" customHeight="true" outlineLevel="0" collapsed="false"/>
    <row r="2066" customFormat="false" ht="18" hidden="false" customHeight="true" outlineLevel="0" collapsed="false"/>
    <row r="2067" customFormat="false" ht="18" hidden="false" customHeight="true" outlineLevel="0" collapsed="false"/>
    <row r="2068" customFormat="false" ht="18" hidden="false" customHeight="true" outlineLevel="0" collapsed="false"/>
    <row r="2069" customFormat="false" ht="18" hidden="false" customHeight="true" outlineLevel="0" collapsed="false"/>
    <row r="2070" customFormat="false" ht="18" hidden="false" customHeight="true" outlineLevel="0" collapsed="false"/>
    <row r="2071" customFormat="false" ht="18" hidden="false" customHeight="true" outlineLevel="0" collapsed="false"/>
    <row r="2072" customFormat="false" ht="18" hidden="false" customHeight="true" outlineLevel="0" collapsed="false"/>
    <row r="2073" customFormat="false" ht="18" hidden="false" customHeight="true" outlineLevel="0" collapsed="false"/>
    <row r="2074" customFormat="false" ht="18" hidden="false" customHeight="true" outlineLevel="0" collapsed="false"/>
    <row r="2075" customFormat="false" ht="18" hidden="false" customHeight="true" outlineLevel="0" collapsed="false"/>
    <row r="2076" customFormat="false" ht="18" hidden="false" customHeight="true" outlineLevel="0" collapsed="false"/>
    <row r="2077" customFormat="false" ht="18" hidden="false" customHeight="true" outlineLevel="0" collapsed="false"/>
    <row r="2078" customFormat="false" ht="18" hidden="false" customHeight="true" outlineLevel="0" collapsed="false"/>
    <row r="2079" customFormat="false" ht="18" hidden="false" customHeight="true" outlineLevel="0" collapsed="false"/>
    <row r="2080" customFormat="false" ht="18" hidden="false" customHeight="true" outlineLevel="0" collapsed="false"/>
    <row r="2081" customFormat="false" ht="18" hidden="false" customHeight="true" outlineLevel="0" collapsed="false"/>
    <row r="2082" customFormat="false" ht="18" hidden="false" customHeight="true" outlineLevel="0" collapsed="false"/>
    <row r="2083" customFormat="false" ht="18" hidden="false" customHeight="true" outlineLevel="0" collapsed="false"/>
    <row r="2084" customFormat="false" ht="18" hidden="false" customHeight="true" outlineLevel="0" collapsed="false"/>
    <row r="2085" customFormat="false" ht="18" hidden="false" customHeight="true" outlineLevel="0" collapsed="false"/>
    <row r="2086" customFormat="false" ht="18" hidden="false" customHeight="true" outlineLevel="0" collapsed="false"/>
    <row r="2087" customFormat="false" ht="18" hidden="false" customHeight="true" outlineLevel="0" collapsed="false"/>
    <row r="2088" customFormat="false" ht="18" hidden="false" customHeight="true" outlineLevel="0" collapsed="false"/>
    <row r="2089" customFormat="false" ht="18" hidden="false" customHeight="true" outlineLevel="0" collapsed="false"/>
    <row r="2090" customFormat="false" ht="18" hidden="false" customHeight="true" outlineLevel="0" collapsed="false"/>
    <row r="2091" customFormat="false" ht="18" hidden="false" customHeight="true" outlineLevel="0" collapsed="false"/>
    <row r="2092" customFormat="false" ht="18" hidden="false" customHeight="true" outlineLevel="0" collapsed="false"/>
    <row r="2093" customFormat="false" ht="18" hidden="false" customHeight="true" outlineLevel="0" collapsed="false"/>
    <row r="2094" customFormat="false" ht="18" hidden="false" customHeight="true" outlineLevel="0" collapsed="false"/>
    <row r="2095" customFormat="false" ht="18" hidden="false" customHeight="true" outlineLevel="0" collapsed="false"/>
    <row r="2096" customFormat="false" ht="18" hidden="false" customHeight="true" outlineLevel="0" collapsed="false"/>
    <row r="2097" customFormat="false" ht="18" hidden="false" customHeight="true" outlineLevel="0" collapsed="false"/>
    <row r="2098" customFormat="false" ht="18" hidden="false" customHeight="true" outlineLevel="0" collapsed="false"/>
    <row r="2099" customFormat="false" ht="18" hidden="false" customHeight="true" outlineLevel="0" collapsed="false"/>
    <row r="2100" customFormat="false" ht="18" hidden="false" customHeight="true" outlineLevel="0" collapsed="false"/>
    <row r="2101" customFormat="false" ht="18" hidden="false" customHeight="true" outlineLevel="0" collapsed="false"/>
    <row r="2102" customFormat="false" ht="18" hidden="false" customHeight="true" outlineLevel="0" collapsed="false"/>
    <row r="2103" customFormat="false" ht="18" hidden="false" customHeight="true" outlineLevel="0" collapsed="false"/>
    <row r="2104" customFormat="false" ht="18" hidden="false" customHeight="true" outlineLevel="0" collapsed="false"/>
    <row r="2105" customFormat="false" ht="18" hidden="false" customHeight="true" outlineLevel="0" collapsed="false"/>
    <row r="2106" customFormat="false" ht="18" hidden="false" customHeight="true" outlineLevel="0" collapsed="false"/>
    <row r="2107" customFormat="false" ht="18" hidden="false" customHeight="true" outlineLevel="0" collapsed="false"/>
    <row r="2108" customFormat="false" ht="18" hidden="false" customHeight="true" outlineLevel="0" collapsed="false"/>
    <row r="2109" customFormat="false" ht="18" hidden="false" customHeight="true" outlineLevel="0" collapsed="false"/>
    <row r="2110" customFormat="false" ht="18" hidden="false" customHeight="true" outlineLevel="0" collapsed="false"/>
    <row r="2111" customFormat="false" ht="18" hidden="false" customHeight="true" outlineLevel="0" collapsed="false"/>
    <row r="2112" customFormat="false" ht="18" hidden="false" customHeight="true" outlineLevel="0" collapsed="false"/>
    <row r="2113" customFormat="false" ht="18" hidden="false" customHeight="true" outlineLevel="0" collapsed="false"/>
    <row r="2114" customFormat="false" ht="18" hidden="false" customHeight="true" outlineLevel="0" collapsed="false"/>
    <row r="2115" customFormat="false" ht="18" hidden="false" customHeight="true" outlineLevel="0" collapsed="false"/>
    <row r="2116" customFormat="false" ht="18" hidden="false" customHeight="true" outlineLevel="0" collapsed="false"/>
    <row r="2117" customFormat="false" ht="18" hidden="false" customHeight="true" outlineLevel="0" collapsed="false"/>
    <row r="2118" customFormat="false" ht="18" hidden="false" customHeight="true" outlineLevel="0" collapsed="false"/>
    <row r="2119" customFormat="false" ht="18" hidden="false" customHeight="true" outlineLevel="0" collapsed="false"/>
    <row r="2120" customFormat="false" ht="18" hidden="false" customHeight="true" outlineLevel="0" collapsed="false"/>
    <row r="2121" customFormat="false" ht="18" hidden="false" customHeight="true" outlineLevel="0" collapsed="false"/>
    <row r="2122" customFormat="false" ht="18" hidden="false" customHeight="true" outlineLevel="0" collapsed="false"/>
    <row r="2123" customFormat="false" ht="18" hidden="false" customHeight="true" outlineLevel="0" collapsed="false"/>
    <row r="2124" customFormat="false" ht="18" hidden="false" customHeight="true" outlineLevel="0" collapsed="false"/>
    <row r="2125" customFormat="false" ht="18" hidden="false" customHeight="true" outlineLevel="0" collapsed="false"/>
    <row r="2126" customFormat="false" ht="18" hidden="false" customHeight="true" outlineLevel="0" collapsed="false"/>
    <row r="2127" customFormat="false" ht="18" hidden="false" customHeight="true" outlineLevel="0" collapsed="false"/>
    <row r="2128" customFormat="false" ht="18" hidden="false" customHeight="true" outlineLevel="0" collapsed="false"/>
    <row r="2129" customFormat="false" ht="18" hidden="false" customHeight="true" outlineLevel="0" collapsed="false"/>
    <row r="2130" customFormat="false" ht="18" hidden="false" customHeight="true" outlineLevel="0" collapsed="false"/>
    <row r="2131" customFormat="false" ht="18" hidden="false" customHeight="true" outlineLevel="0" collapsed="false"/>
    <row r="2132" customFormat="false" ht="18" hidden="false" customHeight="true" outlineLevel="0" collapsed="false"/>
    <row r="2133" customFormat="false" ht="18" hidden="false" customHeight="true" outlineLevel="0" collapsed="false"/>
    <row r="2134" customFormat="false" ht="18" hidden="false" customHeight="true" outlineLevel="0" collapsed="false"/>
    <row r="2135" customFormat="false" ht="18" hidden="false" customHeight="true" outlineLevel="0" collapsed="false"/>
    <row r="2136" customFormat="false" ht="18" hidden="false" customHeight="true" outlineLevel="0" collapsed="false"/>
    <row r="2137" customFormat="false" ht="18" hidden="false" customHeight="true" outlineLevel="0" collapsed="false"/>
    <row r="2138" customFormat="false" ht="18" hidden="false" customHeight="true" outlineLevel="0" collapsed="false"/>
    <row r="2139" customFormat="false" ht="18" hidden="false" customHeight="true" outlineLevel="0" collapsed="false"/>
    <row r="2140" customFormat="false" ht="18" hidden="false" customHeight="true" outlineLevel="0" collapsed="false"/>
    <row r="2141" customFormat="false" ht="18" hidden="false" customHeight="true" outlineLevel="0" collapsed="false"/>
    <row r="2142" customFormat="false" ht="18" hidden="false" customHeight="true" outlineLevel="0" collapsed="false"/>
    <row r="2143" customFormat="false" ht="18" hidden="false" customHeight="true" outlineLevel="0" collapsed="false"/>
    <row r="2144" customFormat="false" ht="18" hidden="false" customHeight="true" outlineLevel="0" collapsed="false"/>
    <row r="2145" customFormat="false" ht="18" hidden="false" customHeight="true" outlineLevel="0" collapsed="false"/>
    <row r="2146" customFormat="false" ht="18" hidden="false" customHeight="true" outlineLevel="0" collapsed="false"/>
    <row r="2147" customFormat="false" ht="18" hidden="false" customHeight="true" outlineLevel="0" collapsed="false"/>
    <row r="2148" customFormat="false" ht="18" hidden="false" customHeight="true" outlineLevel="0" collapsed="false"/>
    <row r="2149" customFormat="false" ht="18" hidden="false" customHeight="true" outlineLevel="0" collapsed="false"/>
    <row r="2150" customFormat="false" ht="18" hidden="false" customHeight="true" outlineLevel="0" collapsed="false"/>
    <row r="2151" customFormat="false" ht="18" hidden="false" customHeight="true" outlineLevel="0" collapsed="false"/>
    <row r="2152" customFormat="false" ht="18" hidden="false" customHeight="true" outlineLevel="0" collapsed="false"/>
    <row r="2153" customFormat="false" ht="18" hidden="false" customHeight="true" outlineLevel="0" collapsed="false"/>
    <row r="2154" customFormat="false" ht="18" hidden="false" customHeight="true" outlineLevel="0" collapsed="false"/>
    <row r="2155" customFormat="false" ht="18" hidden="false" customHeight="true" outlineLevel="0" collapsed="false"/>
    <row r="2156" customFormat="false" ht="18" hidden="false" customHeight="true" outlineLevel="0" collapsed="false"/>
    <row r="2157" customFormat="false" ht="18" hidden="false" customHeight="true" outlineLevel="0" collapsed="false"/>
    <row r="2158" customFormat="false" ht="18" hidden="false" customHeight="true" outlineLevel="0" collapsed="false"/>
    <row r="2159" customFormat="false" ht="18" hidden="false" customHeight="true" outlineLevel="0" collapsed="false"/>
    <row r="2160" customFormat="false" ht="18" hidden="false" customHeight="true" outlineLevel="0" collapsed="false"/>
    <row r="2161" customFormat="false" ht="18" hidden="false" customHeight="true" outlineLevel="0" collapsed="false"/>
    <row r="2162" customFormat="false" ht="18" hidden="false" customHeight="true" outlineLevel="0" collapsed="false"/>
    <row r="2163" customFormat="false" ht="18" hidden="false" customHeight="true" outlineLevel="0" collapsed="false"/>
    <row r="2164" customFormat="false" ht="18" hidden="false" customHeight="true" outlineLevel="0" collapsed="false"/>
    <row r="2165" customFormat="false" ht="18" hidden="false" customHeight="true" outlineLevel="0" collapsed="false"/>
    <row r="2166" customFormat="false" ht="18" hidden="false" customHeight="true" outlineLevel="0" collapsed="false"/>
    <row r="2167" customFormat="false" ht="18" hidden="false" customHeight="true" outlineLevel="0" collapsed="false"/>
    <row r="2168" customFormat="false" ht="18" hidden="false" customHeight="true" outlineLevel="0" collapsed="false"/>
    <row r="2169" customFormat="false" ht="18" hidden="false" customHeight="true" outlineLevel="0" collapsed="false"/>
    <row r="2170" customFormat="false" ht="18" hidden="false" customHeight="true" outlineLevel="0" collapsed="false"/>
    <row r="2171" customFormat="false" ht="18" hidden="false" customHeight="true" outlineLevel="0" collapsed="false"/>
    <row r="2172" customFormat="false" ht="18" hidden="false" customHeight="true" outlineLevel="0" collapsed="false"/>
    <row r="2173" customFormat="false" ht="18" hidden="false" customHeight="true" outlineLevel="0" collapsed="false"/>
    <row r="2174" customFormat="false" ht="18" hidden="false" customHeight="true" outlineLevel="0" collapsed="false"/>
    <row r="2175" customFormat="false" ht="18" hidden="false" customHeight="true" outlineLevel="0" collapsed="false"/>
    <row r="2176" customFormat="false" ht="18" hidden="false" customHeight="true" outlineLevel="0" collapsed="false"/>
    <row r="2177" customFormat="false" ht="18" hidden="false" customHeight="true" outlineLevel="0" collapsed="false"/>
    <row r="2178" customFormat="false" ht="18" hidden="false" customHeight="true" outlineLevel="0" collapsed="false"/>
    <row r="2179" customFormat="false" ht="18" hidden="false" customHeight="true" outlineLevel="0" collapsed="false"/>
    <row r="2180" customFormat="false" ht="18" hidden="false" customHeight="true" outlineLevel="0" collapsed="false"/>
    <row r="2181" customFormat="false" ht="18" hidden="false" customHeight="true" outlineLevel="0" collapsed="false"/>
    <row r="2182" customFormat="false" ht="18" hidden="false" customHeight="true" outlineLevel="0" collapsed="false"/>
    <row r="2183" customFormat="false" ht="18" hidden="false" customHeight="true" outlineLevel="0" collapsed="false"/>
    <row r="2184" customFormat="false" ht="18" hidden="false" customHeight="true" outlineLevel="0" collapsed="false"/>
    <row r="2185" customFormat="false" ht="18" hidden="false" customHeight="true" outlineLevel="0" collapsed="false"/>
    <row r="2186" customFormat="false" ht="18" hidden="false" customHeight="true" outlineLevel="0" collapsed="false"/>
    <row r="2187" customFormat="false" ht="18" hidden="false" customHeight="true" outlineLevel="0" collapsed="false"/>
    <row r="2188" customFormat="false" ht="18" hidden="false" customHeight="true" outlineLevel="0" collapsed="false"/>
    <row r="2189" customFormat="false" ht="18" hidden="false" customHeight="true" outlineLevel="0" collapsed="false"/>
    <row r="2190" customFormat="false" ht="18" hidden="false" customHeight="true" outlineLevel="0" collapsed="false"/>
    <row r="2191" customFormat="false" ht="18" hidden="false" customHeight="true" outlineLevel="0" collapsed="false"/>
    <row r="2192" customFormat="false" ht="18" hidden="false" customHeight="true" outlineLevel="0" collapsed="false"/>
    <row r="2193" customFormat="false" ht="18" hidden="false" customHeight="true" outlineLevel="0" collapsed="false"/>
    <row r="2194" customFormat="false" ht="18" hidden="false" customHeight="true" outlineLevel="0" collapsed="false"/>
    <row r="2195" customFormat="false" ht="18" hidden="false" customHeight="true" outlineLevel="0" collapsed="false"/>
    <row r="2196" customFormat="false" ht="18" hidden="false" customHeight="true" outlineLevel="0" collapsed="false"/>
    <row r="2197" customFormat="false" ht="18" hidden="false" customHeight="true" outlineLevel="0" collapsed="false"/>
    <row r="2198" customFormat="false" ht="18" hidden="false" customHeight="true" outlineLevel="0" collapsed="false"/>
    <row r="2199" customFormat="false" ht="18" hidden="false" customHeight="true" outlineLevel="0" collapsed="false"/>
    <row r="2200" customFormat="false" ht="18" hidden="false" customHeight="true" outlineLevel="0" collapsed="false"/>
    <row r="2201" customFormat="false" ht="18" hidden="false" customHeight="true" outlineLevel="0" collapsed="false"/>
    <row r="2202" customFormat="false" ht="18" hidden="false" customHeight="true" outlineLevel="0" collapsed="false"/>
    <row r="2203" customFormat="false" ht="18" hidden="false" customHeight="true" outlineLevel="0" collapsed="false"/>
    <row r="2204" customFormat="false" ht="18" hidden="false" customHeight="true" outlineLevel="0" collapsed="false"/>
    <row r="2205" customFormat="false" ht="18" hidden="false" customHeight="true" outlineLevel="0" collapsed="false"/>
    <row r="2206" customFormat="false" ht="18" hidden="false" customHeight="true" outlineLevel="0" collapsed="false"/>
    <row r="2207" customFormat="false" ht="18" hidden="false" customHeight="true" outlineLevel="0" collapsed="false"/>
    <row r="2208" customFormat="false" ht="18" hidden="false" customHeight="true" outlineLevel="0" collapsed="false"/>
    <row r="2209" customFormat="false" ht="18" hidden="false" customHeight="true" outlineLevel="0" collapsed="false"/>
    <row r="2210" customFormat="false" ht="18" hidden="false" customHeight="true" outlineLevel="0" collapsed="false"/>
    <row r="2211" customFormat="false" ht="18" hidden="false" customHeight="true" outlineLevel="0" collapsed="false"/>
    <row r="2212" customFormat="false" ht="18" hidden="false" customHeight="true" outlineLevel="0" collapsed="false"/>
    <row r="2213" customFormat="false" ht="18" hidden="false" customHeight="true" outlineLevel="0" collapsed="false"/>
    <row r="2214" customFormat="false" ht="18" hidden="false" customHeight="true" outlineLevel="0" collapsed="false"/>
    <row r="2215" customFormat="false" ht="18" hidden="false" customHeight="true" outlineLevel="0" collapsed="false"/>
    <row r="2216" customFormat="false" ht="18" hidden="false" customHeight="true" outlineLevel="0" collapsed="false"/>
    <row r="2217" customFormat="false" ht="18" hidden="false" customHeight="true" outlineLevel="0" collapsed="false"/>
    <row r="2218" customFormat="false" ht="18" hidden="false" customHeight="true" outlineLevel="0" collapsed="false"/>
    <row r="2219" customFormat="false" ht="18" hidden="false" customHeight="true" outlineLevel="0" collapsed="false"/>
    <row r="2220" customFormat="false" ht="18" hidden="false" customHeight="true" outlineLevel="0" collapsed="false"/>
    <row r="2221" customFormat="false" ht="18" hidden="false" customHeight="true" outlineLevel="0" collapsed="false"/>
    <row r="2222" customFormat="false" ht="18" hidden="false" customHeight="true" outlineLevel="0" collapsed="false"/>
    <row r="2223" customFormat="false" ht="18" hidden="false" customHeight="true" outlineLevel="0" collapsed="false"/>
    <row r="2224" customFormat="false" ht="18" hidden="false" customHeight="true" outlineLevel="0" collapsed="false"/>
    <row r="2225" customFormat="false" ht="18" hidden="false" customHeight="true" outlineLevel="0" collapsed="false"/>
    <row r="2226" customFormat="false" ht="18" hidden="false" customHeight="true" outlineLevel="0" collapsed="false"/>
    <row r="2227" customFormat="false" ht="18" hidden="false" customHeight="true" outlineLevel="0" collapsed="false"/>
    <row r="2228" customFormat="false" ht="18" hidden="false" customHeight="true" outlineLevel="0" collapsed="false"/>
    <row r="2229" customFormat="false" ht="18" hidden="false" customHeight="true" outlineLevel="0" collapsed="false"/>
    <row r="2230" customFormat="false" ht="18" hidden="false" customHeight="true" outlineLevel="0" collapsed="false"/>
    <row r="2231" customFormat="false" ht="18" hidden="false" customHeight="true" outlineLevel="0" collapsed="false"/>
    <row r="2232" customFormat="false" ht="18" hidden="false" customHeight="true" outlineLevel="0" collapsed="false"/>
    <row r="2233" customFormat="false" ht="18" hidden="false" customHeight="true" outlineLevel="0" collapsed="false"/>
    <row r="2234" customFormat="false" ht="18" hidden="false" customHeight="true" outlineLevel="0" collapsed="false"/>
    <row r="2235" customFormat="false" ht="18" hidden="false" customHeight="true" outlineLevel="0" collapsed="false"/>
    <row r="2236" customFormat="false" ht="18" hidden="false" customHeight="true" outlineLevel="0" collapsed="false"/>
    <row r="2237" customFormat="false" ht="18" hidden="false" customHeight="true" outlineLevel="0" collapsed="false"/>
    <row r="2238" customFormat="false" ht="18" hidden="false" customHeight="true" outlineLevel="0" collapsed="false"/>
    <row r="2239" customFormat="false" ht="18" hidden="false" customHeight="true" outlineLevel="0" collapsed="false"/>
    <row r="2240" customFormat="false" ht="18" hidden="false" customHeight="true" outlineLevel="0" collapsed="false"/>
    <row r="2241" customFormat="false" ht="18" hidden="false" customHeight="true" outlineLevel="0" collapsed="false"/>
    <row r="2242" customFormat="false" ht="18" hidden="false" customHeight="true" outlineLevel="0" collapsed="false"/>
    <row r="2243" customFormat="false" ht="18" hidden="false" customHeight="true" outlineLevel="0" collapsed="false"/>
    <row r="2244" customFormat="false" ht="18" hidden="false" customHeight="true" outlineLevel="0" collapsed="false"/>
    <row r="2245" customFormat="false" ht="18" hidden="false" customHeight="true" outlineLevel="0" collapsed="false"/>
    <row r="2246" customFormat="false" ht="18" hidden="false" customHeight="true" outlineLevel="0" collapsed="false"/>
    <row r="2247" customFormat="false" ht="18" hidden="false" customHeight="true" outlineLevel="0" collapsed="false"/>
    <row r="2248" customFormat="false" ht="18" hidden="false" customHeight="true" outlineLevel="0" collapsed="false"/>
    <row r="2249" customFormat="false" ht="18" hidden="false" customHeight="true" outlineLevel="0" collapsed="false"/>
    <row r="2250" customFormat="false" ht="18" hidden="false" customHeight="true" outlineLevel="0" collapsed="false"/>
    <row r="2251" customFormat="false" ht="18" hidden="false" customHeight="true" outlineLevel="0" collapsed="false"/>
    <row r="2252" customFormat="false" ht="18" hidden="false" customHeight="true" outlineLevel="0" collapsed="false"/>
    <row r="2253" customFormat="false" ht="18" hidden="false" customHeight="true" outlineLevel="0" collapsed="false"/>
    <row r="2254" customFormat="false" ht="18" hidden="false" customHeight="true" outlineLevel="0" collapsed="false"/>
    <row r="2255" customFormat="false" ht="18" hidden="false" customHeight="true" outlineLevel="0" collapsed="false"/>
    <row r="2256" customFormat="false" ht="18" hidden="false" customHeight="true" outlineLevel="0" collapsed="false"/>
    <row r="2257" customFormat="false" ht="18" hidden="false" customHeight="true" outlineLevel="0" collapsed="false"/>
    <row r="2258" customFormat="false" ht="18" hidden="false" customHeight="true" outlineLevel="0" collapsed="false"/>
    <row r="2259" customFormat="false" ht="18" hidden="false" customHeight="true" outlineLevel="0" collapsed="false"/>
    <row r="2260" customFormat="false" ht="18" hidden="false" customHeight="true" outlineLevel="0" collapsed="false"/>
    <row r="2261" customFormat="false" ht="18" hidden="false" customHeight="true" outlineLevel="0" collapsed="false"/>
    <row r="2262" customFormat="false" ht="18" hidden="false" customHeight="true" outlineLevel="0" collapsed="false"/>
    <row r="2263" customFormat="false" ht="18" hidden="false" customHeight="true" outlineLevel="0" collapsed="false"/>
    <row r="2264" customFormat="false" ht="18" hidden="false" customHeight="true" outlineLevel="0" collapsed="false"/>
    <row r="2265" customFormat="false" ht="18" hidden="false" customHeight="true" outlineLevel="0" collapsed="false"/>
    <row r="2266" customFormat="false" ht="18" hidden="false" customHeight="true" outlineLevel="0" collapsed="false"/>
    <row r="2267" customFormat="false" ht="18" hidden="false" customHeight="true" outlineLevel="0" collapsed="false"/>
    <row r="2268" customFormat="false" ht="18" hidden="false" customHeight="true" outlineLevel="0" collapsed="false"/>
    <row r="2269" customFormat="false" ht="18" hidden="false" customHeight="true" outlineLevel="0" collapsed="false"/>
    <row r="2270" customFormat="false" ht="18" hidden="false" customHeight="true" outlineLevel="0" collapsed="false"/>
    <row r="2271" customFormat="false" ht="18" hidden="false" customHeight="true" outlineLevel="0" collapsed="false"/>
    <row r="2272" customFormat="false" ht="18" hidden="false" customHeight="true" outlineLevel="0" collapsed="false"/>
    <row r="2273" customFormat="false" ht="18" hidden="false" customHeight="true" outlineLevel="0" collapsed="false"/>
    <row r="2274" customFormat="false" ht="18" hidden="false" customHeight="true" outlineLevel="0" collapsed="false"/>
    <row r="2275" customFormat="false" ht="18" hidden="false" customHeight="true" outlineLevel="0" collapsed="false"/>
    <row r="2276" customFormat="false" ht="18" hidden="false" customHeight="true" outlineLevel="0" collapsed="false"/>
    <row r="2277" customFormat="false" ht="18" hidden="false" customHeight="true" outlineLevel="0" collapsed="false"/>
    <row r="2278" customFormat="false" ht="18" hidden="false" customHeight="true" outlineLevel="0" collapsed="false"/>
    <row r="2279" customFormat="false" ht="18" hidden="false" customHeight="true" outlineLevel="0" collapsed="false"/>
    <row r="2280" customFormat="false" ht="18" hidden="false" customHeight="true" outlineLevel="0" collapsed="false"/>
    <row r="2281" customFormat="false" ht="18" hidden="false" customHeight="true" outlineLevel="0" collapsed="false"/>
    <row r="2282" customFormat="false" ht="18" hidden="false" customHeight="true" outlineLevel="0" collapsed="false"/>
    <row r="2283" customFormat="false" ht="18" hidden="false" customHeight="true" outlineLevel="0" collapsed="false"/>
    <row r="2284" customFormat="false" ht="18" hidden="false" customHeight="true" outlineLevel="0" collapsed="false"/>
    <row r="2285" customFormat="false" ht="18" hidden="false" customHeight="true" outlineLevel="0" collapsed="false"/>
    <row r="2286" customFormat="false" ht="18" hidden="false" customHeight="true" outlineLevel="0" collapsed="false"/>
    <row r="2287" customFormat="false" ht="18" hidden="false" customHeight="true" outlineLevel="0" collapsed="false"/>
    <row r="2288" customFormat="false" ht="18" hidden="false" customHeight="true" outlineLevel="0" collapsed="false"/>
    <row r="2289" customFormat="false" ht="18" hidden="false" customHeight="true" outlineLevel="0" collapsed="false"/>
    <row r="2290" customFormat="false" ht="18" hidden="false" customHeight="true" outlineLevel="0" collapsed="false"/>
    <row r="2291" customFormat="false" ht="18" hidden="false" customHeight="true" outlineLevel="0" collapsed="false"/>
    <row r="2292" customFormat="false" ht="18" hidden="false" customHeight="true" outlineLevel="0" collapsed="false"/>
    <row r="2293" customFormat="false" ht="18" hidden="false" customHeight="true" outlineLevel="0" collapsed="false"/>
    <row r="2294" customFormat="false" ht="18" hidden="false" customHeight="true" outlineLevel="0" collapsed="false"/>
    <row r="2295" customFormat="false" ht="18" hidden="false" customHeight="true" outlineLevel="0" collapsed="false"/>
    <row r="2296" customFormat="false" ht="18" hidden="false" customHeight="true" outlineLevel="0" collapsed="false"/>
    <row r="2297" customFormat="false" ht="18" hidden="false" customHeight="true" outlineLevel="0" collapsed="false"/>
    <row r="2298" customFormat="false" ht="18" hidden="false" customHeight="true" outlineLevel="0" collapsed="false"/>
    <row r="2299" customFormat="false" ht="18" hidden="false" customHeight="true" outlineLevel="0" collapsed="false"/>
    <row r="2300" customFormat="false" ht="18" hidden="false" customHeight="true" outlineLevel="0" collapsed="false"/>
    <row r="2301" customFormat="false" ht="18" hidden="false" customHeight="true" outlineLevel="0" collapsed="false"/>
    <row r="2302" customFormat="false" ht="18" hidden="false" customHeight="true" outlineLevel="0" collapsed="false"/>
    <row r="2303" customFormat="false" ht="18" hidden="false" customHeight="true" outlineLevel="0" collapsed="false"/>
    <row r="2304" customFormat="false" ht="18" hidden="false" customHeight="true" outlineLevel="0" collapsed="false"/>
    <row r="2305" customFormat="false" ht="18" hidden="false" customHeight="true" outlineLevel="0" collapsed="false"/>
    <row r="2306" customFormat="false" ht="18" hidden="false" customHeight="true" outlineLevel="0" collapsed="false"/>
    <row r="2307" customFormat="false" ht="18" hidden="false" customHeight="true" outlineLevel="0" collapsed="false"/>
    <row r="2308" customFormat="false" ht="18" hidden="false" customHeight="true" outlineLevel="0" collapsed="false"/>
    <row r="2309" customFormat="false" ht="18" hidden="false" customHeight="true" outlineLevel="0" collapsed="false"/>
    <row r="2310" customFormat="false" ht="18" hidden="false" customHeight="true" outlineLevel="0" collapsed="false"/>
    <row r="2311" customFormat="false" ht="18" hidden="false" customHeight="true" outlineLevel="0" collapsed="false"/>
    <row r="2312" customFormat="false" ht="18" hidden="false" customHeight="true" outlineLevel="0" collapsed="false"/>
    <row r="2313" customFormat="false" ht="18" hidden="false" customHeight="true" outlineLevel="0" collapsed="false"/>
    <row r="2314" customFormat="false" ht="18" hidden="false" customHeight="true" outlineLevel="0" collapsed="false"/>
    <row r="2315" customFormat="false" ht="18" hidden="false" customHeight="true" outlineLevel="0" collapsed="false"/>
    <row r="2316" customFormat="false" ht="18" hidden="false" customHeight="true" outlineLevel="0" collapsed="false"/>
    <row r="2317" customFormat="false" ht="18" hidden="false" customHeight="true" outlineLevel="0" collapsed="false"/>
    <row r="2318" customFormat="false" ht="18" hidden="false" customHeight="true" outlineLevel="0" collapsed="false"/>
    <row r="2319" customFormat="false" ht="18" hidden="false" customHeight="true" outlineLevel="0" collapsed="false"/>
    <row r="2320" customFormat="false" ht="18" hidden="false" customHeight="true" outlineLevel="0" collapsed="false"/>
    <row r="2321" customFormat="false" ht="18" hidden="false" customHeight="true" outlineLevel="0" collapsed="false"/>
    <row r="2322" customFormat="false" ht="18" hidden="false" customHeight="true" outlineLevel="0" collapsed="false"/>
    <row r="2323" customFormat="false" ht="18" hidden="false" customHeight="true" outlineLevel="0" collapsed="false"/>
    <row r="2324" customFormat="false" ht="18" hidden="false" customHeight="true" outlineLevel="0" collapsed="false"/>
    <row r="2325" customFormat="false" ht="18" hidden="false" customHeight="true" outlineLevel="0" collapsed="false"/>
    <row r="2326" customFormat="false" ht="18" hidden="false" customHeight="true" outlineLevel="0" collapsed="false"/>
    <row r="2327" customFormat="false" ht="18" hidden="false" customHeight="true" outlineLevel="0" collapsed="false"/>
    <row r="2328" customFormat="false" ht="18" hidden="false" customHeight="true" outlineLevel="0" collapsed="false"/>
    <row r="2329" customFormat="false" ht="18" hidden="false" customHeight="true" outlineLevel="0" collapsed="false"/>
    <row r="2330" customFormat="false" ht="18" hidden="false" customHeight="true" outlineLevel="0" collapsed="false"/>
    <row r="2331" customFormat="false" ht="18" hidden="false" customHeight="true" outlineLevel="0" collapsed="false"/>
    <row r="2332" customFormat="false" ht="18" hidden="false" customHeight="true" outlineLevel="0" collapsed="false"/>
    <row r="2333" customFormat="false" ht="18" hidden="false" customHeight="true" outlineLevel="0" collapsed="false"/>
    <row r="2334" customFormat="false" ht="18" hidden="false" customHeight="true" outlineLevel="0" collapsed="false"/>
    <row r="2335" customFormat="false" ht="18" hidden="false" customHeight="true" outlineLevel="0" collapsed="false"/>
    <row r="2336" customFormat="false" ht="18" hidden="false" customHeight="true" outlineLevel="0" collapsed="false"/>
    <row r="2337" customFormat="false" ht="18" hidden="false" customHeight="true" outlineLevel="0" collapsed="false"/>
    <row r="2338" customFormat="false" ht="18" hidden="false" customHeight="true" outlineLevel="0" collapsed="false"/>
    <row r="2339" customFormat="false" ht="18" hidden="false" customHeight="true" outlineLevel="0" collapsed="false"/>
    <row r="2340" customFormat="false" ht="18" hidden="false" customHeight="true" outlineLevel="0" collapsed="false"/>
    <row r="2341" customFormat="false" ht="18" hidden="false" customHeight="true" outlineLevel="0" collapsed="false"/>
    <row r="2342" customFormat="false" ht="18" hidden="false" customHeight="true" outlineLevel="0" collapsed="false"/>
    <row r="2343" customFormat="false" ht="18" hidden="false" customHeight="true" outlineLevel="0" collapsed="false"/>
    <row r="2344" customFormat="false" ht="18" hidden="false" customHeight="true" outlineLevel="0" collapsed="false"/>
    <row r="2345" customFormat="false" ht="18" hidden="false" customHeight="true" outlineLevel="0" collapsed="false"/>
    <row r="2346" customFormat="false" ht="18" hidden="false" customHeight="true" outlineLevel="0" collapsed="false"/>
    <row r="2347" customFormat="false" ht="18" hidden="false" customHeight="true" outlineLevel="0" collapsed="false"/>
    <row r="2348" customFormat="false" ht="18" hidden="false" customHeight="true" outlineLevel="0" collapsed="false"/>
    <row r="2349" customFormat="false" ht="18" hidden="false" customHeight="true" outlineLevel="0" collapsed="false"/>
    <row r="2350" customFormat="false" ht="18" hidden="false" customHeight="true" outlineLevel="0" collapsed="false"/>
    <row r="2351" customFormat="false" ht="18" hidden="false" customHeight="true" outlineLevel="0" collapsed="false"/>
    <row r="2352" customFormat="false" ht="18" hidden="false" customHeight="true" outlineLevel="0" collapsed="false"/>
    <row r="2353" customFormat="false" ht="18" hidden="false" customHeight="true" outlineLevel="0" collapsed="false"/>
    <row r="2354" customFormat="false" ht="18" hidden="false" customHeight="true" outlineLevel="0" collapsed="false"/>
    <row r="2355" customFormat="false" ht="18" hidden="false" customHeight="true" outlineLevel="0" collapsed="false"/>
    <row r="2356" customFormat="false" ht="18" hidden="false" customHeight="true" outlineLevel="0" collapsed="false"/>
    <row r="2357" customFormat="false" ht="18" hidden="false" customHeight="true" outlineLevel="0" collapsed="false"/>
    <row r="2358" customFormat="false" ht="18" hidden="false" customHeight="true" outlineLevel="0" collapsed="false"/>
    <row r="2359" customFormat="false" ht="18" hidden="false" customHeight="true" outlineLevel="0" collapsed="false"/>
    <row r="2360" customFormat="false" ht="18" hidden="false" customHeight="true" outlineLevel="0" collapsed="false"/>
    <row r="2361" customFormat="false" ht="18" hidden="false" customHeight="true" outlineLevel="0" collapsed="false"/>
    <row r="2362" customFormat="false" ht="18" hidden="false" customHeight="true" outlineLevel="0" collapsed="false"/>
    <row r="2363" customFormat="false" ht="18" hidden="false" customHeight="true" outlineLevel="0" collapsed="false"/>
    <row r="2364" customFormat="false" ht="18" hidden="false" customHeight="true" outlineLevel="0" collapsed="false"/>
    <row r="2365" customFormat="false" ht="18" hidden="false" customHeight="true" outlineLevel="0" collapsed="false"/>
    <row r="2366" customFormat="false" ht="18" hidden="false" customHeight="true" outlineLevel="0" collapsed="false"/>
    <row r="2367" customFormat="false" ht="18" hidden="false" customHeight="true" outlineLevel="0" collapsed="false"/>
    <row r="2368" customFormat="false" ht="18" hidden="false" customHeight="true" outlineLevel="0" collapsed="false"/>
    <row r="2369" customFormat="false" ht="18" hidden="false" customHeight="true" outlineLevel="0" collapsed="false"/>
    <row r="2370" customFormat="false" ht="18" hidden="false" customHeight="true" outlineLevel="0" collapsed="false"/>
    <row r="2371" customFormat="false" ht="18" hidden="false" customHeight="true" outlineLevel="0" collapsed="false"/>
    <row r="2372" customFormat="false" ht="18" hidden="false" customHeight="true" outlineLevel="0" collapsed="false"/>
    <row r="2373" customFormat="false" ht="18" hidden="false" customHeight="true" outlineLevel="0" collapsed="false"/>
    <row r="2374" customFormat="false" ht="18" hidden="false" customHeight="true" outlineLevel="0" collapsed="false"/>
    <row r="2375" customFormat="false" ht="18" hidden="false" customHeight="true" outlineLevel="0" collapsed="false"/>
    <row r="2376" customFormat="false" ht="18" hidden="false" customHeight="true" outlineLevel="0" collapsed="false"/>
    <row r="2377" customFormat="false" ht="18" hidden="false" customHeight="true" outlineLevel="0" collapsed="false"/>
    <row r="2378" customFormat="false" ht="18" hidden="false" customHeight="true" outlineLevel="0" collapsed="false"/>
    <row r="2379" customFormat="false" ht="18" hidden="false" customHeight="true" outlineLevel="0" collapsed="false"/>
    <row r="2380" customFormat="false" ht="18" hidden="false" customHeight="true" outlineLevel="0" collapsed="false"/>
    <row r="2381" customFormat="false" ht="18" hidden="false" customHeight="true" outlineLevel="0" collapsed="false"/>
    <row r="2382" customFormat="false" ht="18" hidden="false" customHeight="true" outlineLevel="0" collapsed="false"/>
    <row r="2383" customFormat="false" ht="18" hidden="false" customHeight="true" outlineLevel="0" collapsed="false"/>
    <row r="2384" customFormat="false" ht="18" hidden="false" customHeight="true" outlineLevel="0" collapsed="false"/>
    <row r="2385" customFormat="false" ht="18" hidden="false" customHeight="true" outlineLevel="0" collapsed="false"/>
    <row r="2386" customFormat="false" ht="18" hidden="false" customHeight="true" outlineLevel="0" collapsed="false"/>
    <row r="2387" customFormat="false" ht="18" hidden="false" customHeight="true" outlineLevel="0" collapsed="false"/>
    <row r="2388" customFormat="false" ht="18" hidden="false" customHeight="true" outlineLevel="0" collapsed="false"/>
    <row r="2389" customFormat="false" ht="18" hidden="false" customHeight="true" outlineLevel="0" collapsed="false"/>
    <row r="2390" customFormat="false" ht="18" hidden="false" customHeight="true" outlineLevel="0" collapsed="false"/>
    <row r="2391" customFormat="false" ht="18" hidden="false" customHeight="true" outlineLevel="0" collapsed="false"/>
    <row r="2392" customFormat="false" ht="18" hidden="false" customHeight="true" outlineLevel="0" collapsed="false"/>
    <row r="2393" customFormat="false" ht="18" hidden="false" customHeight="true" outlineLevel="0" collapsed="false"/>
    <row r="2394" customFormat="false" ht="18" hidden="false" customHeight="true" outlineLevel="0" collapsed="false"/>
    <row r="2395" customFormat="false" ht="18" hidden="false" customHeight="true" outlineLevel="0" collapsed="false"/>
    <row r="2396" customFormat="false" ht="18" hidden="false" customHeight="true" outlineLevel="0" collapsed="false"/>
    <row r="2397" customFormat="false" ht="18" hidden="false" customHeight="true" outlineLevel="0" collapsed="false"/>
    <row r="2398" customFormat="false" ht="18" hidden="false" customHeight="true" outlineLevel="0" collapsed="false"/>
    <row r="2399" customFormat="false" ht="18" hidden="false" customHeight="true" outlineLevel="0" collapsed="false"/>
    <row r="2400" customFormat="false" ht="18" hidden="false" customHeight="true" outlineLevel="0" collapsed="false"/>
    <row r="2401" customFormat="false" ht="18" hidden="false" customHeight="true" outlineLevel="0" collapsed="false"/>
    <row r="2402" customFormat="false" ht="18" hidden="false" customHeight="true" outlineLevel="0" collapsed="false"/>
    <row r="2403" customFormat="false" ht="18" hidden="false" customHeight="true" outlineLevel="0" collapsed="false"/>
    <row r="2404" customFormat="false" ht="18" hidden="false" customHeight="true" outlineLevel="0" collapsed="false"/>
    <row r="2405" customFormat="false" ht="18" hidden="false" customHeight="true" outlineLevel="0" collapsed="false"/>
    <row r="2406" customFormat="false" ht="18" hidden="false" customHeight="true" outlineLevel="0" collapsed="false"/>
    <row r="2407" customFormat="false" ht="18" hidden="false" customHeight="true" outlineLevel="0" collapsed="false"/>
    <row r="2408" customFormat="false" ht="18" hidden="false" customHeight="true" outlineLevel="0" collapsed="false"/>
    <row r="2409" customFormat="false" ht="18" hidden="false" customHeight="true" outlineLevel="0" collapsed="false"/>
    <row r="2410" customFormat="false" ht="18" hidden="false" customHeight="true" outlineLevel="0" collapsed="false"/>
    <row r="2411" customFormat="false" ht="18" hidden="false" customHeight="true" outlineLevel="0" collapsed="false"/>
    <row r="2412" customFormat="false" ht="18" hidden="false" customHeight="true" outlineLevel="0" collapsed="false"/>
    <row r="2413" customFormat="false" ht="18" hidden="false" customHeight="true" outlineLevel="0" collapsed="false"/>
    <row r="2414" customFormat="false" ht="18" hidden="false" customHeight="true" outlineLevel="0" collapsed="false"/>
    <row r="2415" customFormat="false" ht="18" hidden="false" customHeight="true" outlineLevel="0" collapsed="false"/>
    <row r="2416" customFormat="false" ht="18" hidden="false" customHeight="true" outlineLevel="0" collapsed="false"/>
    <row r="2417" customFormat="false" ht="18" hidden="false" customHeight="true" outlineLevel="0" collapsed="false"/>
    <row r="2418" customFormat="false" ht="18" hidden="false" customHeight="true" outlineLevel="0" collapsed="false"/>
    <row r="2419" customFormat="false" ht="18" hidden="false" customHeight="true" outlineLevel="0" collapsed="false"/>
    <row r="2420" customFormat="false" ht="18" hidden="false" customHeight="true" outlineLevel="0" collapsed="false"/>
    <row r="2421" customFormat="false" ht="18" hidden="false" customHeight="true" outlineLevel="0" collapsed="false"/>
    <row r="2422" customFormat="false" ht="18" hidden="false" customHeight="true" outlineLevel="0" collapsed="false"/>
    <row r="2423" customFormat="false" ht="18" hidden="false" customHeight="true" outlineLevel="0" collapsed="false"/>
    <row r="2424" customFormat="false" ht="18" hidden="false" customHeight="true" outlineLevel="0" collapsed="false"/>
    <row r="2425" customFormat="false" ht="18" hidden="false" customHeight="true" outlineLevel="0" collapsed="false"/>
    <row r="2426" customFormat="false" ht="18" hidden="false" customHeight="true" outlineLevel="0" collapsed="false"/>
    <row r="2427" customFormat="false" ht="18" hidden="false" customHeight="true" outlineLevel="0" collapsed="false"/>
    <row r="2428" customFormat="false" ht="18" hidden="false" customHeight="true" outlineLevel="0" collapsed="false"/>
    <row r="2429" customFormat="false" ht="18" hidden="false" customHeight="true" outlineLevel="0" collapsed="false"/>
    <row r="2430" customFormat="false" ht="18" hidden="false" customHeight="true" outlineLevel="0" collapsed="false"/>
    <row r="2431" customFormat="false" ht="18" hidden="false" customHeight="true" outlineLevel="0" collapsed="false"/>
    <row r="2432" customFormat="false" ht="18" hidden="false" customHeight="true" outlineLevel="0" collapsed="false"/>
    <row r="2433" customFormat="false" ht="18" hidden="false" customHeight="true" outlineLevel="0" collapsed="false"/>
    <row r="2434" customFormat="false" ht="18" hidden="false" customHeight="true" outlineLevel="0" collapsed="false"/>
    <row r="2435" customFormat="false" ht="18" hidden="false" customHeight="true" outlineLevel="0" collapsed="false"/>
    <row r="2436" customFormat="false" ht="18" hidden="false" customHeight="true" outlineLevel="0" collapsed="false"/>
    <row r="2437" customFormat="false" ht="18" hidden="false" customHeight="true" outlineLevel="0" collapsed="false"/>
    <row r="2438" customFormat="false" ht="18" hidden="false" customHeight="true" outlineLevel="0" collapsed="false"/>
    <row r="2439" customFormat="false" ht="18" hidden="false" customHeight="true" outlineLevel="0" collapsed="false"/>
    <row r="2440" customFormat="false" ht="18" hidden="false" customHeight="true" outlineLevel="0" collapsed="false"/>
    <row r="2441" customFormat="false" ht="18" hidden="false" customHeight="true" outlineLevel="0" collapsed="false"/>
    <row r="2442" customFormat="false" ht="18" hidden="false" customHeight="true" outlineLevel="0" collapsed="false"/>
    <row r="2443" customFormat="false" ht="18" hidden="false" customHeight="true" outlineLevel="0" collapsed="false"/>
    <row r="2444" customFormat="false" ht="18" hidden="false" customHeight="true" outlineLevel="0" collapsed="false"/>
    <row r="2445" customFormat="false" ht="18" hidden="false" customHeight="true" outlineLevel="0" collapsed="false"/>
    <row r="2446" customFormat="false" ht="18" hidden="false" customHeight="true" outlineLevel="0" collapsed="false"/>
    <row r="2447" customFormat="false" ht="18" hidden="false" customHeight="true" outlineLevel="0" collapsed="false"/>
    <row r="2448" customFormat="false" ht="18" hidden="false" customHeight="true" outlineLevel="0" collapsed="false"/>
    <row r="2449" customFormat="false" ht="18" hidden="false" customHeight="true" outlineLevel="0" collapsed="false"/>
    <row r="2450" customFormat="false" ht="18" hidden="false" customHeight="true" outlineLevel="0" collapsed="false"/>
    <row r="2451" customFormat="false" ht="18" hidden="false" customHeight="true" outlineLevel="0" collapsed="false"/>
    <row r="2452" customFormat="false" ht="18" hidden="false" customHeight="true" outlineLevel="0" collapsed="false"/>
    <row r="2453" customFormat="false" ht="18" hidden="false" customHeight="true" outlineLevel="0" collapsed="false"/>
    <row r="2454" customFormat="false" ht="18" hidden="false" customHeight="true" outlineLevel="0" collapsed="false"/>
    <row r="2455" customFormat="false" ht="18" hidden="false" customHeight="true" outlineLevel="0" collapsed="false"/>
    <row r="2456" customFormat="false" ht="18" hidden="false" customHeight="true" outlineLevel="0" collapsed="false"/>
    <row r="2457" customFormat="false" ht="18" hidden="false" customHeight="true" outlineLevel="0" collapsed="false"/>
    <row r="2458" customFormat="false" ht="18" hidden="false" customHeight="true" outlineLevel="0" collapsed="false"/>
    <row r="2459" customFormat="false" ht="18" hidden="false" customHeight="true" outlineLevel="0" collapsed="false"/>
    <row r="2460" customFormat="false" ht="18" hidden="false" customHeight="true" outlineLevel="0" collapsed="false"/>
    <row r="2461" customFormat="false" ht="18" hidden="false" customHeight="true" outlineLevel="0" collapsed="false"/>
    <row r="2462" customFormat="false" ht="18" hidden="false" customHeight="true" outlineLevel="0" collapsed="false"/>
    <row r="2463" customFormat="false" ht="18" hidden="false" customHeight="true" outlineLevel="0" collapsed="false"/>
    <row r="2464" customFormat="false" ht="18" hidden="false" customHeight="true" outlineLevel="0" collapsed="false"/>
    <row r="2465" customFormat="false" ht="18" hidden="false" customHeight="true" outlineLevel="0" collapsed="false"/>
    <row r="2466" customFormat="false" ht="18" hidden="false" customHeight="true" outlineLevel="0" collapsed="false"/>
    <row r="2467" customFormat="false" ht="18" hidden="false" customHeight="true" outlineLevel="0" collapsed="false"/>
    <row r="2468" customFormat="false" ht="18" hidden="false" customHeight="true" outlineLevel="0" collapsed="false"/>
    <row r="2469" customFormat="false" ht="18" hidden="false" customHeight="true" outlineLevel="0" collapsed="false"/>
    <row r="2470" customFormat="false" ht="18" hidden="false" customHeight="true" outlineLevel="0" collapsed="false"/>
    <row r="2471" customFormat="false" ht="18" hidden="false" customHeight="true" outlineLevel="0" collapsed="false"/>
    <row r="2472" customFormat="false" ht="18" hidden="false" customHeight="true" outlineLevel="0" collapsed="false"/>
    <row r="2473" customFormat="false" ht="18" hidden="false" customHeight="true" outlineLevel="0" collapsed="false"/>
    <row r="2474" customFormat="false" ht="18" hidden="false" customHeight="true" outlineLevel="0" collapsed="false"/>
    <row r="2475" customFormat="false" ht="18" hidden="false" customHeight="true" outlineLevel="0" collapsed="false"/>
    <row r="2476" customFormat="false" ht="18" hidden="false" customHeight="true" outlineLevel="0" collapsed="false"/>
    <row r="2477" customFormat="false" ht="18" hidden="false" customHeight="true" outlineLevel="0" collapsed="false"/>
    <row r="2478" customFormat="false" ht="18" hidden="false" customHeight="true" outlineLevel="0" collapsed="false"/>
    <row r="2479" customFormat="false" ht="18" hidden="false" customHeight="true" outlineLevel="0" collapsed="false"/>
    <row r="2480" customFormat="false" ht="18" hidden="false" customHeight="true" outlineLevel="0" collapsed="false"/>
    <row r="2481" customFormat="false" ht="18" hidden="false" customHeight="true" outlineLevel="0" collapsed="false"/>
    <row r="2482" customFormat="false" ht="18" hidden="false" customHeight="true" outlineLevel="0" collapsed="false"/>
    <row r="2483" customFormat="false" ht="18" hidden="false" customHeight="true" outlineLevel="0" collapsed="false"/>
    <row r="2484" customFormat="false" ht="18" hidden="false" customHeight="true" outlineLevel="0" collapsed="false"/>
    <row r="2485" customFormat="false" ht="18" hidden="false" customHeight="true" outlineLevel="0" collapsed="false"/>
    <row r="2486" customFormat="false" ht="18" hidden="false" customHeight="true" outlineLevel="0" collapsed="false"/>
    <row r="2487" customFormat="false" ht="18" hidden="false" customHeight="true" outlineLevel="0" collapsed="false"/>
    <row r="2488" customFormat="false" ht="18" hidden="false" customHeight="true" outlineLevel="0" collapsed="false"/>
    <row r="2489" customFormat="false" ht="18" hidden="false" customHeight="true" outlineLevel="0" collapsed="false"/>
    <row r="2490" customFormat="false" ht="18" hidden="false" customHeight="true" outlineLevel="0" collapsed="false"/>
    <row r="2491" customFormat="false" ht="18" hidden="false" customHeight="true" outlineLevel="0" collapsed="false"/>
    <row r="2492" customFormat="false" ht="18" hidden="false" customHeight="true" outlineLevel="0" collapsed="false"/>
    <row r="2493" customFormat="false" ht="18" hidden="false" customHeight="true" outlineLevel="0" collapsed="false"/>
    <row r="2494" customFormat="false" ht="18" hidden="false" customHeight="true" outlineLevel="0" collapsed="false"/>
    <row r="2495" customFormat="false" ht="18" hidden="false" customHeight="true" outlineLevel="0" collapsed="false"/>
    <row r="2496" customFormat="false" ht="18" hidden="false" customHeight="true" outlineLevel="0" collapsed="false"/>
    <row r="2497" customFormat="false" ht="18" hidden="false" customHeight="true" outlineLevel="0" collapsed="false"/>
    <row r="2498" customFormat="false" ht="18" hidden="false" customHeight="true" outlineLevel="0" collapsed="false"/>
    <row r="2499" customFormat="false" ht="18" hidden="false" customHeight="true" outlineLevel="0" collapsed="false"/>
    <row r="2500" customFormat="false" ht="18" hidden="false" customHeight="true" outlineLevel="0" collapsed="false"/>
    <row r="2501" customFormat="false" ht="18" hidden="false" customHeight="true" outlineLevel="0" collapsed="false"/>
    <row r="2502" customFormat="false" ht="18" hidden="false" customHeight="true" outlineLevel="0" collapsed="false"/>
    <row r="2503" customFormat="false" ht="18" hidden="false" customHeight="true" outlineLevel="0" collapsed="false"/>
    <row r="2504" customFormat="false" ht="18" hidden="false" customHeight="true" outlineLevel="0" collapsed="false"/>
    <row r="2505" customFormat="false" ht="18" hidden="false" customHeight="true" outlineLevel="0" collapsed="false"/>
    <row r="2506" customFormat="false" ht="18" hidden="false" customHeight="true" outlineLevel="0" collapsed="false"/>
    <row r="2507" customFormat="false" ht="18" hidden="false" customHeight="true" outlineLevel="0" collapsed="false"/>
    <row r="2508" customFormat="false" ht="18" hidden="false" customHeight="true" outlineLevel="0" collapsed="false"/>
    <row r="2509" customFormat="false" ht="18" hidden="false" customHeight="true" outlineLevel="0" collapsed="false"/>
    <row r="2510" customFormat="false" ht="18" hidden="false" customHeight="true" outlineLevel="0" collapsed="false"/>
    <row r="2511" customFormat="false" ht="18" hidden="false" customHeight="true" outlineLevel="0" collapsed="false"/>
    <row r="2512" customFormat="false" ht="18" hidden="false" customHeight="true" outlineLevel="0" collapsed="false"/>
    <row r="2513" customFormat="false" ht="18" hidden="false" customHeight="true" outlineLevel="0" collapsed="false"/>
    <row r="2514" customFormat="false" ht="18" hidden="false" customHeight="true" outlineLevel="0" collapsed="false"/>
    <row r="2515" customFormat="false" ht="18" hidden="false" customHeight="true" outlineLevel="0" collapsed="false"/>
    <row r="2516" customFormat="false" ht="18" hidden="false" customHeight="true" outlineLevel="0" collapsed="false"/>
    <row r="2517" customFormat="false" ht="18" hidden="false" customHeight="true" outlineLevel="0" collapsed="false"/>
    <row r="2518" customFormat="false" ht="18" hidden="false" customHeight="true" outlineLevel="0" collapsed="false"/>
    <row r="2519" customFormat="false" ht="18" hidden="false" customHeight="true" outlineLevel="0" collapsed="false"/>
    <row r="2520" customFormat="false" ht="18" hidden="false" customHeight="true" outlineLevel="0" collapsed="false"/>
    <row r="2521" customFormat="false" ht="18" hidden="false" customHeight="true" outlineLevel="0" collapsed="false"/>
    <row r="2522" customFormat="false" ht="18" hidden="false" customHeight="true" outlineLevel="0" collapsed="false"/>
    <row r="2523" customFormat="false" ht="18" hidden="false" customHeight="true" outlineLevel="0" collapsed="false"/>
    <row r="2524" customFormat="false" ht="18" hidden="false" customHeight="true" outlineLevel="0" collapsed="false"/>
    <row r="2525" customFormat="false" ht="18" hidden="false" customHeight="true" outlineLevel="0" collapsed="false"/>
    <row r="2526" customFormat="false" ht="18" hidden="false" customHeight="true" outlineLevel="0" collapsed="false"/>
    <row r="2527" customFormat="false" ht="18" hidden="false" customHeight="true" outlineLevel="0" collapsed="false"/>
    <row r="2528" customFormat="false" ht="18" hidden="false" customHeight="true" outlineLevel="0" collapsed="false"/>
    <row r="2529" customFormat="false" ht="18" hidden="false" customHeight="true" outlineLevel="0" collapsed="false"/>
    <row r="2530" customFormat="false" ht="18" hidden="false" customHeight="true" outlineLevel="0" collapsed="false"/>
    <row r="2531" customFormat="false" ht="18" hidden="false" customHeight="true" outlineLevel="0" collapsed="false"/>
    <row r="2532" customFormat="false" ht="18" hidden="false" customHeight="true" outlineLevel="0" collapsed="false"/>
    <row r="2533" customFormat="false" ht="18" hidden="false" customHeight="true" outlineLevel="0" collapsed="false"/>
    <row r="2534" customFormat="false" ht="18" hidden="false" customHeight="true" outlineLevel="0" collapsed="false"/>
    <row r="2535" customFormat="false" ht="18" hidden="false" customHeight="true" outlineLevel="0" collapsed="false"/>
    <row r="2536" customFormat="false" ht="18" hidden="false" customHeight="true" outlineLevel="0" collapsed="false"/>
    <row r="2537" customFormat="false" ht="18" hidden="false" customHeight="true" outlineLevel="0" collapsed="false"/>
    <row r="2538" customFormat="false" ht="18" hidden="false" customHeight="true" outlineLevel="0" collapsed="false"/>
    <row r="2539" customFormat="false" ht="18" hidden="false" customHeight="true" outlineLevel="0" collapsed="false"/>
    <row r="2540" customFormat="false" ht="18" hidden="false" customHeight="true" outlineLevel="0" collapsed="false"/>
    <row r="2541" customFormat="false" ht="18" hidden="false" customHeight="true" outlineLevel="0" collapsed="false"/>
    <row r="2542" customFormat="false" ht="18" hidden="false" customHeight="true" outlineLevel="0" collapsed="false"/>
    <row r="2543" customFormat="false" ht="18" hidden="false" customHeight="true" outlineLevel="0" collapsed="false"/>
    <row r="2544" customFormat="false" ht="18" hidden="false" customHeight="true" outlineLevel="0" collapsed="false"/>
    <row r="2545" customFormat="false" ht="18" hidden="false" customHeight="true" outlineLevel="0" collapsed="false"/>
    <row r="2546" customFormat="false" ht="18" hidden="false" customHeight="true" outlineLevel="0" collapsed="false"/>
    <row r="2547" customFormat="false" ht="18" hidden="false" customHeight="true" outlineLevel="0" collapsed="false"/>
    <row r="2548" customFormat="false" ht="18" hidden="false" customHeight="true" outlineLevel="0" collapsed="false"/>
    <row r="2549" customFormat="false" ht="18" hidden="false" customHeight="true" outlineLevel="0" collapsed="false"/>
    <row r="2550" customFormat="false" ht="18" hidden="false" customHeight="true" outlineLevel="0" collapsed="false"/>
    <row r="2551" customFormat="false" ht="18" hidden="false" customHeight="true" outlineLevel="0" collapsed="false"/>
    <row r="2552" customFormat="false" ht="18" hidden="false" customHeight="true" outlineLevel="0" collapsed="false"/>
    <row r="2553" customFormat="false" ht="18" hidden="false" customHeight="true" outlineLevel="0" collapsed="false"/>
    <row r="2554" customFormat="false" ht="18" hidden="false" customHeight="true" outlineLevel="0" collapsed="false"/>
    <row r="2555" customFormat="false" ht="18" hidden="false" customHeight="true" outlineLevel="0" collapsed="false"/>
    <row r="2556" customFormat="false" ht="18" hidden="false" customHeight="true" outlineLevel="0" collapsed="false"/>
    <row r="2557" customFormat="false" ht="18" hidden="false" customHeight="true" outlineLevel="0" collapsed="false"/>
    <row r="2558" customFormat="false" ht="18" hidden="false" customHeight="true" outlineLevel="0" collapsed="false"/>
    <row r="2559" customFormat="false" ht="18" hidden="false" customHeight="true" outlineLevel="0" collapsed="false"/>
    <row r="2560" customFormat="false" ht="18" hidden="false" customHeight="true" outlineLevel="0" collapsed="false"/>
    <row r="2561" customFormat="false" ht="18" hidden="false" customHeight="true" outlineLevel="0" collapsed="false"/>
    <row r="2562" customFormat="false" ht="18" hidden="false" customHeight="true" outlineLevel="0" collapsed="false"/>
    <row r="2563" customFormat="false" ht="18" hidden="false" customHeight="true" outlineLevel="0" collapsed="false"/>
    <row r="2564" customFormat="false" ht="18" hidden="false" customHeight="true" outlineLevel="0" collapsed="false"/>
    <row r="2565" customFormat="false" ht="18" hidden="false" customHeight="true" outlineLevel="0" collapsed="false"/>
    <row r="2566" customFormat="false" ht="18" hidden="false" customHeight="true" outlineLevel="0" collapsed="false"/>
    <row r="2567" customFormat="false" ht="18" hidden="false" customHeight="true" outlineLevel="0" collapsed="false"/>
    <row r="2568" customFormat="false" ht="18" hidden="false" customHeight="true" outlineLevel="0" collapsed="false"/>
    <row r="2569" customFormat="false" ht="18" hidden="false" customHeight="true" outlineLevel="0" collapsed="false"/>
    <row r="2570" customFormat="false" ht="18" hidden="false" customHeight="true" outlineLevel="0" collapsed="false"/>
    <row r="2571" customFormat="false" ht="18" hidden="false" customHeight="true" outlineLevel="0" collapsed="false"/>
    <row r="2572" customFormat="false" ht="18" hidden="false" customHeight="true" outlineLevel="0" collapsed="false"/>
    <row r="2573" customFormat="false" ht="18" hidden="false" customHeight="true" outlineLevel="0" collapsed="false"/>
    <row r="2574" customFormat="false" ht="18" hidden="false" customHeight="true" outlineLevel="0" collapsed="false"/>
    <row r="2575" customFormat="false" ht="18" hidden="false" customHeight="true" outlineLevel="0" collapsed="false"/>
    <row r="2576" customFormat="false" ht="18" hidden="false" customHeight="true" outlineLevel="0" collapsed="false"/>
    <row r="2577" customFormat="false" ht="18" hidden="false" customHeight="true" outlineLevel="0" collapsed="false"/>
    <row r="2578" customFormat="false" ht="18" hidden="false" customHeight="true" outlineLevel="0" collapsed="false"/>
    <row r="2579" customFormat="false" ht="18" hidden="false" customHeight="true" outlineLevel="0" collapsed="false"/>
    <row r="2580" customFormat="false" ht="18" hidden="false" customHeight="true" outlineLevel="0" collapsed="false"/>
    <row r="2581" customFormat="false" ht="18" hidden="false" customHeight="true" outlineLevel="0" collapsed="false"/>
    <row r="2582" customFormat="false" ht="18" hidden="false" customHeight="true" outlineLevel="0" collapsed="false"/>
    <row r="2583" customFormat="false" ht="18" hidden="false" customHeight="true" outlineLevel="0" collapsed="false"/>
    <row r="2584" customFormat="false" ht="18" hidden="false" customHeight="true" outlineLevel="0" collapsed="false"/>
    <row r="2585" customFormat="false" ht="18" hidden="false" customHeight="true" outlineLevel="0" collapsed="false"/>
    <row r="2586" customFormat="false" ht="18" hidden="false" customHeight="true" outlineLevel="0" collapsed="false"/>
    <row r="2587" customFormat="false" ht="18" hidden="false" customHeight="true" outlineLevel="0" collapsed="false"/>
    <row r="2588" customFormat="false" ht="18" hidden="false" customHeight="true" outlineLevel="0" collapsed="false"/>
    <row r="2589" customFormat="false" ht="18" hidden="false" customHeight="true" outlineLevel="0" collapsed="false"/>
    <row r="2590" customFormat="false" ht="18" hidden="false" customHeight="true" outlineLevel="0" collapsed="false"/>
    <row r="2591" customFormat="false" ht="18" hidden="false" customHeight="true" outlineLevel="0" collapsed="false"/>
    <row r="2592" customFormat="false" ht="18" hidden="false" customHeight="true" outlineLevel="0" collapsed="false"/>
    <row r="2593" customFormat="false" ht="18" hidden="false" customHeight="true" outlineLevel="0" collapsed="false"/>
    <row r="2594" customFormat="false" ht="18" hidden="false" customHeight="true" outlineLevel="0" collapsed="false"/>
    <row r="2595" customFormat="false" ht="18" hidden="false" customHeight="true" outlineLevel="0" collapsed="false"/>
    <row r="2596" customFormat="false" ht="18" hidden="false" customHeight="true" outlineLevel="0" collapsed="false"/>
    <row r="2597" customFormat="false" ht="18" hidden="false" customHeight="true" outlineLevel="0" collapsed="false"/>
    <row r="2598" customFormat="false" ht="18" hidden="false" customHeight="true" outlineLevel="0" collapsed="false"/>
    <row r="2599" customFormat="false" ht="18" hidden="false" customHeight="true" outlineLevel="0" collapsed="false"/>
    <row r="2600" customFormat="false" ht="18" hidden="false" customHeight="true" outlineLevel="0" collapsed="false"/>
    <row r="2601" customFormat="false" ht="18" hidden="false" customHeight="true" outlineLevel="0" collapsed="false"/>
    <row r="2602" customFormat="false" ht="18" hidden="false" customHeight="true" outlineLevel="0" collapsed="false"/>
    <row r="2603" customFormat="false" ht="18" hidden="false" customHeight="true" outlineLevel="0" collapsed="false"/>
    <row r="2604" customFormat="false" ht="18" hidden="false" customHeight="true" outlineLevel="0" collapsed="false"/>
    <row r="2605" customFormat="false" ht="18" hidden="false" customHeight="true" outlineLevel="0" collapsed="false"/>
    <row r="2606" customFormat="false" ht="18" hidden="false" customHeight="true" outlineLevel="0" collapsed="false"/>
    <row r="2607" customFormat="false" ht="18" hidden="false" customHeight="true" outlineLevel="0" collapsed="false"/>
    <row r="2608" customFormat="false" ht="18" hidden="false" customHeight="true" outlineLevel="0" collapsed="false"/>
    <row r="2609" customFormat="false" ht="18" hidden="false" customHeight="true" outlineLevel="0" collapsed="false"/>
    <row r="2610" customFormat="false" ht="18" hidden="false" customHeight="true" outlineLevel="0" collapsed="false"/>
    <row r="2611" customFormat="false" ht="18" hidden="false" customHeight="true" outlineLevel="0" collapsed="false"/>
    <row r="2612" customFormat="false" ht="18" hidden="false" customHeight="true" outlineLevel="0" collapsed="false"/>
    <row r="2613" customFormat="false" ht="18" hidden="false" customHeight="true" outlineLevel="0" collapsed="false"/>
    <row r="2614" customFormat="false" ht="18" hidden="false" customHeight="true" outlineLevel="0" collapsed="false"/>
    <row r="2615" customFormat="false" ht="18" hidden="false" customHeight="true" outlineLevel="0" collapsed="false"/>
    <row r="2616" customFormat="false" ht="18" hidden="false" customHeight="true" outlineLevel="0" collapsed="false"/>
    <row r="2617" customFormat="false" ht="18" hidden="false" customHeight="true" outlineLevel="0" collapsed="false"/>
    <row r="2618" customFormat="false" ht="18" hidden="false" customHeight="true" outlineLevel="0" collapsed="false"/>
    <row r="2619" customFormat="false" ht="18" hidden="false" customHeight="true" outlineLevel="0" collapsed="false"/>
    <row r="2620" customFormat="false" ht="18" hidden="false" customHeight="true" outlineLevel="0" collapsed="false"/>
    <row r="2621" customFormat="false" ht="18" hidden="false" customHeight="true" outlineLevel="0" collapsed="false"/>
    <row r="2622" customFormat="false" ht="18" hidden="false" customHeight="true" outlineLevel="0" collapsed="false"/>
    <row r="2623" customFormat="false" ht="18" hidden="false" customHeight="true" outlineLevel="0" collapsed="false"/>
    <row r="2624" customFormat="false" ht="18" hidden="false" customHeight="true" outlineLevel="0" collapsed="false"/>
    <row r="2625" customFormat="false" ht="18" hidden="false" customHeight="true" outlineLevel="0" collapsed="false"/>
    <row r="2626" customFormat="false" ht="18" hidden="false" customHeight="true" outlineLevel="0" collapsed="false"/>
    <row r="2627" customFormat="false" ht="18" hidden="false" customHeight="true" outlineLevel="0" collapsed="false"/>
    <row r="2628" customFormat="false" ht="18" hidden="false" customHeight="true" outlineLevel="0" collapsed="false"/>
    <row r="2629" customFormat="false" ht="18" hidden="false" customHeight="true" outlineLevel="0" collapsed="false"/>
    <row r="2630" customFormat="false" ht="18" hidden="false" customHeight="true" outlineLevel="0" collapsed="false"/>
    <row r="2631" customFormat="false" ht="18" hidden="false" customHeight="true" outlineLevel="0" collapsed="false"/>
    <row r="2632" customFormat="false" ht="18" hidden="false" customHeight="true" outlineLevel="0" collapsed="false"/>
    <row r="2633" customFormat="false" ht="18" hidden="false" customHeight="true" outlineLevel="0" collapsed="false"/>
    <row r="2634" customFormat="false" ht="18" hidden="false" customHeight="true" outlineLevel="0" collapsed="false"/>
    <row r="2635" customFormat="false" ht="18" hidden="false" customHeight="true" outlineLevel="0" collapsed="false"/>
    <row r="2636" customFormat="false" ht="18" hidden="false" customHeight="true" outlineLevel="0" collapsed="false"/>
    <row r="2637" customFormat="false" ht="18" hidden="false" customHeight="true" outlineLevel="0" collapsed="false"/>
    <row r="2638" customFormat="false" ht="18" hidden="false" customHeight="true" outlineLevel="0" collapsed="false"/>
    <row r="2639" customFormat="false" ht="18" hidden="false" customHeight="true" outlineLevel="0" collapsed="false"/>
    <row r="2640" customFormat="false" ht="18" hidden="false" customHeight="true" outlineLevel="0" collapsed="false"/>
    <row r="2641" customFormat="false" ht="18" hidden="false" customHeight="true" outlineLevel="0" collapsed="false"/>
    <row r="2642" customFormat="false" ht="18" hidden="false" customHeight="true" outlineLevel="0" collapsed="false"/>
    <row r="2643" customFormat="false" ht="18" hidden="false" customHeight="true" outlineLevel="0" collapsed="false"/>
    <row r="2644" customFormat="false" ht="18" hidden="false" customHeight="true" outlineLevel="0" collapsed="false"/>
    <row r="2645" customFormat="false" ht="18" hidden="false" customHeight="true" outlineLevel="0" collapsed="false"/>
    <row r="2646" customFormat="false" ht="18" hidden="false" customHeight="true" outlineLevel="0" collapsed="false"/>
    <row r="2647" customFormat="false" ht="18" hidden="false" customHeight="true" outlineLevel="0" collapsed="false"/>
    <row r="2648" customFormat="false" ht="18" hidden="false" customHeight="true" outlineLevel="0" collapsed="false"/>
    <row r="2649" customFormat="false" ht="18" hidden="false" customHeight="true" outlineLevel="0" collapsed="false"/>
    <row r="2650" customFormat="false" ht="18" hidden="false" customHeight="true" outlineLevel="0" collapsed="false"/>
    <row r="2651" customFormat="false" ht="18" hidden="false" customHeight="true" outlineLevel="0" collapsed="false"/>
    <row r="2652" customFormat="false" ht="18" hidden="false" customHeight="true" outlineLevel="0" collapsed="false"/>
    <row r="2653" customFormat="false" ht="18" hidden="false" customHeight="true" outlineLevel="0" collapsed="false"/>
    <row r="2654" customFormat="false" ht="18" hidden="false" customHeight="true" outlineLevel="0" collapsed="false"/>
    <row r="2655" customFormat="false" ht="18" hidden="false" customHeight="true" outlineLevel="0" collapsed="false"/>
    <row r="2656" customFormat="false" ht="18" hidden="false" customHeight="true" outlineLevel="0" collapsed="false"/>
    <row r="2657" customFormat="false" ht="18" hidden="false" customHeight="true" outlineLevel="0" collapsed="false"/>
    <row r="2658" customFormat="false" ht="18" hidden="false" customHeight="true" outlineLevel="0" collapsed="false"/>
    <row r="2659" customFormat="false" ht="18" hidden="false" customHeight="true" outlineLevel="0" collapsed="false"/>
    <row r="2660" customFormat="false" ht="18" hidden="false" customHeight="true" outlineLevel="0" collapsed="false"/>
    <row r="2661" customFormat="false" ht="18" hidden="false" customHeight="true" outlineLevel="0" collapsed="false"/>
    <row r="2662" customFormat="false" ht="18" hidden="false" customHeight="true" outlineLevel="0" collapsed="false"/>
    <row r="2663" customFormat="false" ht="18" hidden="false" customHeight="true" outlineLevel="0" collapsed="false"/>
    <row r="2664" customFormat="false" ht="18" hidden="false" customHeight="true" outlineLevel="0" collapsed="false"/>
    <row r="2665" customFormat="false" ht="18" hidden="false" customHeight="true" outlineLevel="0" collapsed="false"/>
    <row r="2666" customFormat="false" ht="18" hidden="false" customHeight="true" outlineLevel="0" collapsed="false"/>
    <row r="2667" customFormat="false" ht="18" hidden="false" customHeight="true" outlineLevel="0" collapsed="false"/>
    <row r="2668" customFormat="false" ht="18" hidden="false" customHeight="true" outlineLevel="0" collapsed="false"/>
    <row r="2669" customFormat="false" ht="18" hidden="false" customHeight="true" outlineLevel="0" collapsed="false"/>
    <row r="2670" customFormat="false" ht="18" hidden="false" customHeight="true" outlineLevel="0" collapsed="false"/>
    <row r="2671" customFormat="false" ht="18" hidden="false" customHeight="true" outlineLevel="0" collapsed="false"/>
    <row r="2672" customFormat="false" ht="18" hidden="false" customHeight="true" outlineLevel="0" collapsed="false"/>
    <row r="2673" customFormat="false" ht="18" hidden="false" customHeight="true" outlineLevel="0" collapsed="false"/>
    <row r="2674" customFormat="false" ht="18" hidden="false" customHeight="true" outlineLevel="0" collapsed="false"/>
    <row r="2675" customFormat="false" ht="18" hidden="false" customHeight="true" outlineLevel="0" collapsed="false"/>
    <row r="2676" customFormat="false" ht="18" hidden="false" customHeight="true" outlineLevel="0" collapsed="false"/>
    <row r="2677" customFormat="false" ht="18" hidden="false" customHeight="true" outlineLevel="0" collapsed="false"/>
    <row r="2678" customFormat="false" ht="18" hidden="false" customHeight="true" outlineLevel="0" collapsed="false"/>
    <row r="2679" customFormat="false" ht="18" hidden="false" customHeight="true" outlineLevel="0" collapsed="false"/>
    <row r="2680" customFormat="false" ht="18" hidden="false" customHeight="true" outlineLevel="0" collapsed="false"/>
    <row r="2681" customFormat="false" ht="18" hidden="false" customHeight="true" outlineLevel="0" collapsed="false"/>
    <row r="2682" customFormat="false" ht="18" hidden="false" customHeight="true" outlineLevel="0" collapsed="false"/>
    <row r="2683" customFormat="false" ht="18" hidden="false" customHeight="true" outlineLevel="0" collapsed="false"/>
    <row r="2684" customFormat="false" ht="18" hidden="false" customHeight="true" outlineLevel="0" collapsed="false"/>
    <row r="2685" customFormat="false" ht="18" hidden="false" customHeight="true" outlineLevel="0" collapsed="false"/>
    <row r="2686" customFormat="false" ht="18" hidden="false" customHeight="true" outlineLevel="0" collapsed="false"/>
    <row r="2687" customFormat="false" ht="18" hidden="false" customHeight="true" outlineLevel="0" collapsed="false"/>
    <row r="2688" customFormat="false" ht="18" hidden="false" customHeight="true" outlineLevel="0" collapsed="false"/>
    <row r="2689" customFormat="false" ht="18" hidden="false" customHeight="true" outlineLevel="0" collapsed="false"/>
    <row r="2690" customFormat="false" ht="18" hidden="false" customHeight="true" outlineLevel="0" collapsed="false"/>
    <row r="2691" customFormat="false" ht="18" hidden="false" customHeight="true" outlineLevel="0" collapsed="false"/>
    <row r="2692" customFormat="false" ht="18" hidden="false" customHeight="true" outlineLevel="0" collapsed="false"/>
    <row r="2693" customFormat="false" ht="18" hidden="false" customHeight="true" outlineLevel="0" collapsed="false"/>
    <row r="2694" customFormat="false" ht="18" hidden="false" customHeight="true" outlineLevel="0" collapsed="false"/>
    <row r="2695" customFormat="false" ht="18" hidden="false" customHeight="true" outlineLevel="0" collapsed="false"/>
    <row r="2696" customFormat="false" ht="18" hidden="false" customHeight="true" outlineLevel="0" collapsed="false"/>
    <row r="2697" customFormat="false" ht="18" hidden="false" customHeight="true" outlineLevel="0" collapsed="false"/>
    <row r="2698" customFormat="false" ht="18" hidden="false" customHeight="true" outlineLevel="0" collapsed="false"/>
    <row r="2699" customFormat="false" ht="18" hidden="false" customHeight="true" outlineLevel="0" collapsed="false"/>
    <row r="2700" customFormat="false" ht="18" hidden="false" customHeight="true" outlineLevel="0" collapsed="false"/>
    <row r="2701" customFormat="false" ht="18" hidden="false" customHeight="true" outlineLevel="0" collapsed="false"/>
    <row r="2702" customFormat="false" ht="18" hidden="false" customHeight="true" outlineLevel="0" collapsed="false"/>
    <row r="2703" customFormat="false" ht="18" hidden="false" customHeight="true" outlineLevel="0" collapsed="false"/>
    <row r="2704" customFormat="false" ht="18" hidden="false" customHeight="true" outlineLevel="0" collapsed="false"/>
    <row r="2705" customFormat="false" ht="18" hidden="false" customHeight="true" outlineLevel="0" collapsed="false"/>
    <row r="2706" customFormat="false" ht="18" hidden="false" customHeight="true" outlineLevel="0" collapsed="false"/>
    <row r="2707" customFormat="false" ht="18" hidden="false" customHeight="true" outlineLevel="0" collapsed="false"/>
    <row r="2708" customFormat="false" ht="18" hidden="false" customHeight="true" outlineLevel="0" collapsed="false"/>
    <row r="2709" customFormat="false" ht="18" hidden="false" customHeight="true" outlineLevel="0" collapsed="false"/>
    <row r="2710" customFormat="false" ht="18" hidden="false" customHeight="true" outlineLevel="0" collapsed="false"/>
    <row r="2711" customFormat="false" ht="18" hidden="false" customHeight="true" outlineLevel="0" collapsed="false"/>
    <row r="2712" customFormat="false" ht="18" hidden="false" customHeight="true" outlineLevel="0" collapsed="false"/>
    <row r="2713" customFormat="false" ht="18" hidden="false" customHeight="true" outlineLevel="0" collapsed="false"/>
    <row r="2714" customFormat="false" ht="18" hidden="false" customHeight="true" outlineLevel="0" collapsed="false"/>
    <row r="2715" customFormat="false" ht="18" hidden="false" customHeight="true" outlineLevel="0" collapsed="false"/>
    <row r="2716" customFormat="false" ht="18" hidden="false" customHeight="true" outlineLevel="0" collapsed="false"/>
    <row r="2717" customFormat="false" ht="18" hidden="false" customHeight="true" outlineLevel="0" collapsed="false"/>
    <row r="2718" customFormat="false" ht="18" hidden="false" customHeight="true" outlineLevel="0" collapsed="false"/>
    <row r="2719" customFormat="false" ht="18" hidden="false" customHeight="true" outlineLevel="0" collapsed="false"/>
    <row r="2720" customFormat="false" ht="18" hidden="false" customHeight="true" outlineLevel="0" collapsed="false"/>
    <row r="2721" customFormat="false" ht="18" hidden="false" customHeight="true" outlineLevel="0" collapsed="false"/>
    <row r="2722" customFormat="false" ht="18" hidden="false" customHeight="true" outlineLevel="0" collapsed="false"/>
    <row r="2723" customFormat="false" ht="18" hidden="false" customHeight="true" outlineLevel="0" collapsed="false"/>
    <row r="2724" customFormat="false" ht="18" hidden="false" customHeight="true" outlineLevel="0" collapsed="false"/>
    <row r="2725" customFormat="false" ht="18" hidden="false" customHeight="true" outlineLevel="0" collapsed="false"/>
    <row r="2726" customFormat="false" ht="18" hidden="false" customHeight="true" outlineLevel="0" collapsed="false"/>
    <row r="2727" customFormat="false" ht="18" hidden="false" customHeight="true" outlineLevel="0" collapsed="false"/>
    <row r="2728" customFormat="false" ht="18" hidden="false" customHeight="true" outlineLevel="0" collapsed="false"/>
    <row r="2729" customFormat="false" ht="18" hidden="false" customHeight="true" outlineLevel="0" collapsed="false"/>
    <row r="2730" customFormat="false" ht="18" hidden="false" customHeight="true" outlineLevel="0" collapsed="false"/>
    <row r="2731" customFormat="false" ht="18" hidden="false" customHeight="true" outlineLevel="0" collapsed="false"/>
    <row r="2732" customFormat="false" ht="18" hidden="false" customHeight="true" outlineLevel="0" collapsed="false"/>
    <row r="2733" customFormat="false" ht="18" hidden="false" customHeight="true" outlineLevel="0" collapsed="false"/>
    <row r="2734" customFormat="false" ht="18" hidden="false" customHeight="true" outlineLevel="0" collapsed="false"/>
    <row r="2735" customFormat="false" ht="18" hidden="false" customHeight="true" outlineLevel="0" collapsed="false"/>
    <row r="2736" customFormat="false" ht="18" hidden="false" customHeight="true" outlineLevel="0" collapsed="false"/>
    <row r="2737" customFormat="false" ht="18" hidden="false" customHeight="true" outlineLevel="0" collapsed="false"/>
    <row r="2738" customFormat="false" ht="18" hidden="false" customHeight="true" outlineLevel="0" collapsed="false"/>
    <row r="2739" customFormat="false" ht="18" hidden="false" customHeight="true" outlineLevel="0" collapsed="false"/>
    <row r="2740" customFormat="false" ht="18" hidden="false" customHeight="true" outlineLevel="0" collapsed="false"/>
    <row r="2741" customFormat="false" ht="18" hidden="false" customHeight="true" outlineLevel="0" collapsed="false"/>
    <row r="2742" customFormat="false" ht="18" hidden="false" customHeight="true" outlineLevel="0" collapsed="false"/>
    <row r="2743" customFormat="false" ht="18" hidden="false" customHeight="true" outlineLevel="0" collapsed="false"/>
    <row r="2744" customFormat="false" ht="18" hidden="false" customHeight="true" outlineLevel="0" collapsed="false"/>
    <row r="2745" customFormat="false" ht="18" hidden="false" customHeight="true" outlineLevel="0" collapsed="false"/>
    <row r="2746" customFormat="false" ht="18" hidden="false" customHeight="true" outlineLevel="0" collapsed="false"/>
    <row r="2747" customFormat="false" ht="18" hidden="false" customHeight="true" outlineLevel="0" collapsed="false"/>
    <row r="2748" customFormat="false" ht="18" hidden="false" customHeight="true" outlineLevel="0" collapsed="false"/>
    <row r="2749" customFormat="false" ht="18" hidden="false" customHeight="true" outlineLevel="0" collapsed="false"/>
    <row r="2750" customFormat="false" ht="18" hidden="false" customHeight="true" outlineLevel="0" collapsed="false"/>
    <row r="2751" customFormat="false" ht="18" hidden="false" customHeight="true" outlineLevel="0" collapsed="false"/>
    <row r="2752" customFormat="false" ht="18" hidden="false" customHeight="true" outlineLevel="0" collapsed="false"/>
    <row r="2753" customFormat="false" ht="18" hidden="false" customHeight="true" outlineLevel="0" collapsed="false"/>
    <row r="2754" customFormat="false" ht="18" hidden="false" customHeight="true" outlineLevel="0" collapsed="false"/>
    <row r="2755" customFormat="false" ht="18" hidden="false" customHeight="true" outlineLevel="0" collapsed="false"/>
    <row r="2756" customFormat="false" ht="18" hidden="false" customHeight="true" outlineLevel="0" collapsed="false"/>
    <row r="2757" customFormat="false" ht="18" hidden="false" customHeight="true" outlineLevel="0" collapsed="false"/>
    <row r="2758" customFormat="false" ht="18" hidden="false" customHeight="true" outlineLevel="0" collapsed="false"/>
    <row r="2759" customFormat="false" ht="18" hidden="false" customHeight="true" outlineLevel="0" collapsed="false"/>
    <row r="2760" customFormat="false" ht="18" hidden="false" customHeight="true" outlineLevel="0" collapsed="false"/>
    <row r="2761" customFormat="false" ht="18" hidden="false" customHeight="true" outlineLevel="0" collapsed="false"/>
    <row r="2762" customFormat="false" ht="18" hidden="false" customHeight="true" outlineLevel="0" collapsed="false"/>
    <row r="2763" customFormat="false" ht="18" hidden="false" customHeight="true" outlineLevel="0" collapsed="false"/>
    <row r="2764" customFormat="false" ht="18" hidden="false" customHeight="true" outlineLevel="0" collapsed="false"/>
    <row r="2765" customFormat="false" ht="18" hidden="false" customHeight="true" outlineLevel="0" collapsed="false"/>
    <row r="2766" customFormat="false" ht="18" hidden="false" customHeight="true" outlineLevel="0" collapsed="false"/>
    <row r="2767" customFormat="false" ht="18" hidden="false" customHeight="true" outlineLevel="0" collapsed="false"/>
    <row r="2768" customFormat="false" ht="18" hidden="false" customHeight="true" outlineLevel="0" collapsed="false"/>
    <row r="2769" customFormat="false" ht="18" hidden="false" customHeight="true" outlineLevel="0" collapsed="false"/>
    <row r="2770" customFormat="false" ht="18" hidden="false" customHeight="true" outlineLevel="0" collapsed="false"/>
    <row r="2771" customFormat="false" ht="18" hidden="false" customHeight="true" outlineLevel="0" collapsed="false"/>
    <row r="2772" customFormat="false" ht="18" hidden="false" customHeight="true" outlineLevel="0" collapsed="false"/>
    <row r="2773" customFormat="false" ht="18" hidden="false" customHeight="true" outlineLevel="0" collapsed="false"/>
    <row r="2774" customFormat="false" ht="18" hidden="false" customHeight="true" outlineLevel="0" collapsed="false"/>
    <row r="2775" customFormat="false" ht="18" hidden="false" customHeight="true" outlineLevel="0" collapsed="false"/>
    <row r="2776" customFormat="false" ht="18" hidden="false" customHeight="true" outlineLevel="0" collapsed="false"/>
    <row r="2777" customFormat="false" ht="18" hidden="false" customHeight="true" outlineLevel="0" collapsed="false"/>
    <row r="2778" customFormat="false" ht="18" hidden="false" customHeight="true" outlineLevel="0" collapsed="false"/>
    <row r="2779" customFormat="false" ht="18" hidden="false" customHeight="true" outlineLevel="0" collapsed="false"/>
    <row r="2780" customFormat="false" ht="18" hidden="false" customHeight="true" outlineLevel="0" collapsed="false"/>
    <row r="2781" customFormat="false" ht="18" hidden="false" customHeight="true" outlineLevel="0" collapsed="false"/>
    <row r="2782" customFormat="false" ht="18" hidden="false" customHeight="true" outlineLevel="0" collapsed="false"/>
    <row r="2783" customFormat="false" ht="18" hidden="false" customHeight="true" outlineLevel="0" collapsed="false"/>
    <row r="2784" customFormat="false" ht="18" hidden="false" customHeight="true" outlineLevel="0" collapsed="false"/>
    <row r="2785" customFormat="false" ht="18" hidden="false" customHeight="true" outlineLevel="0" collapsed="false"/>
    <row r="2786" customFormat="false" ht="18" hidden="false" customHeight="true" outlineLevel="0" collapsed="false"/>
    <row r="2787" customFormat="false" ht="18" hidden="false" customHeight="true" outlineLevel="0" collapsed="false"/>
    <row r="2788" customFormat="false" ht="18" hidden="false" customHeight="true" outlineLevel="0" collapsed="false"/>
    <row r="2789" customFormat="false" ht="18" hidden="false" customHeight="true" outlineLevel="0" collapsed="false"/>
    <row r="2790" customFormat="false" ht="18" hidden="false" customHeight="true" outlineLevel="0" collapsed="false"/>
    <row r="2791" customFormat="false" ht="18" hidden="false" customHeight="true" outlineLevel="0" collapsed="false"/>
    <row r="2792" customFormat="false" ht="18" hidden="false" customHeight="true" outlineLevel="0" collapsed="false"/>
    <row r="2793" customFormat="false" ht="18" hidden="false" customHeight="true" outlineLevel="0" collapsed="false"/>
    <row r="2794" customFormat="false" ht="18" hidden="false" customHeight="true" outlineLevel="0" collapsed="false"/>
    <row r="2795" customFormat="false" ht="18" hidden="false" customHeight="true" outlineLevel="0" collapsed="false"/>
    <row r="2796" customFormat="false" ht="18" hidden="false" customHeight="true" outlineLevel="0" collapsed="false"/>
    <row r="2797" customFormat="false" ht="18" hidden="false" customHeight="true" outlineLevel="0" collapsed="false"/>
    <row r="2798" customFormat="false" ht="18" hidden="false" customHeight="true" outlineLevel="0" collapsed="false"/>
    <row r="2799" customFormat="false" ht="18" hidden="false" customHeight="true" outlineLevel="0" collapsed="false"/>
    <row r="2800" customFormat="false" ht="18" hidden="false" customHeight="true" outlineLevel="0" collapsed="false"/>
    <row r="2801" customFormat="false" ht="18" hidden="false" customHeight="true" outlineLevel="0" collapsed="false"/>
    <row r="2802" customFormat="false" ht="18" hidden="false" customHeight="true" outlineLevel="0" collapsed="false"/>
    <row r="2803" customFormat="false" ht="18" hidden="false" customHeight="true" outlineLevel="0" collapsed="false"/>
    <row r="2804" customFormat="false" ht="18" hidden="false" customHeight="true" outlineLevel="0" collapsed="false"/>
    <row r="2805" customFormat="false" ht="18" hidden="false" customHeight="true" outlineLevel="0" collapsed="false"/>
    <row r="2806" customFormat="false" ht="18" hidden="false" customHeight="true" outlineLevel="0" collapsed="false"/>
    <row r="2807" customFormat="false" ht="18" hidden="false" customHeight="true" outlineLevel="0" collapsed="false"/>
    <row r="2808" customFormat="false" ht="18" hidden="false" customHeight="true" outlineLevel="0" collapsed="false"/>
    <row r="2809" customFormat="false" ht="18" hidden="false" customHeight="true" outlineLevel="0" collapsed="false"/>
    <row r="2810" customFormat="false" ht="18" hidden="false" customHeight="true" outlineLevel="0" collapsed="false"/>
    <row r="2811" customFormat="false" ht="18" hidden="false" customHeight="true" outlineLevel="0" collapsed="false"/>
    <row r="2812" customFormat="false" ht="18" hidden="false" customHeight="true" outlineLevel="0" collapsed="false"/>
    <row r="2813" customFormat="false" ht="18" hidden="false" customHeight="true" outlineLevel="0" collapsed="false"/>
    <row r="2814" customFormat="false" ht="18" hidden="false" customHeight="true" outlineLevel="0" collapsed="false"/>
    <row r="2815" customFormat="false" ht="18" hidden="false" customHeight="true" outlineLevel="0" collapsed="false"/>
    <row r="2816" customFormat="false" ht="18" hidden="false" customHeight="true" outlineLevel="0" collapsed="false"/>
    <row r="2817" customFormat="false" ht="18" hidden="false" customHeight="true" outlineLevel="0" collapsed="false"/>
    <row r="2818" customFormat="false" ht="18" hidden="false" customHeight="true" outlineLevel="0" collapsed="false"/>
    <row r="2819" customFormat="false" ht="18" hidden="false" customHeight="true" outlineLevel="0" collapsed="false"/>
    <row r="2820" customFormat="false" ht="18" hidden="false" customHeight="true" outlineLevel="0" collapsed="false"/>
    <row r="2821" customFormat="false" ht="18" hidden="false" customHeight="true" outlineLevel="0" collapsed="false"/>
    <row r="2822" customFormat="false" ht="18" hidden="false" customHeight="true" outlineLevel="0" collapsed="false"/>
    <row r="2823" customFormat="false" ht="18" hidden="false" customHeight="true" outlineLevel="0" collapsed="false"/>
    <row r="2824" customFormat="false" ht="18" hidden="false" customHeight="true" outlineLevel="0" collapsed="false"/>
    <row r="2825" customFormat="false" ht="18" hidden="false" customHeight="true" outlineLevel="0" collapsed="false"/>
    <row r="2826" customFormat="false" ht="18" hidden="false" customHeight="true" outlineLevel="0" collapsed="false"/>
    <row r="2827" customFormat="false" ht="18" hidden="false" customHeight="true" outlineLevel="0" collapsed="false"/>
    <row r="2828" customFormat="false" ht="18" hidden="false" customHeight="true" outlineLevel="0" collapsed="false"/>
    <row r="2829" customFormat="false" ht="18" hidden="false" customHeight="true" outlineLevel="0" collapsed="false"/>
    <row r="2830" customFormat="false" ht="18" hidden="false" customHeight="true" outlineLevel="0" collapsed="false"/>
    <row r="2831" customFormat="false" ht="18" hidden="false" customHeight="true" outlineLevel="0" collapsed="false"/>
    <row r="2832" customFormat="false" ht="18" hidden="false" customHeight="true" outlineLevel="0" collapsed="false"/>
    <row r="2833" customFormat="false" ht="18" hidden="false" customHeight="true" outlineLevel="0" collapsed="false"/>
    <row r="2834" customFormat="false" ht="18" hidden="false" customHeight="true" outlineLevel="0" collapsed="false"/>
    <row r="2835" customFormat="false" ht="18" hidden="false" customHeight="true" outlineLevel="0" collapsed="false"/>
    <row r="2836" customFormat="false" ht="18" hidden="false" customHeight="true" outlineLevel="0" collapsed="false"/>
    <row r="2837" customFormat="false" ht="18" hidden="false" customHeight="true" outlineLevel="0" collapsed="false"/>
    <row r="2838" customFormat="false" ht="18" hidden="false" customHeight="true" outlineLevel="0" collapsed="false"/>
    <row r="2839" customFormat="false" ht="18" hidden="false" customHeight="true" outlineLevel="0" collapsed="false"/>
    <row r="2840" customFormat="false" ht="18" hidden="false" customHeight="true" outlineLevel="0" collapsed="false"/>
    <row r="2841" customFormat="false" ht="18" hidden="false" customHeight="true" outlineLevel="0" collapsed="false"/>
    <row r="2842" customFormat="false" ht="18" hidden="false" customHeight="true" outlineLevel="0" collapsed="false"/>
    <row r="2843" customFormat="false" ht="18" hidden="false" customHeight="true" outlineLevel="0" collapsed="false"/>
    <row r="2844" customFormat="false" ht="18" hidden="false" customHeight="true" outlineLevel="0" collapsed="false"/>
    <row r="2845" customFormat="false" ht="18" hidden="false" customHeight="true" outlineLevel="0" collapsed="false"/>
    <row r="2846" customFormat="false" ht="18" hidden="false" customHeight="true" outlineLevel="0" collapsed="false"/>
    <row r="2847" customFormat="false" ht="18" hidden="false" customHeight="true" outlineLevel="0" collapsed="false"/>
    <row r="2848" customFormat="false" ht="18" hidden="false" customHeight="true" outlineLevel="0" collapsed="false"/>
    <row r="2849" customFormat="false" ht="18" hidden="false" customHeight="true" outlineLevel="0" collapsed="false"/>
    <row r="2850" customFormat="false" ht="18" hidden="false" customHeight="true" outlineLevel="0" collapsed="false"/>
    <row r="2851" customFormat="false" ht="18" hidden="false" customHeight="true" outlineLevel="0" collapsed="false"/>
    <row r="2852" customFormat="false" ht="18" hidden="false" customHeight="true" outlineLevel="0" collapsed="false"/>
    <row r="2853" customFormat="false" ht="18" hidden="false" customHeight="true" outlineLevel="0" collapsed="false"/>
    <row r="2854" customFormat="false" ht="18" hidden="false" customHeight="true" outlineLevel="0" collapsed="false"/>
    <row r="2855" customFormat="false" ht="18" hidden="false" customHeight="true" outlineLevel="0" collapsed="false"/>
    <row r="2856" customFormat="false" ht="18" hidden="false" customHeight="true" outlineLevel="0" collapsed="false"/>
    <row r="2857" customFormat="false" ht="18" hidden="false" customHeight="true" outlineLevel="0" collapsed="false"/>
    <row r="2858" customFormat="false" ht="18" hidden="false" customHeight="true" outlineLevel="0" collapsed="false"/>
    <row r="2859" customFormat="false" ht="18" hidden="false" customHeight="true" outlineLevel="0" collapsed="false"/>
    <row r="2860" customFormat="false" ht="18" hidden="false" customHeight="true" outlineLevel="0" collapsed="false"/>
    <row r="2861" customFormat="false" ht="18" hidden="false" customHeight="true" outlineLevel="0" collapsed="false"/>
    <row r="2862" customFormat="false" ht="18" hidden="false" customHeight="true" outlineLevel="0" collapsed="false"/>
    <row r="2863" customFormat="false" ht="18" hidden="false" customHeight="true" outlineLevel="0" collapsed="false"/>
    <row r="2864" customFormat="false" ht="18" hidden="false" customHeight="true" outlineLevel="0" collapsed="false"/>
    <row r="2865" customFormat="false" ht="18" hidden="false" customHeight="true" outlineLevel="0" collapsed="false"/>
    <row r="2866" customFormat="false" ht="18" hidden="false" customHeight="true" outlineLevel="0" collapsed="false"/>
    <row r="2867" customFormat="false" ht="18" hidden="false" customHeight="true" outlineLevel="0" collapsed="false"/>
    <row r="2868" customFormat="false" ht="18" hidden="false" customHeight="true" outlineLevel="0" collapsed="false"/>
    <row r="2869" customFormat="false" ht="18" hidden="false" customHeight="true" outlineLevel="0" collapsed="false"/>
    <row r="2870" customFormat="false" ht="18" hidden="false" customHeight="true" outlineLevel="0" collapsed="false"/>
    <row r="2871" customFormat="false" ht="18" hidden="false" customHeight="true" outlineLevel="0" collapsed="false"/>
    <row r="2872" customFormat="false" ht="18" hidden="false" customHeight="true" outlineLevel="0" collapsed="false"/>
    <row r="2873" customFormat="false" ht="18" hidden="false" customHeight="true" outlineLevel="0" collapsed="false"/>
    <row r="2874" customFormat="false" ht="18" hidden="false" customHeight="true" outlineLevel="0" collapsed="false"/>
    <row r="2875" customFormat="false" ht="18" hidden="false" customHeight="true" outlineLevel="0" collapsed="false"/>
    <row r="2876" customFormat="false" ht="18" hidden="false" customHeight="true" outlineLevel="0" collapsed="false"/>
    <row r="2877" customFormat="false" ht="18" hidden="false" customHeight="true" outlineLevel="0" collapsed="false"/>
    <row r="2878" customFormat="false" ht="18" hidden="false" customHeight="true" outlineLevel="0" collapsed="false"/>
    <row r="2879" customFormat="false" ht="18" hidden="false" customHeight="true" outlineLevel="0" collapsed="false"/>
    <row r="2880" customFormat="false" ht="18" hidden="false" customHeight="true" outlineLevel="0" collapsed="false"/>
    <row r="2881" customFormat="false" ht="18" hidden="false" customHeight="true" outlineLevel="0" collapsed="false"/>
    <row r="2882" customFormat="false" ht="18" hidden="false" customHeight="true" outlineLevel="0" collapsed="false"/>
    <row r="2883" customFormat="false" ht="18" hidden="false" customHeight="true" outlineLevel="0" collapsed="false"/>
    <row r="2884" customFormat="false" ht="18" hidden="false" customHeight="true" outlineLevel="0" collapsed="false"/>
    <row r="2885" customFormat="false" ht="18" hidden="false" customHeight="true" outlineLevel="0" collapsed="false"/>
    <row r="2886" customFormat="false" ht="18" hidden="false" customHeight="true" outlineLevel="0" collapsed="false"/>
    <row r="2887" customFormat="false" ht="18" hidden="false" customHeight="true" outlineLevel="0" collapsed="false"/>
    <row r="2888" customFormat="false" ht="18" hidden="false" customHeight="true" outlineLevel="0" collapsed="false"/>
    <row r="2889" customFormat="false" ht="18" hidden="false" customHeight="true" outlineLevel="0" collapsed="false"/>
    <row r="2890" customFormat="false" ht="18" hidden="false" customHeight="true" outlineLevel="0" collapsed="false"/>
    <row r="2891" customFormat="false" ht="18" hidden="false" customHeight="true" outlineLevel="0" collapsed="false"/>
    <row r="2892" customFormat="false" ht="18" hidden="false" customHeight="true" outlineLevel="0" collapsed="false"/>
    <row r="2893" customFormat="false" ht="18" hidden="false" customHeight="true" outlineLevel="0" collapsed="false"/>
    <row r="2894" customFormat="false" ht="18" hidden="false" customHeight="true" outlineLevel="0" collapsed="false"/>
    <row r="2895" customFormat="false" ht="18" hidden="false" customHeight="true" outlineLevel="0" collapsed="false"/>
    <row r="2896" customFormat="false" ht="18" hidden="false" customHeight="true" outlineLevel="0" collapsed="false"/>
    <row r="2897" customFormat="false" ht="18" hidden="false" customHeight="true" outlineLevel="0" collapsed="false"/>
    <row r="2898" customFormat="false" ht="18" hidden="false" customHeight="true" outlineLevel="0" collapsed="false"/>
    <row r="2899" customFormat="false" ht="18" hidden="false" customHeight="true" outlineLevel="0" collapsed="false"/>
    <row r="2900" customFormat="false" ht="18" hidden="false" customHeight="true" outlineLevel="0" collapsed="false"/>
    <row r="2901" customFormat="false" ht="18" hidden="false" customHeight="true" outlineLevel="0" collapsed="false"/>
    <row r="2902" customFormat="false" ht="18" hidden="false" customHeight="true" outlineLevel="0" collapsed="false"/>
    <row r="2903" customFormat="false" ht="18" hidden="false" customHeight="true" outlineLevel="0" collapsed="false"/>
    <row r="2904" customFormat="false" ht="18" hidden="false" customHeight="true" outlineLevel="0" collapsed="false"/>
    <row r="2905" customFormat="false" ht="18" hidden="false" customHeight="true" outlineLevel="0" collapsed="false"/>
    <row r="2906" customFormat="false" ht="18" hidden="false" customHeight="true" outlineLevel="0" collapsed="false"/>
    <row r="2907" customFormat="false" ht="18" hidden="false" customHeight="true" outlineLevel="0" collapsed="false"/>
    <row r="2908" customFormat="false" ht="18" hidden="false" customHeight="true" outlineLevel="0" collapsed="false"/>
    <row r="2909" customFormat="false" ht="18" hidden="false" customHeight="true" outlineLevel="0" collapsed="false"/>
    <row r="2910" customFormat="false" ht="18" hidden="false" customHeight="true" outlineLevel="0" collapsed="false"/>
    <row r="2911" customFormat="false" ht="18" hidden="false" customHeight="true" outlineLevel="0" collapsed="false"/>
    <row r="2912" customFormat="false" ht="18" hidden="false" customHeight="true" outlineLevel="0" collapsed="false"/>
    <row r="2913" customFormat="false" ht="18" hidden="false" customHeight="true" outlineLevel="0" collapsed="false"/>
    <row r="2914" customFormat="false" ht="18" hidden="false" customHeight="true" outlineLevel="0" collapsed="false"/>
    <row r="2915" customFormat="false" ht="18" hidden="false" customHeight="true" outlineLevel="0" collapsed="false"/>
    <row r="2916" customFormat="false" ht="18" hidden="false" customHeight="true" outlineLevel="0" collapsed="false"/>
    <row r="2917" customFormat="false" ht="18" hidden="false" customHeight="true" outlineLevel="0" collapsed="false"/>
    <row r="2918" customFormat="false" ht="18" hidden="false" customHeight="true" outlineLevel="0" collapsed="false"/>
    <row r="2919" customFormat="false" ht="18" hidden="false" customHeight="true" outlineLevel="0" collapsed="false"/>
    <row r="2920" customFormat="false" ht="18" hidden="false" customHeight="true" outlineLevel="0" collapsed="false"/>
    <row r="2921" customFormat="false" ht="18" hidden="false" customHeight="true" outlineLevel="0" collapsed="false"/>
    <row r="2922" customFormat="false" ht="18" hidden="false" customHeight="true" outlineLevel="0" collapsed="false"/>
    <row r="2923" customFormat="false" ht="18" hidden="false" customHeight="true" outlineLevel="0" collapsed="false"/>
    <row r="2924" customFormat="false" ht="18" hidden="false" customHeight="true" outlineLevel="0" collapsed="false"/>
    <row r="2925" customFormat="false" ht="18" hidden="false" customHeight="true" outlineLevel="0" collapsed="false"/>
    <row r="2926" customFormat="false" ht="18" hidden="false" customHeight="true" outlineLevel="0" collapsed="false"/>
    <row r="2927" customFormat="false" ht="18" hidden="false" customHeight="true" outlineLevel="0" collapsed="false"/>
    <row r="2928" customFormat="false" ht="18" hidden="false" customHeight="true" outlineLevel="0" collapsed="false"/>
    <row r="2929" customFormat="false" ht="18" hidden="false" customHeight="true" outlineLevel="0" collapsed="false"/>
    <row r="2930" customFormat="false" ht="18" hidden="false" customHeight="true" outlineLevel="0" collapsed="false"/>
    <row r="2931" customFormat="false" ht="18" hidden="false" customHeight="true" outlineLevel="0" collapsed="false"/>
    <row r="2932" customFormat="false" ht="18" hidden="false" customHeight="true" outlineLevel="0" collapsed="false"/>
    <row r="2933" customFormat="false" ht="18" hidden="false" customHeight="true" outlineLevel="0" collapsed="false"/>
    <row r="2934" customFormat="false" ht="18" hidden="false" customHeight="true" outlineLevel="0" collapsed="false"/>
    <row r="2935" customFormat="false" ht="18" hidden="false" customHeight="true" outlineLevel="0" collapsed="false"/>
    <row r="2936" customFormat="false" ht="18" hidden="false" customHeight="true" outlineLevel="0" collapsed="false"/>
    <row r="2937" customFormat="false" ht="18" hidden="false" customHeight="true" outlineLevel="0" collapsed="false"/>
    <row r="2938" customFormat="false" ht="18" hidden="false" customHeight="true" outlineLevel="0" collapsed="false"/>
    <row r="2939" customFormat="false" ht="18" hidden="false" customHeight="true" outlineLevel="0" collapsed="false"/>
    <row r="2940" customFormat="false" ht="18" hidden="false" customHeight="true" outlineLevel="0" collapsed="false"/>
    <row r="2941" customFormat="false" ht="18" hidden="false" customHeight="true" outlineLevel="0" collapsed="false"/>
    <row r="2942" customFormat="false" ht="18" hidden="false" customHeight="true" outlineLevel="0" collapsed="false"/>
    <row r="2943" customFormat="false" ht="18" hidden="false" customHeight="true" outlineLevel="0" collapsed="false"/>
    <row r="2944" customFormat="false" ht="18" hidden="false" customHeight="true" outlineLevel="0" collapsed="false"/>
    <row r="2945" customFormat="false" ht="18" hidden="false" customHeight="true" outlineLevel="0" collapsed="false"/>
    <row r="2946" customFormat="false" ht="18" hidden="false" customHeight="true" outlineLevel="0" collapsed="false"/>
    <row r="2947" customFormat="false" ht="18" hidden="false" customHeight="true" outlineLevel="0" collapsed="false"/>
    <row r="2948" customFormat="false" ht="18" hidden="false" customHeight="true" outlineLevel="0" collapsed="false"/>
    <row r="2949" customFormat="false" ht="18" hidden="false" customHeight="true" outlineLevel="0" collapsed="false"/>
    <row r="2950" customFormat="false" ht="18" hidden="false" customHeight="true" outlineLevel="0" collapsed="false"/>
    <row r="2951" customFormat="false" ht="18" hidden="false" customHeight="true" outlineLevel="0" collapsed="false"/>
    <row r="2952" customFormat="false" ht="18" hidden="false" customHeight="true" outlineLevel="0" collapsed="false"/>
    <row r="2953" customFormat="false" ht="18" hidden="false" customHeight="true" outlineLevel="0" collapsed="false"/>
    <row r="2954" customFormat="false" ht="18" hidden="false" customHeight="true" outlineLevel="0" collapsed="false"/>
    <row r="2955" customFormat="false" ht="18" hidden="false" customHeight="true" outlineLevel="0" collapsed="false"/>
    <row r="2956" customFormat="false" ht="18" hidden="false" customHeight="true" outlineLevel="0" collapsed="false"/>
    <row r="2957" customFormat="false" ht="18" hidden="false" customHeight="true" outlineLevel="0" collapsed="false"/>
    <row r="2958" customFormat="false" ht="18" hidden="false" customHeight="true" outlineLevel="0" collapsed="false"/>
    <row r="2959" customFormat="false" ht="18" hidden="false" customHeight="true" outlineLevel="0" collapsed="false"/>
    <row r="2960" customFormat="false" ht="18" hidden="false" customHeight="true" outlineLevel="0" collapsed="false"/>
    <row r="2961" customFormat="false" ht="18" hidden="false" customHeight="true" outlineLevel="0" collapsed="false"/>
    <row r="2962" customFormat="false" ht="18" hidden="false" customHeight="true" outlineLevel="0" collapsed="false"/>
    <row r="2963" customFormat="false" ht="18" hidden="false" customHeight="true" outlineLevel="0" collapsed="false"/>
    <row r="2964" customFormat="false" ht="18" hidden="false" customHeight="true" outlineLevel="0" collapsed="false"/>
    <row r="2965" customFormat="false" ht="18" hidden="false" customHeight="true" outlineLevel="0" collapsed="false"/>
    <row r="2966" customFormat="false" ht="18" hidden="false" customHeight="true" outlineLevel="0" collapsed="false"/>
    <row r="2967" customFormat="false" ht="18" hidden="false" customHeight="true" outlineLevel="0" collapsed="false"/>
    <row r="2968" customFormat="false" ht="18" hidden="false" customHeight="true" outlineLevel="0" collapsed="false"/>
    <row r="2969" customFormat="false" ht="18" hidden="false" customHeight="true" outlineLevel="0" collapsed="false"/>
    <row r="2970" customFormat="false" ht="18" hidden="false" customHeight="true" outlineLevel="0" collapsed="false"/>
    <row r="2971" customFormat="false" ht="18" hidden="false" customHeight="true" outlineLevel="0" collapsed="false"/>
    <row r="2972" customFormat="false" ht="18" hidden="false" customHeight="true" outlineLevel="0" collapsed="false"/>
    <row r="2973" customFormat="false" ht="18" hidden="false" customHeight="true" outlineLevel="0" collapsed="false"/>
    <row r="2974" customFormat="false" ht="18" hidden="false" customHeight="true" outlineLevel="0" collapsed="false"/>
    <row r="2975" customFormat="false" ht="18" hidden="false" customHeight="true" outlineLevel="0" collapsed="false"/>
    <row r="2976" customFormat="false" ht="18" hidden="false" customHeight="true" outlineLevel="0" collapsed="false"/>
    <row r="2977" customFormat="false" ht="18" hidden="false" customHeight="true" outlineLevel="0" collapsed="false"/>
    <row r="2978" customFormat="false" ht="18" hidden="false" customHeight="true" outlineLevel="0" collapsed="false"/>
    <row r="2979" customFormat="false" ht="18" hidden="false" customHeight="true" outlineLevel="0" collapsed="false"/>
    <row r="2980" customFormat="false" ht="18" hidden="false" customHeight="true" outlineLevel="0" collapsed="false"/>
    <row r="2981" customFormat="false" ht="18" hidden="false" customHeight="true" outlineLevel="0" collapsed="false"/>
    <row r="2982" customFormat="false" ht="18" hidden="false" customHeight="true" outlineLevel="0" collapsed="false"/>
    <row r="2983" customFormat="false" ht="18" hidden="false" customHeight="true" outlineLevel="0" collapsed="false"/>
    <row r="2984" customFormat="false" ht="18" hidden="false" customHeight="true" outlineLevel="0" collapsed="false"/>
    <row r="2985" customFormat="false" ht="18" hidden="false" customHeight="true" outlineLevel="0" collapsed="false"/>
    <row r="2986" customFormat="false" ht="18" hidden="false" customHeight="true" outlineLevel="0" collapsed="false"/>
    <row r="2987" customFormat="false" ht="18" hidden="false" customHeight="true" outlineLevel="0" collapsed="false"/>
    <row r="2988" customFormat="false" ht="18" hidden="false" customHeight="true" outlineLevel="0" collapsed="false"/>
    <row r="2989" customFormat="false" ht="18" hidden="false" customHeight="true" outlineLevel="0" collapsed="false"/>
    <row r="2990" customFormat="false" ht="18" hidden="false" customHeight="true" outlineLevel="0" collapsed="false"/>
    <row r="2991" customFormat="false" ht="18" hidden="false" customHeight="true" outlineLevel="0" collapsed="false"/>
    <row r="2992" customFormat="false" ht="18" hidden="false" customHeight="true" outlineLevel="0" collapsed="false"/>
    <row r="2993" customFormat="false" ht="18" hidden="false" customHeight="true" outlineLevel="0" collapsed="false"/>
    <row r="2994" customFormat="false" ht="18" hidden="false" customHeight="true" outlineLevel="0" collapsed="false"/>
    <row r="2995" customFormat="false" ht="18" hidden="false" customHeight="true" outlineLevel="0" collapsed="false"/>
    <row r="2996" customFormat="false" ht="18" hidden="false" customHeight="true" outlineLevel="0" collapsed="false"/>
    <row r="2997" customFormat="false" ht="18" hidden="false" customHeight="true" outlineLevel="0" collapsed="false"/>
    <row r="2998" customFormat="false" ht="18" hidden="false" customHeight="true" outlineLevel="0" collapsed="false"/>
    <row r="2999" customFormat="false" ht="18" hidden="false" customHeight="true" outlineLevel="0" collapsed="false"/>
    <row r="3000" customFormat="false" ht="18" hidden="false" customHeight="true" outlineLevel="0" collapsed="false"/>
    <row r="3001" customFormat="false" ht="18" hidden="false" customHeight="true" outlineLevel="0" collapsed="false"/>
    <row r="3002" customFormat="false" ht="18" hidden="false" customHeight="true" outlineLevel="0" collapsed="false"/>
    <row r="3003" customFormat="false" ht="18" hidden="false" customHeight="true" outlineLevel="0" collapsed="false"/>
    <row r="3004" customFormat="false" ht="18" hidden="false" customHeight="true" outlineLevel="0" collapsed="false"/>
    <row r="3005" customFormat="false" ht="18" hidden="false" customHeight="true" outlineLevel="0" collapsed="false"/>
    <row r="3006" customFormat="false" ht="18" hidden="false" customHeight="true" outlineLevel="0" collapsed="false"/>
    <row r="3007" customFormat="false" ht="18" hidden="false" customHeight="true" outlineLevel="0" collapsed="false"/>
    <row r="3008" customFormat="false" ht="18" hidden="false" customHeight="true" outlineLevel="0" collapsed="false"/>
    <row r="3009" customFormat="false" ht="18" hidden="false" customHeight="true" outlineLevel="0" collapsed="false"/>
    <row r="3010" customFormat="false" ht="18" hidden="false" customHeight="true" outlineLevel="0" collapsed="false"/>
    <row r="3011" customFormat="false" ht="18" hidden="false" customHeight="true" outlineLevel="0" collapsed="false"/>
    <row r="3012" customFormat="false" ht="18" hidden="false" customHeight="true" outlineLevel="0" collapsed="false"/>
    <row r="3013" customFormat="false" ht="18" hidden="false" customHeight="true" outlineLevel="0" collapsed="false"/>
    <row r="3014" customFormat="false" ht="18" hidden="false" customHeight="true" outlineLevel="0" collapsed="false"/>
    <row r="3015" customFormat="false" ht="18" hidden="false" customHeight="true" outlineLevel="0" collapsed="false"/>
    <row r="3016" customFormat="false" ht="18" hidden="false" customHeight="true" outlineLevel="0" collapsed="false"/>
    <row r="3017" customFormat="false" ht="18" hidden="false" customHeight="true" outlineLevel="0" collapsed="false"/>
    <row r="3018" customFormat="false" ht="18" hidden="false" customHeight="true" outlineLevel="0" collapsed="false"/>
    <row r="3019" customFormat="false" ht="18" hidden="false" customHeight="true" outlineLevel="0" collapsed="false"/>
    <row r="3020" customFormat="false" ht="18" hidden="false" customHeight="true" outlineLevel="0" collapsed="false"/>
    <row r="3021" customFormat="false" ht="18" hidden="false" customHeight="true" outlineLevel="0" collapsed="false"/>
    <row r="3022" customFormat="false" ht="18" hidden="false" customHeight="true" outlineLevel="0" collapsed="false"/>
    <row r="3023" customFormat="false" ht="18" hidden="false" customHeight="true" outlineLevel="0" collapsed="false"/>
    <row r="3024" customFormat="false" ht="18" hidden="false" customHeight="true" outlineLevel="0" collapsed="false"/>
    <row r="3025" customFormat="false" ht="18" hidden="false" customHeight="true" outlineLevel="0" collapsed="false"/>
    <row r="3026" customFormat="false" ht="18" hidden="false" customHeight="true" outlineLevel="0" collapsed="false"/>
    <row r="3027" customFormat="false" ht="18" hidden="false" customHeight="true" outlineLevel="0" collapsed="false"/>
    <row r="3028" customFormat="false" ht="18" hidden="false" customHeight="true" outlineLevel="0" collapsed="false"/>
    <row r="3029" customFormat="false" ht="18" hidden="false" customHeight="true" outlineLevel="0" collapsed="false"/>
    <row r="3030" customFormat="false" ht="18" hidden="false" customHeight="true" outlineLevel="0" collapsed="false"/>
    <row r="3031" customFormat="false" ht="18" hidden="false" customHeight="true" outlineLevel="0" collapsed="false"/>
    <row r="3032" customFormat="false" ht="18" hidden="false" customHeight="true" outlineLevel="0" collapsed="false"/>
    <row r="3033" customFormat="false" ht="18" hidden="false" customHeight="true" outlineLevel="0" collapsed="false"/>
    <row r="3034" customFormat="false" ht="18" hidden="false" customHeight="true" outlineLevel="0" collapsed="false"/>
    <row r="3035" customFormat="false" ht="18" hidden="false" customHeight="true" outlineLevel="0" collapsed="false"/>
    <row r="3036" customFormat="false" ht="18" hidden="false" customHeight="true" outlineLevel="0" collapsed="false"/>
    <row r="3037" customFormat="false" ht="18" hidden="false" customHeight="true" outlineLevel="0" collapsed="false"/>
    <row r="3038" customFormat="false" ht="18" hidden="false" customHeight="true" outlineLevel="0" collapsed="false"/>
    <row r="3039" customFormat="false" ht="18" hidden="false" customHeight="true" outlineLevel="0" collapsed="false"/>
    <row r="3040" customFormat="false" ht="18" hidden="false" customHeight="true" outlineLevel="0" collapsed="false"/>
    <row r="3041" customFormat="false" ht="18" hidden="false" customHeight="true" outlineLevel="0" collapsed="false"/>
    <row r="3042" customFormat="false" ht="18" hidden="false" customHeight="true" outlineLevel="0" collapsed="false"/>
    <row r="3043" customFormat="false" ht="18" hidden="false" customHeight="true" outlineLevel="0" collapsed="false"/>
    <row r="3044" customFormat="false" ht="18" hidden="false" customHeight="true" outlineLevel="0" collapsed="false"/>
    <row r="3045" customFormat="false" ht="18" hidden="false" customHeight="true" outlineLevel="0" collapsed="false"/>
    <row r="3046" customFormat="false" ht="18" hidden="false" customHeight="true" outlineLevel="0" collapsed="false"/>
    <row r="3047" customFormat="false" ht="18" hidden="false" customHeight="true" outlineLevel="0" collapsed="false"/>
    <row r="3048" customFormat="false" ht="18" hidden="false" customHeight="true" outlineLevel="0" collapsed="false"/>
    <row r="3049" customFormat="false" ht="18" hidden="false" customHeight="true" outlineLevel="0" collapsed="false"/>
    <row r="3050" customFormat="false" ht="18" hidden="false" customHeight="true" outlineLevel="0" collapsed="false"/>
    <row r="3051" customFormat="false" ht="18" hidden="false" customHeight="true" outlineLevel="0" collapsed="false"/>
    <row r="3052" customFormat="false" ht="18" hidden="false" customHeight="true" outlineLevel="0" collapsed="false"/>
    <row r="3053" customFormat="false" ht="18" hidden="false" customHeight="true" outlineLevel="0" collapsed="false"/>
    <row r="3054" customFormat="false" ht="18" hidden="false" customHeight="true" outlineLevel="0" collapsed="false"/>
    <row r="3055" customFormat="false" ht="18" hidden="false" customHeight="true" outlineLevel="0" collapsed="false"/>
    <row r="3056" customFormat="false" ht="18" hidden="false" customHeight="true" outlineLevel="0" collapsed="false"/>
    <row r="3057" customFormat="false" ht="18" hidden="false" customHeight="true" outlineLevel="0" collapsed="false"/>
    <row r="3058" customFormat="false" ht="18" hidden="false" customHeight="true" outlineLevel="0" collapsed="false"/>
    <row r="3059" customFormat="false" ht="18" hidden="false" customHeight="true" outlineLevel="0" collapsed="false"/>
    <row r="3060" customFormat="false" ht="18" hidden="false" customHeight="true" outlineLevel="0" collapsed="false"/>
    <row r="3061" customFormat="false" ht="18" hidden="false" customHeight="true" outlineLevel="0" collapsed="false"/>
    <row r="3062" customFormat="false" ht="18" hidden="false" customHeight="true" outlineLevel="0" collapsed="false"/>
    <row r="3063" customFormat="false" ht="18" hidden="false" customHeight="true" outlineLevel="0" collapsed="false"/>
    <row r="3064" customFormat="false" ht="18" hidden="false" customHeight="true" outlineLevel="0" collapsed="false"/>
    <row r="3065" customFormat="false" ht="18" hidden="false" customHeight="true" outlineLevel="0" collapsed="false"/>
    <row r="3066" customFormat="false" ht="18" hidden="false" customHeight="true" outlineLevel="0" collapsed="false"/>
    <row r="3067" customFormat="false" ht="18" hidden="false" customHeight="true" outlineLevel="0" collapsed="false"/>
    <row r="3068" customFormat="false" ht="18" hidden="false" customHeight="true" outlineLevel="0" collapsed="false"/>
    <row r="3069" customFormat="false" ht="18" hidden="false" customHeight="true" outlineLevel="0" collapsed="false"/>
    <row r="3070" customFormat="false" ht="18" hidden="false" customHeight="true" outlineLevel="0" collapsed="false"/>
    <row r="3071" customFormat="false" ht="18" hidden="false" customHeight="true" outlineLevel="0" collapsed="false"/>
    <row r="3072" customFormat="false" ht="18" hidden="false" customHeight="true" outlineLevel="0" collapsed="false"/>
    <row r="3073" customFormat="false" ht="18" hidden="false" customHeight="true" outlineLevel="0" collapsed="false"/>
    <row r="3074" customFormat="false" ht="18" hidden="false" customHeight="true" outlineLevel="0" collapsed="false"/>
    <row r="3075" customFormat="false" ht="18" hidden="false" customHeight="true" outlineLevel="0" collapsed="false"/>
    <row r="3076" customFormat="false" ht="18" hidden="false" customHeight="true" outlineLevel="0" collapsed="false"/>
    <row r="3077" customFormat="false" ht="18" hidden="false" customHeight="true" outlineLevel="0" collapsed="false"/>
    <row r="3078" customFormat="false" ht="18" hidden="false" customHeight="true" outlineLevel="0" collapsed="false"/>
    <row r="3079" customFormat="false" ht="18" hidden="false" customHeight="true" outlineLevel="0" collapsed="false"/>
    <row r="3080" customFormat="false" ht="18" hidden="false" customHeight="true" outlineLevel="0" collapsed="false"/>
    <row r="3081" customFormat="false" ht="18" hidden="false" customHeight="true" outlineLevel="0" collapsed="false"/>
    <row r="3082" customFormat="false" ht="18" hidden="false" customHeight="true" outlineLevel="0" collapsed="false"/>
    <row r="3083" customFormat="false" ht="18" hidden="false" customHeight="true" outlineLevel="0" collapsed="false"/>
    <row r="3084" customFormat="false" ht="18" hidden="false" customHeight="true" outlineLevel="0" collapsed="false"/>
    <row r="3085" customFormat="false" ht="18" hidden="false" customHeight="true" outlineLevel="0" collapsed="false"/>
    <row r="3086" customFormat="false" ht="18" hidden="false" customHeight="true" outlineLevel="0" collapsed="false"/>
    <row r="3087" customFormat="false" ht="18" hidden="false" customHeight="true" outlineLevel="0" collapsed="false"/>
    <row r="3088" customFormat="false" ht="18" hidden="false" customHeight="true" outlineLevel="0" collapsed="false"/>
    <row r="3089" customFormat="false" ht="18" hidden="false" customHeight="true" outlineLevel="0" collapsed="false"/>
    <row r="3090" customFormat="false" ht="18" hidden="false" customHeight="true" outlineLevel="0" collapsed="false"/>
    <row r="3091" customFormat="false" ht="18" hidden="false" customHeight="true" outlineLevel="0" collapsed="false"/>
    <row r="3092" customFormat="false" ht="18" hidden="false" customHeight="true" outlineLevel="0" collapsed="false"/>
    <row r="3093" customFormat="false" ht="18" hidden="false" customHeight="true" outlineLevel="0" collapsed="false"/>
    <row r="3094" customFormat="false" ht="18" hidden="false" customHeight="true" outlineLevel="0" collapsed="false"/>
    <row r="3095" customFormat="false" ht="18" hidden="false" customHeight="true" outlineLevel="0" collapsed="false"/>
    <row r="3096" customFormat="false" ht="18" hidden="false" customHeight="true" outlineLevel="0" collapsed="false"/>
    <row r="3097" customFormat="false" ht="18" hidden="false" customHeight="true" outlineLevel="0" collapsed="false"/>
    <row r="3098" customFormat="false" ht="18" hidden="false" customHeight="true" outlineLevel="0" collapsed="false"/>
    <row r="3099" customFormat="false" ht="18" hidden="false" customHeight="true" outlineLevel="0" collapsed="false"/>
    <row r="3100" customFormat="false" ht="18" hidden="false" customHeight="true" outlineLevel="0" collapsed="false"/>
    <row r="3101" customFormat="false" ht="18" hidden="false" customHeight="true" outlineLevel="0" collapsed="false"/>
    <row r="3102" customFormat="false" ht="18" hidden="false" customHeight="true" outlineLevel="0" collapsed="false"/>
    <row r="3103" customFormat="false" ht="18" hidden="false" customHeight="true" outlineLevel="0" collapsed="false"/>
    <row r="3104" customFormat="false" ht="18" hidden="false" customHeight="true" outlineLevel="0" collapsed="false"/>
    <row r="3105" customFormat="false" ht="18" hidden="false" customHeight="true" outlineLevel="0" collapsed="false"/>
    <row r="3106" customFormat="false" ht="18" hidden="false" customHeight="true" outlineLevel="0" collapsed="false"/>
    <row r="3107" customFormat="false" ht="18" hidden="false" customHeight="true" outlineLevel="0" collapsed="false"/>
    <row r="3108" customFormat="false" ht="18" hidden="false" customHeight="true" outlineLevel="0" collapsed="false"/>
    <row r="3109" customFormat="false" ht="18" hidden="false" customHeight="true" outlineLevel="0" collapsed="false"/>
    <row r="3110" customFormat="false" ht="18" hidden="false" customHeight="true" outlineLevel="0" collapsed="false"/>
    <row r="3111" customFormat="false" ht="18" hidden="false" customHeight="true" outlineLevel="0" collapsed="false"/>
    <row r="3112" customFormat="false" ht="18" hidden="false" customHeight="true" outlineLevel="0" collapsed="false"/>
    <row r="3113" customFormat="false" ht="18" hidden="false" customHeight="true" outlineLevel="0" collapsed="false"/>
    <row r="3114" customFormat="false" ht="18" hidden="false" customHeight="true" outlineLevel="0" collapsed="false"/>
    <row r="3115" customFormat="false" ht="18" hidden="false" customHeight="true" outlineLevel="0" collapsed="false"/>
    <row r="3116" customFormat="false" ht="18" hidden="false" customHeight="true" outlineLevel="0" collapsed="false"/>
    <row r="3117" customFormat="false" ht="18" hidden="false" customHeight="true" outlineLevel="0" collapsed="false"/>
    <row r="3118" customFormat="false" ht="18" hidden="false" customHeight="true" outlineLevel="0" collapsed="false"/>
    <row r="3119" customFormat="false" ht="18" hidden="false" customHeight="true" outlineLevel="0" collapsed="false"/>
    <row r="3120" customFormat="false" ht="18" hidden="false" customHeight="true" outlineLevel="0" collapsed="false"/>
    <row r="3121" customFormat="false" ht="18" hidden="false" customHeight="true" outlineLevel="0" collapsed="false"/>
    <row r="3122" customFormat="false" ht="18" hidden="false" customHeight="true" outlineLevel="0" collapsed="false"/>
    <row r="3123" customFormat="false" ht="18" hidden="false" customHeight="true" outlineLevel="0" collapsed="false"/>
    <row r="3124" customFormat="false" ht="18" hidden="false" customHeight="true" outlineLevel="0" collapsed="false"/>
    <row r="3125" customFormat="false" ht="18" hidden="false" customHeight="true" outlineLevel="0" collapsed="false"/>
    <row r="3126" customFormat="false" ht="18" hidden="false" customHeight="true" outlineLevel="0" collapsed="false"/>
    <row r="3127" customFormat="false" ht="18" hidden="false" customHeight="true" outlineLevel="0" collapsed="false"/>
    <row r="3128" customFormat="false" ht="18" hidden="false" customHeight="true" outlineLevel="0" collapsed="false"/>
    <row r="3129" customFormat="false" ht="18" hidden="false" customHeight="true" outlineLevel="0" collapsed="false"/>
    <row r="3130" customFormat="false" ht="18" hidden="false" customHeight="true" outlineLevel="0" collapsed="false"/>
    <row r="3131" customFormat="false" ht="18" hidden="false" customHeight="true" outlineLevel="0" collapsed="false"/>
    <row r="3132" customFormat="false" ht="18" hidden="false" customHeight="true" outlineLevel="0" collapsed="false"/>
    <row r="3133" customFormat="false" ht="18" hidden="false" customHeight="true" outlineLevel="0" collapsed="false"/>
    <row r="3134" customFormat="false" ht="18" hidden="false" customHeight="true" outlineLevel="0" collapsed="false"/>
    <row r="3135" customFormat="false" ht="18" hidden="false" customHeight="true" outlineLevel="0" collapsed="false"/>
    <row r="3136" customFormat="false" ht="18" hidden="false" customHeight="true" outlineLevel="0" collapsed="false"/>
    <row r="3137" customFormat="false" ht="18" hidden="false" customHeight="true" outlineLevel="0" collapsed="false"/>
    <row r="3138" customFormat="false" ht="18" hidden="false" customHeight="true" outlineLevel="0" collapsed="false"/>
    <row r="3139" customFormat="false" ht="18" hidden="false" customHeight="true" outlineLevel="0" collapsed="false"/>
    <row r="3140" customFormat="false" ht="18" hidden="false" customHeight="true" outlineLevel="0" collapsed="false"/>
    <row r="3141" customFormat="false" ht="18" hidden="false" customHeight="true" outlineLevel="0" collapsed="false"/>
    <row r="3142" customFormat="false" ht="18" hidden="false" customHeight="true" outlineLevel="0" collapsed="false"/>
    <row r="3143" customFormat="false" ht="18" hidden="false" customHeight="true" outlineLevel="0" collapsed="false"/>
    <row r="3144" customFormat="false" ht="18" hidden="false" customHeight="true" outlineLevel="0" collapsed="false"/>
    <row r="3145" customFormat="false" ht="18" hidden="false" customHeight="true" outlineLevel="0" collapsed="false"/>
    <row r="3146" customFormat="false" ht="18" hidden="false" customHeight="true" outlineLevel="0" collapsed="false"/>
    <row r="3147" customFormat="false" ht="18" hidden="false" customHeight="true" outlineLevel="0" collapsed="false"/>
    <row r="3148" customFormat="false" ht="18" hidden="false" customHeight="true" outlineLevel="0" collapsed="false"/>
    <row r="3149" customFormat="false" ht="18" hidden="false" customHeight="true" outlineLevel="0" collapsed="false"/>
    <row r="3150" customFormat="false" ht="18" hidden="false" customHeight="true" outlineLevel="0" collapsed="false"/>
    <row r="3151" customFormat="false" ht="18" hidden="false" customHeight="true" outlineLevel="0" collapsed="false"/>
    <row r="3152" customFormat="false" ht="18" hidden="false" customHeight="true" outlineLevel="0" collapsed="false"/>
    <row r="3153" customFormat="false" ht="18" hidden="false" customHeight="true" outlineLevel="0" collapsed="false"/>
    <row r="3154" customFormat="false" ht="18" hidden="false" customHeight="true" outlineLevel="0" collapsed="false"/>
    <row r="3155" customFormat="false" ht="18" hidden="false" customHeight="true" outlineLevel="0" collapsed="false"/>
    <row r="3156" customFormat="false" ht="18" hidden="false" customHeight="true" outlineLevel="0" collapsed="false"/>
    <row r="3157" customFormat="false" ht="18" hidden="false" customHeight="true" outlineLevel="0" collapsed="false"/>
    <row r="3158" customFormat="false" ht="18" hidden="false" customHeight="true" outlineLevel="0" collapsed="false"/>
    <row r="3159" customFormat="false" ht="18" hidden="false" customHeight="true" outlineLevel="0" collapsed="false"/>
    <row r="3160" customFormat="false" ht="18" hidden="false" customHeight="true" outlineLevel="0" collapsed="false"/>
    <row r="3161" customFormat="false" ht="18" hidden="false" customHeight="true" outlineLevel="0" collapsed="false"/>
    <row r="3162" customFormat="false" ht="18" hidden="false" customHeight="true" outlineLevel="0" collapsed="false"/>
    <row r="3163" customFormat="false" ht="18" hidden="false" customHeight="true" outlineLevel="0" collapsed="false"/>
    <row r="3164" customFormat="false" ht="18" hidden="false" customHeight="true" outlineLevel="0" collapsed="false"/>
    <row r="3165" customFormat="false" ht="18" hidden="false" customHeight="true" outlineLevel="0" collapsed="false"/>
    <row r="3166" customFormat="false" ht="18" hidden="false" customHeight="true" outlineLevel="0" collapsed="false"/>
    <row r="3167" customFormat="false" ht="18" hidden="false" customHeight="true" outlineLevel="0" collapsed="false"/>
    <row r="3168" customFormat="false" ht="18" hidden="false" customHeight="true" outlineLevel="0" collapsed="false"/>
    <row r="3169" customFormat="false" ht="18" hidden="false" customHeight="true" outlineLevel="0" collapsed="false"/>
    <row r="3170" customFormat="false" ht="18" hidden="false" customHeight="true" outlineLevel="0" collapsed="false"/>
    <row r="3171" customFormat="false" ht="18" hidden="false" customHeight="true" outlineLevel="0" collapsed="false"/>
    <row r="3172" customFormat="false" ht="18" hidden="false" customHeight="true" outlineLevel="0" collapsed="false"/>
    <row r="3173" customFormat="false" ht="18" hidden="false" customHeight="true" outlineLevel="0" collapsed="false"/>
    <row r="3174" customFormat="false" ht="18" hidden="false" customHeight="true" outlineLevel="0" collapsed="false"/>
    <row r="3175" customFormat="false" ht="18" hidden="false" customHeight="true" outlineLevel="0" collapsed="false"/>
    <row r="3176" customFormat="false" ht="18" hidden="false" customHeight="true" outlineLevel="0" collapsed="false"/>
    <row r="3177" customFormat="false" ht="18" hidden="false" customHeight="true" outlineLevel="0" collapsed="false"/>
    <row r="3178" customFormat="false" ht="18" hidden="false" customHeight="true" outlineLevel="0" collapsed="false"/>
    <row r="3179" customFormat="false" ht="18" hidden="false" customHeight="true" outlineLevel="0" collapsed="false"/>
    <row r="3180" customFormat="false" ht="18" hidden="false" customHeight="true" outlineLevel="0" collapsed="false"/>
    <row r="3181" customFormat="false" ht="18" hidden="false" customHeight="true" outlineLevel="0" collapsed="false"/>
    <row r="3182" customFormat="false" ht="18" hidden="false" customHeight="true" outlineLevel="0" collapsed="false"/>
    <row r="3183" customFormat="false" ht="18" hidden="false" customHeight="true" outlineLevel="0" collapsed="false"/>
    <row r="3184" customFormat="false" ht="18" hidden="false" customHeight="true" outlineLevel="0" collapsed="false"/>
    <row r="3185" customFormat="false" ht="18" hidden="false" customHeight="true" outlineLevel="0" collapsed="false"/>
    <row r="3186" customFormat="false" ht="18" hidden="false" customHeight="true" outlineLevel="0" collapsed="false"/>
    <row r="3187" customFormat="false" ht="18" hidden="false" customHeight="true" outlineLevel="0" collapsed="false"/>
    <row r="3188" customFormat="false" ht="18" hidden="false" customHeight="true" outlineLevel="0" collapsed="false"/>
    <row r="3189" customFormat="false" ht="18" hidden="false" customHeight="true" outlineLevel="0" collapsed="false"/>
    <row r="3190" customFormat="false" ht="18" hidden="false" customHeight="true" outlineLevel="0" collapsed="false"/>
    <row r="3191" customFormat="false" ht="18" hidden="false" customHeight="true" outlineLevel="0" collapsed="false"/>
    <row r="3192" customFormat="false" ht="18" hidden="false" customHeight="true" outlineLevel="0" collapsed="false"/>
    <row r="3193" customFormat="false" ht="18" hidden="false" customHeight="true" outlineLevel="0" collapsed="false"/>
    <row r="3194" customFormat="false" ht="18" hidden="false" customHeight="true" outlineLevel="0" collapsed="false"/>
    <row r="3195" customFormat="false" ht="18" hidden="false" customHeight="true" outlineLevel="0" collapsed="false"/>
    <row r="3196" customFormat="false" ht="18" hidden="false" customHeight="true" outlineLevel="0" collapsed="false"/>
    <row r="3197" customFormat="false" ht="18" hidden="false" customHeight="true" outlineLevel="0" collapsed="false"/>
    <row r="3198" customFormat="false" ht="18" hidden="false" customHeight="true" outlineLevel="0" collapsed="false"/>
    <row r="3199" customFormat="false" ht="18" hidden="false" customHeight="true" outlineLevel="0" collapsed="false"/>
    <row r="3200" customFormat="false" ht="18" hidden="false" customHeight="true" outlineLevel="0" collapsed="false"/>
    <row r="3201" customFormat="false" ht="18" hidden="false" customHeight="true" outlineLevel="0" collapsed="false"/>
    <row r="3202" customFormat="false" ht="18" hidden="false" customHeight="true" outlineLevel="0" collapsed="false"/>
    <row r="3203" customFormat="false" ht="18" hidden="false" customHeight="true" outlineLevel="0" collapsed="false"/>
    <row r="3204" customFormat="false" ht="18" hidden="false" customHeight="true" outlineLevel="0" collapsed="false"/>
    <row r="3205" customFormat="false" ht="18" hidden="false" customHeight="true" outlineLevel="0" collapsed="false"/>
    <row r="3206" customFormat="false" ht="18" hidden="false" customHeight="true" outlineLevel="0" collapsed="false"/>
    <row r="3207" customFormat="false" ht="18" hidden="false" customHeight="true" outlineLevel="0" collapsed="false"/>
    <row r="3208" customFormat="false" ht="18" hidden="false" customHeight="true" outlineLevel="0" collapsed="false"/>
    <row r="3209" customFormat="false" ht="18" hidden="false" customHeight="true" outlineLevel="0" collapsed="false"/>
    <row r="3210" customFormat="false" ht="18" hidden="false" customHeight="true" outlineLevel="0" collapsed="false"/>
    <row r="3211" customFormat="false" ht="18" hidden="false" customHeight="true" outlineLevel="0" collapsed="false"/>
    <row r="3212" customFormat="false" ht="18" hidden="false" customHeight="true" outlineLevel="0" collapsed="false"/>
    <row r="3213" customFormat="false" ht="18" hidden="false" customHeight="true" outlineLevel="0" collapsed="false"/>
    <row r="3214" customFormat="false" ht="18" hidden="false" customHeight="true" outlineLevel="0" collapsed="false"/>
    <row r="3215" customFormat="false" ht="18" hidden="false" customHeight="true" outlineLevel="0" collapsed="false"/>
    <row r="3216" customFormat="false" ht="18" hidden="false" customHeight="true" outlineLevel="0" collapsed="false"/>
    <row r="3217" customFormat="false" ht="18" hidden="false" customHeight="true" outlineLevel="0" collapsed="false"/>
    <row r="3218" customFormat="false" ht="18" hidden="false" customHeight="true" outlineLevel="0" collapsed="false"/>
    <row r="3219" customFormat="false" ht="18" hidden="false" customHeight="true" outlineLevel="0" collapsed="false"/>
    <row r="3220" customFormat="false" ht="18" hidden="false" customHeight="true" outlineLevel="0" collapsed="false"/>
    <row r="3221" customFormat="false" ht="18" hidden="false" customHeight="true" outlineLevel="0" collapsed="false"/>
    <row r="3222" customFormat="false" ht="18" hidden="false" customHeight="true" outlineLevel="0" collapsed="false"/>
    <row r="3223" customFormat="false" ht="18" hidden="false" customHeight="true" outlineLevel="0" collapsed="false"/>
    <row r="3224" customFormat="false" ht="18" hidden="false" customHeight="true" outlineLevel="0" collapsed="false"/>
    <row r="3225" customFormat="false" ht="18" hidden="false" customHeight="true" outlineLevel="0" collapsed="false"/>
    <row r="3226" customFormat="false" ht="18" hidden="false" customHeight="true" outlineLevel="0" collapsed="false"/>
    <row r="3227" customFormat="false" ht="18" hidden="false" customHeight="true" outlineLevel="0" collapsed="false"/>
    <row r="3228" customFormat="false" ht="18" hidden="false" customHeight="true" outlineLevel="0" collapsed="false"/>
    <row r="3229" customFormat="false" ht="18" hidden="false" customHeight="true" outlineLevel="0" collapsed="false"/>
    <row r="3230" customFormat="false" ht="18" hidden="false" customHeight="true" outlineLevel="0" collapsed="false"/>
    <row r="3231" customFormat="false" ht="18" hidden="false" customHeight="true" outlineLevel="0" collapsed="false"/>
    <row r="3232" customFormat="false" ht="18" hidden="false" customHeight="true" outlineLevel="0" collapsed="false"/>
    <row r="3233" customFormat="false" ht="18" hidden="false" customHeight="true" outlineLevel="0" collapsed="false"/>
    <row r="3234" customFormat="false" ht="18" hidden="false" customHeight="true" outlineLevel="0" collapsed="false"/>
    <row r="3235" customFormat="false" ht="18" hidden="false" customHeight="true" outlineLevel="0" collapsed="false"/>
    <row r="3236" customFormat="false" ht="18" hidden="false" customHeight="true" outlineLevel="0" collapsed="false"/>
    <row r="3237" customFormat="false" ht="18" hidden="false" customHeight="true" outlineLevel="0" collapsed="false"/>
    <row r="3238" customFormat="false" ht="18" hidden="false" customHeight="true" outlineLevel="0" collapsed="false"/>
    <row r="3239" customFormat="false" ht="18" hidden="false" customHeight="true" outlineLevel="0" collapsed="false"/>
    <row r="3240" customFormat="false" ht="18" hidden="false" customHeight="true" outlineLevel="0" collapsed="false"/>
    <row r="3241" customFormat="false" ht="18" hidden="false" customHeight="true" outlineLevel="0" collapsed="false"/>
    <row r="3242" customFormat="false" ht="18" hidden="false" customHeight="true" outlineLevel="0" collapsed="false"/>
    <row r="3243" customFormat="false" ht="18" hidden="false" customHeight="true" outlineLevel="0" collapsed="false"/>
    <row r="3244" customFormat="false" ht="18" hidden="false" customHeight="true" outlineLevel="0" collapsed="false"/>
    <row r="3245" customFormat="false" ht="18" hidden="false" customHeight="true" outlineLevel="0" collapsed="false"/>
    <row r="3246" customFormat="false" ht="18" hidden="false" customHeight="true" outlineLevel="0" collapsed="false"/>
    <row r="3247" customFormat="false" ht="18" hidden="false" customHeight="true" outlineLevel="0" collapsed="false"/>
    <row r="3248" customFormat="false" ht="18" hidden="false" customHeight="true" outlineLevel="0" collapsed="false"/>
    <row r="3249" customFormat="false" ht="18" hidden="false" customHeight="true" outlineLevel="0" collapsed="false"/>
    <row r="3250" customFormat="false" ht="18" hidden="false" customHeight="true" outlineLevel="0" collapsed="false"/>
    <row r="3251" customFormat="false" ht="18" hidden="false" customHeight="true" outlineLevel="0" collapsed="false"/>
    <row r="3252" customFormat="false" ht="18" hidden="false" customHeight="true" outlineLevel="0" collapsed="false"/>
    <row r="3253" customFormat="false" ht="18" hidden="false" customHeight="true" outlineLevel="0" collapsed="false"/>
    <row r="3254" customFormat="false" ht="18" hidden="false" customHeight="true" outlineLevel="0" collapsed="false"/>
    <row r="3255" customFormat="false" ht="18" hidden="false" customHeight="true" outlineLevel="0" collapsed="false"/>
    <row r="3256" customFormat="false" ht="18" hidden="false" customHeight="true" outlineLevel="0" collapsed="false"/>
    <row r="3257" customFormat="false" ht="18" hidden="false" customHeight="true" outlineLevel="0" collapsed="false"/>
    <row r="3258" customFormat="false" ht="18" hidden="false" customHeight="true" outlineLevel="0" collapsed="false"/>
    <row r="3259" customFormat="false" ht="18" hidden="false" customHeight="true" outlineLevel="0" collapsed="false"/>
    <row r="3260" customFormat="false" ht="18" hidden="false" customHeight="true" outlineLevel="0" collapsed="false"/>
    <row r="3261" customFormat="false" ht="18" hidden="false" customHeight="true" outlineLevel="0" collapsed="false"/>
    <row r="3262" customFormat="false" ht="18" hidden="false" customHeight="true" outlineLevel="0" collapsed="false"/>
    <row r="3263" customFormat="false" ht="18" hidden="false" customHeight="true" outlineLevel="0" collapsed="false"/>
    <row r="3264" customFormat="false" ht="18" hidden="false" customHeight="true" outlineLevel="0" collapsed="false"/>
    <row r="3265" customFormat="false" ht="18" hidden="false" customHeight="true" outlineLevel="0" collapsed="false"/>
    <row r="3266" customFormat="false" ht="18" hidden="false" customHeight="true" outlineLevel="0" collapsed="false"/>
    <row r="3267" customFormat="false" ht="18" hidden="false" customHeight="true" outlineLevel="0" collapsed="false"/>
    <row r="3268" customFormat="false" ht="18" hidden="false" customHeight="true" outlineLevel="0" collapsed="false"/>
    <row r="3269" customFormat="false" ht="18" hidden="false" customHeight="true" outlineLevel="0" collapsed="false"/>
    <row r="3270" customFormat="false" ht="18" hidden="false" customHeight="true" outlineLevel="0" collapsed="false"/>
    <row r="3271" customFormat="false" ht="18" hidden="false" customHeight="true" outlineLevel="0" collapsed="false"/>
    <row r="3272" customFormat="false" ht="18" hidden="false" customHeight="true" outlineLevel="0" collapsed="false"/>
    <row r="3273" customFormat="false" ht="18" hidden="false" customHeight="true" outlineLevel="0" collapsed="false"/>
    <row r="3274" customFormat="false" ht="18" hidden="false" customHeight="true" outlineLevel="0" collapsed="false"/>
    <row r="3275" customFormat="false" ht="18" hidden="false" customHeight="true" outlineLevel="0" collapsed="false"/>
    <row r="3276" customFormat="false" ht="18" hidden="false" customHeight="true" outlineLevel="0" collapsed="false"/>
    <row r="3277" customFormat="false" ht="18" hidden="false" customHeight="true" outlineLevel="0" collapsed="false"/>
    <row r="3278" customFormat="false" ht="18" hidden="false" customHeight="true" outlineLevel="0" collapsed="false"/>
    <row r="3279" customFormat="false" ht="18" hidden="false" customHeight="true" outlineLevel="0" collapsed="false"/>
    <row r="3280" customFormat="false" ht="18" hidden="false" customHeight="true" outlineLevel="0" collapsed="false"/>
    <row r="3281" customFormat="false" ht="18" hidden="false" customHeight="true" outlineLevel="0" collapsed="false"/>
    <row r="3282" customFormat="false" ht="18" hidden="false" customHeight="true" outlineLevel="0" collapsed="false"/>
    <row r="3283" customFormat="false" ht="18" hidden="false" customHeight="true" outlineLevel="0" collapsed="false"/>
    <row r="3284" customFormat="false" ht="18" hidden="false" customHeight="true" outlineLevel="0" collapsed="false"/>
    <row r="3285" customFormat="false" ht="18" hidden="false" customHeight="true" outlineLevel="0" collapsed="false"/>
    <row r="3286" customFormat="false" ht="18" hidden="false" customHeight="true" outlineLevel="0" collapsed="false"/>
    <row r="3287" customFormat="false" ht="18" hidden="false" customHeight="true" outlineLevel="0" collapsed="false"/>
    <row r="3288" customFormat="false" ht="18" hidden="false" customHeight="true" outlineLevel="0" collapsed="false"/>
    <row r="3289" customFormat="false" ht="18" hidden="false" customHeight="true" outlineLevel="0" collapsed="false"/>
    <row r="3290" customFormat="false" ht="18" hidden="false" customHeight="true" outlineLevel="0" collapsed="false"/>
    <row r="3291" customFormat="false" ht="18" hidden="false" customHeight="true" outlineLevel="0" collapsed="false"/>
    <row r="3292" customFormat="false" ht="18" hidden="false" customHeight="true" outlineLevel="0" collapsed="false"/>
    <row r="3293" customFormat="false" ht="18" hidden="false" customHeight="true" outlineLevel="0" collapsed="false"/>
    <row r="3294" customFormat="false" ht="18" hidden="false" customHeight="true" outlineLevel="0" collapsed="false"/>
    <row r="3295" customFormat="false" ht="18" hidden="false" customHeight="true" outlineLevel="0" collapsed="false"/>
    <row r="3296" customFormat="false" ht="18" hidden="false" customHeight="true" outlineLevel="0" collapsed="false"/>
    <row r="3297" customFormat="false" ht="18" hidden="false" customHeight="true" outlineLevel="0" collapsed="false"/>
    <row r="3298" customFormat="false" ht="18" hidden="false" customHeight="true" outlineLevel="0" collapsed="false"/>
    <row r="3299" customFormat="false" ht="18" hidden="false" customHeight="true" outlineLevel="0" collapsed="false"/>
    <row r="3300" customFormat="false" ht="18" hidden="false" customHeight="true" outlineLevel="0" collapsed="false"/>
    <row r="3301" customFormat="false" ht="18" hidden="false" customHeight="true" outlineLevel="0" collapsed="false"/>
    <row r="3302" customFormat="false" ht="18" hidden="false" customHeight="true" outlineLevel="0" collapsed="false"/>
    <row r="3303" customFormat="false" ht="18" hidden="false" customHeight="true" outlineLevel="0" collapsed="false"/>
    <row r="3304" customFormat="false" ht="18" hidden="false" customHeight="true" outlineLevel="0" collapsed="false"/>
    <row r="3305" customFormat="false" ht="18" hidden="false" customHeight="true" outlineLevel="0" collapsed="false"/>
    <row r="3306" customFormat="false" ht="18" hidden="false" customHeight="true" outlineLevel="0" collapsed="false"/>
    <row r="3307" customFormat="false" ht="18" hidden="false" customHeight="true" outlineLevel="0" collapsed="false"/>
    <row r="3308" customFormat="false" ht="18" hidden="false" customHeight="true" outlineLevel="0" collapsed="false"/>
    <row r="3309" customFormat="false" ht="18" hidden="false" customHeight="true" outlineLevel="0" collapsed="false"/>
    <row r="3310" customFormat="false" ht="18" hidden="false" customHeight="true" outlineLevel="0" collapsed="false"/>
    <row r="3311" customFormat="false" ht="18" hidden="false" customHeight="true" outlineLevel="0" collapsed="false"/>
    <row r="3312" customFormat="false" ht="18" hidden="false" customHeight="true" outlineLevel="0" collapsed="false"/>
    <row r="3313" customFormat="false" ht="18" hidden="false" customHeight="true" outlineLevel="0" collapsed="false"/>
    <row r="3314" customFormat="false" ht="18" hidden="false" customHeight="true" outlineLevel="0" collapsed="false"/>
    <row r="3315" customFormat="false" ht="18" hidden="false" customHeight="true" outlineLevel="0" collapsed="false"/>
    <row r="3316" customFormat="false" ht="18" hidden="false" customHeight="true" outlineLevel="0" collapsed="false"/>
    <row r="3317" customFormat="false" ht="18" hidden="false" customHeight="true" outlineLevel="0" collapsed="false"/>
    <row r="3318" customFormat="false" ht="18" hidden="false" customHeight="true" outlineLevel="0" collapsed="false"/>
    <row r="3319" customFormat="false" ht="18" hidden="false" customHeight="true" outlineLevel="0" collapsed="false"/>
    <row r="3320" customFormat="false" ht="18" hidden="false" customHeight="true" outlineLevel="0" collapsed="false"/>
    <row r="3321" customFormat="false" ht="18" hidden="false" customHeight="true" outlineLevel="0" collapsed="false"/>
    <row r="3322" customFormat="false" ht="18" hidden="false" customHeight="true" outlineLevel="0" collapsed="false"/>
    <row r="3323" customFormat="false" ht="18" hidden="false" customHeight="true" outlineLevel="0" collapsed="false"/>
    <row r="3324" customFormat="false" ht="18" hidden="false" customHeight="true" outlineLevel="0" collapsed="false"/>
    <row r="3325" customFormat="false" ht="18" hidden="false" customHeight="true" outlineLevel="0" collapsed="false"/>
    <row r="3326" customFormat="false" ht="18" hidden="false" customHeight="true" outlineLevel="0" collapsed="false"/>
    <row r="3327" customFormat="false" ht="18" hidden="false" customHeight="true" outlineLevel="0" collapsed="false"/>
    <row r="3328" customFormat="false" ht="18" hidden="false" customHeight="true" outlineLevel="0" collapsed="false"/>
    <row r="3329" customFormat="false" ht="18" hidden="false" customHeight="true" outlineLevel="0" collapsed="false"/>
    <row r="3330" customFormat="false" ht="18" hidden="false" customHeight="true" outlineLevel="0" collapsed="false"/>
    <row r="3331" customFormat="false" ht="18" hidden="false" customHeight="true" outlineLevel="0" collapsed="false"/>
    <row r="3332" customFormat="false" ht="18" hidden="false" customHeight="true" outlineLevel="0" collapsed="false"/>
    <row r="3333" customFormat="false" ht="18" hidden="false" customHeight="true" outlineLevel="0" collapsed="false"/>
    <row r="3334" customFormat="false" ht="18" hidden="false" customHeight="true" outlineLevel="0" collapsed="false"/>
    <row r="3335" customFormat="false" ht="18" hidden="false" customHeight="true" outlineLevel="0" collapsed="false"/>
    <row r="3336" customFormat="false" ht="18" hidden="false" customHeight="true" outlineLevel="0" collapsed="false"/>
    <row r="3337" customFormat="false" ht="18" hidden="false" customHeight="true" outlineLevel="0" collapsed="false"/>
    <row r="3338" customFormat="false" ht="18" hidden="false" customHeight="true" outlineLevel="0" collapsed="false"/>
    <row r="3339" customFormat="false" ht="18" hidden="false" customHeight="true" outlineLevel="0" collapsed="false"/>
    <row r="3340" customFormat="false" ht="18" hidden="false" customHeight="true" outlineLevel="0" collapsed="false"/>
    <row r="3341" customFormat="false" ht="18" hidden="false" customHeight="true" outlineLevel="0" collapsed="false"/>
    <row r="3342" customFormat="false" ht="18" hidden="false" customHeight="true" outlineLevel="0" collapsed="false"/>
    <row r="3343" customFormat="false" ht="18" hidden="false" customHeight="true" outlineLevel="0" collapsed="false"/>
    <row r="3344" customFormat="false" ht="18" hidden="false" customHeight="true" outlineLevel="0" collapsed="false"/>
    <row r="3345" customFormat="false" ht="18" hidden="false" customHeight="true" outlineLevel="0" collapsed="false"/>
    <row r="3346" customFormat="false" ht="18" hidden="false" customHeight="true" outlineLevel="0" collapsed="false"/>
    <row r="3347" customFormat="false" ht="18" hidden="false" customHeight="true" outlineLevel="0" collapsed="false"/>
    <row r="3348" customFormat="false" ht="18" hidden="false" customHeight="true" outlineLevel="0" collapsed="false"/>
    <row r="3349" customFormat="false" ht="18" hidden="false" customHeight="true" outlineLevel="0" collapsed="false"/>
    <row r="3350" customFormat="false" ht="18" hidden="false" customHeight="true" outlineLevel="0" collapsed="false"/>
    <row r="3351" customFormat="false" ht="18" hidden="false" customHeight="true" outlineLevel="0" collapsed="false"/>
    <row r="3352" customFormat="false" ht="18" hidden="false" customHeight="true" outlineLevel="0" collapsed="false"/>
    <row r="3353" customFormat="false" ht="18" hidden="false" customHeight="true" outlineLevel="0" collapsed="false"/>
    <row r="3354" customFormat="false" ht="18" hidden="false" customHeight="true" outlineLevel="0" collapsed="false"/>
    <row r="3355" customFormat="false" ht="18" hidden="false" customHeight="true" outlineLevel="0" collapsed="false"/>
    <row r="3356" customFormat="false" ht="18" hidden="false" customHeight="true" outlineLevel="0" collapsed="false"/>
    <row r="3357" customFormat="false" ht="18" hidden="false" customHeight="true" outlineLevel="0" collapsed="false"/>
    <row r="3358" customFormat="false" ht="18" hidden="false" customHeight="true" outlineLevel="0" collapsed="false"/>
    <row r="3359" customFormat="false" ht="18" hidden="false" customHeight="true" outlineLevel="0" collapsed="false"/>
    <row r="3360" customFormat="false" ht="18" hidden="false" customHeight="true" outlineLevel="0" collapsed="false"/>
    <row r="3361" customFormat="false" ht="18" hidden="false" customHeight="true" outlineLevel="0" collapsed="false"/>
    <row r="3362" customFormat="false" ht="18" hidden="false" customHeight="true" outlineLevel="0" collapsed="false"/>
    <row r="3363" customFormat="false" ht="18" hidden="false" customHeight="true" outlineLevel="0" collapsed="false"/>
    <row r="3364" customFormat="false" ht="18" hidden="false" customHeight="true" outlineLevel="0" collapsed="false"/>
    <row r="3365" customFormat="false" ht="18" hidden="false" customHeight="true" outlineLevel="0" collapsed="false"/>
    <row r="3366" customFormat="false" ht="18" hidden="false" customHeight="true" outlineLevel="0" collapsed="false"/>
    <row r="3367" customFormat="false" ht="18" hidden="false" customHeight="true" outlineLevel="0" collapsed="false"/>
    <row r="3368" customFormat="false" ht="18" hidden="false" customHeight="true" outlineLevel="0" collapsed="false"/>
    <row r="3369" customFormat="false" ht="18" hidden="false" customHeight="true" outlineLevel="0" collapsed="false"/>
    <row r="3370" customFormat="false" ht="18" hidden="false" customHeight="true" outlineLevel="0" collapsed="false"/>
    <row r="3371" customFormat="false" ht="18" hidden="false" customHeight="true" outlineLevel="0" collapsed="false"/>
    <row r="3372" customFormat="false" ht="18" hidden="false" customHeight="true" outlineLevel="0" collapsed="false"/>
    <row r="3373" customFormat="false" ht="18" hidden="false" customHeight="true" outlineLevel="0" collapsed="false"/>
    <row r="3374" customFormat="false" ht="18" hidden="false" customHeight="true" outlineLevel="0" collapsed="false"/>
    <row r="3375" customFormat="false" ht="18" hidden="false" customHeight="true" outlineLevel="0" collapsed="false"/>
    <row r="3376" customFormat="false" ht="18" hidden="false" customHeight="true" outlineLevel="0" collapsed="false"/>
    <row r="3377" customFormat="false" ht="18" hidden="false" customHeight="true" outlineLevel="0" collapsed="false"/>
    <row r="3378" customFormat="false" ht="18" hidden="false" customHeight="true" outlineLevel="0" collapsed="false"/>
    <row r="3379" customFormat="false" ht="18" hidden="false" customHeight="true" outlineLevel="0" collapsed="false"/>
    <row r="3380" customFormat="false" ht="18" hidden="false" customHeight="true" outlineLevel="0" collapsed="false"/>
    <row r="3381" customFormat="false" ht="18" hidden="false" customHeight="true" outlineLevel="0" collapsed="false"/>
    <row r="3382" customFormat="false" ht="18" hidden="false" customHeight="true" outlineLevel="0" collapsed="false"/>
    <row r="3383" customFormat="false" ht="18" hidden="false" customHeight="true" outlineLevel="0" collapsed="false"/>
    <row r="3384" customFormat="false" ht="18" hidden="false" customHeight="true" outlineLevel="0" collapsed="false"/>
    <row r="3385" customFormat="false" ht="18" hidden="false" customHeight="true" outlineLevel="0" collapsed="false"/>
    <row r="3386" customFormat="false" ht="18" hidden="false" customHeight="true" outlineLevel="0" collapsed="false"/>
    <row r="3387" customFormat="false" ht="18" hidden="false" customHeight="true" outlineLevel="0" collapsed="false"/>
    <row r="3388" customFormat="false" ht="18" hidden="false" customHeight="true" outlineLevel="0" collapsed="false"/>
    <row r="3389" customFormat="false" ht="18" hidden="false" customHeight="true" outlineLevel="0" collapsed="false"/>
    <row r="3390" customFormat="false" ht="18" hidden="false" customHeight="true" outlineLevel="0" collapsed="false"/>
    <row r="3391" customFormat="false" ht="18" hidden="false" customHeight="true" outlineLevel="0" collapsed="false"/>
    <row r="3392" customFormat="false" ht="18" hidden="false" customHeight="true" outlineLevel="0" collapsed="false"/>
    <row r="3393" customFormat="false" ht="18" hidden="false" customHeight="true" outlineLevel="0" collapsed="false"/>
    <row r="3394" customFormat="false" ht="18" hidden="false" customHeight="true" outlineLevel="0" collapsed="false"/>
    <row r="3395" customFormat="false" ht="18" hidden="false" customHeight="true" outlineLevel="0" collapsed="false"/>
    <row r="3396" customFormat="false" ht="18" hidden="false" customHeight="true" outlineLevel="0" collapsed="false"/>
    <row r="3397" customFormat="false" ht="18" hidden="false" customHeight="true" outlineLevel="0" collapsed="false"/>
    <row r="3398" customFormat="false" ht="18" hidden="false" customHeight="true" outlineLevel="0" collapsed="false"/>
    <row r="3399" customFormat="false" ht="18" hidden="false" customHeight="true" outlineLevel="0" collapsed="false"/>
    <row r="3400" customFormat="false" ht="18" hidden="false" customHeight="true" outlineLevel="0" collapsed="false"/>
    <row r="3401" customFormat="false" ht="18" hidden="false" customHeight="true" outlineLevel="0" collapsed="false"/>
    <row r="3402" customFormat="false" ht="18" hidden="false" customHeight="true" outlineLevel="0" collapsed="false"/>
    <row r="3403" customFormat="false" ht="18" hidden="false" customHeight="true" outlineLevel="0" collapsed="false"/>
    <row r="3404" customFormat="false" ht="18" hidden="false" customHeight="true" outlineLevel="0" collapsed="false"/>
    <row r="3405" customFormat="false" ht="18" hidden="false" customHeight="true" outlineLevel="0" collapsed="false"/>
    <row r="3406" customFormat="false" ht="18" hidden="false" customHeight="true" outlineLevel="0" collapsed="false"/>
    <row r="3407" customFormat="false" ht="18" hidden="false" customHeight="true" outlineLevel="0" collapsed="false"/>
    <row r="3408" customFormat="false" ht="18" hidden="false" customHeight="true" outlineLevel="0" collapsed="false"/>
    <row r="3409" customFormat="false" ht="18" hidden="false" customHeight="true" outlineLevel="0" collapsed="false"/>
    <row r="3410" customFormat="false" ht="18" hidden="false" customHeight="true" outlineLevel="0" collapsed="false"/>
    <row r="3411" customFormat="false" ht="18" hidden="false" customHeight="true" outlineLevel="0" collapsed="false"/>
    <row r="3412" customFormat="false" ht="18" hidden="false" customHeight="true" outlineLevel="0" collapsed="false"/>
    <row r="3413" customFormat="false" ht="18" hidden="false" customHeight="true" outlineLevel="0" collapsed="false"/>
    <row r="3414" customFormat="false" ht="18" hidden="false" customHeight="true" outlineLevel="0" collapsed="false"/>
    <row r="3415" customFormat="false" ht="18" hidden="false" customHeight="true" outlineLevel="0" collapsed="false"/>
    <row r="3416" customFormat="false" ht="18" hidden="false" customHeight="true" outlineLevel="0" collapsed="false"/>
    <row r="3417" customFormat="false" ht="18" hidden="false" customHeight="true" outlineLevel="0" collapsed="false"/>
    <row r="3418" customFormat="false" ht="18" hidden="false" customHeight="true" outlineLevel="0" collapsed="false"/>
    <row r="3419" customFormat="false" ht="18" hidden="false" customHeight="true" outlineLevel="0" collapsed="false"/>
    <row r="3420" customFormat="false" ht="18" hidden="false" customHeight="true" outlineLevel="0" collapsed="false"/>
    <row r="3421" customFormat="false" ht="18" hidden="false" customHeight="true" outlineLevel="0" collapsed="false"/>
    <row r="3422" customFormat="false" ht="18" hidden="false" customHeight="true" outlineLevel="0" collapsed="false"/>
    <row r="3423" customFormat="false" ht="18" hidden="false" customHeight="true" outlineLevel="0" collapsed="false"/>
    <row r="3424" customFormat="false" ht="18" hidden="false" customHeight="true" outlineLevel="0" collapsed="false"/>
    <row r="3425" customFormat="false" ht="18" hidden="false" customHeight="true" outlineLevel="0" collapsed="false"/>
    <row r="3426" customFormat="false" ht="18" hidden="false" customHeight="true" outlineLevel="0" collapsed="false"/>
    <row r="3427" customFormat="false" ht="18" hidden="false" customHeight="true" outlineLevel="0" collapsed="false"/>
    <row r="3428" customFormat="false" ht="18" hidden="false" customHeight="true" outlineLevel="0" collapsed="false"/>
    <row r="3429" customFormat="false" ht="18" hidden="false" customHeight="true" outlineLevel="0" collapsed="false"/>
    <row r="3430" customFormat="false" ht="18" hidden="false" customHeight="true" outlineLevel="0" collapsed="false"/>
    <row r="3431" customFormat="false" ht="18" hidden="false" customHeight="true" outlineLevel="0" collapsed="false"/>
    <row r="3432" customFormat="false" ht="18" hidden="false" customHeight="true" outlineLevel="0" collapsed="false"/>
    <row r="3433" customFormat="false" ht="18" hidden="false" customHeight="true" outlineLevel="0" collapsed="false"/>
    <row r="3434" customFormat="false" ht="18" hidden="false" customHeight="true" outlineLevel="0" collapsed="false"/>
    <row r="3435" customFormat="false" ht="18" hidden="false" customHeight="true" outlineLevel="0" collapsed="false"/>
    <row r="3436" customFormat="false" ht="18" hidden="false" customHeight="true" outlineLevel="0" collapsed="false"/>
    <row r="3437" customFormat="false" ht="18" hidden="false" customHeight="true" outlineLevel="0" collapsed="false"/>
    <row r="3438" customFormat="false" ht="18" hidden="false" customHeight="true" outlineLevel="0" collapsed="false"/>
    <row r="3439" customFormat="false" ht="18" hidden="false" customHeight="true" outlineLevel="0" collapsed="false"/>
    <row r="3440" customFormat="false" ht="18" hidden="false" customHeight="true" outlineLevel="0" collapsed="false"/>
    <row r="3441" customFormat="false" ht="18" hidden="false" customHeight="true" outlineLevel="0" collapsed="false"/>
    <row r="3442" customFormat="false" ht="18" hidden="false" customHeight="true" outlineLevel="0" collapsed="false"/>
    <row r="3443" customFormat="false" ht="18" hidden="false" customHeight="true" outlineLevel="0" collapsed="false"/>
    <row r="3444" customFormat="false" ht="18" hidden="false" customHeight="true" outlineLevel="0" collapsed="false"/>
    <row r="3445" customFormat="false" ht="18" hidden="false" customHeight="true" outlineLevel="0" collapsed="false"/>
    <row r="3446" customFormat="false" ht="18" hidden="false" customHeight="true" outlineLevel="0" collapsed="false"/>
    <row r="3447" customFormat="false" ht="18" hidden="false" customHeight="true" outlineLevel="0" collapsed="false"/>
    <row r="3448" customFormat="false" ht="18" hidden="false" customHeight="true" outlineLevel="0" collapsed="false"/>
    <row r="3449" customFormat="false" ht="18" hidden="false" customHeight="true" outlineLevel="0" collapsed="false"/>
    <row r="3450" customFormat="false" ht="18" hidden="false" customHeight="true" outlineLevel="0" collapsed="false"/>
    <row r="3451" customFormat="false" ht="18" hidden="false" customHeight="true" outlineLevel="0" collapsed="false"/>
    <row r="3452" customFormat="false" ht="18" hidden="false" customHeight="true" outlineLevel="0" collapsed="false"/>
    <row r="3453" customFormat="false" ht="18" hidden="false" customHeight="true" outlineLevel="0" collapsed="false"/>
    <row r="3454" customFormat="false" ht="18" hidden="false" customHeight="true" outlineLevel="0" collapsed="false"/>
    <row r="3455" customFormat="false" ht="18" hidden="false" customHeight="true" outlineLevel="0" collapsed="false"/>
    <row r="3456" customFormat="false" ht="18" hidden="false" customHeight="true" outlineLevel="0" collapsed="false"/>
    <row r="3457" customFormat="false" ht="18" hidden="false" customHeight="true" outlineLevel="0" collapsed="false"/>
    <row r="3458" customFormat="false" ht="18" hidden="false" customHeight="true" outlineLevel="0" collapsed="false"/>
    <row r="3459" customFormat="false" ht="18" hidden="false" customHeight="true" outlineLevel="0" collapsed="false"/>
    <row r="3460" customFormat="false" ht="18" hidden="false" customHeight="true" outlineLevel="0" collapsed="false"/>
    <row r="3461" customFormat="false" ht="18" hidden="false" customHeight="true" outlineLevel="0" collapsed="false"/>
    <row r="3462" customFormat="false" ht="18" hidden="false" customHeight="true" outlineLevel="0" collapsed="false"/>
    <row r="3463" customFormat="false" ht="18" hidden="false" customHeight="true" outlineLevel="0" collapsed="false"/>
    <row r="3464" customFormat="false" ht="18" hidden="false" customHeight="true" outlineLevel="0" collapsed="false"/>
    <row r="3465" customFormat="false" ht="18" hidden="false" customHeight="true" outlineLevel="0" collapsed="false"/>
    <row r="3466" customFormat="false" ht="18" hidden="false" customHeight="true" outlineLevel="0" collapsed="false"/>
    <row r="3467" customFormat="false" ht="18" hidden="false" customHeight="true" outlineLevel="0" collapsed="false"/>
    <row r="3468" customFormat="false" ht="18" hidden="false" customHeight="true" outlineLevel="0" collapsed="false"/>
    <row r="3469" customFormat="false" ht="18" hidden="false" customHeight="true" outlineLevel="0" collapsed="false"/>
    <row r="3470" customFormat="false" ht="18" hidden="false" customHeight="true" outlineLevel="0" collapsed="false"/>
    <row r="3471" customFormat="false" ht="18" hidden="false" customHeight="true" outlineLevel="0" collapsed="false"/>
    <row r="3472" customFormat="false" ht="18" hidden="false" customHeight="true" outlineLevel="0" collapsed="false"/>
    <row r="3473" customFormat="false" ht="18" hidden="false" customHeight="true" outlineLevel="0" collapsed="false"/>
    <row r="3474" customFormat="false" ht="18" hidden="false" customHeight="true" outlineLevel="0" collapsed="false"/>
    <row r="3475" customFormat="false" ht="18" hidden="false" customHeight="true" outlineLevel="0" collapsed="false"/>
    <row r="3476" customFormat="false" ht="18" hidden="false" customHeight="true" outlineLevel="0" collapsed="false"/>
    <row r="3477" customFormat="false" ht="18" hidden="false" customHeight="true" outlineLevel="0" collapsed="false"/>
    <row r="3478" customFormat="false" ht="18" hidden="false" customHeight="true" outlineLevel="0" collapsed="false"/>
    <row r="3479" customFormat="false" ht="18" hidden="false" customHeight="true" outlineLevel="0" collapsed="false"/>
    <row r="3480" customFormat="false" ht="18" hidden="false" customHeight="true" outlineLevel="0" collapsed="false"/>
    <row r="3481" customFormat="false" ht="18" hidden="false" customHeight="true" outlineLevel="0" collapsed="false"/>
    <row r="3482" customFormat="false" ht="18" hidden="false" customHeight="true" outlineLevel="0" collapsed="false"/>
    <row r="3483" customFormat="false" ht="18" hidden="false" customHeight="true" outlineLevel="0" collapsed="false"/>
    <row r="3484" customFormat="false" ht="18" hidden="false" customHeight="true" outlineLevel="0" collapsed="false"/>
    <row r="3485" customFormat="false" ht="18" hidden="false" customHeight="true" outlineLevel="0" collapsed="false"/>
    <row r="3486" customFormat="false" ht="18" hidden="false" customHeight="true" outlineLevel="0" collapsed="false"/>
    <row r="3487" customFormat="false" ht="18" hidden="false" customHeight="true" outlineLevel="0" collapsed="false"/>
    <row r="3488" customFormat="false" ht="18" hidden="false" customHeight="true" outlineLevel="0" collapsed="false"/>
    <row r="3489" customFormat="false" ht="18" hidden="false" customHeight="true" outlineLevel="0" collapsed="false"/>
    <row r="3490" customFormat="false" ht="18" hidden="false" customHeight="true" outlineLevel="0" collapsed="false"/>
    <row r="3491" customFormat="false" ht="18" hidden="false" customHeight="true" outlineLevel="0" collapsed="false"/>
    <row r="3492" customFormat="false" ht="18" hidden="false" customHeight="true" outlineLevel="0" collapsed="false"/>
    <row r="3493" customFormat="false" ht="18" hidden="false" customHeight="true" outlineLevel="0" collapsed="false"/>
    <row r="3494" customFormat="false" ht="18" hidden="false" customHeight="true" outlineLevel="0" collapsed="false"/>
    <row r="3495" customFormat="false" ht="18" hidden="false" customHeight="true" outlineLevel="0" collapsed="false"/>
    <row r="3496" customFormat="false" ht="18" hidden="false" customHeight="true" outlineLevel="0" collapsed="false"/>
    <row r="3497" customFormat="false" ht="18" hidden="false" customHeight="true" outlineLevel="0" collapsed="false"/>
    <row r="3498" customFormat="false" ht="18" hidden="false" customHeight="true" outlineLevel="0" collapsed="false"/>
    <row r="3499" customFormat="false" ht="18" hidden="false" customHeight="true" outlineLevel="0" collapsed="false"/>
    <row r="3500" customFormat="false" ht="18" hidden="false" customHeight="true" outlineLevel="0" collapsed="false"/>
    <row r="3501" customFormat="false" ht="18" hidden="false" customHeight="true" outlineLevel="0" collapsed="false"/>
    <row r="3502" customFormat="false" ht="18" hidden="false" customHeight="true" outlineLevel="0" collapsed="false"/>
    <row r="3503" customFormat="false" ht="18" hidden="false" customHeight="true" outlineLevel="0" collapsed="false"/>
    <row r="3504" customFormat="false" ht="18" hidden="false" customHeight="true" outlineLevel="0" collapsed="false"/>
    <row r="3505" customFormat="false" ht="18" hidden="false" customHeight="true" outlineLevel="0" collapsed="false"/>
    <row r="3506" customFormat="false" ht="18" hidden="false" customHeight="true" outlineLevel="0" collapsed="false"/>
    <row r="3507" customFormat="false" ht="18" hidden="false" customHeight="true" outlineLevel="0" collapsed="false"/>
    <row r="3508" customFormat="false" ht="18" hidden="false" customHeight="true" outlineLevel="0" collapsed="false"/>
    <row r="3509" customFormat="false" ht="18" hidden="false" customHeight="true" outlineLevel="0" collapsed="false"/>
    <row r="3510" customFormat="false" ht="18" hidden="false" customHeight="true" outlineLevel="0" collapsed="false"/>
    <row r="3511" customFormat="false" ht="18" hidden="false" customHeight="true" outlineLevel="0" collapsed="false"/>
    <row r="3512" customFormat="false" ht="18" hidden="false" customHeight="true" outlineLevel="0" collapsed="false"/>
    <row r="3513" customFormat="false" ht="18" hidden="false" customHeight="true" outlineLevel="0" collapsed="false"/>
    <row r="3514" customFormat="false" ht="18" hidden="false" customHeight="true" outlineLevel="0" collapsed="false"/>
    <row r="3515" customFormat="false" ht="18" hidden="false" customHeight="true" outlineLevel="0" collapsed="false"/>
    <row r="3516" customFormat="false" ht="18" hidden="false" customHeight="true" outlineLevel="0" collapsed="false"/>
    <row r="3517" customFormat="false" ht="18" hidden="false" customHeight="true" outlineLevel="0" collapsed="false"/>
    <row r="3518" customFormat="false" ht="18" hidden="false" customHeight="true" outlineLevel="0" collapsed="false"/>
    <row r="3519" customFormat="false" ht="18" hidden="false" customHeight="true" outlineLevel="0" collapsed="false"/>
    <row r="3520" customFormat="false" ht="18" hidden="false" customHeight="true" outlineLevel="0" collapsed="false"/>
    <row r="3521" customFormat="false" ht="18" hidden="false" customHeight="true" outlineLevel="0" collapsed="false"/>
    <row r="3522" customFormat="false" ht="18" hidden="false" customHeight="true" outlineLevel="0" collapsed="false"/>
    <row r="3523" customFormat="false" ht="18" hidden="false" customHeight="true" outlineLevel="0" collapsed="false"/>
    <row r="3524" customFormat="false" ht="18" hidden="false" customHeight="true" outlineLevel="0" collapsed="false"/>
    <row r="3525" customFormat="false" ht="18" hidden="false" customHeight="true" outlineLevel="0" collapsed="false"/>
    <row r="3526" customFormat="false" ht="18" hidden="false" customHeight="true" outlineLevel="0" collapsed="false"/>
    <row r="3527" customFormat="false" ht="18" hidden="false" customHeight="true" outlineLevel="0" collapsed="false"/>
    <row r="3528" customFormat="false" ht="18" hidden="false" customHeight="true" outlineLevel="0" collapsed="false"/>
    <row r="3529" customFormat="false" ht="18" hidden="false" customHeight="true" outlineLevel="0" collapsed="false"/>
    <row r="3530" customFormat="false" ht="18" hidden="false" customHeight="true" outlineLevel="0" collapsed="false"/>
    <row r="3531" customFormat="false" ht="18" hidden="false" customHeight="true" outlineLevel="0" collapsed="false"/>
    <row r="3532" customFormat="false" ht="18" hidden="false" customHeight="true" outlineLevel="0" collapsed="false"/>
    <row r="3533" customFormat="false" ht="18" hidden="false" customHeight="true" outlineLevel="0" collapsed="false"/>
    <row r="3534" customFormat="false" ht="18" hidden="false" customHeight="true" outlineLevel="0" collapsed="false"/>
    <row r="3535" customFormat="false" ht="18" hidden="false" customHeight="true" outlineLevel="0" collapsed="false"/>
    <row r="3536" customFormat="false" ht="18" hidden="false" customHeight="true" outlineLevel="0" collapsed="false"/>
    <row r="3537" customFormat="false" ht="18" hidden="false" customHeight="true" outlineLevel="0" collapsed="false"/>
    <row r="3538" customFormat="false" ht="18" hidden="false" customHeight="true" outlineLevel="0" collapsed="false"/>
    <row r="3539" customFormat="false" ht="18" hidden="false" customHeight="true" outlineLevel="0" collapsed="false"/>
    <row r="3540" customFormat="false" ht="18" hidden="false" customHeight="true" outlineLevel="0" collapsed="false"/>
    <row r="3541" customFormat="false" ht="18" hidden="false" customHeight="true" outlineLevel="0" collapsed="false"/>
    <row r="3542" customFormat="false" ht="18" hidden="false" customHeight="true" outlineLevel="0" collapsed="false"/>
    <row r="3543" customFormat="false" ht="18" hidden="false" customHeight="true" outlineLevel="0" collapsed="false"/>
    <row r="3544" customFormat="false" ht="18" hidden="false" customHeight="true" outlineLevel="0" collapsed="false"/>
    <row r="3545" customFormat="false" ht="18" hidden="false" customHeight="true" outlineLevel="0" collapsed="false"/>
    <row r="3546" customFormat="false" ht="18" hidden="false" customHeight="true" outlineLevel="0" collapsed="false"/>
    <row r="3547" customFormat="false" ht="18" hidden="false" customHeight="true" outlineLevel="0" collapsed="false"/>
    <row r="3548" customFormat="false" ht="18" hidden="false" customHeight="true" outlineLevel="0" collapsed="false"/>
    <row r="3549" customFormat="false" ht="18" hidden="false" customHeight="true" outlineLevel="0" collapsed="false"/>
    <row r="3550" customFormat="false" ht="18" hidden="false" customHeight="true" outlineLevel="0" collapsed="false"/>
    <row r="3551" customFormat="false" ht="18" hidden="false" customHeight="true" outlineLevel="0" collapsed="false"/>
    <row r="3552" customFormat="false" ht="18" hidden="false" customHeight="true" outlineLevel="0" collapsed="false"/>
    <row r="3553" customFormat="false" ht="18" hidden="false" customHeight="true" outlineLevel="0" collapsed="false"/>
    <row r="3554" customFormat="false" ht="18" hidden="false" customHeight="true" outlineLevel="0" collapsed="false"/>
    <row r="3555" customFormat="false" ht="18" hidden="false" customHeight="true" outlineLevel="0" collapsed="false"/>
    <row r="3556" customFormat="false" ht="18" hidden="false" customHeight="true" outlineLevel="0" collapsed="false"/>
    <row r="3557" customFormat="false" ht="18" hidden="false" customHeight="true" outlineLevel="0" collapsed="false"/>
    <row r="3558" customFormat="false" ht="18" hidden="false" customHeight="true" outlineLevel="0" collapsed="false"/>
    <row r="3559" customFormat="false" ht="18" hidden="false" customHeight="true" outlineLevel="0" collapsed="false"/>
    <row r="3560" customFormat="false" ht="18" hidden="false" customHeight="true" outlineLevel="0" collapsed="false"/>
    <row r="3561" customFormat="false" ht="18" hidden="false" customHeight="true" outlineLevel="0" collapsed="false"/>
    <row r="3562" customFormat="false" ht="18" hidden="false" customHeight="true" outlineLevel="0" collapsed="false"/>
    <row r="3563" customFormat="false" ht="18" hidden="false" customHeight="true" outlineLevel="0" collapsed="false"/>
    <row r="3564" customFormat="false" ht="18" hidden="false" customHeight="true" outlineLevel="0" collapsed="false"/>
    <row r="3565" customFormat="false" ht="18" hidden="false" customHeight="true" outlineLevel="0" collapsed="false"/>
    <row r="3566" customFormat="false" ht="18" hidden="false" customHeight="true" outlineLevel="0" collapsed="false"/>
    <row r="3567" customFormat="false" ht="18" hidden="false" customHeight="true" outlineLevel="0" collapsed="false"/>
    <row r="3568" customFormat="false" ht="18" hidden="false" customHeight="true" outlineLevel="0" collapsed="false"/>
    <row r="3569" customFormat="false" ht="18" hidden="false" customHeight="true" outlineLevel="0" collapsed="false"/>
    <row r="3570" customFormat="false" ht="18" hidden="false" customHeight="true" outlineLevel="0" collapsed="false"/>
    <row r="3571" customFormat="false" ht="18" hidden="false" customHeight="true" outlineLevel="0" collapsed="false"/>
    <row r="3572" customFormat="false" ht="18" hidden="false" customHeight="true" outlineLevel="0" collapsed="false"/>
    <row r="3573" customFormat="false" ht="18" hidden="false" customHeight="true" outlineLevel="0" collapsed="false"/>
    <row r="3574" customFormat="false" ht="18" hidden="false" customHeight="true" outlineLevel="0" collapsed="false"/>
    <row r="3575" customFormat="false" ht="18" hidden="false" customHeight="true" outlineLevel="0" collapsed="false"/>
    <row r="3576" customFormat="false" ht="18" hidden="false" customHeight="true" outlineLevel="0" collapsed="false"/>
    <row r="3577" customFormat="false" ht="18" hidden="false" customHeight="true" outlineLevel="0" collapsed="false"/>
    <row r="3578" customFormat="false" ht="18" hidden="false" customHeight="true" outlineLevel="0" collapsed="false"/>
    <row r="3579" customFormat="false" ht="18" hidden="false" customHeight="true" outlineLevel="0" collapsed="false"/>
    <row r="3580" customFormat="false" ht="18" hidden="false" customHeight="true" outlineLevel="0" collapsed="false"/>
    <row r="3581" customFormat="false" ht="18" hidden="false" customHeight="true" outlineLevel="0" collapsed="false"/>
    <row r="3582" customFormat="false" ht="18" hidden="false" customHeight="true" outlineLevel="0" collapsed="false"/>
    <row r="3583" customFormat="false" ht="18" hidden="false" customHeight="true" outlineLevel="0" collapsed="false"/>
    <row r="3584" customFormat="false" ht="18" hidden="false" customHeight="true" outlineLevel="0" collapsed="false"/>
    <row r="3585" customFormat="false" ht="18" hidden="false" customHeight="true" outlineLevel="0" collapsed="false"/>
    <row r="3586" customFormat="false" ht="18" hidden="false" customHeight="true" outlineLevel="0" collapsed="false"/>
    <row r="3587" customFormat="false" ht="18" hidden="false" customHeight="true" outlineLevel="0" collapsed="false"/>
    <row r="3588" customFormat="false" ht="18" hidden="false" customHeight="true" outlineLevel="0" collapsed="false"/>
    <row r="3589" customFormat="false" ht="18" hidden="false" customHeight="true" outlineLevel="0" collapsed="false"/>
    <row r="3590" customFormat="false" ht="18" hidden="false" customHeight="true" outlineLevel="0" collapsed="false"/>
    <row r="3591" customFormat="false" ht="18" hidden="false" customHeight="true" outlineLevel="0" collapsed="false"/>
    <row r="3592" customFormat="false" ht="18" hidden="false" customHeight="true" outlineLevel="0" collapsed="false"/>
    <row r="3593" customFormat="false" ht="18" hidden="false" customHeight="true" outlineLevel="0" collapsed="false"/>
    <row r="3594" customFormat="false" ht="18" hidden="false" customHeight="true" outlineLevel="0" collapsed="false"/>
    <row r="3595" customFormat="false" ht="18" hidden="false" customHeight="true" outlineLevel="0" collapsed="false"/>
    <row r="3596" customFormat="false" ht="18" hidden="false" customHeight="true" outlineLevel="0" collapsed="false"/>
    <row r="3597" customFormat="false" ht="18" hidden="false" customHeight="true" outlineLevel="0" collapsed="false"/>
    <row r="3598" customFormat="false" ht="18" hidden="false" customHeight="true" outlineLevel="0" collapsed="false"/>
    <row r="3599" customFormat="false" ht="18" hidden="false" customHeight="true" outlineLevel="0" collapsed="false"/>
    <row r="3600" customFormat="false" ht="18" hidden="false" customHeight="true" outlineLevel="0" collapsed="false"/>
    <row r="3601" customFormat="false" ht="18" hidden="false" customHeight="true" outlineLevel="0" collapsed="false"/>
    <row r="3602" customFormat="false" ht="18" hidden="false" customHeight="true" outlineLevel="0" collapsed="false"/>
    <row r="3603" customFormat="false" ht="18" hidden="false" customHeight="true" outlineLevel="0" collapsed="false"/>
    <row r="3604" customFormat="false" ht="18" hidden="false" customHeight="true" outlineLevel="0" collapsed="false"/>
    <row r="3605" customFormat="false" ht="18" hidden="false" customHeight="true" outlineLevel="0" collapsed="false"/>
    <row r="3606" customFormat="false" ht="18" hidden="false" customHeight="true" outlineLevel="0" collapsed="false"/>
    <row r="3607" customFormat="false" ht="18" hidden="false" customHeight="true" outlineLevel="0" collapsed="false"/>
    <row r="3608" customFormat="false" ht="18" hidden="false" customHeight="true" outlineLevel="0" collapsed="false"/>
    <row r="3609" customFormat="false" ht="18" hidden="false" customHeight="true" outlineLevel="0" collapsed="false"/>
    <row r="3610" customFormat="false" ht="18" hidden="false" customHeight="true" outlineLevel="0" collapsed="false"/>
    <row r="3611" customFormat="false" ht="18" hidden="false" customHeight="true" outlineLevel="0" collapsed="false"/>
    <row r="3612" customFormat="false" ht="18" hidden="false" customHeight="true" outlineLevel="0" collapsed="false"/>
    <row r="3613" customFormat="false" ht="18" hidden="false" customHeight="true" outlineLevel="0" collapsed="false"/>
    <row r="3614" customFormat="false" ht="18" hidden="false" customHeight="true" outlineLevel="0" collapsed="false"/>
    <row r="3615" customFormat="false" ht="18" hidden="false" customHeight="true" outlineLevel="0" collapsed="false"/>
    <row r="3616" customFormat="false" ht="18" hidden="false" customHeight="true" outlineLevel="0" collapsed="false"/>
    <row r="3617" customFormat="false" ht="18" hidden="false" customHeight="true" outlineLevel="0" collapsed="false"/>
    <row r="3618" customFormat="false" ht="18" hidden="false" customHeight="true" outlineLevel="0" collapsed="false"/>
    <row r="3619" customFormat="false" ht="18" hidden="false" customHeight="true" outlineLevel="0" collapsed="false"/>
    <row r="3620" customFormat="false" ht="18" hidden="false" customHeight="true" outlineLevel="0" collapsed="false"/>
    <row r="3621" customFormat="false" ht="18" hidden="false" customHeight="true" outlineLevel="0" collapsed="false"/>
    <row r="3622" customFormat="false" ht="18" hidden="false" customHeight="true" outlineLevel="0" collapsed="false"/>
    <row r="3623" customFormat="false" ht="18" hidden="false" customHeight="true" outlineLevel="0" collapsed="false"/>
    <row r="3624" customFormat="false" ht="18" hidden="false" customHeight="true" outlineLevel="0" collapsed="false"/>
    <row r="3625" customFormat="false" ht="18" hidden="false" customHeight="true" outlineLevel="0" collapsed="false"/>
    <row r="3626" customFormat="false" ht="18" hidden="false" customHeight="true" outlineLevel="0" collapsed="false"/>
    <row r="3627" customFormat="false" ht="18" hidden="false" customHeight="true" outlineLevel="0" collapsed="false"/>
    <row r="3628" customFormat="false" ht="18" hidden="false" customHeight="true" outlineLevel="0" collapsed="false"/>
    <row r="3629" customFormat="false" ht="18" hidden="false" customHeight="true" outlineLevel="0" collapsed="false"/>
    <row r="3630" customFormat="false" ht="18" hidden="false" customHeight="true" outlineLevel="0" collapsed="false"/>
    <row r="3631" customFormat="false" ht="18" hidden="false" customHeight="true" outlineLevel="0" collapsed="false"/>
    <row r="3632" customFormat="false" ht="18" hidden="false" customHeight="true" outlineLevel="0" collapsed="false"/>
    <row r="3633" customFormat="false" ht="18" hidden="false" customHeight="true" outlineLevel="0" collapsed="false"/>
    <row r="3634" customFormat="false" ht="18" hidden="false" customHeight="true" outlineLevel="0" collapsed="false"/>
    <row r="3635" customFormat="false" ht="18" hidden="false" customHeight="true" outlineLevel="0" collapsed="false"/>
    <row r="3636" customFormat="false" ht="18" hidden="false" customHeight="true" outlineLevel="0" collapsed="false"/>
    <row r="3637" customFormat="false" ht="18" hidden="false" customHeight="true" outlineLevel="0" collapsed="false"/>
    <row r="3638" customFormat="false" ht="18" hidden="false" customHeight="true" outlineLevel="0" collapsed="false"/>
    <row r="3639" customFormat="false" ht="18" hidden="false" customHeight="true" outlineLevel="0" collapsed="false"/>
    <row r="3640" customFormat="false" ht="18" hidden="false" customHeight="true" outlineLevel="0" collapsed="false"/>
    <row r="3641" customFormat="false" ht="18" hidden="false" customHeight="true" outlineLevel="0" collapsed="false"/>
    <row r="3642" customFormat="false" ht="18" hidden="false" customHeight="true" outlineLevel="0" collapsed="false"/>
    <row r="3643" customFormat="false" ht="18" hidden="false" customHeight="true" outlineLevel="0" collapsed="false"/>
    <row r="3644" customFormat="false" ht="18" hidden="false" customHeight="true" outlineLevel="0" collapsed="false"/>
    <row r="3645" customFormat="false" ht="18" hidden="false" customHeight="true" outlineLevel="0" collapsed="false"/>
    <row r="3646" customFormat="false" ht="18" hidden="false" customHeight="true" outlineLevel="0" collapsed="false"/>
    <row r="3647" customFormat="false" ht="18" hidden="false" customHeight="true" outlineLevel="0" collapsed="false"/>
    <row r="3648" customFormat="false" ht="18" hidden="false" customHeight="true" outlineLevel="0" collapsed="false"/>
    <row r="3649" customFormat="false" ht="18" hidden="false" customHeight="true" outlineLevel="0" collapsed="false"/>
    <row r="3650" customFormat="false" ht="18" hidden="false" customHeight="true" outlineLevel="0" collapsed="false"/>
    <row r="3651" customFormat="false" ht="18" hidden="false" customHeight="true" outlineLevel="0" collapsed="false"/>
    <row r="3652" customFormat="false" ht="18" hidden="false" customHeight="true" outlineLevel="0" collapsed="false"/>
    <row r="3653" customFormat="false" ht="18" hidden="false" customHeight="true" outlineLevel="0" collapsed="false"/>
    <row r="3654" customFormat="false" ht="18" hidden="false" customHeight="true" outlineLevel="0" collapsed="false"/>
  </sheetData>
  <dataValidations count="3">
    <dataValidation allowBlank="false" errorStyle="stop" operator="between" showDropDown="false" showErrorMessage="false" showInputMessage="false" sqref="B5:B120" type="list">
      <formula1>"21,22,23,24,25"</formula1>
      <formula2>0</formula2>
    </dataValidation>
    <dataValidation allowBlank="false" errorStyle="stop" operator="between" showDropDown="false" showErrorMessage="false" showInputMessage="false" sqref="D5:D120" type="list">
      <formula1>"AM,PM"</formula1>
      <formula2>0</formula2>
    </dataValidation>
    <dataValidation allowBlank="false" errorStyle="stop" operator="between" showDropDown="false" showErrorMessage="false" showInputMessage="false" sqref="H5:R120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2026-08-31T12:51:13Z</dcterms:created>
  <dc:creator>openpyxl</dc:creator>
  <dc:description/>
  <dc:language>en-US</dc:language>
  <cp:lastModifiedBy>Ahmed Fergany</cp:lastModifiedBy>
  <dcterms:modified xsi:type="dcterms:W3CDTF">2026-08-31T12:51:18Z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