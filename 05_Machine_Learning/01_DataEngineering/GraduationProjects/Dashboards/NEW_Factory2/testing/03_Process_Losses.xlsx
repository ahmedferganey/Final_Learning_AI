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9" documentId="11_9A6FCC777CC777F4E793E3F208ADA33D1EAD4176" xr6:coauthVersionLast="47" xr6:coauthVersionMax="47" xr10:uidLastSave="{AF538FAC-1B7C-4094-AA18-212ACDD1D96A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calcPr calcId="191029"/>
</workbook>
</file>

<file path=xl/calcChain.xml><?xml version="1.0" encoding="utf-8"?>
<calcChain xmlns="http://schemas.openxmlformats.org/spreadsheetml/2006/main">
  <c r="W120" i="2" l="1"/>
  <c r="U120" i="2"/>
  <c r="V120" i="2" s="1"/>
  <c r="T120" i="2"/>
  <c r="S120" i="2"/>
  <c r="W119" i="2"/>
  <c r="U119" i="2"/>
  <c r="V119" i="2" s="1"/>
  <c r="T119" i="2"/>
  <c r="S119" i="2"/>
  <c r="W118" i="2"/>
  <c r="U118" i="2"/>
  <c r="V118" i="2" s="1"/>
  <c r="T118" i="2"/>
  <c r="S118" i="2"/>
  <c r="W117" i="2"/>
  <c r="U117" i="2"/>
  <c r="V117" i="2" s="1"/>
  <c r="T117" i="2"/>
  <c r="S117" i="2"/>
  <c r="W116" i="2"/>
  <c r="U116" i="2"/>
  <c r="V116" i="2" s="1"/>
  <c r="T116" i="2"/>
  <c r="S116" i="2"/>
  <c r="W115" i="2"/>
  <c r="V115" i="2"/>
  <c r="U115" i="2"/>
  <c r="T115" i="2"/>
  <c r="S115" i="2"/>
  <c r="W114" i="2"/>
  <c r="V114" i="2"/>
  <c r="U114" i="2"/>
  <c r="T114" i="2"/>
  <c r="S114" i="2"/>
  <c r="W113" i="2"/>
  <c r="V113" i="2"/>
  <c r="U113" i="2"/>
  <c r="T113" i="2"/>
  <c r="S113" i="2"/>
  <c r="W112" i="2"/>
  <c r="V112" i="2"/>
  <c r="U112" i="2"/>
  <c r="T112" i="2"/>
  <c r="S112" i="2"/>
  <c r="W111" i="2"/>
  <c r="U111" i="2"/>
  <c r="V111" i="2" s="1"/>
  <c r="T111" i="2"/>
  <c r="S111" i="2"/>
  <c r="W110" i="2"/>
  <c r="U110" i="2"/>
  <c r="V110" i="2" s="1"/>
  <c r="T110" i="2"/>
  <c r="S110" i="2"/>
  <c r="W109" i="2"/>
  <c r="U109" i="2"/>
  <c r="V109" i="2" s="1"/>
  <c r="T109" i="2"/>
  <c r="S109" i="2"/>
  <c r="W108" i="2"/>
  <c r="U108" i="2"/>
  <c r="V108" i="2" s="1"/>
  <c r="T108" i="2"/>
  <c r="S108" i="2"/>
  <c r="W107" i="2"/>
  <c r="V107" i="2"/>
  <c r="U107" i="2"/>
  <c r="T107" i="2"/>
  <c r="S107" i="2"/>
  <c r="W106" i="2"/>
  <c r="U106" i="2"/>
  <c r="V106" i="2" s="1"/>
  <c r="T106" i="2"/>
  <c r="S106" i="2"/>
  <c r="W105" i="2"/>
  <c r="U105" i="2"/>
  <c r="V105" i="2" s="1"/>
  <c r="T105" i="2"/>
  <c r="S105" i="2"/>
  <c r="W104" i="2"/>
  <c r="U104" i="2"/>
  <c r="V104" i="2" s="1"/>
  <c r="T104" i="2"/>
  <c r="S104" i="2"/>
  <c r="W103" i="2"/>
  <c r="U103" i="2"/>
  <c r="V103" i="2" s="1"/>
  <c r="T103" i="2"/>
  <c r="S103" i="2"/>
  <c r="W102" i="2"/>
  <c r="U102" i="2"/>
  <c r="V102" i="2" s="1"/>
  <c r="T102" i="2"/>
  <c r="S102" i="2"/>
  <c r="W101" i="2"/>
  <c r="U101" i="2"/>
  <c r="V101" i="2" s="1"/>
  <c r="T101" i="2"/>
  <c r="S101" i="2"/>
  <c r="W100" i="2"/>
  <c r="U100" i="2"/>
  <c r="V100" i="2" s="1"/>
  <c r="T100" i="2"/>
  <c r="S100" i="2"/>
  <c r="W99" i="2"/>
  <c r="V99" i="2"/>
  <c r="U99" i="2"/>
  <c r="T99" i="2"/>
  <c r="S99" i="2"/>
  <c r="W98" i="2"/>
  <c r="V98" i="2"/>
  <c r="U98" i="2"/>
  <c r="T98" i="2"/>
  <c r="S98" i="2"/>
  <c r="W97" i="2"/>
  <c r="V97" i="2"/>
  <c r="U97" i="2"/>
  <c r="T97" i="2"/>
  <c r="S97" i="2"/>
  <c r="W96" i="2"/>
  <c r="V96" i="2"/>
  <c r="U96" i="2"/>
  <c r="T96" i="2"/>
  <c r="S96" i="2"/>
  <c r="W95" i="2"/>
  <c r="U95" i="2"/>
  <c r="V95" i="2" s="1"/>
  <c r="T95" i="2"/>
  <c r="S95" i="2"/>
  <c r="W94" i="2"/>
  <c r="U94" i="2"/>
  <c r="V94" i="2" s="1"/>
  <c r="T94" i="2"/>
  <c r="S94" i="2"/>
  <c r="W93" i="2"/>
  <c r="U93" i="2"/>
  <c r="V93" i="2" s="1"/>
  <c r="T93" i="2"/>
  <c r="S93" i="2"/>
  <c r="W92" i="2"/>
  <c r="U92" i="2"/>
  <c r="V92" i="2" s="1"/>
  <c r="T92" i="2"/>
  <c r="S92" i="2"/>
  <c r="W91" i="2"/>
  <c r="V91" i="2"/>
  <c r="U91" i="2"/>
  <c r="T91" i="2"/>
  <c r="S91" i="2"/>
  <c r="W90" i="2"/>
  <c r="U90" i="2"/>
  <c r="V90" i="2" s="1"/>
  <c r="T90" i="2"/>
  <c r="S90" i="2"/>
  <c r="W89" i="2"/>
  <c r="U89" i="2"/>
  <c r="V89" i="2" s="1"/>
  <c r="T89" i="2"/>
  <c r="S89" i="2"/>
  <c r="W88" i="2"/>
  <c r="U88" i="2"/>
  <c r="V88" i="2" s="1"/>
  <c r="T88" i="2"/>
  <c r="S88" i="2"/>
  <c r="W87" i="2"/>
  <c r="U87" i="2"/>
  <c r="V87" i="2" s="1"/>
  <c r="T87" i="2"/>
  <c r="S87" i="2"/>
  <c r="W86" i="2"/>
  <c r="U86" i="2"/>
  <c r="V86" i="2" s="1"/>
  <c r="T86" i="2"/>
  <c r="S86" i="2"/>
  <c r="W85" i="2"/>
  <c r="U85" i="2"/>
  <c r="V85" i="2" s="1"/>
  <c r="T85" i="2"/>
  <c r="S85" i="2"/>
  <c r="W84" i="2"/>
  <c r="U84" i="2"/>
  <c r="V84" i="2" s="1"/>
  <c r="T84" i="2"/>
  <c r="S84" i="2"/>
  <c r="W83" i="2"/>
  <c r="V83" i="2"/>
  <c r="U83" i="2"/>
  <c r="T83" i="2"/>
  <c r="S83" i="2"/>
  <c r="W82" i="2"/>
  <c r="V82" i="2"/>
  <c r="U82" i="2"/>
  <c r="T82" i="2"/>
  <c r="S82" i="2"/>
  <c r="W81" i="2"/>
  <c r="V81" i="2"/>
  <c r="U81" i="2"/>
  <c r="T81" i="2"/>
  <c r="S81" i="2"/>
  <c r="W80" i="2"/>
  <c r="V80" i="2"/>
  <c r="U80" i="2"/>
  <c r="T80" i="2"/>
  <c r="S80" i="2"/>
  <c r="W79" i="2"/>
  <c r="U79" i="2"/>
  <c r="V79" i="2" s="1"/>
  <c r="T79" i="2"/>
  <c r="S79" i="2"/>
  <c r="W78" i="2"/>
  <c r="U78" i="2"/>
  <c r="V78" i="2" s="1"/>
  <c r="T78" i="2"/>
  <c r="S78" i="2"/>
  <c r="W77" i="2"/>
  <c r="U77" i="2"/>
  <c r="V77" i="2" s="1"/>
  <c r="T77" i="2"/>
  <c r="S77" i="2"/>
  <c r="W76" i="2"/>
  <c r="U76" i="2"/>
  <c r="V76" i="2" s="1"/>
  <c r="T76" i="2"/>
  <c r="S76" i="2"/>
  <c r="W75" i="2"/>
  <c r="V75" i="2"/>
  <c r="U75" i="2"/>
  <c r="T75" i="2"/>
  <c r="S75" i="2"/>
  <c r="U74" i="2"/>
  <c r="V74" i="2" s="1"/>
  <c r="T74" i="2"/>
  <c r="S74" i="2"/>
  <c r="U73" i="2"/>
  <c r="V73" i="2" s="1"/>
  <c r="S73" i="2"/>
  <c r="T73" i="2" s="1"/>
  <c r="W73" i="2" s="1"/>
  <c r="U72" i="2"/>
  <c r="V72" i="2" s="1"/>
  <c r="S72" i="2"/>
  <c r="T72" i="2" s="1"/>
  <c r="U71" i="2"/>
  <c r="V71" i="2" s="1"/>
  <c r="S71" i="2"/>
  <c r="T71" i="2" s="1"/>
  <c r="U70" i="2"/>
  <c r="V70" i="2" s="1"/>
  <c r="S70" i="2"/>
  <c r="T70" i="2" s="1"/>
  <c r="U69" i="2"/>
  <c r="V69" i="2" s="1"/>
  <c r="W69" i="2" s="1"/>
  <c r="T69" i="2"/>
  <c r="S69" i="2"/>
  <c r="U68" i="2"/>
  <c r="V68" i="2" s="1"/>
  <c r="S68" i="2"/>
  <c r="T68" i="2" s="1"/>
  <c r="U67" i="2"/>
  <c r="V67" i="2" s="1"/>
  <c r="S67" i="2"/>
  <c r="T67" i="2" s="1"/>
  <c r="U66" i="2"/>
  <c r="S66" i="2"/>
  <c r="T66" i="2" s="1"/>
  <c r="U65" i="2"/>
  <c r="V65" i="2" s="1"/>
  <c r="S65" i="2"/>
  <c r="T65" i="2" s="1"/>
  <c r="W65" i="2" s="1"/>
  <c r="U64" i="2"/>
  <c r="S64" i="2"/>
  <c r="T64" i="2" s="1"/>
  <c r="U63" i="2"/>
  <c r="V63" i="2" s="1"/>
  <c r="S63" i="2"/>
  <c r="T63" i="2" s="1"/>
  <c r="U62" i="2"/>
  <c r="V62" i="2" s="1"/>
  <c r="S62" i="2"/>
  <c r="T62" i="2" s="1"/>
  <c r="U61" i="2"/>
  <c r="V61" i="2" s="1"/>
  <c r="T61" i="2"/>
  <c r="S61" i="2"/>
  <c r="U60" i="2"/>
  <c r="V60" i="2" s="1"/>
  <c r="T60" i="2"/>
  <c r="W60" i="2" s="1"/>
  <c r="S60" i="2"/>
  <c r="U59" i="2"/>
  <c r="S59" i="2"/>
  <c r="T59" i="2" s="1"/>
  <c r="U58" i="2"/>
  <c r="V58" i="2" s="1"/>
  <c r="T58" i="2"/>
  <c r="W58" i="2" s="1"/>
  <c r="S58" i="2"/>
  <c r="U57" i="2"/>
  <c r="V57" i="2" s="1"/>
  <c r="S57" i="2"/>
  <c r="T57" i="2" s="1"/>
  <c r="U56" i="2"/>
  <c r="V56" i="2" s="1"/>
  <c r="S56" i="2"/>
  <c r="T56" i="2" s="1"/>
  <c r="U55" i="2"/>
  <c r="V55" i="2" s="1"/>
  <c r="S55" i="2"/>
  <c r="T55" i="2" s="1"/>
  <c r="W55" i="2" s="1"/>
  <c r="U54" i="2"/>
  <c r="V54" i="2" s="1"/>
  <c r="S54" i="2"/>
  <c r="T54" i="2" s="1"/>
  <c r="W54" i="2" s="1"/>
  <c r="U53" i="2"/>
  <c r="V53" i="2" s="1"/>
  <c r="W53" i="2" s="1"/>
  <c r="T53" i="2"/>
  <c r="S53" i="2"/>
  <c r="U52" i="2"/>
  <c r="V52" i="2" s="1"/>
  <c r="S52" i="2"/>
  <c r="T52" i="2" s="1"/>
  <c r="U51" i="2"/>
  <c r="S51" i="2"/>
  <c r="T51" i="2" s="1"/>
  <c r="U50" i="2"/>
  <c r="S50" i="2"/>
  <c r="T50" i="2" s="1"/>
  <c r="U49" i="2"/>
  <c r="V49" i="2" s="1"/>
  <c r="S49" i="2"/>
  <c r="T49" i="2" s="1"/>
  <c r="U48" i="2"/>
  <c r="S48" i="2"/>
  <c r="T48" i="2" s="1"/>
  <c r="U47" i="2"/>
  <c r="V47" i="2" s="1"/>
  <c r="S47" i="2"/>
  <c r="T47" i="2" s="1"/>
  <c r="U46" i="2"/>
  <c r="V46" i="2" s="1"/>
  <c r="S46" i="2"/>
  <c r="T46" i="2" s="1"/>
  <c r="W46" i="2" s="1"/>
  <c r="U45" i="2"/>
  <c r="V45" i="2" s="1"/>
  <c r="T45" i="2"/>
  <c r="S45" i="2"/>
  <c r="U44" i="2"/>
  <c r="V44" i="2" s="1"/>
  <c r="T44" i="2"/>
  <c r="W44" i="2" s="1"/>
  <c r="S44" i="2"/>
  <c r="U43" i="2"/>
  <c r="S43" i="2"/>
  <c r="T43" i="2" s="1"/>
  <c r="W43" i="2" s="1"/>
  <c r="U42" i="2"/>
  <c r="V42" i="2" s="1"/>
  <c r="T42" i="2"/>
  <c r="S42" i="2"/>
  <c r="U41" i="2"/>
  <c r="V41" i="2" s="1"/>
  <c r="S41" i="2"/>
  <c r="T41" i="2" s="1"/>
  <c r="W41" i="2" s="1"/>
  <c r="U40" i="2"/>
  <c r="V40" i="2" s="1"/>
  <c r="S40" i="2"/>
  <c r="T40" i="2" s="1"/>
  <c r="W40" i="2" s="1"/>
  <c r="U39" i="2"/>
  <c r="V39" i="2" s="1"/>
  <c r="S39" i="2"/>
  <c r="T39" i="2" s="1"/>
  <c r="W39" i="2" s="1"/>
  <c r="U38" i="2"/>
  <c r="V38" i="2" s="1"/>
  <c r="S38" i="2"/>
  <c r="T38" i="2" s="1"/>
  <c r="W38" i="2" s="1"/>
  <c r="U37" i="2"/>
  <c r="V37" i="2" s="1"/>
  <c r="W37" i="2" s="1"/>
  <c r="T37" i="2"/>
  <c r="S37" i="2"/>
  <c r="U36" i="2"/>
  <c r="V36" i="2" s="1"/>
  <c r="S36" i="2"/>
  <c r="T36" i="2" s="1"/>
  <c r="W36" i="2" s="1"/>
  <c r="U35" i="2"/>
  <c r="S35" i="2"/>
  <c r="T35" i="2" s="1"/>
  <c r="V34" i="2"/>
  <c r="U34" i="2"/>
  <c r="S34" i="2"/>
  <c r="T34" i="2" s="1"/>
  <c r="W34" i="2" s="1"/>
  <c r="U33" i="2"/>
  <c r="V33" i="2" s="1"/>
  <c r="S33" i="2"/>
  <c r="T33" i="2" s="1"/>
  <c r="U32" i="2"/>
  <c r="S32" i="2"/>
  <c r="T32" i="2" s="1"/>
  <c r="U31" i="2"/>
  <c r="V31" i="2" s="1"/>
  <c r="S31" i="2"/>
  <c r="T31" i="2" s="1"/>
  <c r="U30" i="2"/>
  <c r="V30" i="2" s="1"/>
  <c r="S30" i="2"/>
  <c r="T30" i="2" s="1"/>
  <c r="U29" i="2"/>
  <c r="V29" i="2" s="1"/>
  <c r="T29" i="2"/>
  <c r="S29" i="2"/>
  <c r="U28" i="2"/>
  <c r="V28" i="2" s="1"/>
  <c r="T28" i="2"/>
  <c r="S28" i="2"/>
  <c r="U27" i="2"/>
  <c r="S27" i="2"/>
  <c r="T27" i="2" s="1"/>
  <c r="U26" i="2"/>
  <c r="V26" i="2" s="1"/>
  <c r="T26" i="2"/>
  <c r="S26" i="2"/>
  <c r="U25" i="2"/>
  <c r="V25" i="2" s="1"/>
  <c r="S25" i="2"/>
  <c r="T25" i="2" s="1"/>
  <c r="U24" i="2"/>
  <c r="V24" i="2" s="1"/>
  <c r="S24" i="2"/>
  <c r="T24" i="2" s="1"/>
  <c r="U23" i="2"/>
  <c r="V23" i="2" s="1"/>
  <c r="S23" i="2"/>
  <c r="T23" i="2" s="1"/>
  <c r="W23" i="2" s="1"/>
  <c r="U22" i="2"/>
  <c r="V22" i="2" s="1"/>
  <c r="S22" i="2"/>
  <c r="T22" i="2" s="1"/>
  <c r="W22" i="2" s="1"/>
  <c r="U21" i="2"/>
  <c r="V21" i="2" s="1"/>
  <c r="W21" i="2" s="1"/>
  <c r="T21" i="2"/>
  <c r="S21" i="2"/>
  <c r="U20" i="2"/>
  <c r="V20" i="2" s="1"/>
  <c r="S20" i="2"/>
  <c r="T20" i="2" s="1"/>
  <c r="W20" i="2" s="1"/>
  <c r="U19" i="2"/>
  <c r="S19" i="2"/>
  <c r="T19" i="2" s="1"/>
  <c r="V18" i="2"/>
  <c r="U18" i="2"/>
  <c r="S18" i="2"/>
  <c r="T18" i="2" s="1"/>
  <c r="W18" i="2" s="1"/>
  <c r="U17" i="2"/>
  <c r="V17" i="2" s="1"/>
  <c r="S17" i="2"/>
  <c r="T17" i="2" s="1"/>
  <c r="U16" i="2"/>
  <c r="S16" i="2"/>
  <c r="T16" i="2" s="1"/>
  <c r="U15" i="2"/>
  <c r="V15" i="2" s="1"/>
  <c r="S15" i="2"/>
  <c r="T15" i="2" s="1"/>
  <c r="U14" i="2"/>
  <c r="V14" i="2" s="1"/>
  <c r="S14" i="2"/>
  <c r="T14" i="2" s="1"/>
  <c r="U13" i="2"/>
  <c r="V13" i="2" s="1"/>
  <c r="T13" i="2"/>
  <c r="W13" i="2" s="1"/>
  <c r="S13" i="2"/>
  <c r="U12" i="2"/>
  <c r="V12" i="2" s="1"/>
  <c r="T12" i="2"/>
  <c r="S12" i="2"/>
  <c r="U11" i="2"/>
  <c r="S11" i="2"/>
  <c r="T11" i="2" s="1"/>
  <c r="U10" i="2"/>
  <c r="V10" i="2" s="1"/>
  <c r="T10" i="2"/>
  <c r="S10" i="2"/>
  <c r="U9" i="2"/>
  <c r="V48" i="2" s="1"/>
  <c r="S9" i="2"/>
  <c r="T9" i="2" s="1"/>
  <c r="U8" i="2"/>
  <c r="V8" i="2" s="1"/>
  <c r="S8" i="2"/>
  <c r="T8" i="2" s="1"/>
  <c r="W8" i="2" s="1"/>
  <c r="U7" i="2"/>
  <c r="V7" i="2" s="1"/>
  <c r="S7" i="2"/>
  <c r="T7" i="2" s="1"/>
  <c r="U6" i="2"/>
  <c r="V43" i="2" s="1"/>
  <c r="S6" i="2"/>
  <c r="T6" i="2" s="1"/>
  <c r="U5" i="2"/>
  <c r="V5" i="2" s="1"/>
  <c r="W5" i="2" s="1"/>
  <c r="T5" i="2"/>
  <c r="S5" i="2"/>
  <c r="W57" i="2" l="1"/>
  <c r="W71" i="2"/>
  <c r="W15" i="2"/>
  <c r="W29" i="2"/>
  <c r="W72" i="2"/>
  <c r="W51" i="2"/>
  <c r="W30" i="2"/>
  <c r="W16" i="2"/>
  <c r="W10" i="2"/>
  <c r="W17" i="2"/>
  <c r="W24" i="2"/>
  <c r="W52" i="2"/>
  <c r="W59" i="2"/>
  <c r="W31" i="2"/>
  <c r="W25" i="2"/>
  <c r="W45" i="2"/>
  <c r="W67" i="2"/>
  <c r="W74" i="2"/>
  <c r="W68" i="2"/>
  <c r="W12" i="2"/>
  <c r="W26" i="2"/>
  <c r="W33" i="2"/>
  <c r="W47" i="2"/>
  <c r="W61" i="2"/>
  <c r="W32" i="2"/>
  <c r="W6" i="2"/>
  <c r="W48" i="2"/>
  <c r="W62" i="2"/>
  <c r="W7" i="2"/>
  <c r="W56" i="2"/>
  <c r="W70" i="2"/>
  <c r="W14" i="2"/>
  <c r="W28" i="2"/>
  <c r="W35" i="2"/>
  <c r="W42" i="2"/>
  <c r="W49" i="2"/>
  <c r="W63" i="2"/>
  <c r="V6" i="2"/>
  <c r="V66" i="2"/>
  <c r="W66" i="2" s="1"/>
  <c r="V9" i="2"/>
  <c r="W9" i="2" s="1"/>
  <c r="V19" i="2"/>
  <c r="W19" i="2" s="1"/>
  <c r="V35" i="2"/>
  <c r="V51" i="2"/>
  <c r="V32" i="2"/>
  <c r="V64" i="2"/>
  <c r="W64" i="2" s="1"/>
  <c r="V16" i="2"/>
  <c r="V11" i="2"/>
  <c r="W11" i="2" s="1"/>
  <c r="V27" i="2"/>
  <c r="W27" i="2" s="1"/>
  <c r="V59" i="2"/>
  <c r="V50" i="2"/>
  <c r="W50" i="2" s="1"/>
</calcChain>
</file>

<file path=xl/sharedStrings.xml><?xml version="1.0" encoding="utf-8"?>
<sst xmlns="http://schemas.openxmlformats.org/spreadsheetml/2006/main" count="319" uniqueCount="58">
  <si>
    <t>PROCESS LOSSES — Instructions</t>
  </si>
  <si>
    <t>Owner: Process Engineers</t>
  </si>
  <si>
    <t>This sheet is WIDE on purpose. SSIS will unpivot the 11 % columns.</t>
  </si>
  <si>
    <t>Business rules (locked):</t>
  </si>
  <si>
    <t>• Each % is a percentage of Design Output</t>
  </si>
  <si>
    <t>• ComputedValue = LossPercent × DesignOutput</t>
  </si>
  <si>
    <t>• Total Losses % = SUM of the 11 percentage columns</t>
  </si>
  <si>
    <t>Keep Excel column names WITHOUT _Pct suffix. SSIS maps them.</t>
  </si>
  <si>
    <t>Save as 03_Process_Losses_YYYYMMDD.xlsx into the OneDrive Daily folder</t>
  </si>
  <si>
    <t>Dataset note: one-week subset (2025-10-20 to 2025-10-26); rows remain keyed to production and loss percentages reconcile to TotalReject_Value.</t>
  </si>
  <si>
    <t>LOSSES &amp; OUTPUT (WIDE FORMAT)</t>
  </si>
  <si>
    <t>Maps to STG_LOSSESOUTPUT → FACT_LOSSESOUTPUT (unpivoted)</t>
  </si>
  <si>
    <t>One row = Line + Date + Shift + Order. Percentages are of Design Output.</t>
  </si>
  <si>
    <t>FactoryCode</t>
  </si>
  <si>
    <t>LineNumber</t>
  </si>
  <si>
    <t>EventDate</t>
  </si>
  <si>
    <t>ShiftCode</t>
  </si>
  <si>
    <t>OrderNumber</t>
  </si>
  <si>
    <t>CaseName</t>
  </si>
  <si>
    <t>TotalReject_Value</t>
  </si>
  <si>
    <t>FixedLosses</t>
  </si>
  <si>
    <t>ISLosses</t>
  </si>
  <si>
    <t>HotEndConveyerLosses</t>
  </si>
  <si>
    <t>StuckDownLosses</t>
  </si>
  <si>
    <t>LehrLosses</t>
  </si>
  <si>
    <t>Evo16Losses</t>
  </si>
  <si>
    <t>Evo12Losses</t>
  </si>
  <si>
    <t>Evo5Losses</t>
  </si>
  <si>
    <t>SanliLosses</t>
  </si>
  <si>
    <t>VisualLosses</t>
  </si>
  <si>
    <t>PalletizerLosses</t>
  </si>
  <si>
    <t>KG01</t>
  </si>
  <si>
    <t>AM</t>
  </si>
  <si>
    <t>ORD-2025-00019</t>
  </si>
  <si>
    <t>Normal</t>
  </si>
  <si>
    <t>PM</t>
  </si>
  <si>
    <t>ORD-2025-00020</t>
  </si>
  <si>
    <t>Trial</t>
  </si>
  <si>
    <t>ORD-2025-00021</t>
  </si>
  <si>
    <t>ORD-2025-00056</t>
  </si>
  <si>
    <t>ORD-2025-00057</t>
  </si>
  <si>
    <t>ORD-2025-00058</t>
  </si>
  <si>
    <t>ORD-2025-00092</t>
  </si>
  <si>
    <t>ORD-2025-00093</t>
  </si>
  <si>
    <t>ORD-2025-00094</t>
  </si>
  <si>
    <t>ORD-2025-00124</t>
  </si>
  <si>
    <t>ORD-2025-00125</t>
  </si>
  <si>
    <t>ORD-2025-00126</t>
  </si>
  <si>
    <t>ORD-2025-00161</t>
  </si>
  <si>
    <t>ORD-2025-00162</t>
  </si>
  <si>
    <t>QA EXTENSION</t>
  </si>
  <si>
    <t>TotalLossPct and validation checks are appended; original A:R remain unchanged for Power BI compatibility.</t>
  </si>
  <si>
    <t>Percent fields are constrained to 0–100% and stable record IDs are calculated.</t>
  </si>
  <si>
    <t>TotalLossPct</t>
  </si>
  <si>
    <t>PercentRangeCheck</t>
  </si>
  <si>
    <t>LossRecordID</t>
  </si>
  <si>
    <t>RecordUniquenessCheck</t>
  </si>
  <si>
    <t>DataQualityCheck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</si>
</sst>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6"/>
      <color rgb="FF1F4E78"/>
      <name val="Carlito"/>
    </font>
    <font>
      <b/>
      <sz val="11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02326"/>
      </patternFill>
    </fill>
    <fill>
      <patternFill patternType="solid">
        <fgColor rgb="FF30343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16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3" fontId="0" fillId="4" borderId="0" xfId="0" applyNumberFormat="1" applyFill="1" applyAlignment="1">
      <alignment vertical="center"/>
    </xf>
    <xf numFmtId="10" fontId="0" fillId="4" borderId="0" xfId="0" applyNumberFormat="1" applyFill="1" applyAlignment="1">
      <alignment vertical="center"/>
    </xf>
    <xf numFmtId="0" fontId="6" fillId="5" borderId="0" xfId="0" applyFont="1" applyFill="1"/>
    <xf numFmtId="10" fontId="6" fillId="5" borderId="0" xfId="0" applyNumberFormat="1" applyFont="1" applyFill="1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ssesOutput_Fact" displayName="LossesOutput_Fact" ref="A4:W74" totalsRowShown="0">
  <tableColumns count="23">
    <tableColumn id="1" xr3:uid="{00000000-0010-0000-0000-000001000000}" name="FactoryCode"/>
    <tableColumn id="2" xr3:uid="{00000000-0010-0000-0000-000002000000}" name="LineNumber"/>
    <tableColumn id="3" xr3:uid="{00000000-0010-0000-0000-000003000000}" name="EventDate"/>
    <tableColumn id="4" xr3:uid="{00000000-0010-0000-0000-000004000000}" name="ShiftCode"/>
    <tableColumn id="5" xr3:uid="{00000000-0010-0000-0000-000005000000}" name="OrderNumber"/>
    <tableColumn id="6" xr3:uid="{00000000-0010-0000-0000-000006000000}" name="CaseName"/>
    <tableColumn id="7" xr3:uid="{00000000-0010-0000-0000-000007000000}" name="TotalReject_Value"/>
    <tableColumn id="8" xr3:uid="{00000000-0010-0000-0000-000008000000}" name="FixedLosses"/>
    <tableColumn id="9" xr3:uid="{00000000-0010-0000-0000-000009000000}" name="ISLosses"/>
    <tableColumn id="10" xr3:uid="{00000000-0010-0000-0000-00000A000000}" name="HotEndConveyerLosses"/>
    <tableColumn id="11" xr3:uid="{00000000-0010-0000-0000-00000B000000}" name="StuckDownLosses"/>
    <tableColumn id="12" xr3:uid="{00000000-0010-0000-0000-00000C000000}" name="LehrLosses"/>
    <tableColumn id="13" xr3:uid="{00000000-0010-0000-0000-00000D000000}" name="Evo16Losses"/>
    <tableColumn id="14" xr3:uid="{00000000-0010-0000-0000-00000E000000}" name="Evo12Losses"/>
    <tableColumn id="15" xr3:uid="{00000000-0010-0000-0000-00000F000000}" name="Evo5Losses"/>
    <tableColumn id="16" xr3:uid="{00000000-0010-0000-0000-000010000000}" name="SanliLosses"/>
    <tableColumn id="17" xr3:uid="{00000000-0010-0000-0000-000011000000}" name="VisualLosses"/>
    <tableColumn id="18" xr3:uid="{00000000-0010-0000-0000-000012000000}" name="PalletizerLosses"/>
    <tableColumn id="19" xr3:uid="{25380ED3-91CD-47C0-BF73-9E84BCE0A67E}" name="TotalLossPct" dataDxfId="0" dataCellStyle="Percent">
      <calculatedColumnFormula>IF(A5="","",SUM(H5:R5))</calculatedColumnFormula>
    </tableColumn>
    <tableColumn id="20" xr3:uid="{460CAE59-3246-4A8F-8404-E22E564ED483}" name="PercentRangeCheck">
      <calculatedColumnFormula>IF(A5="","",IF(AND(MIN(H5:R5)&gt;=0,MAX(H5:R5)&lt;=1,S5&lt;=1),"OK","CHECK"))</calculatedColumnFormula>
    </tableColumn>
    <tableColumn id="21" xr3:uid="{38E7C971-A27A-4E43-8527-D95A8BC842F0}" name="LossRecordID">
      <calculatedColumnFormula>IF(A5="","", "LOSS-"&amp;A5&amp;"-L"&amp;TEXT(B5,"00")&amp;"-"&amp;TEXT(C5,"yyyymmdd")&amp;"-"&amp;D5&amp;"-"&amp;E5)</calculatedColumnFormula>
    </tableColumn>
    <tableColumn id="22" xr3:uid="{376C477A-C89A-4FC3-ABDB-44C74EF8C183}" name="RecordUniquenessCheck">
      <calculatedColumnFormula>IF(U5="","",IF(COUNTIF($U$5:$U$120,U5)=1,"OK","CHECK"))</calculatedColumnFormula>
    </tableColumn>
    <tableColumn id="23" xr3:uid="{3553581A-AF02-42D2-9CAE-D229DDDEE0A5}" name="DataQualityCheck">
      <calculatedColumnFormula>IF(A5="","",IF(AND(T5="OK",V5="OK",G5&gt;=0),"OK","CHECK"))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4.25"/>
  <cols>
    <col min="1" max="1" width="110" customWidth="1"/>
  </cols>
  <sheetData>
    <row r="1" spans="1:1" ht="20.2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 ht="15">
      <c r="A7" s="3" t="s">
        <v>3</v>
      </c>
    </row>
    <row r="8" spans="1:1">
      <c r="A8" s="2" t="s">
        <v>4</v>
      </c>
    </row>
    <row r="9" spans="1:1">
      <c r="A9" s="2" t="s">
        <v>5</v>
      </c>
    </row>
    <row r="10" spans="1:1">
      <c r="A10" s="2" t="s">
        <v>6</v>
      </c>
    </row>
    <row r="11" spans="1:1">
      <c r="A11" s="2"/>
    </row>
    <row r="12" spans="1:1">
      <c r="A12" s="2" t="s">
        <v>7</v>
      </c>
    </row>
    <row r="13" spans="1:1">
      <c r="A13" s="2"/>
    </row>
    <row r="14" spans="1:1">
      <c r="A14" s="2" t="s">
        <v>8</v>
      </c>
    </row>
    <row r="15" spans="1:1">
      <c r="A15" s="2"/>
    </row>
    <row r="16" spans="1:1" ht="28.5">
      <c r="A16" s="2" t="s">
        <v>9</v>
      </c>
    </row>
    <row r="18" spans="1:1">
      <c r="A18" t="s">
        <v>50</v>
      </c>
    </row>
    <row r="19" spans="1:1">
      <c r="A19" t="s">
        <v>51</v>
      </c>
    </row>
    <row r="20" spans="1:1">
      <c r="A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54"/>
  <sheetViews>
    <sheetView tabSelected="1" workbookViewId="0">
      <selection activeCell="B8" sqref="B8"/>
    </sheetView>
  </sheetViews>
  <sheetFormatPr defaultRowHeight="14.25"/>
  <cols>
    <col min="1" max="1" width="14" customWidth="1"/>
    <col min="2" max="2" width="12" customWidth="1"/>
    <col min="3" max="3" width="14" customWidth="1"/>
    <col min="4" max="4" width="12" customWidth="1"/>
    <col min="5" max="5" width="20" customWidth="1"/>
    <col min="6" max="6" width="14" customWidth="1"/>
    <col min="7" max="7" width="18" customWidth="1"/>
    <col min="8" max="8" width="14" customWidth="1"/>
    <col min="9" max="9" width="12" customWidth="1"/>
    <col min="10" max="10" width="24" customWidth="1"/>
    <col min="11" max="11" width="18" customWidth="1"/>
    <col min="12" max="14" width="14" customWidth="1"/>
    <col min="15" max="15" width="12" customWidth="1"/>
    <col min="16" max="17" width="14" customWidth="1"/>
    <col min="18" max="18" width="18" customWidth="1"/>
    <col min="19" max="19" width="12.5" bestFit="1" customWidth="1"/>
    <col min="20" max="20" width="19.5" bestFit="1" customWidth="1"/>
    <col min="21" max="21" width="42.75" bestFit="1" customWidth="1"/>
    <col min="22" max="22" width="24" bestFit="1" customWidth="1"/>
    <col min="23" max="23" width="16.75" bestFit="1" customWidth="1"/>
  </cols>
  <sheetData>
    <row r="1" spans="1:23" ht="24" customHeight="1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  <c r="T1" s="11"/>
      <c r="U1" s="11"/>
      <c r="V1" s="11"/>
      <c r="W1" s="11"/>
    </row>
    <row r="2" spans="1:23" ht="15">
      <c r="A2" s="4" t="s">
        <v>11</v>
      </c>
    </row>
    <row r="3" spans="1:23">
      <c r="A3" s="5" t="s">
        <v>12</v>
      </c>
    </row>
    <row r="4" spans="1:23" ht="30" customHeight="1">
      <c r="A4" s="13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3" t="s">
        <v>29</v>
      </c>
      <c r="R4" s="13" t="s">
        <v>30</v>
      </c>
      <c r="S4" s="14" t="s">
        <v>53</v>
      </c>
      <c r="T4" s="14" t="s">
        <v>54</v>
      </c>
      <c r="U4" s="14" t="s">
        <v>55</v>
      </c>
      <c r="V4" s="14" t="s">
        <v>56</v>
      </c>
      <c r="W4" s="14" t="s">
        <v>57</v>
      </c>
    </row>
    <row r="5" spans="1:23" ht="18" customHeight="1">
      <c r="A5" s="7" t="s">
        <v>31</v>
      </c>
      <c r="B5" s="8">
        <v>21</v>
      </c>
      <c r="C5" s="6">
        <v>45950</v>
      </c>
      <c r="D5" s="7" t="s">
        <v>32</v>
      </c>
      <c r="E5" s="7" t="s">
        <v>33</v>
      </c>
      <c r="F5" s="7" t="s">
        <v>34</v>
      </c>
      <c r="G5" s="9">
        <v>13161</v>
      </c>
      <c r="H5" s="10">
        <v>6.1254775662277798E-3</v>
      </c>
      <c r="I5" s="10">
        <v>1.2625903823687284E-2</v>
      </c>
      <c r="J5" s="10">
        <v>4.5072779514382239E-3</v>
      </c>
      <c r="K5" s="10">
        <v>3.3982191910580657E-3</v>
      </c>
      <c r="L5" s="10">
        <v>2.7627798301285088E-3</v>
      </c>
      <c r="M5" s="10">
        <v>6.0978497679264939E-3</v>
      </c>
      <c r="N5" s="10">
        <v>1.4090177133655394E-3</v>
      </c>
      <c r="O5" s="10">
        <v>1.6774020397208804E-3</v>
      </c>
      <c r="P5" s="10">
        <v>2.0128824476650562E-3</v>
      </c>
      <c r="Q5" s="10">
        <v>6.504373085788261E-3</v>
      </c>
      <c r="R5" s="10">
        <v>4.8230242177386253E-3</v>
      </c>
      <c r="S5" s="15">
        <f t="shared" ref="S5:S36" si="0">IF(A5="","",SUM(H5:R5))</f>
        <v>5.1944207634744721E-2</v>
      </c>
      <c r="T5" t="str">
        <f t="shared" ref="T5:T36" si="1">IF(A5="","",IF(AND(MIN(H5:R5)&gt;=0,MAX(H5:R5)&lt;=1,S5&lt;=1),"OK","CHECK"))</f>
        <v>OK</v>
      </c>
      <c r="U5" t="str">
        <f t="shared" ref="U5:U36" si="2">IF(A5="","", "LOSS-"&amp;A5&amp;"-L"&amp;TEXT(B5,"00")&amp;"-"&amp;TEXT(C5,"yyyymmdd")&amp;"-"&amp;D5&amp;"-"&amp;E5)</f>
        <v>LOSS-KG01-L21-20251020-AM-ORD-2025-00019</v>
      </c>
      <c r="V5" t="str">
        <f t="shared" ref="V5:V36" si="3">IF(U5="","",IF(COUNTIF($U$5:$U$120,U5)=1,"OK","CHECK"))</f>
        <v>OK</v>
      </c>
      <c r="W5" t="str">
        <f t="shared" ref="W5:W36" si="4">IF(A5="","",IF(AND(T5="OK",V5="OK",G5&gt;=0),"OK","CHECK"))</f>
        <v>OK</v>
      </c>
    </row>
    <row r="6" spans="1:23" ht="18" customHeight="1">
      <c r="A6" s="7" t="s">
        <v>31</v>
      </c>
      <c r="B6" s="8">
        <v>21</v>
      </c>
      <c r="C6" s="6">
        <v>45950</v>
      </c>
      <c r="D6" s="7" t="s">
        <v>35</v>
      </c>
      <c r="E6" s="7" t="s">
        <v>33</v>
      </c>
      <c r="F6" s="7" t="s">
        <v>34</v>
      </c>
      <c r="G6" s="9">
        <v>10575</v>
      </c>
      <c r="H6" s="10">
        <v>7.468625650443832E-3</v>
      </c>
      <c r="I6" s="10">
        <v>1.3284358738904193E-2</v>
      </c>
      <c r="J6" s="10">
        <v>1.8540382176745814E-3</v>
      </c>
      <c r="K6" s="10">
        <v>2.5799116708207616E-3</v>
      </c>
      <c r="L6" s="10">
        <v>4.3552407188770827E-3</v>
      </c>
      <c r="M6" s="10">
        <v>4.2371769644496916E-3</v>
      </c>
      <c r="N6" s="10">
        <v>1.7578381214744851E-3</v>
      </c>
      <c r="O6" s="10">
        <v>4.2415496960951507E-4</v>
      </c>
      <c r="P6" s="10">
        <v>4.20219511128602E-3</v>
      </c>
      <c r="Q6" s="10">
        <v>5.177314268223359E-3</v>
      </c>
      <c r="R6" s="10">
        <v>9.0078271896453714E-4</v>
      </c>
      <c r="S6" s="15">
        <f t="shared" si="0"/>
        <v>4.6241637150728064E-2</v>
      </c>
      <c r="T6" t="str">
        <f t="shared" si="1"/>
        <v>OK</v>
      </c>
      <c r="U6" t="str">
        <f t="shared" si="2"/>
        <v>LOSS-KG01-L21-20251020-PM-ORD-2025-00019</v>
      </c>
      <c r="V6" t="str">
        <f t="shared" si="3"/>
        <v>OK</v>
      </c>
      <c r="W6" t="str">
        <f t="shared" si="4"/>
        <v>OK</v>
      </c>
    </row>
    <row r="7" spans="1:23" ht="18" customHeight="1">
      <c r="A7" s="7" t="s">
        <v>31</v>
      </c>
      <c r="B7" s="8">
        <v>21</v>
      </c>
      <c r="C7" s="6">
        <v>45951</v>
      </c>
      <c r="D7" s="7" t="s">
        <v>32</v>
      </c>
      <c r="E7" s="7" t="s">
        <v>36</v>
      </c>
      <c r="F7" s="7" t="s">
        <v>37</v>
      </c>
      <c r="G7" s="9">
        <v>9054</v>
      </c>
      <c r="H7" s="10">
        <v>5.6964842011570987E-3</v>
      </c>
      <c r="I7" s="10">
        <v>1.855807743658211E-2</v>
      </c>
      <c r="J7" s="10">
        <v>6.7979528259902089E-3</v>
      </c>
      <c r="K7" s="10">
        <v>9.6684468179795285E-3</v>
      </c>
      <c r="L7" s="10">
        <v>3.4156653315531821E-3</v>
      </c>
      <c r="M7" s="10">
        <v>1.8791722296395193E-2</v>
      </c>
      <c r="N7" s="10">
        <v>2.5700934579439253E-3</v>
      </c>
      <c r="O7" s="10">
        <v>5.9412550066755675E-3</v>
      </c>
      <c r="P7" s="10">
        <v>6.9648420115709835E-3</v>
      </c>
      <c r="Q7" s="10">
        <v>1.1003560302625724E-2</v>
      </c>
      <c r="R7" s="10">
        <v>1.1326212728081887E-2</v>
      </c>
      <c r="S7" s="15">
        <f t="shared" si="0"/>
        <v>0.10073431241655541</v>
      </c>
      <c r="T7" t="str">
        <f t="shared" si="1"/>
        <v>OK</v>
      </c>
      <c r="U7" t="str">
        <f t="shared" si="2"/>
        <v>LOSS-KG01-L21-20251021-AM-ORD-2025-00020</v>
      </c>
      <c r="V7" t="str">
        <f t="shared" si="3"/>
        <v>OK</v>
      </c>
      <c r="W7" t="str">
        <f t="shared" si="4"/>
        <v>OK</v>
      </c>
    </row>
    <row r="8" spans="1:23" ht="18" customHeight="1">
      <c r="A8" s="7" t="s">
        <v>31</v>
      </c>
      <c r="B8" s="8">
        <v>21</v>
      </c>
      <c r="C8" s="6">
        <v>45951</v>
      </c>
      <c r="D8" s="7" t="s">
        <v>35</v>
      </c>
      <c r="E8" s="7" t="s">
        <v>36</v>
      </c>
      <c r="F8" s="7" t="s">
        <v>34</v>
      </c>
      <c r="G8" s="9">
        <v>6646</v>
      </c>
      <c r="H8" s="10">
        <v>4.0160642570281121E-3</v>
      </c>
      <c r="I8" s="10">
        <v>7.8600114744693059E-3</v>
      </c>
      <c r="J8" s="10">
        <v>4.0088927137119906E-3</v>
      </c>
      <c r="K8" s="10">
        <v>5.0272518646012621E-3</v>
      </c>
      <c r="L8" s="10">
        <v>2.5602409638554218E-3</v>
      </c>
      <c r="M8" s="10">
        <v>3.2343660355708547E-3</v>
      </c>
      <c r="N8" s="10">
        <v>5.2567412507171542E-3</v>
      </c>
      <c r="O8" s="10">
        <v>1.1331038439472173E-3</v>
      </c>
      <c r="P8" s="10">
        <v>4.7188755020080323E-3</v>
      </c>
      <c r="Q8" s="10">
        <v>5.6153184165232354E-3</v>
      </c>
      <c r="R8" s="10">
        <v>4.2312105565117612E-3</v>
      </c>
      <c r="S8" s="15">
        <f t="shared" si="0"/>
        <v>4.7662076878944339E-2</v>
      </c>
      <c r="T8" t="str">
        <f t="shared" si="1"/>
        <v>OK</v>
      </c>
      <c r="U8" t="str">
        <f t="shared" si="2"/>
        <v>LOSS-KG01-L21-20251021-PM-ORD-2025-00020</v>
      </c>
      <c r="V8" t="str">
        <f t="shared" si="3"/>
        <v>OK</v>
      </c>
      <c r="W8" t="str">
        <f t="shared" si="4"/>
        <v>OK</v>
      </c>
    </row>
    <row r="9" spans="1:23" ht="18" customHeight="1">
      <c r="A9" s="7" t="s">
        <v>31</v>
      </c>
      <c r="B9" s="8">
        <v>21</v>
      </c>
      <c r="C9" s="6">
        <v>45952</v>
      </c>
      <c r="D9" s="7" t="s">
        <v>32</v>
      </c>
      <c r="E9" s="7" t="s">
        <v>36</v>
      </c>
      <c r="F9" s="7" t="s">
        <v>34</v>
      </c>
      <c r="G9" s="9">
        <v>6951</v>
      </c>
      <c r="H9" s="10">
        <v>5.4079209191860841E-3</v>
      </c>
      <c r="I9" s="10">
        <v>1.1473778804801335E-2</v>
      </c>
      <c r="J9" s="10">
        <v>1.5646062006547275E-3</v>
      </c>
      <c r="K9" s="10">
        <v>3.9395981770331857E-3</v>
      </c>
      <c r="L9" s="10">
        <v>5.2715193529751592E-3</v>
      </c>
      <c r="M9" s="10">
        <v>6.3226137749534629E-3</v>
      </c>
      <c r="N9" s="10">
        <v>5.7930547531934015E-3</v>
      </c>
      <c r="O9" s="10">
        <v>2.9687399704730727E-3</v>
      </c>
      <c r="P9" s="10">
        <v>2.4953462995057447E-3</v>
      </c>
      <c r="Q9" s="10">
        <v>6.186212208742538E-3</v>
      </c>
      <c r="R9" s="10">
        <v>4.3488028756659605E-3</v>
      </c>
      <c r="S9" s="15">
        <f t="shared" si="0"/>
        <v>5.5772193337184674E-2</v>
      </c>
      <c r="T9" t="str">
        <f t="shared" si="1"/>
        <v>OK</v>
      </c>
      <c r="U9" t="str">
        <f t="shared" si="2"/>
        <v>LOSS-KG01-L21-20251022-AM-ORD-2025-00020</v>
      </c>
      <c r="V9" t="str">
        <f t="shared" si="3"/>
        <v>OK</v>
      </c>
      <c r="W9" t="str">
        <f t="shared" si="4"/>
        <v>OK</v>
      </c>
    </row>
    <row r="10" spans="1:23" ht="18" customHeight="1">
      <c r="A10" s="7" t="s">
        <v>31</v>
      </c>
      <c r="B10" s="8">
        <v>21</v>
      </c>
      <c r="C10" s="6">
        <v>45952</v>
      </c>
      <c r="D10" s="7" t="s">
        <v>35</v>
      </c>
      <c r="E10" s="7" t="s">
        <v>36</v>
      </c>
      <c r="F10" s="7" t="s">
        <v>34</v>
      </c>
      <c r="G10" s="9">
        <v>6388</v>
      </c>
      <c r="H10" s="10">
        <v>4.2483914487339144E-3</v>
      </c>
      <c r="I10" s="10">
        <v>6.285024906600249E-3</v>
      </c>
      <c r="J10" s="10">
        <v>3.4181714404317143E-3</v>
      </c>
      <c r="K10" s="10">
        <v>1.9133976753839767E-3</v>
      </c>
      <c r="L10" s="10">
        <v>2.9187422166874221E-3</v>
      </c>
      <c r="M10" s="10">
        <v>3.3987131589871314E-3</v>
      </c>
      <c r="N10" s="10">
        <v>4.3456828559568288E-4</v>
      </c>
      <c r="O10" s="10">
        <v>2.3090493980904938E-3</v>
      </c>
      <c r="P10" s="10">
        <v>4.9034869240348689E-3</v>
      </c>
      <c r="Q10" s="10">
        <v>9.0805313408053139E-3</v>
      </c>
      <c r="R10" s="10">
        <v>2.5230904939809048E-3</v>
      </c>
      <c r="S10" s="15">
        <f t="shared" si="0"/>
        <v>4.143316728933167E-2</v>
      </c>
      <c r="T10" t="str">
        <f t="shared" si="1"/>
        <v>OK</v>
      </c>
      <c r="U10" t="str">
        <f t="shared" si="2"/>
        <v>LOSS-KG01-L21-20251022-PM-ORD-2025-00020</v>
      </c>
      <c r="V10" t="str">
        <f t="shared" si="3"/>
        <v>OK</v>
      </c>
      <c r="W10" t="str">
        <f t="shared" si="4"/>
        <v>OK</v>
      </c>
    </row>
    <row r="11" spans="1:23" ht="18" customHeight="1">
      <c r="A11" s="7" t="s">
        <v>31</v>
      </c>
      <c r="B11" s="8">
        <v>21</v>
      </c>
      <c r="C11" s="6">
        <v>45953</v>
      </c>
      <c r="D11" s="7" t="s">
        <v>32</v>
      </c>
      <c r="E11" s="7" t="s">
        <v>36</v>
      </c>
      <c r="F11" s="7" t="s">
        <v>34</v>
      </c>
      <c r="G11" s="9">
        <v>5426</v>
      </c>
      <c r="H11" s="10">
        <v>2.1397379912663755E-3</v>
      </c>
      <c r="I11" s="10">
        <v>7.0087336244541486E-3</v>
      </c>
      <c r="J11" s="10">
        <v>8.580786026200873E-3</v>
      </c>
      <c r="K11" s="10">
        <v>1.4337700145560408E-3</v>
      </c>
      <c r="L11" s="10">
        <v>1.3609898107714701E-3</v>
      </c>
      <c r="M11" s="10">
        <v>3.6317321688500727E-3</v>
      </c>
      <c r="N11" s="10">
        <v>1.6739446870451238E-3</v>
      </c>
      <c r="O11" s="10">
        <v>3.1513828238719068E-3</v>
      </c>
      <c r="P11" s="10">
        <v>3.8355167394468702E-3</v>
      </c>
      <c r="Q11" s="10">
        <v>3.9155749636098983E-3</v>
      </c>
      <c r="R11" s="10">
        <v>2.7583697234352255E-3</v>
      </c>
      <c r="S11" s="15">
        <f t="shared" si="0"/>
        <v>3.9490538573508004E-2</v>
      </c>
      <c r="T11" t="str">
        <f t="shared" si="1"/>
        <v>OK</v>
      </c>
      <c r="U11" t="str">
        <f t="shared" si="2"/>
        <v>LOSS-KG01-L21-20251023-AM-ORD-2025-00020</v>
      </c>
      <c r="V11" t="str">
        <f t="shared" si="3"/>
        <v>OK</v>
      </c>
      <c r="W11" t="str">
        <f t="shared" si="4"/>
        <v>OK</v>
      </c>
    </row>
    <row r="12" spans="1:23" ht="18" customHeight="1">
      <c r="A12" s="7" t="s">
        <v>31</v>
      </c>
      <c r="B12" s="8">
        <v>21</v>
      </c>
      <c r="C12" s="6">
        <v>45953</v>
      </c>
      <c r="D12" s="7" t="s">
        <v>35</v>
      </c>
      <c r="E12" s="7" t="s">
        <v>36</v>
      </c>
      <c r="F12" s="7" t="s">
        <v>34</v>
      </c>
      <c r="G12" s="9">
        <v>3550</v>
      </c>
      <c r="H12" s="10">
        <v>2.7880746443620695E-3</v>
      </c>
      <c r="I12" s="10">
        <v>4.4751766308652532E-3</v>
      </c>
      <c r="J12" s="10">
        <v>2.5900579792795361E-3</v>
      </c>
      <c r="K12" s="10">
        <v>7.2870132750372271E-4</v>
      </c>
      <c r="L12" s="10">
        <v>3.4930139720558881E-3</v>
      </c>
      <c r="M12" s="10">
        <v>3.5959826378988056E-3</v>
      </c>
      <c r="N12" s="10">
        <v>1.2435446567183094E-3</v>
      </c>
      <c r="O12" s="10">
        <v>6.3365332826410673E-4</v>
      </c>
      <c r="P12" s="10">
        <v>2.1465006494946616E-3</v>
      </c>
      <c r="Q12" s="10">
        <v>1.996007984031936E-3</v>
      </c>
      <c r="R12" s="10">
        <v>4.4276526312454455E-3</v>
      </c>
      <c r="S12" s="15">
        <f t="shared" si="0"/>
        <v>2.8118366441719739E-2</v>
      </c>
      <c r="T12" t="str">
        <f t="shared" si="1"/>
        <v>OK</v>
      </c>
      <c r="U12" t="str">
        <f t="shared" si="2"/>
        <v>LOSS-KG01-L21-20251023-PM-ORD-2025-00020</v>
      </c>
      <c r="V12" t="str">
        <f t="shared" si="3"/>
        <v>OK</v>
      </c>
      <c r="W12" t="str">
        <f t="shared" si="4"/>
        <v>OK</v>
      </c>
    </row>
    <row r="13" spans="1:23" ht="18" customHeight="1">
      <c r="A13" s="7" t="s">
        <v>31</v>
      </c>
      <c r="B13" s="8">
        <v>21</v>
      </c>
      <c r="C13" s="6">
        <v>45954</v>
      </c>
      <c r="D13" s="7" t="s">
        <v>32</v>
      </c>
      <c r="E13" s="7" t="s">
        <v>36</v>
      </c>
      <c r="F13" s="7" t="s">
        <v>34</v>
      </c>
      <c r="G13" s="9">
        <v>4499</v>
      </c>
      <c r="H13" s="10">
        <v>3.7233493366372414E-3</v>
      </c>
      <c r="I13" s="10">
        <v>6.3496980021681892E-3</v>
      </c>
      <c r="J13" s="10">
        <v>2.9102782509937536E-3</v>
      </c>
      <c r="K13" s="10">
        <v>1.9294305921222447E-3</v>
      </c>
      <c r="L13" s="10">
        <v>3.4329668060502812E-3</v>
      </c>
      <c r="M13" s="10">
        <v>2.2133601775850497E-3</v>
      </c>
      <c r="N13" s="10">
        <v>1.5035362139280367E-3</v>
      </c>
      <c r="O13" s="10">
        <v>1.2905890248309329E-3</v>
      </c>
      <c r="P13" s="10">
        <v>1.5035362139280367E-3</v>
      </c>
      <c r="Q13" s="10">
        <v>1.9423364823705539E-3</v>
      </c>
      <c r="R13" s="10">
        <v>2.2327190129575137E-3</v>
      </c>
      <c r="S13" s="15">
        <f t="shared" si="0"/>
        <v>2.9031800113571836E-2</v>
      </c>
      <c r="T13" t="str">
        <f t="shared" si="1"/>
        <v>OK</v>
      </c>
      <c r="U13" t="str">
        <f t="shared" si="2"/>
        <v>LOSS-KG01-L21-20251024-AM-ORD-2025-00020</v>
      </c>
      <c r="V13" t="str">
        <f t="shared" si="3"/>
        <v>OK</v>
      </c>
      <c r="W13" t="str">
        <f t="shared" si="4"/>
        <v>OK</v>
      </c>
    </row>
    <row r="14" spans="1:23" ht="18" customHeight="1">
      <c r="A14" s="7" t="s">
        <v>31</v>
      </c>
      <c r="B14" s="8">
        <v>21</v>
      </c>
      <c r="C14" s="6">
        <v>45954</v>
      </c>
      <c r="D14" s="7" t="s">
        <v>35</v>
      </c>
      <c r="E14" s="7" t="s">
        <v>36</v>
      </c>
      <c r="F14" s="7" t="s">
        <v>34</v>
      </c>
      <c r="G14" s="9">
        <v>3759</v>
      </c>
      <c r="H14" s="10">
        <v>1.4960375222383955E-3</v>
      </c>
      <c r="I14" s="10">
        <v>6.2429241468542783E-3</v>
      </c>
      <c r="J14" s="10">
        <v>3.760310528869481E-3</v>
      </c>
      <c r="K14" s="10">
        <v>1.0997897460779556E-3</v>
      </c>
      <c r="L14" s="10">
        <v>1.4798641436196021E-3</v>
      </c>
      <c r="M14" s="10">
        <v>7.7632217370208632E-4</v>
      </c>
      <c r="N14" s="10">
        <v>1.6092511725699498E-3</v>
      </c>
      <c r="O14" s="10">
        <v>2.8546013262170469E-3</v>
      </c>
      <c r="P14" s="10">
        <v>1.8518518518518519E-3</v>
      </c>
      <c r="Q14" s="10">
        <v>6.0731036713569464E-3</v>
      </c>
      <c r="R14" s="10">
        <v>3.1538088306647259E-3</v>
      </c>
      <c r="S14" s="15">
        <f t="shared" si="0"/>
        <v>3.0397865114022319E-2</v>
      </c>
      <c r="T14" t="str">
        <f t="shared" si="1"/>
        <v>OK</v>
      </c>
      <c r="U14" t="str">
        <f t="shared" si="2"/>
        <v>LOSS-KG01-L21-20251024-PM-ORD-2025-00020</v>
      </c>
      <c r="V14" t="str">
        <f t="shared" si="3"/>
        <v>OK</v>
      </c>
      <c r="W14" t="str">
        <f t="shared" si="4"/>
        <v>OK</v>
      </c>
    </row>
    <row r="15" spans="1:23" ht="18" customHeight="1">
      <c r="A15" s="7" t="s">
        <v>31</v>
      </c>
      <c r="B15" s="8">
        <v>21</v>
      </c>
      <c r="C15" s="6">
        <v>45955</v>
      </c>
      <c r="D15" s="7" t="s">
        <v>32</v>
      </c>
      <c r="E15" s="7" t="s">
        <v>38</v>
      </c>
      <c r="F15" s="7" t="s">
        <v>37</v>
      </c>
      <c r="G15" s="9">
        <v>14048</v>
      </c>
      <c r="H15" s="10">
        <v>9.4601605175623302E-3</v>
      </c>
      <c r="I15" s="10">
        <v>2.0842869785467972E-2</v>
      </c>
      <c r="J15" s="10">
        <v>7.9801031462662878E-3</v>
      </c>
      <c r="K15" s="10">
        <v>8.4302236870212703E-3</v>
      </c>
      <c r="L15" s="10">
        <v>8.6743568616680401E-3</v>
      </c>
      <c r="M15" s="10">
        <v>9.1626232109615798E-3</v>
      </c>
      <c r="N15" s="10">
        <v>5.0199884036742047E-3</v>
      </c>
      <c r="O15" s="10">
        <v>1.8004821630199274E-3</v>
      </c>
      <c r="P15" s="10">
        <v>8.0029906313894231E-3</v>
      </c>
      <c r="Q15" s="10">
        <v>2.3726692910982942E-2</v>
      </c>
      <c r="R15" s="10">
        <v>4.0739723519179717E-3</v>
      </c>
      <c r="S15" s="15">
        <f t="shared" si="0"/>
        <v>0.10717446366993194</v>
      </c>
      <c r="T15" t="str">
        <f t="shared" si="1"/>
        <v>OK</v>
      </c>
      <c r="U15" t="str">
        <f t="shared" si="2"/>
        <v>LOSS-KG01-L21-20251025-AM-ORD-2025-00021</v>
      </c>
      <c r="V15" t="str">
        <f t="shared" si="3"/>
        <v>OK</v>
      </c>
      <c r="W15" t="str">
        <f t="shared" si="4"/>
        <v>OK</v>
      </c>
    </row>
    <row r="16" spans="1:23" ht="18" customHeight="1">
      <c r="A16" s="7" t="s">
        <v>31</v>
      </c>
      <c r="B16" s="8">
        <v>21</v>
      </c>
      <c r="C16" s="6">
        <v>45955</v>
      </c>
      <c r="D16" s="7" t="s">
        <v>35</v>
      </c>
      <c r="E16" s="7" t="s">
        <v>38</v>
      </c>
      <c r="F16" s="7" t="s">
        <v>34</v>
      </c>
      <c r="G16" s="9">
        <v>13535</v>
      </c>
      <c r="H16" s="10">
        <v>3.2198137868240961E-3</v>
      </c>
      <c r="I16" s="10">
        <v>1.553734543425265E-2</v>
      </c>
      <c r="J16" s="10">
        <v>4.4240314858871562E-3</v>
      </c>
      <c r="K16" s="10">
        <v>2.3900784210062562E-3</v>
      </c>
      <c r="L16" s="10">
        <v>2.2248656269274825E-3</v>
      </c>
      <c r="M16" s="10">
        <v>3.8292654272035717E-3</v>
      </c>
      <c r="N16" s="10">
        <v>3.4914970481980793E-3</v>
      </c>
      <c r="O16" s="10">
        <v>8.774635063294857E-4</v>
      </c>
      <c r="P16" s="10">
        <v>2.6177049372925663E-3</v>
      </c>
      <c r="Q16" s="10">
        <v>8.5616941287044376E-3</v>
      </c>
      <c r="R16" s="10">
        <v>2.5185772608453021E-3</v>
      </c>
      <c r="S16" s="15">
        <f t="shared" si="0"/>
        <v>4.9692337063471086E-2</v>
      </c>
      <c r="T16" t="str">
        <f t="shared" si="1"/>
        <v>OK</v>
      </c>
      <c r="U16" t="str">
        <f t="shared" si="2"/>
        <v>LOSS-KG01-L21-20251025-PM-ORD-2025-00021</v>
      </c>
      <c r="V16" t="str">
        <f t="shared" si="3"/>
        <v>OK</v>
      </c>
      <c r="W16" t="str">
        <f t="shared" si="4"/>
        <v>OK</v>
      </c>
    </row>
    <row r="17" spans="1:23" ht="18" customHeight="1">
      <c r="A17" s="7" t="s">
        <v>31</v>
      </c>
      <c r="B17" s="8">
        <v>21</v>
      </c>
      <c r="C17" s="6">
        <v>45956</v>
      </c>
      <c r="D17" s="7" t="s">
        <v>32</v>
      </c>
      <c r="E17" s="7" t="s">
        <v>38</v>
      </c>
      <c r="F17" s="7" t="s">
        <v>34</v>
      </c>
      <c r="G17" s="9">
        <v>12922</v>
      </c>
      <c r="H17" s="10">
        <v>4.6214740871229421E-3</v>
      </c>
      <c r="I17" s="10">
        <v>1.491195638778336E-2</v>
      </c>
      <c r="J17" s="10">
        <v>2.8490028490028491E-3</v>
      </c>
      <c r="K17" s="10">
        <v>5.824869692554171E-3</v>
      </c>
      <c r="L17" s="10">
        <v>7.5755928173230967E-4</v>
      </c>
      <c r="M17" s="10">
        <v>2.9468693590830996E-3</v>
      </c>
      <c r="N17" s="10">
        <v>9.7866510080250532E-4</v>
      </c>
      <c r="O17" s="10">
        <v>1.0982797242339228E-3</v>
      </c>
      <c r="P17" s="10">
        <v>1.7978440370297877E-3</v>
      </c>
      <c r="Q17" s="10">
        <v>5.3681593121796684E-3</v>
      </c>
      <c r="R17" s="10">
        <v>5.6835069557715865E-3</v>
      </c>
      <c r="S17" s="15">
        <f t="shared" si="0"/>
        <v>4.6838186787296204E-2</v>
      </c>
      <c r="T17" t="str">
        <f t="shared" si="1"/>
        <v>OK</v>
      </c>
      <c r="U17" t="str">
        <f t="shared" si="2"/>
        <v>LOSS-KG01-L21-20251026-AM-ORD-2025-00021</v>
      </c>
      <c r="V17" t="str">
        <f t="shared" si="3"/>
        <v>OK</v>
      </c>
      <c r="W17" t="str">
        <f t="shared" si="4"/>
        <v>OK</v>
      </c>
    </row>
    <row r="18" spans="1:23" ht="18" customHeight="1">
      <c r="A18" s="7" t="s">
        <v>31</v>
      </c>
      <c r="B18" s="8">
        <v>21</v>
      </c>
      <c r="C18" s="6">
        <v>45956</v>
      </c>
      <c r="D18" s="7" t="s">
        <v>35</v>
      </c>
      <c r="E18" s="7" t="s">
        <v>38</v>
      </c>
      <c r="F18" s="7" t="s">
        <v>34</v>
      </c>
      <c r="G18" s="9">
        <v>10955</v>
      </c>
      <c r="H18" s="10">
        <v>8.8904797026624436E-3</v>
      </c>
      <c r="I18" s="10">
        <v>5.933012278189943E-3</v>
      </c>
      <c r="J18" s="10">
        <v>2.3211419150505445E-3</v>
      </c>
      <c r="K18" s="10">
        <v>2.2922180282586376E-3</v>
      </c>
      <c r="L18" s="10">
        <v>1.185879358468191E-3</v>
      </c>
      <c r="M18" s="10">
        <v>2.0789043631683226E-3</v>
      </c>
      <c r="N18" s="10">
        <v>2.0861353348662994E-3</v>
      </c>
      <c r="O18" s="10">
        <v>2.3175264292015561E-3</v>
      </c>
      <c r="P18" s="10">
        <v>4.0710370659609238E-3</v>
      </c>
      <c r="Q18" s="10">
        <v>4.5663586272723326E-3</v>
      </c>
      <c r="R18" s="10">
        <v>3.8649543725685857E-3</v>
      </c>
      <c r="S18" s="15">
        <f t="shared" si="0"/>
        <v>3.9607647475667779E-2</v>
      </c>
      <c r="T18" t="str">
        <f t="shared" si="1"/>
        <v>OK</v>
      </c>
      <c r="U18" t="str">
        <f t="shared" si="2"/>
        <v>LOSS-KG01-L21-20251026-PM-ORD-2025-00021</v>
      </c>
      <c r="V18" t="str">
        <f t="shared" si="3"/>
        <v>OK</v>
      </c>
      <c r="W18" t="str">
        <f t="shared" si="4"/>
        <v>OK</v>
      </c>
    </row>
    <row r="19" spans="1:23" ht="18" customHeight="1">
      <c r="A19" s="7" t="s">
        <v>31</v>
      </c>
      <c r="B19" s="8">
        <v>22</v>
      </c>
      <c r="C19" s="6">
        <v>45950</v>
      </c>
      <c r="D19" s="7" t="s">
        <v>32</v>
      </c>
      <c r="E19" s="7" t="s">
        <v>39</v>
      </c>
      <c r="F19" s="7" t="s">
        <v>37</v>
      </c>
      <c r="G19" s="9">
        <v>3024</v>
      </c>
      <c r="H19" s="10">
        <v>6.6964285714285711E-3</v>
      </c>
      <c r="I19" s="10">
        <v>2.8980654761904763E-2</v>
      </c>
      <c r="J19" s="10">
        <v>8.4449404761904757E-3</v>
      </c>
      <c r="K19" s="10">
        <v>5.8407738095238096E-3</v>
      </c>
      <c r="L19" s="10">
        <v>1.0193452380952381E-2</v>
      </c>
      <c r="M19" s="10">
        <v>1.0193452380952381E-2</v>
      </c>
      <c r="N19" s="10">
        <v>1.2574404761904762E-2</v>
      </c>
      <c r="O19" s="10">
        <v>1.5625000000000001E-3</v>
      </c>
      <c r="P19" s="10">
        <v>1.2723214285714286E-2</v>
      </c>
      <c r="Q19" s="10">
        <v>5.6547619047619046E-3</v>
      </c>
      <c r="R19" s="10">
        <v>9.6354166666666671E-3</v>
      </c>
      <c r="S19" s="15">
        <f t="shared" si="0"/>
        <v>0.11249999999999999</v>
      </c>
      <c r="T19" t="str">
        <f t="shared" si="1"/>
        <v>OK</v>
      </c>
      <c r="U19" t="str">
        <f t="shared" si="2"/>
        <v>LOSS-KG01-L22-20251020-AM-ORD-2025-00056</v>
      </c>
      <c r="V19" t="str">
        <f t="shared" si="3"/>
        <v>OK</v>
      </c>
      <c r="W19" t="str">
        <f t="shared" si="4"/>
        <v>OK</v>
      </c>
    </row>
    <row r="20" spans="1:23" ht="18" customHeight="1">
      <c r="A20" s="7" t="s">
        <v>31</v>
      </c>
      <c r="B20" s="8">
        <v>22</v>
      </c>
      <c r="C20" s="6">
        <v>45950</v>
      </c>
      <c r="D20" s="7" t="s">
        <v>35</v>
      </c>
      <c r="E20" s="7" t="s">
        <v>39</v>
      </c>
      <c r="F20" s="7" t="s">
        <v>34</v>
      </c>
      <c r="G20" s="9">
        <v>8503</v>
      </c>
      <c r="H20" s="10">
        <v>6.3856470106470106E-3</v>
      </c>
      <c r="I20" s="10">
        <v>1.0384674447174447E-2</v>
      </c>
      <c r="J20" s="10">
        <v>3.3527846027846028E-3</v>
      </c>
      <c r="K20" s="10">
        <v>3.6023239148239147E-3</v>
      </c>
      <c r="L20" s="10">
        <v>5.1827395577395581E-3</v>
      </c>
      <c r="M20" s="10">
        <v>7.0574836199836198E-3</v>
      </c>
      <c r="N20" s="10">
        <v>3.3655814905814907E-3</v>
      </c>
      <c r="O20" s="10">
        <v>2.4634009009009009E-3</v>
      </c>
      <c r="P20" s="10">
        <v>2.5529791154791153E-3</v>
      </c>
      <c r="Q20" s="10">
        <v>6.8527334152334151E-3</v>
      </c>
      <c r="R20" s="10">
        <v>3.2056203931203932E-3</v>
      </c>
      <c r="S20" s="15">
        <f t="shared" si="0"/>
        <v>5.4405968468468471E-2</v>
      </c>
      <c r="T20" t="str">
        <f t="shared" si="1"/>
        <v>OK</v>
      </c>
      <c r="U20" t="str">
        <f t="shared" si="2"/>
        <v>LOSS-KG01-L22-20251020-PM-ORD-2025-00056</v>
      </c>
      <c r="V20" t="str">
        <f t="shared" si="3"/>
        <v>OK</v>
      </c>
      <c r="W20" t="str">
        <f t="shared" si="4"/>
        <v>OK</v>
      </c>
    </row>
    <row r="21" spans="1:23" ht="18" customHeight="1">
      <c r="A21" s="7" t="s">
        <v>31</v>
      </c>
      <c r="B21" s="8">
        <v>22</v>
      </c>
      <c r="C21" s="6">
        <v>45951</v>
      </c>
      <c r="D21" s="7" t="s">
        <v>32</v>
      </c>
      <c r="E21" s="7" t="s">
        <v>39</v>
      </c>
      <c r="F21" s="7" t="s">
        <v>34</v>
      </c>
      <c r="G21" s="9">
        <v>5551</v>
      </c>
      <c r="H21" s="10">
        <v>5.6506849315068495E-3</v>
      </c>
      <c r="I21" s="10">
        <v>8.4332191780821918E-3</v>
      </c>
      <c r="J21" s="10">
        <v>4.0953196347031963E-3</v>
      </c>
      <c r="K21" s="10">
        <v>2.3901255707762556E-3</v>
      </c>
      <c r="L21" s="10">
        <v>2.7682648401826486E-3</v>
      </c>
      <c r="M21" s="10">
        <v>3.1035958904109587E-3</v>
      </c>
      <c r="N21" s="10">
        <v>4.3022260273972599E-3</v>
      </c>
      <c r="O21" s="10">
        <v>1.8550228310502284E-4</v>
      </c>
      <c r="P21" s="10">
        <v>2.6184360730593607E-3</v>
      </c>
      <c r="Q21" s="10">
        <v>3.132134703196347E-3</v>
      </c>
      <c r="R21" s="10">
        <v>2.9252283105022829E-3</v>
      </c>
      <c r="S21" s="15">
        <f t="shared" si="0"/>
        <v>3.960473744292238E-2</v>
      </c>
      <c r="T21" t="str">
        <f t="shared" si="1"/>
        <v>OK</v>
      </c>
      <c r="U21" t="str">
        <f t="shared" si="2"/>
        <v>LOSS-KG01-L22-20251021-AM-ORD-2025-00056</v>
      </c>
      <c r="V21" t="str">
        <f t="shared" si="3"/>
        <v>OK</v>
      </c>
      <c r="W21" t="str">
        <f t="shared" si="4"/>
        <v>OK</v>
      </c>
    </row>
    <row r="22" spans="1:23" ht="18" customHeight="1">
      <c r="A22" s="7" t="s">
        <v>31</v>
      </c>
      <c r="B22" s="8">
        <v>22</v>
      </c>
      <c r="C22" s="6">
        <v>45951</v>
      </c>
      <c r="D22" s="7" t="s">
        <v>35</v>
      </c>
      <c r="E22" s="7" t="s">
        <v>39</v>
      </c>
      <c r="F22" s="7" t="s">
        <v>34</v>
      </c>
      <c r="G22" s="9">
        <v>6335</v>
      </c>
      <c r="H22" s="10">
        <v>3.0394698934024778E-3</v>
      </c>
      <c r="I22" s="10">
        <v>1.2676462114664363E-2</v>
      </c>
      <c r="J22" s="10">
        <v>8.1316623451454916E-3</v>
      </c>
      <c r="K22" s="10">
        <v>1.3036588879285509E-3</v>
      </c>
      <c r="L22" s="10">
        <v>2.3624315759147221E-3</v>
      </c>
      <c r="M22" s="10">
        <v>1.3468740996830885E-3</v>
      </c>
      <c r="N22" s="10">
        <v>2.0023048112935752E-3</v>
      </c>
      <c r="O22" s="10">
        <v>2.3264188994526072E-3</v>
      </c>
      <c r="P22" s="10">
        <v>4.7392682224142897E-3</v>
      </c>
      <c r="Q22" s="10">
        <v>4.9049265341400174E-3</v>
      </c>
      <c r="R22" s="10">
        <v>2.7945836934600982E-3</v>
      </c>
      <c r="S22" s="15">
        <f t="shared" si="0"/>
        <v>4.5628061077499282E-2</v>
      </c>
      <c r="T22" t="str">
        <f t="shared" si="1"/>
        <v>OK</v>
      </c>
      <c r="U22" t="str">
        <f t="shared" si="2"/>
        <v>LOSS-KG01-L22-20251021-PM-ORD-2025-00056</v>
      </c>
      <c r="V22" t="str">
        <f t="shared" si="3"/>
        <v>OK</v>
      </c>
      <c r="W22" t="str">
        <f t="shared" si="4"/>
        <v>OK</v>
      </c>
    </row>
    <row r="23" spans="1:23" ht="18" customHeight="1">
      <c r="A23" s="7" t="s">
        <v>31</v>
      </c>
      <c r="B23" s="8">
        <v>22</v>
      </c>
      <c r="C23" s="6">
        <v>45952</v>
      </c>
      <c r="D23" s="7" t="s">
        <v>32</v>
      </c>
      <c r="E23" s="7" t="s">
        <v>40</v>
      </c>
      <c r="F23" s="7" t="s">
        <v>34</v>
      </c>
      <c r="G23" s="9">
        <v>7192</v>
      </c>
      <c r="H23" s="10">
        <v>8.285017267053196E-3</v>
      </c>
      <c r="I23" s="10">
        <v>1.0193897918448817E-2</v>
      </c>
      <c r="J23" s="10">
        <v>4.7999239616006084E-3</v>
      </c>
      <c r="K23" s="10">
        <v>4.7127966289642938E-3</v>
      </c>
      <c r="L23" s="10">
        <v>6.9781072775084753E-3</v>
      </c>
      <c r="M23" s="10">
        <v>3.3346006399898615E-3</v>
      </c>
      <c r="N23" s="10">
        <v>7.9206666033013336E-4</v>
      </c>
      <c r="O23" s="10">
        <v>2.700947311725755E-3</v>
      </c>
      <c r="P23" s="10">
        <v>2.3682793143870989E-3</v>
      </c>
      <c r="Q23" s="10">
        <v>1.0288945917688433E-2</v>
      </c>
      <c r="R23" s="10">
        <v>2.5108513132465226E-3</v>
      </c>
      <c r="S23" s="15">
        <f t="shared" si="0"/>
        <v>5.6965434210943189E-2</v>
      </c>
      <c r="T23" t="str">
        <f t="shared" si="1"/>
        <v>OK</v>
      </c>
      <c r="U23" t="str">
        <f t="shared" si="2"/>
        <v>LOSS-KG01-L22-20251022-AM-ORD-2025-00057</v>
      </c>
      <c r="V23" t="str">
        <f t="shared" si="3"/>
        <v>OK</v>
      </c>
      <c r="W23" t="str">
        <f t="shared" si="4"/>
        <v>OK</v>
      </c>
    </row>
    <row r="24" spans="1:23" ht="18" customHeight="1">
      <c r="A24" s="7" t="s">
        <v>31</v>
      </c>
      <c r="B24" s="8">
        <v>22</v>
      </c>
      <c r="C24" s="6">
        <v>45952</v>
      </c>
      <c r="D24" s="7" t="s">
        <v>35</v>
      </c>
      <c r="E24" s="7" t="s">
        <v>40</v>
      </c>
      <c r="F24" s="7" t="s">
        <v>34</v>
      </c>
      <c r="G24" s="9">
        <v>5375</v>
      </c>
      <c r="H24" s="10">
        <v>5.0533448673587078E-3</v>
      </c>
      <c r="I24" s="10">
        <v>8.6000576701268736E-3</v>
      </c>
      <c r="J24" s="10">
        <v>4.0224913494809689E-3</v>
      </c>
      <c r="K24" s="10">
        <v>1.2399077277970012E-3</v>
      </c>
      <c r="L24" s="10">
        <v>5.8102652825836217E-3</v>
      </c>
      <c r="M24" s="10">
        <v>2.4149365628604383E-3</v>
      </c>
      <c r="N24" s="10">
        <v>1.0308535178777394E-3</v>
      </c>
      <c r="O24" s="10">
        <v>1.1101499423298731E-3</v>
      </c>
      <c r="P24" s="10">
        <v>1.2038638985005768E-3</v>
      </c>
      <c r="Q24" s="10">
        <v>5.3200692041522491E-3</v>
      </c>
      <c r="R24" s="10">
        <v>2.9411764705882353E-3</v>
      </c>
      <c r="S24" s="15">
        <f t="shared" si="0"/>
        <v>3.8747116493656281E-2</v>
      </c>
      <c r="T24" t="str">
        <f t="shared" si="1"/>
        <v>OK</v>
      </c>
      <c r="U24" t="str">
        <f t="shared" si="2"/>
        <v>LOSS-KG01-L22-20251022-PM-ORD-2025-00057</v>
      </c>
      <c r="V24" t="str">
        <f t="shared" si="3"/>
        <v>OK</v>
      </c>
      <c r="W24" t="str">
        <f t="shared" si="4"/>
        <v>OK</v>
      </c>
    </row>
    <row r="25" spans="1:23" ht="18" customHeight="1">
      <c r="A25" s="7" t="s">
        <v>31</v>
      </c>
      <c r="B25" s="8">
        <v>22</v>
      </c>
      <c r="C25" s="6">
        <v>45953</v>
      </c>
      <c r="D25" s="7" t="s">
        <v>32</v>
      </c>
      <c r="E25" s="7" t="s">
        <v>40</v>
      </c>
      <c r="F25" s="7" t="s">
        <v>34</v>
      </c>
      <c r="G25" s="9">
        <v>6927</v>
      </c>
      <c r="H25" s="10">
        <v>4.8646723646723648E-3</v>
      </c>
      <c r="I25" s="10">
        <v>1.3482905982905982E-2</v>
      </c>
      <c r="J25" s="10">
        <v>4.0028490028490024E-3</v>
      </c>
      <c r="K25" s="10">
        <v>5.2706552706552707E-3</v>
      </c>
      <c r="L25" s="10">
        <v>5.3917378917378916E-3</v>
      </c>
      <c r="M25" s="10">
        <v>2.905982905982906E-3</v>
      </c>
      <c r="N25" s="10">
        <v>2.4928774928774928E-3</v>
      </c>
      <c r="O25" s="10">
        <v>1.745014245014245E-3</v>
      </c>
      <c r="P25" s="10">
        <v>1.2037037037037038E-3</v>
      </c>
      <c r="Q25" s="10">
        <v>4.7150997150997151E-3</v>
      </c>
      <c r="R25" s="10">
        <v>3.2621082621082623E-3</v>
      </c>
      <c r="S25" s="15">
        <f t="shared" si="0"/>
        <v>4.9337606837606851E-2</v>
      </c>
      <c r="T25" t="str">
        <f t="shared" si="1"/>
        <v>OK</v>
      </c>
      <c r="U25" t="str">
        <f t="shared" si="2"/>
        <v>LOSS-KG01-L22-20251023-AM-ORD-2025-00057</v>
      </c>
      <c r="V25" t="str">
        <f t="shared" si="3"/>
        <v>OK</v>
      </c>
      <c r="W25" t="str">
        <f t="shared" si="4"/>
        <v>OK</v>
      </c>
    </row>
    <row r="26" spans="1:23" ht="18" customHeight="1">
      <c r="A26" s="7" t="s">
        <v>31</v>
      </c>
      <c r="B26" s="8">
        <v>22</v>
      </c>
      <c r="C26" s="6">
        <v>45953</v>
      </c>
      <c r="D26" s="7" t="s">
        <v>35</v>
      </c>
      <c r="E26" s="7" t="s">
        <v>40</v>
      </c>
      <c r="F26" s="7" t="s">
        <v>34</v>
      </c>
      <c r="G26" s="9">
        <v>8020</v>
      </c>
      <c r="H26" s="10">
        <v>8.1917303879920703E-3</v>
      </c>
      <c r="I26" s="10">
        <v>1.2022090059473236E-2</v>
      </c>
      <c r="J26" s="10">
        <v>3.6037949589351457E-3</v>
      </c>
      <c r="K26" s="10">
        <v>2.4709713962050412E-3</v>
      </c>
      <c r="L26" s="10">
        <v>4.269328802039082E-3</v>
      </c>
      <c r="M26" s="10">
        <v>2.9453412630982725E-3</v>
      </c>
      <c r="N26" s="10">
        <v>5.4163126593033137E-3</v>
      </c>
      <c r="O26" s="10">
        <v>4.3118096856414609E-3</v>
      </c>
      <c r="P26" s="10">
        <v>2.8532993486264516E-3</v>
      </c>
      <c r="Q26" s="10">
        <v>8.3050127442650806E-3</v>
      </c>
      <c r="R26" s="10">
        <v>2.3930897762673466E-3</v>
      </c>
      <c r="S26" s="15">
        <f t="shared" si="0"/>
        <v>5.6782781081846492E-2</v>
      </c>
      <c r="T26" t="str">
        <f t="shared" si="1"/>
        <v>OK</v>
      </c>
      <c r="U26" t="str">
        <f t="shared" si="2"/>
        <v>LOSS-KG01-L22-20251023-PM-ORD-2025-00057</v>
      </c>
      <c r="V26" t="str">
        <f t="shared" si="3"/>
        <v>OK</v>
      </c>
      <c r="W26" t="str">
        <f t="shared" si="4"/>
        <v>OK</v>
      </c>
    </row>
    <row r="27" spans="1:23" ht="18" customHeight="1">
      <c r="A27" s="7" t="s">
        <v>31</v>
      </c>
      <c r="B27" s="8">
        <v>22</v>
      </c>
      <c r="C27" s="6">
        <v>45954</v>
      </c>
      <c r="D27" s="7" t="s">
        <v>32</v>
      </c>
      <c r="E27" s="7" t="s">
        <v>40</v>
      </c>
      <c r="F27" s="7" t="s">
        <v>34</v>
      </c>
      <c r="G27" s="9">
        <v>5092</v>
      </c>
      <c r="H27" s="10">
        <v>4.3049645390070921E-3</v>
      </c>
      <c r="I27" s="10">
        <v>1.0085106382978723E-2</v>
      </c>
      <c r="J27" s="10">
        <v>5.6737588652482269E-4</v>
      </c>
      <c r="K27" s="10">
        <v>1.950354609929078E-3</v>
      </c>
      <c r="L27" s="10">
        <v>3.1843971631205672E-3</v>
      </c>
      <c r="M27" s="10">
        <v>4.0212765957446809E-3</v>
      </c>
      <c r="N27" s="10">
        <v>2.3404255319148937E-4</v>
      </c>
      <c r="O27" s="10">
        <v>1.0780141843971631E-3</v>
      </c>
      <c r="P27" s="10">
        <v>2.0212765957446808E-3</v>
      </c>
      <c r="Q27" s="10">
        <v>6.6950354609929081E-3</v>
      </c>
      <c r="R27" s="10">
        <v>1.971631205673759E-3</v>
      </c>
      <c r="S27" s="15">
        <f t="shared" si="0"/>
        <v>3.6113475177304961E-2</v>
      </c>
      <c r="T27" t="str">
        <f t="shared" si="1"/>
        <v>OK</v>
      </c>
      <c r="U27" t="str">
        <f t="shared" si="2"/>
        <v>LOSS-KG01-L22-20251024-AM-ORD-2025-00057</v>
      </c>
      <c r="V27" t="str">
        <f t="shared" si="3"/>
        <v>OK</v>
      </c>
      <c r="W27" t="str">
        <f t="shared" si="4"/>
        <v>OK</v>
      </c>
    </row>
    <row r="28" spans="1:23" ht="18" customHeight="1">
      <c r="A28" s="7" t="s">
        <v>31</v>
      </c>
      <c r="B28" s="8">
        <v>22</v>
      </c>
      <c r="C28" s="6">
        <v>45954</v>
      </c>
      <c r="D28" s="7" t="s">
        <v>35</v>
      </c>
      <c r="E28" s="7" t="s">
        <v>40</v>
      </c>
      <c r="F28" s="7" t="s">
        <v>34</v>
      </c>
      <c r="G28" s="9">
        <v>5309</v>
      </c>
      <c r="H28" s="10">
        <v>6.4346694595195019E-3</v>
      </c>
      <c r="I28" s="10">
        <v>1.030657907264591E-2</v>
      </c>
      <c r="J28" s="10">
        <v>3.7290932749373196E-3</v>
      </c>
      <c r="K28" s="10">
        <v>1.5471769970484624E-3</v>
      </c>
      <c r="L28" s="10">
        <v>3.403789393506617E-3</v>
      </c>
      <c r="M28" s="10">
        <v>1.3964264178488687E-3</v>
      </c>
      <c r="N28" s="10">
        <v>7.6168713700847373E-4</v>
      </c>
      <c r="O28" s="10">
        <v>1.22187311561776E-3</v>
      </c>
      <c r="P28" s="10">
        <v>3.0150115839918754E-3</v>
      </c>
      <c r="Q28" s="10">
        <v>6.3632612904249578E-3</v>
      </c>
      <c r="R28" s="10">
        <v>3.9433177822209529E-3</v>
      </c>
      <c r="S28" s="15">
        <f t="shared" si="0"/>
        <v>4.2122885524770698E-2</v>
      </c>
      <c r="T28" t="str">
        <f t="shared" si="1"/>
        <v>OK</v>
      </c>
      <c r="U28" t="str">
        <f t="shared" si="2"/>
        <v>LOSS-KG01-L22-20251024-PM-ORD-2025-00057</v>
      </c>
      <c r="V28" t="str">
        <f t="shared" si="3"/>
        <v>OK</v>
      </c>
      <c r="W28" t="str">
        <f t="shared" si="4"/>
        <v>OK</v>
      </c>
    </row>
    <row r="29" spans="1:23" ht="18" customHeight="1">
      <c r="A29" s="7" t="s">
        <v>31</v>
      </c>
      <c r="B29" s="8">
        <v>22</v>
      </c>
      <c r="C29" s="6">
        <v>45955</v>
      </c>
      <c r="D29" s="7" t="s">
        <v>32</v>
      </c>
      <c r="E29" s="7" t="s">
        <v>40</v>
      </c>
      <c r="F29" s="7" t="s">
        <v>34</v>
      </c>
      <c r="G29" s="9">
        <v>6188</v>
      </c>
      <c r="H29" s="10">
        <v>5.260196905766526E-3</v>
      </c>
      <c r="I29" s="10">
        <v>8.9873417721518991E-3</v>
      </c>
      <c r="J29" s="10">
        <v>5.1265822784810127E-3</v>
      </c>
      <c r="K29" s="10">
        <v>3.1082981715893107E-3</v>
      </c>
      <c r="L29" s="10">
        <v>4.8382559774964836E-3</v>
      </c>
      <c r="M29" s="10">
        <v>2.20112517580872E-3</v>
      </c>
      <c r="N29" s="10">
        <v>2.6652601969057665E-3</v>
      </c>
      <c r="O29" s="10">
        <v>1.4627285513361462E-3</v>
      </c>
      <c r="P29" s="10">
        <v>3.6286919831223629E-3</v>
      </c>
      <c r="Q29" s="10">
        <v>5.2390998593530242E-3</v>
      </c>
      <c r="R29" s="10">
        <v>9.985935302390999E-4</v>
      </c>
      <c r="S29" s="15">
        <f t="shared" si="0"/>
        <v>4.3516174402250356E-2</v>
      </c>
      <c r="T29" t="str">
        <f t="shared" si="1"/>
        <v>OK</v>
      </c>
      <c r="U29" t="str">
        <f t="shared" si="2"/>
        <v>LOSS-KG01-L22-20251025-AM-ORD-2025-00057</v>
      </c>
      <c r="V29" t="str">
        <f t="shared" si="3"/>
        <v>OK</v>
      </c>
      <c r="W29" t="str">
        <f t="shared" si="4"/>
        <v>OK</v>
      </c>
    </row>
    <row r="30" spans="1:23" ht="18" customHeight="1">
      <c r="A30" s="7" t="s">
        <v>31</v>
      </c>
      <c r="B30" s="8">
        <v>22</v>
      </c>
      <c r="C30" s="6">
        <v>45955</v>
      </c>
      <c r="D30" s="7" t="s">
        <v>35</v>
      </c>
      <c r="E30" s="7" t="s">
        <v>40</v>
      </c>
      <c r="F30" s="7" t="s">
        <v>34</v>
      </c>
      <c r="G30" s="9">
        <v>5745</v>
      </c>
      <c r="H30" s="10">
        <v>4.8898655768884773E-3</v>
      </c>
      <c r="I30" s="10">
        <v>5.6288071555247125E-3</v>
      </c>
      <c r="J30" s="10">
        <v>2.6409129462564578E-3</v>
      </c>
      <c r="K30" s="10">
        <v>4.0738170509162872E-3</v>
      </c>
      <c r="L30" s="10">
        <v>6.1107255763744317E-3</v>
      </c>
      <c r="M30" s="10">
        <v>1.9855038939008405E-3</v>
      </c>
      <c r="N30" s="10">
        <v>6.8111136813426892E-4</v>
      </c>
      <c r="O30" s="10">
        <v>8.7387873647415632E-4</v>
      </c>
      <c r="P30" s="10">
        <v>2.3003572621893235E-3</v>
      </c>
      <c r="Q30" s="10">
        <v>1.869843472896908E-3</v>
      </c>
      <c r="R30" s="10">
        <v>5.8601279975325779E-3</v>
      </c>
      <c r="S30" s="15">
        <f t="shared" si="0"/>
        <v>3.6914951037088445E-2</v>
      </c>
      <c r="T30" t="str">
        <f t="shared" si="1"/>
        <v>OK</v>
      </c>
      <c r="U30" t="str">
        <f t="shared" si="2"/>
        <v>LOSS-KG01-L22-20251025-PM-ORD-2025-00057</v>
      </c>
      <c r="V30" t="str">
        <f t="shared" si="3"/>
        <v>OK</v>
      </c>
      <c r="W30" t="str">
        <f t="shared" si="4"/>
        <v>OK</v>
      </c>
    </row>
    <row r="31" spans="1:23" ht="18" customHeight="1">
      <c r="A31" s="7" t="s">
        <v>31</v>
      </c>
      <c r="B31" s="8">
        <v>22</v>
      </c>
      <c r="C31" s="6">
        <v>45956</v>
      </c>
      <c r="D31" s="7" t="s">
        <v>32</v>
      </c>
      <c r="E31" s="7" t="s">
        <v>41</v>
      </c>
      <c r="F31" s="7" t="s">
        <v>37</v>
      </c>
      <c r="G31" s="9">
        <v>15579</v>
      </c>
      <c r="H31" s="10">
        <v>6.5935538202419233E-3</v>
      </c>
      <c r="I31" s="10">
        <v>2.6000995253406829E-2</v>
      </c>
      <c r="J31" s="10">
        <v>1.387612922982698E-2</v>
      </c>
      <c r="K31" s="10">
        <v>1.4526871841984382E-2</v>
      </c>
      <c r="L31" s="10">
        <v>1.934045322308988E-2</v>
      </c>
      <c r="M31" s="10">
        <v>1.1588960342979635E-2</v>
      </c>
      <c r="N31" s="10">
        <v>1.9043791149900475E-3</v>
      </c>
      <c r="O31" s="10">
        <v>9.9429643239932631E-3</v>
      </c>
      <c r="P31" s="10">
        <v>1.1751645996018986E-2</v>
      </c>
      <c r="Q31" s="10">
        <v>1.7340376665135507E-2</v>
      </c>
      <c r="R31" s="10">
        <v>1.6220716582452915E-2</v>
      </c>
      <c r="S31" s="15">
        <f t="shared" si="0"/>
        <v>0.14908704639412032</v>
      </c>
      <c r="T31" t="str">
        <f t="shared" si="1"/>
        <v>OK</v>
      </c>
      <c r="U31" t="str">
        <f t="shared" si="2"/>
        <v>LOSS-KG01-L22-20251026-AM-ORD-2025-00058</v>
      </c>
      <c r="V31" t="str">
        <f t="shared" si="3"/>
        <v>OK</v>
      </c>
      <c r="W31" t="str">
        <f t="shared" si="4"/>
        <v>OK</v>
      </c>
    </row>
    <row r="32" spans="1:23" ht="18" customHeight="1">
      <c r="A32" s="7" t="s">
        <v>31</v>
      </c>
      <c r="B32" s="8">
        <v>22</v>
      </c>
      <c r="C32" s="6">
        <v>45956</v>
      </c>
      <c r="D32" s="7" t="s">
        <v>35</v>
      </c>
      <c r="E32" s="7" t="s">
        <v>41</v>
      </c>
      <c r="F32" s="7" t="s">
        <v>34</v>
      </c>
      <c r="G32" s="9">
        <v>8405</v>
      </c>
      <c r="H32" s="10">
        <v>3.2096667610686303E-3</v>
      </c>
      <c r="I32" s="10">
        <v>4.8941517983574056E-3</v>
      </c>
      <c r="J32" s="10">
        <v>2.6373548569810254E-3</v>
      </c>
      <c r="K32" s="10">
        <v>7.4931558576418387E-4</v>
      </c>
      <c r="L32" s="10">
        <v>1.5812328896441046E-3</v>
      </c>
      <c r="M32" s="10">
        <v>1.5310818465024073E-3</v>
      </c>
      <c r="N32" s="10">
        <v>1.3599782875483809E-3</v>
      </c>
      <c r="O32" s="10">
        <v>7.2571509487397341E-4</v>
      </c>
      <c r="P32" s="10">
        <v>3.0946143679788539E-3</v>
      </c>
      <c r="Q32" s="10">
        <v>2.194845652789578E-3</v>
      </c>
      <c r="R32" s="10">
        <v>2.8173086000188802E-3</v>
      </c>
      <c r="S32" s="15">
        <f t="shared" si="0"/>
        <v>2.4795265741527427E-2</v>
      </c>
      <c r="T32" t="str">
        <f t="shared" si="1"/>
        <v>OK</v>
      </c>
      <c r="U32" t="str">
        <f t="shared" si="2"/>
        <v>LOSS-KG01-L22-20251026-PM-ORD-2025-00058</v>
      </c>
      <c r="V32" t="str">
        <f t="shared" si="3"/>
        <v>OK</v>
      </c>
      <c r="W32" t="str">
        <f t="shared" si="4"/>
        <v>OK</v>
      </c>
    </row>
    <row r="33" spans="1:23" ht="18" customHeight="1">
      <c r="A33" s="7" t="s">
        <v>31</v>
      </c>
      <c r="B33" s="8">
        <v>23</v>
      </c>
      <c r="C33" s="6">
        <v>45950</v>
      </c>
      <c r="D33" s="7" t="s">
        <v>32</v>
      </c>
      <c r="E33" s="7" t="s">
        <v>42</v>
      </c>
      <c r="F33" s="7" t="s">
        <v>34</v>
      </c>
      <c r="G33" s="9">
        <v>18278</v>
      </c>
      <c r="H33" s="10">
        <v>5.1927158334739839E-3</v>
      </c>
      <c r="I33" s="10">
        <v>9.3691532569388832E-3</v>
      </c>
      <c r="J33" s="10">
        <v>2.7579569571978008E-3</v>
      </c>
      <c r="K33" s="10">
        <v>5.5625980816398348E-3</v>
      </c>
      <c r="L33" s="10">
        <v>3.1924788215479754E-3</v>
      </c>
      <c r="M33" s="10">
        <v>8.536020426118715E-3</v>
      </c>
      <c r="N33" s="10">
        <v>4.5247731329026419E-4</v>
      </c>
      <c r="O33" s="10">
        <v>2.9411025363867173E-3</v>
      </c>
      <c r="P33" s="10">
        <v>4.6648256346353426E-3</v>
      </c>
      <c r="Q33" s="10">
        <v>1.4784516657269983E-2</v>
      </c>
      <c r="R33" s="10">
        <v>8.1840936268929524E-3</v>
      </c>
      <c r="S33" s="15">
        <f t="shared" si="0"/>
        <v>6.5637939145392454E-2</v>
      </c>
      <c r="T33" t="str">
        <f t="shared" si="1"/>
        <v>OK</v>
      </c>
      <c r="U33" t="str">
        <f t="shared" si="2"/>
        <v>LOSS-KG01-L23-20251020-AM-ORD-2025-00092</v>
      </c>
      <c r="V33" t="str">
        <f t="shared" si="3"/>
        <v>OK</v>
      </c>
      <c r="W33" t="str">
        <f t="shared" si="4"/>
        <v>OK</v>
      </c>
    </row>
    <row r="34" spans="1:23" ht="18" customHeight="1">
      <c r="A34" s="7" t="s">
        <v>31</v>
      </c>
      <c r="B34" s="8">
        <v>23</v>
      </c>
      <c r="C34" s="6">
        <v>45950</v>
      </c>
      <c r="D34" s="7" t="s">
        <v>35</v>
      </c>
      <c r="E34" s="7" t="s">
        <v>42</v>
      </c>
      <c r="F34" s="7" t="s">
        <v>34</v>
      </c>
      <c r="G34" s="9">
        <v>15396</v>
      </c>
      <c r="H34" s="10">
        <v>6.044707212849566E-3</v>
      </c>
      <c r="I34" s="10">
        <v>1.2826661131351596E-2</v>
      </c>
      <c r="J34" s="10">
        <v>6.1735464429635888E-3</v>
      </c>
      <c r="K34" s="10">
        <v>3.6146561781989707E-3</v>
      </c>
      <c r="L34" s="10">
        <v>7.1112097287934209E-3</v>
      </c>
      <c r="M34" s="10">
        <v>5.5830333049409842E-3</v>
      </c>
      <c r="N34" s="10">
        <v>3.8365459633953433E-3</v>
      </c>
      <c r="O34" s="10">
        <v>6.0840747553844059E-4</v>
      </c>
      <c r="P34" s="10">
        <v>1.2883923011402271E-3</v>
      </c>
      <c r="Q34" s="10">
        <v>5.4613518098332965E-3</v>
      </c>
      <c r="R34" s="10">
        <v>2.5517325297582834E-3</v>
      </c>
      <c r="S34" s="15">
        <f t="shared" si="0"/>
        <v>5.510024407876371E-2</v>
      </c>
      <c r="T34" t="str">
        <f t="shared" si="1"/>
        <v>OK</v>
      </c>
      <c r="U34" t="str">
        <f t="shared" si="2"/>
        <v>LOSS-KG01-L23-20251020-PM-ORD-2025-00092</v>
      </c>
      <c r="V34" t="str">
        <f t="shared" si="3"/>
        <v>OK</v>
      </c>
      <c r="W34" t="str">
        <f t="shared" si="4"/>
        <v>OK</v>
      </c>
    </row>
    <row r="35" spans="1:23" ht="18" customHeight="1">
      <c r="A35" s="7" t="s">
        <v>31</v>
      </c>
      <c r="B35" s="8">
        <v>23</v>
      </c>
      <c r="C35" s="6">
        <v>45951</v>
      </c>
      <c r="D35" s="7" t="s">
        <v>32</v>
      </c>
      <c r="E35" s="7" t="s">
        <v>42</v>
      </c>
      <c r="F35" s="7" t="s">
        <v>34</v>
      </c>
      <c r="G35" s="9">
        <v>17700</v>
      </c>
      <c r="H35" s="10">
        <v>4.7925738250787706E-3</v>
      </c>
      <c r="I35" s="10">
        <v>7.8724119947044067E-3</v>
      </c>
      <c r="J35" s="10">
        <v>3.752588391046867E-3</v>
      </c>
      <c r="K35" s="10">
        <v>3.5643417694565228E-3</v>
      </c>
      <c r="L35" s="10">
        <v>8.2982814009251865E-3</v>
      </c>
      <c r="M35" s="10">
        <v>2.9687418027854327E-3</v>
      </c>
      <c r="N35" s="10">
        <v>2.7588931098650486E-3</v>
      </c>
      <c r="O35" s="10">
        <v>1.2683501880923211E-3</v>
      </c>
      <c r="P35" s="10">
        <v>3.4748474739463588E-3</v>
      </c>
      <c r="Q35" s="10">
        <v>1.0338134136518918E-2</v>
      </c>
      <c r="R35" s="10">
        <v>5.5332162706801255E-3</v>
      </c>
      <c r="S35" s="15">
        <f t="shared" si="0"/>
        <v>5.4622380363099958E-2</v>
      </c>
      <c r="T35" t="str">
        <f t="shared" si="1"/>
        <v>OK</v>
      </c>
      <c r="U35" t="str">
        <f t="shared" si="2"/>
        <v>LOSS-KG01-L23-20251021-AM-ORD-2025-00092</v>
      </c>
      <c r="V35" t="str">
        <f t="shared" si="3"/>
        <v>OK</v>
      </c>
      <c r="W35" t="str">
        <f t="shared" si="4"/>
        <v>OK</v>
      </c>
    </row>
    <row r="36" spans="1:23" ht="18" customHeight="1">
      <c r="A36" s="7" t="s">
        <v>31</v>
      </c>
      <c r="B36" s="8">
        <v>23</v>
      </c>
      <c r="C36" s="6">
        <v>45951</v>
      </c>
      <c r="D36" s="7" t="s">
        <v>35</v>
      </c>
      <c r="E36" s="7" t="s">
        <v>42</v>
      </c>
      <c r="F36" s="7" t="s">
        <v>34</v>
      </c>
      <c r="G36" s="9">
        <v>20517</v>
      </c>
      <c r="H36" s="10">
        <v>3.8295038295038295E-3</v>
      </c>
      <c r="I36" s="10">
        <v>1.4531764531764533E-2</v>
      </c>
      <c r="J36" s="10">
        <v>3.4070867404200739E-3</v>
      </c>
      <c r="K36" s="10">
        <v>6.2098395431728765E-3</v>
      </c>
      <c r="L36" s="10">
        <v>4.0453373786707124E-3</v>
      </c>
      <c r="M36" s="10">
        <v>5.0165883499216834E-3</v>
      </c>
      <c r="N36" s="10">
        <v>4.800754800754801E-3</v>
      </c>
      <c r="O36" s="10">
        <v>3.1172531172531173E-3</v>
      </c>
      <c r="P36" s="10">
        <v>2.0134186800853469E-3</v>
      </c>
      <c r="Q36" s="10">
        <v>5.3341720008386675E-3</v>
      </c>
      <c r="R36" s="10">
        <v>1.0955094288427622E-2</v>
      </c>
      <c r="S36" s="15">
        <f t="shared" si="0"/>
        <v>6.3260813260813259E-2</v>
      </c>
      <c r="T36" t="str">
        <f t="shared" si="1"/>
        <v>OK</v>
      </c>
      <c r="U36" t="str">
        <f t="shared" si="2"/>
        <v>LOSS-KG01-L23-20251021-PM-ORD-2025-00092</v>
      </c>
      <c r="V36" t="str">
        <f t="shared" si="3"/>
        <v>OK</v>
      </c>
      <c r="W36" t="str">
        <f t="shared" si="4"/>
        <v>OK</v>
      </c>
    </row>
    <row r="37" spans="1:23" ht="18" customHeight="1">
      <c r="A37" s="7" t="s">
        <v>31</v>
      </c>
      <c r="B37" s="8">
        <v>23</v>
      </c>
      <c r="C37" s="6">
        <v>45952</v>
      </c>
      <c r="D37" s="7" t="s">
        <v>32</v>
      </c>
      <c r="E37" s="7" t="s">
        <v>43</v>
      </c>
      <c r="F37" s="7" t="s">
        <v>34</v>
      </c>
      <c r="G37" s="9">
        <v>4895</v>
      </c>
      <c r="H37" s="10">
        <v>9.7571917232097804E-3</v>
      </c>
      <c r="I37" s="10">
        <v>1.2594627936970785E-2</v>
      </c>
      <c r="J37" s="10">
        <v>3.7795098973812595E-3</v>
      </c>
      <c r="K37" s="10">
        <v>3.9253070150843941E-3</v>
      </c>
      <c r="L37" s="10">
        <v>4.6767229294005499E-3</v>
      </c>
      <c r="M37" s="10">
        <v>1.5364773173330343E-3</v>
      </c>
      <c r="N37" s="10">
        <v>5.8206695452251442E-3</v>
      </c>
      <c r="O37" s="10">
        <v>9.0842819491953122E-4</v>
      </c>
      <c r="P37" s="10">
        <v>1.7159199237368923E-3</v>
      </c>
      <c r="Q37" s="10">
        <v>4.0935344585880107E-3</v>
      </c>
      <c r="R37" s="10">
        <v>6.0898334548309318E-3</v>
      </c>
      <c r="S37" s="15">
        <f t="shared" ref="S37:S68" si="5">IF(A37="","",SUM(H37:R37))</f>
        <v>5.4898222396680317E-2</v>
      </c>
      <c r="T37" t="str">
        <f t="shared" ref="T37:T68" si="6">IF(A37="","",IF(AND(MIN(H37:R37)&gt;=0,MAX(H37:R37)&lt;=1,S37&lt;=1),"OK","CHECK"))</f>
        <v>OK</v>
      </c>
      <c r="U37" t="str">
        <f t="shared" ref="U37:U68" si="7">IF(A37="","", "LOSS-"&amp;A37&amp;"-L"&amp;TEXT(B37,"00")&amp;"-"&amp;TEXT(C37,"yyyymmdd")&amp;"-"&amp;D37&amp;"-"&amp;E37)</f>
        <v>LOSS-KG01-L23-20251022-AM-ORD-2025-00093</v>
      </c>
      <c r="V37" t="str">
        <f t="shared" ref="V37:V68" si="8">IF(U37="","",IF(COUNTIF($U$5:$U$120,U37)=1,"OK","CHECK"))</f>
        <v>OK</v>
      </c>
      <c r="W37" t="str">
        <f t="shared" ref="W37:W68" si="9">IF(A37="","",IF(AND(T37="OK",V37="OK",G37&gt;=0),"OK","CHECK"))</f>
        <v>OK</v>
      </c>
    </row>
    <row r="38" spans="1:23" ht="18" customHeight="1">
      <c r="A38" s="7" t="s">
        <v>31</v>
      </c>
      <c r="B38" s="8">
        <v>23</v>
      </c>
      <c r="C38" s="6">
        <v>45952</v>
      </c>
      <c r="D38" s="7" t="s">
        <v>35</v>
      </c>
      <c r="E38" s="7" t="s">
        <v>43</v>
      </c>
      <c r="F38" s="7" t="s">
        <v>34</v>
      </c>
      <c r="G38" s="9">
        <v>10098</v>
      </c>
      <c r="H38" s="10">
        <v>7.3067632850241544E-3</v>
      </c>
      <c r="I38" s="10">
        <v>9.5954106280193244E-3</v>
      </c>
      <c r="J38" s="10">
        <v>4.2995169082125605E-3</v>
      </c>
      <c r="K38" s="10">
        <v>3.0253623188405796E-3</v>
      </c>
      <c r="L38" s="10">
        <v>7.2101449275362318E-3</v>
      </c>
      <c r="M38" s="10">
        <v>4.9214975845410626E-3</v>
      </c>
      <c r="N38" s="10">
        <v>1.6183574879227052E-3</v>
      </c>
      <c r="O38" s="10">
        <v>1.2258454106280194E-3</v>
      </c>
      <c r="P38" s="10">
        <v>1.25E-3</v>
      </c>
      <c r="Q38" s="10">
        <v>1.5440821256038647E-2</v>
      </c>
      <c r="R38" s="10">
        <v>5.0845410628019326E-3</v>
      </c>
      <c r="S38" s="15">
        <f t="shared" si="5"/>
        <v>6.0978260869565225E-2</v>
      </c>
      <c r="T38" t="str">
        <f t="shared" si="6"/>
        <v>OK</v>
      </c>
      <c r="U38" t="str">
        <f t="shared" si="7"/>
        <v>LOSS-KG01-L23-20251022-PM-ORD-2025-00093</v>
      </c>
      <c r="V38" t="str">
        <f t="shared" si="8"/>
        <v>OK</v>
      </c>
      <c r="W38" t="str">
        <f t="shared" si="9"/>
        <v>OK</v>
      </c>
    </row>
    <row r="39" spans="1:23" ht="18" customHeight="1">
      <c r="A39" s="7" t="s">
        <v>31</v>
      </c>
      <c r="B39" s="8">
        <v>23</v>
      </c>
      <c r="C39" s="6">
        <v>45953</v>
      </c>
      <c r="D39" s="7" t="s">
        <v>32</v>
      </c>
      <c r="E39" s="7" t="s">
        <v>43</v>
      </c>
      <c r="F39" s="7" t="s">
        <v>34</v>
      </c>
      <c r="G39" s="9">
        <v>7869</v>
      </c>
      <c r="H39" s="10">
        <v>2.9921395684849531E-3</v>
      </c>
      <c r="I39" s="10">
        <v>1.1925428334213903E-2</v>
      </c>
      <c r="J39" s="10">
        <v>6.135233926010588E-3</v>
      </c>
      <c r="K39" s="10">
        <v>4.0703880616326836E-3</v>
      </c>
      <c r="L39" s="10">
        <v>2.0378896520492113E-3</v>
      </c>
      <c r="M39" s="10">
        <v>3.7684784835513192E-3</v>
      </c>
      <c r="N39" s="10">
        <v>5.2295051917664948E-4</v>
      </c>
      <c r="O39" s="10">
        <v>1.6227639821873349E-3</v>
      </c>
      <c r="P39" s="10">
        <v>3.1107469027312033E-3</v>
      </c>
      <c r="Q39" s="10">
        <v>2.8196198095813163E-3</v>
      </c>
      <c r="R39" s="10">
        <v>3.4180477232783066E-3</v>
      </c>
      <c r="S39" s="15">
        <f t="shared" si="5"/>
        <v>4.2423686962897472E-2</v>
      </c>
      <c r="T39" t="str">
        <f t="shared" si="6"/>
        <v>OK</v>
      </c>
      <c r="U39" t="str">
        <f t="shared" si="7"/>
        <v>LOSS-KG01-L23-20251023-AM-ORD-2025-00093</v>
      </c>
      <c r="V39" t="str">
        <f t="shared" si="8"/>
        <v>OK</v>
      </c>
      <c r="W39" t="str">
        <f t="shared" si="9"/>
        <v>OK</v>
      </c>
    </row>
    <row r="40" spans="1:23" ht="18" customHeight="1">
      <c r="A40" s="7" t="s">
        <v>31</v>
      </c>
      <c r="B40" s="8">
        <v>23</v>
      </c>
      <c r="C40" s="6">
        <v>45953</v>
      </c>
      <c r="D40" s="7" t="s">
        <v>35</v>
      </c>
      <c r="E40" s="7" t="s">
        <v>43</v>
      </c>
      <c r="F40" s="7" t="s">
        <v>34</v>
      </c>
      <c r="G40" s="9">
        <v>5160</v>
      </c>
      <c r="H40" s="10">
        <v>2.171386832232146E-3</v>
      </c>
      <c r="I40" s="10">
        <v>7.1516318602875264E-3</v>
      </c>
      <c r="J40" s="10">
        <v>1.992098011222152E-3</v>
      </c>
      <c r="K40" s="10">
        <v>3.1408745310269265E-3</v>
      </c>
      <c r="L40" s="10">
        <v>2.5166838208439857E-3</v>
      </c>
      <c r="M40" s="10">
        <v>4.083800923005412E-3</v>
      </c>
      <c r="N40" s="10">
        <v>1.3147846874066204E-3</v>
      </c>
      <c r="O40" s="10">
        <v>8.4996181812145154E-4</v>
      </c>
      <c r="P40" s="10">
        <v>6.3083103688701481E-4</v>
      </c>
      <c r="Q40" s="10">
        <v>4.2630897440154051E-3</v>
      </c>
      <c r="R40" s="10">
        <v>6.148942527972376E-3</v>
      </c>
      <c r="S40" s="15">
        <f t="shared" si="5"/>
        <v>3.4264085793021024E-2</v>
      </c>
      <c r="T40" t="str">
        <f t="shared" si="6"/>
        <v>OK</v>
      </c>
      <c r="U40" t="str">
        <f t="shared" si="7"/>
        <v>LOSS-KG01-L23-20251023-PM-ORD-2025-00093</v>
      </c>
      <c r="V40" t="str">
        <f t="shared" si="8"/>
        <v>OK</v>
      </c>
      <c r="W40" t="str">
        <f t="shared" si="9"/>
        <v>OK</v>
      </c>
    </row>
    <row r="41" spans="1:23" ht="18" customHeight="1">
      <c r="A41" s="7" t="s">
        <v>31</v>
      </c>
      <c r="B41" s="8">
        <v>23</v>
      </c>
      <c r="C41" s="6">
        <v>45954</v>
      </c>
      <c r="D41" s="7" t="s">
        <v>32</v>
      </c>
      <c r="E41" s="7" t="s">
        <v>43</v>
      </c>
      <c r="F41" s="7" t="s">
        <v>34</v>
      </c>
      <c r="G41" s="9">
        <v>5654</v>
      </c>
      <c r="H41" s="10">
        <v>4.1739200569965249E-3</v>
      </c>
      <c r="I41" s="10">
        <v>1.1587501092209355E-2</v>
      </c>
      <c r="J41" s="10">
        <v>3.9252323885442366E-3</v>
      </c>
      <c r="K41" s="10">
        <v>2.0096652126279564E-3</v>
      </c>
      <c r="L41" s="10">
        <v>2.1373696910223752E-3</v>
      </c>
      <c r="M41" s="10">
        <v>1.6332730657812489E-3</v>
      </c>
      <c r="N41" s="10">
        <v>1.2031106122421546E-3</v>
      </c>
      <c r="O41" s="10">
        <v>1.7408136791660226E-3</v>
      </c>
      <c r="P41" s="10">
        <v>2.9775307330909191E-3</v>
      </c>
      <c r="Q41" s="10">
        <v>2.6145811629173081E-3</v>
      </c>
      <c r="R41" s="10">
        <v>3.999166560246268E-3</v>
      </c>
      <c r="S41" s="15">
        <f t="shared" si="5"/>
        <v>3.8002164254844373E-2</v>
      </c>
      <c r="T41" t="str">
        <f t="shared" si="6"/>
        <v>OK</v>
      </c>
      <c r="U41" t="str">
        <f t="shared" si="7"/>
        <v>LOSS-KG01-L23-20251024-AM-ORD-2025-00093</v>
      </c>
      <c r="V41" t="str">
        <f t="shared" si="8"/>
        <v>OK</v>
      </c>
      <c r="W41" t="str">
        <f t="shared" si="9"/>
        <v>OK</v>
      </c>
    </row>
    <row r="42" spans="1:23" ht="18" customHeight="1">
      <c r="A42" s="7" t="s">
        <v>31</v>
      </c>
      <c r="B42" s="8">
        <v>23</v>
      </c>
      <c r="C42" s="6">
        <v>45954</v>
      </c>
      <c r="D42" s="7" t="s">
        <v>35</v>
      </c>
      <c r="E42" s="7" t="s">
        <v>43</v>
      </c>
      <c r="F42" s="7" t="s">
        <v>34</v>
      </c>
      <c r="G42" s="9">
        <v>5196</v>
      </c>
      <c r="H42" s="10">
        <v>2.0845290047321516E-3</v>
      </c>
      <c r="I42" s="10">
        <v>7.6234203601632973E-3</v>
      </c>
      <c r="J42" s="10">
        <v>2.6259651098573858E-3</v>
      </c>
      <c r="K42" s="10">
        <v>1.5972365101194408E-3</v>
      </c>
      <c r="L42" s="10">
        <v>2.5014348056785819E-3</v>
      </c>
      <c r="M42" s="10">
        <v>1.9978992279121141E-3</v>
      </c>
      <c r="N42" s="10">
        <v>1.299446652300562E-3</v>
      </c>
      <c r="O42" s="10">
        <v>6.1723715984276692E-4</v>
      </c>
      <c r="P42" s="10">
        <v>3.4110474622889753E-3</v>
      </c>
      <c r="Q42" s="10">
        <v>3.3190033244176855E-3</v>
      </c>
      <c r="R42" s="10">
        <v>1.0558004049942065E-3</v>
      </c>
      <c r="S42" s="15">
        <f t="shared" si="5"/>
        <v>2.8133020022307172E-2</v>
      </c>
      <c r="T42" t="str">
        <f t="shared" si="6"/>
        <v>OK</v>
      </c>
      <c r="U42" t="str">
        <f t="shared" si="7"/>
        <v>LOSS-KG01-L23-20251024-PM-ORD-2025-00093</v>
      </c>
      <c r="V42" t="str">
        <f t="shared" si="8"/>
        <v>OK</v>
      </c>
      <c r="W42" t="str">
        <f t="shared" si="9"/>
        <v>OK</v>
      </c>
    </row>
    <row r="43" spans="1:23" ht="18" customHeight="1">
      <c r="A43" s="7" t="s">
        <v>31</v>
      </c>
      <c r="B43" s="8">
        <v>23</v>
      </c>
      <c r="C43" s="6">
        <v>45955</v>
      </c>
      <c r="D43" s="7" t="s">
        <v>32</v>
      </c>
      <c r="E43" s="7" t="s">
        <v>43</v>
      </c>
      <c r="F43" s="7" t="s">
        <v>34</v>
      </c>
      <c r="G43" s="9">
        <v>8874</v>
      </c>
      <c r="H43" s="10">
        <v>7.0323488045007029E-3</v>
      </c>
      <c r="I43" s="10">
        <v>1.1316221284575715E-2</v>
      </c>
      <c r="J43" s="10">
        <v>4.3073136427566805E-3</v>
      </c>
      <c r="K43" s="10">
        <v>6.3818565400843878E-3</v>
      </c>
      <c r="L43" s="10">
        <v>3.1059540553211441E-3</v>
      </c>
      <c r="M43" s="10">
        <v>2.3265353961556493E-3</v>
      </c>
      <c r="N43" s="10">
        <v>3.2993436474449134E-3</v>
      </c>
      <c r="O43" s="10">
        <v>1.0021097046413502E-3</v>
      </c>
      <c r="P43" s="10">
        <v>7.266760431317393E-3</v>
      </c>
      <c r="Q43" s="10">
        <v>4.2311298640412562E-3</v>
      </c>
      <c r="R43" s="10">
        <v>1.7346460384435069E-3</v>
      </c>
      <c r="S43" s="15">
        <f t="shared" si="5"/>
        <v>5.2004219409282702E-2</v>
      </c>
      <c r="T43" t="str">
        <f t="shared" si="6"/>
        <v>OK</v>
      </c>
      <c r="U43" t="str">
        <f t="shared" si="7"/>
        <v>LOSS-KG01-L23-20251025-AM-ORD-2025-00093</v>
      </c>
      <c r="V43" t="str">
        <f t="shared" si="8"/>
        <v>OK</v>
      </c>
      <c r="W43" t="str">
        <f t="shared" si="9"/>
        <v>OK</v>
      </c>
    </row>
    <row r="44" spans="1:23" ht="18" customHeight="1">
      <c r="A44" s="7" t="s">
        <v>31</v>
      </c>
      <c r="B44" s="8">
        <v>23</v>
      </c>
      <c r="C44" s="6">
        <v>45955</v>
      </c>
      <c r="D44" s="7" t="s">
        <v>35</v>
      </c>
      <c r="E44" s="7" t="s">
        <v>43</v>
      </c>
      <c r="F44" s="7" t="s">
        <v>34</v>
      </c>
      <c r="G44" s="9">
        <v>7497</v>
      </c>
      <c r="H44" s="10">
        <v>5.2313477939695116E-3</v>
      </c>
      <c r="I44" s="10">
        <v>1.576791350480156E-2</v>
      </c>
      <c r="J44" s="10">
        <v>1.2826539520515749E-3</v>
      </c>
      <c r="K44" s="10">
        <v>1.9810623866765159E-3</v>
      </c>
      <c r="L44" s="10">
        <v>4.1367268820092671E-3</v>
      </c>
      <c r="M44" s="10">
        <v>3.1831307501175208E-3</v>
      </c>
      <c r="N44" s="10">
        <v>2.3168356725538916E-3</v>
      </c>
      <c r="O44" s="10">
        <v>6.8497750318984626E-4</v>
      </c>
      <c r="P44" s="10">
        <v>5.493250956953865E-3</v>
      </c>
      <c r="Q44" s="10">
        <v>5.184339533946679E-3</v>
      </c>
      <c r="R44" s="10">
        <v>5.0836075481834669E-3</v>
      </c>
      <c r="S44" s="15">
        <f t="shared" si="5"/>
        <v>5.0345846484453699E-2</v>
      </c>
      <c r="T44" t="str">
        <f t="shared" si="6"/>
        <v>OK</v>
      </c>
      <c r="U44" t="str">
        <f t="shared" si="7"/>
        <v>LOSS-KG01-L23-20251025-PM-ORD-2025-00093</v>
      </c>
      <c r="V44" t="str">
        <f t="shared" si="8"/>
        <v>OK</v>
      </c>
      <c r="W44" t="str">
        <f t="shared" si="9"/>
        <v>OK</v>
      </c>
    </row>
    <row r="45" spans="1:23" ht="18" customHeight="1">
      <c r="A45" s="7" t="s">
        <v>31</v>
      </c>
      <c r="B45" s="8">
        <v>23</v>
      </c>
      <c r="C45" s="6">
        <v>45956</v>
      </c>
      <c r="D45" s="7" t="s">
        <v>32</v>
      </c>
      <c r="E45" s="7" t="s">
        <v>44</v>
      </c>
      <c r="F45" s="7" t="s">
        <v>37</v>
      </c>
      <c r="G45" s="9">
        <v>1161</v>
      </c>
      <c r="H45" s="10">
        <v>8.9285714285714281E-3</v>
      </c>
      <c r="I45" s="10">
        <v>2.2130647130647132E-2</v>
      </c>
      <c r="J45" s="10">
        <v>5.9523809523809521E-3</v>
      </c>
      <c r="K45" s="10">
        <v>2.670940170940171E-3</v>
      </c>
      <c r="L45" s="10">
        <v>8.318070818070818E-3</v>
      </c>
      <c r="M45" s="10">
        <v>9.0811965811965819E-3</v>
      </c>
      <c r="N45" s="10">
        <v>4.34981684981685E-3</v>
      </c>
      <c r="O45" s="10">
        <v>7.097069597069597E-3</v>
      </c>
      <c r="P45" s="10">
        <v>4.7313797313797311E-3</v>
      </c>
      <c r="Q45" s="10">
        <v>6.105006105006105E-3</v>
      </c>
      <c r="R45" s="10">
        <v>9.233821733821734E-3</v>
      </c>
      <c r="S45" s="15">
        <f t="shared" si="5"/>
        <v>8.8598901098901089E-2</v>
      </c>
      <c r="T45" t="str">
        <f t="shared" si="6"/>
        <v>OK</v>
      </c>
      <c r="U45" t="str">
        <f t="shared" si="7"/>
        <v>LOSS-KG01-L23-20251026-AM-ORD-2025-00094</v>
      </c>
      <c r="V45" t="str">
        <f t="shared" si="8"/>
        <v>OK</v>
      </c>
      <c r="W45" t="str">
        <f t="shared" si="9"/>
        <v>OK</v>
      </c>
    </row>
    <row r="46" spans="1:23" ht="18" customHeight="1">
      <c r="A46" s="7" t="s">
        <v>31</v>
      </c>
      <c r="B46" s="8">
        <v>23</v>
      </c>
      <c r="C46" s="6">
        <v>45956</v>
      </c>
      <c r="D46" s="7" t="s">
        <v>35</v>
      </c>
      <c r="E46" s="7" t="s">
        <v>44</v>
      </c>
      <c r="F46" s="7" t="s">
        <v>34</v>
      </c>
      <c r="G46" s="9">
        <v>11865</v>
      </c>
      <c r="H46" s="10">
        <v>9.5434868162140897E-3</v>
      </c>
      <c r="I46" s="10">
        <v>1.6386811841357297E-2</v>
      </c>
      <c r="J46" s="10">
        <v>6.0507674144037781E-3</v>
      </c>
      <c r="K46" s="10">
        <v>1.4976605885696794E-3</v>
      </c>
      <c r="L46" s="10">
        <v>6.2803358257903716E-3</v>
      </c>
      <c r="M46" s="10">
        <v>6.8214613669159126E-3</v>
      </c>
      <c r="N46" s="10">
        <v>3.6621627530718438E-4</v>
      </c>
      <c r="O46" s="10">
        <v>2.9187983733438279E-3</v>
      </c>
      <c r="P46" s="10">
        <v>4.7389479207661026E-3</v>
      </c>
      <c r="Q46" s="10">
        <v>6.9963706327342695E-3</v>
      </c>
      <c r="R46" s="10">
        <v>3.2522191613100705E-3</v>
      </c>
      <c r="S46" s="15">
        <f t="shared" si="5"/>
        <v>6.4853076216712588E-2</v>
      </c>
      <c r="T46" t="str">
        <f t="shared" si="6"/>
        <v>OK</v>
      </c>
      <c r="U46" t="str">
        <f t="shared" si="7"/>
        <v>LOSS-KG01-L23-20251026-PM-ORD-2025-00094</v>
      </c>
      <c r="V46" t="str">
        <f t="shared" si="8"/>
        <v>OK</v>
      </c>
      <c r="W46" t="str">
        <f t="shared" si="9"/>
        <v>OK</v>
      </c>
    </row>
    <row r="47" spans="1:23" ht="18" customHeight="1">
      <c r="A47" s="7" t="s">
        <v>31</v>
      </c>
      <c r="B47" s="8">
        <v>24</v>
      </c>
      <c r="C47" s="6">
        <v>45950</v>
      </c>
      <c r="D47" s="7" t="s">
        <v>32</v>
      </c>
      <c r="E47" s="7" t="s">
        <v>45</v>
      </c>
      <c r="F47" s="7" t="s">
        <v>34</v>
      </c>
      <c r="G47" s="9">
        <v>14398</v>
      </c>
      <c r="H47" s="10">
        <v>3.5853976531942632E-3</v>
      </c>
      <c r="I47" s="10">
        <v>6.3830943068231205E-3</v>
      </c>
      <c r="J47" s="10">
        <v>3.0896892655367233E-3</v>
      </c>
      <c r="K47" s="10">
        <v>1.8832391713747645E-3</v>
      </c>
      <c r="L47" s="10">
        <v>2.4355352745183256E-3</v>
      </c>
      <c r="M47" s="10">
        <v>2.4310082572794435E-3</v>
      </c>
      <c r="N47" s="10">
        <v>3.1689120672171518E-4</v>
      </c>
      <c r="O47" s="10">
        <v>2.349521946979574E-3</v>
      </c>
      <c r="P47" s="10">
        <v>9.8688975807619873E-4</v>
      </c>
      <c r="Q47" s="10">
        <v>3.7189446617412721E-3</v>
      </c>
      <c r="R47" s="10">
        <v>5.4097856004635663E-3</v>
      </c>
      <c r="S47" s="15">
        <f t="shared" si="5"/>
        <v>3.2589997102708969E-2</v>
      </c>
      <c r="T47" t="str">
        <f t="shared" si="6"/>
        <v>OK</v>
      </c>
      <c r="U47" t="str">
        <f t="shared" si="7"/>
        <v>LOSS-KG01-L24-20251020-AM-ORD-2025-00124</v>
      </c>
      <c r="V47" t="str">
        <f t="shared" si="8"/>
        <v>OK</v>
      </c>
      <c r="W47" t="str">
        <f t="shared" si="9"/>
        <v>OK</v>
      </c>
    </row>
    <row r="48" spans="1:23" ht="18" customHeight="1">
      <c r="A48" s="7" t="s">
        <v>31</v>
      </c>
      <c r="B48" s="8">
        <v>24</v>
      </c>
      <c r="C48" s="6">
        <v>45950</v>
      </c>
      <c r="D48" s="7" t="s">
        <v>35</v>
      </c>
      <c r="E48" s="7" t="s">
        <v>45</v>
      </c>
      <c r="F48" s="7" t="s">
        <v>34</v>
      </c>
      <c r="G48" s="9">
        <v>17796</v>
      </c>
      <c r="H48" s="10">
        <v>5.4259199534856259E-3</v>
      </c>
      <c r="I48" s="10">
        <v>1.3702208070062276E-2</v>
      </c>
      <c r="J48" s="10">
        <v>1.6398133974117293E-3</v>
      </c>
      <c r="K48" s="10">
        <v>4.058651719078616E-3</v>
      </c>
      <c r="L48" s="10">
        <v>2.2939217886230566E-3</v>
      </c>
      <c r="M48" s="10">
        <v>1.1537745233866463E-3</v>
      </c>
      <c r="N48" s="10">
        <v>2.8889787278500276E-3</v>
      </c>
      <c r="O48" s="10">
        <v>1.2105547656792962E-3</v>
      </c>
      <c r="P48" s="10">
        <v>1.8533071084320932E-3</v>
      </c>
      <c r="Q48" s="10">
        <v>4.2721454300989796E-3</v>
      </c>
      <c r="R48" s="10">
        <v>1.919172189491567E-3</v>
      </c>
      <c r="S48" s="15">
        <f t="shared" si="5"/>
        <v>4.0418447673599915E-2</v>
      </c>
      <c r="T48" t="str">
        <f t="shared" si="6"/>
        <v>OK</v>
      </c>
      <c r="U48" t="str">
        <f t="shared" si="7"/>
        <v>LOSS-KG01-L24-20251020-PM-ORD-2025-00124</v>
      </c>
      <c r="V48" t="str">
        <f t="shared" si="8"/>
        <v>OK</v>
      </c>
      <c r="W48" t="str">
        <f t="shared" si="9"/>
        <v>OK</v>
      </c>
    </row>
    <row r="49" spans="1:23" ht="18" customHeight="1">
      <c r="A49" s="7" t="s">
        <v>31</v>
      </c>
      <c r="B49" s="8">
        <v>24</v>
      </c>
      <c r="C49" s="6">
        <v>45951</v>
      </c>
      <c r="D49" s="7" t="s">
        <v>32</v>
      </c>
      <c r="E49" s="7" t="s">
        <v>46</v>
      </c>
      <c r="F49" s="7" t="s">
        <v>34</v>
      </c>
      <c r="G49" s="9">
        <v>6939</v>
      </c>
      <c r="H49" s="10">
        <v>4.0729971602158684E-3</v>
      </c>
      <c r="I49" s="10">
        <v>1.1251654655096338E-2</v>
      </c>
      <c r="J49" s="10">
        <v>2.6135065111385159E-3</v>
      </c>
      <c r="K49" s="10">
        <v>2.8058424881487096E-3</v>
      </c>
      <c r="L49" s="10">
        <v>2.6644189756412141E-3</v>
      </c>
      <c r="M49" s="10">
        <v>2.9925215246586036E-3</v>
      </c>
      <c r="N49" s="10">
        <v>3.1226311561654996E-3</v>
      </c>
      <c r="O49" s="10">
        <v>1.0635048140563658E-3</v>
      </c>
      <c r="P49" s="10">
        <v>9.3905212304976982E-4</v>
      </c>
      <c r="Q49" s="10">
        <v>6.1321235023250025E-3</v>
      </c>
      <c r="R49" s="10">
        <v>1.5952572210845486E-3</v>
      </c>
      <c r="S49" s="15">
        <f t="shared" si="5"/>
        <v>3.9253510131580439E-2</v>
      </c>
      <c r="T49" t="str">
        <f t="shared" si="6"/>
        <v>OK</v>
      </c>
      <c r="U49" t="str">
        <f t="shared" si="7"/>
        <v>LOSS-KG01-L24-20251021-AM-ORD-2025-00125</v>
      </c>
      <c r="V49" t="str">
        <f t="shared" si="8"/>
        <v>OK</v>
      </c>
      <c r="W49" t="str">
        <f t="shared" si="9"/>
        <v>OK</v>
      </c>
    </row>
    <row r="50" spans="1:23" ht="18" customHeight="1">
      <c r="A50" s="7" t="s">
        <v>31</v>
      </c>
      <c r="B50" s="8">
        <v>24</v>
      </c>
      <c r="C50" s="6">
        <v>45951</v>
      </c>
      <c r="D50" s="7" t="s">
        <v>35</v>
      </c>
      <c r="E50" s="7" t="s">
        <v>46</v>
      </c>
      <c r="F50" s="7" t="s">
        <v>34</v>
      </c>
      <c r="G50" s="9">
        <v>11230</v>
      </c>
      <c r="H50" s="10">
        <v>4.5993219624212989E-3</v>
      </c>
      <c r="I50" s="10">
        <v>6.1873400038876787E-3</v>
      </c>
      <c r="J50" s="10">
        <v>2.8894021210913176E-3</v>
      </c>
      <c r="K50" s="10">
        <v>2.9552949858824536E-3</v>
      </c>
      <c r="L50" s="10">
        <v>2.7938574671441704E-3</v>
      </c>
      <c r="M50" s="10">
        <v>2.9454110561637835E-3</v>
      </c>
      <c r="N50" s="10">
        <v>8.4342866932654202E-4</v>
      </c>
      <c r="O50" s="10">
        <v>1.2915001499062674E-3</v>
      </c>
      <c r="P50" s="10">
        <v>2.0031430896505372E-3</v>
      </c>
      <c r="Q50" s="10">
        <v>7.9499741370505691E-3</v>
      </c>
      <c r="R50" s="10">
        <v>2.5401699376982963E-3</v>
      </c>
      <c r="S50" s="15">
        <f t="shared" si="5"/>
        <v>3.6998843580222915E-2</v>
      </c>
      <c r="T50" t="str">
        <f t="shared" si="6"/>
        <v>OK</v>
      </c>
      <c r="U50" t="str">
        <f t="shared" si="7"/>
        <v>LOSS-KG01-L24-20251021-PM-ORD-2025-00125</v>
      </c>
      <c r="V50" t="str">
        <f t="shared" si="8"/>
        <v>OK</v>
      </c>
      <c r="W50" t="str">
        <f t="shared" si="9"/>
        <v>OK</v>
      </c>
    </row>
    <row r="51" spans="1:23" ht="18" customHeight="1">
      <c r="A51" s="7" t="s">
        <v>31</v>
      </c>
      <c r="B51" s="8">
        <v>24</v>
      </c>
      <c r="C51" s="6">
        <v>45952</v>
      </c>
      <c r="D51" s="7" t="s">
        <v>32</v>
      </c>
      <c r="E51" s="7" t="s">
        <v>46</v>
      </c>
      <c r="F51" s="7" t="s">
        <v>34</v>
      </c>
      <c r="G51" s="9">
        <v>6331</v>
      </c>
      <c r="H51" s="10">
        <v>1.6322412155745489E-3</v>
      </c>
      <c r="I51" s="10">
        <v>5.1901973198269493E-3</v>
      </c>
      <c r="J51" s="10">
        <v>3.0237680700643662E-3</v>
      </c>
      <c r="K51" s="10">
        <v>1.5662920755513349E-3</v>
      </c>
      <c r="L51" s="10">
        <v>1.0848633533818719E-3</v>
      </c>
      <c r="M51" s="10">
        <v>2.0444233407196371E-4</v>
      </c>
      <c r="N51" s="10">
        <v>1.408014139495621E-3</v>
      </c>
      <c r="O51" s="10">
        <v>1.342064999472407E-3</v>
      </c>
      <c r="P51" s="10">
        <v>1.8333860926453519E-3</v>
      </c>
      <c r="Q51" s="10">
        <v>1.9389047166824944E-3</v>
      </c>
      <c r="R51" s="10">
        <v>1.6520259575815131E-3</v>
      </c>
      <c r="S51" s="15">
        <f t="shared" si="5"/>
        <v>2.087620027434842E-2</v>
      </c>
      <c r="T51" t="str">
        <f t="shared" si="6"/>
        <v>OK</v>
      </c>
      <c r="U51" t="str">
        <f t="shared" si="7"/>
        <v>LOSS-KG01-L24-20251022-AM-ORD-2025-00125</v>
      </c>
      <c r="V51" t="str">
        <f t="shared" si="8"/>
        <v>OK</v>
      </c>
      <c r="W51" t="str">
        <f t="shared" si="9"/>
        <v>OK</v>
      </c>
    </row>
    <row r="52" spans="1:23" ht="18" customHeight="1">
      <c r="A52" s="7" t="s">
        <v>31</v>
      </c>
      <c r="B52" s="8">
        <v>24</v>
      </c>
      <c r="C52" s="6">
        <v>45952</v>
      </c>
      <c r="D52" s="7" t="s">
        <v>35</v>
      </c>
      <c r="E52" s="7" t="s">
        <v>46</v>
      </c>
      <c r="F52" s="7" t="s">
        <v>34</v>
      </c>
      <c r="G52" s="9">
        <v>12526</v>
      </c>
      <c r="H52" s="10">
        <v>4.5021415053620641E-3</v>
      </c>
      <c r="I52" s="10">
        <v>1.0352269331651117E-2</v>
      </c>
      <c r="J52" s="10">
        <v>3.8713104684750489E-3</v>
      </c>
      <c r="K52" s="10">
        <v>4.4290979116172512E-3</v>
      </c>
      <c r="L52" s="10">
        <v>1.7762873933397524E-3</v>
      </c>
      <c r="M52" s="10">
        <v>1.7065639629469771E-3</v>
      </c>
      <c r="N52" s="10">
        <v>1.00268933231515E-3</v>
      </c>
      <c r="O52" s="10">
        <v>1.9090939274212292E-3</v>
      </c>
      <c r="P52" s="10">
        <v>3.6986619741691293E-3</v>
      </c>
      <c r="Q52" s="10">
        <v>4.9835651914074174E-3</v>
      </c>
      <c r="R52" s="10">
        <v>3.3566851489093262E-3</v>
      </c>
      <c r="S52" s="15">
        <f t="shared" si="5"/>
        <v>4.1588366147614464E-2</v>
      </c>
      <c r="T52" t="str">
        <f t="shared" si="6"/>
        <v>OK</v>
      </c>
      <c r="U52" t="str">
        <f t="shared" si="7"/>
        <v>LOSS-KG01-L24-20251022-PM-ORD-2025-00125</v>
      </c>
      <c r="V52" t="str">
        <f t="shared" si="8"/>
        <v>OK</v>
      </c>
      <c r="W52" t="str">
        <f t="shared" si="9"/>
        <v>OK</v>
      </c>
    </row>
    <row r="53" spans="1:23" ht="18" customHeight="1">
      <c r="A53" s="7" t="s">
        <v>31</v>
      </c>
      <c r="B53" s="8">
        <v>24</v>
      </c>
      <c r="C53" s="6">
        <v>45953</v>
      </c>
      <c r="D53" s="7" t="s">
        <v>32</v>
      </c>
      <c r="E53" s="7" t="s">
        <v>46</v>
      </c>
      <c r="F53" s="7" t="s">
        <v>34</v>
      </c>
      <c r="G53" s="9">
        <v>16477</v>
      </c>
      <c r="H53" s="10">
        <v>6.0818934737895724E-3</v>
      </c>
      <c r="I53" s="10">
        <v>9.9635635684510553E-3</v>
      </c>
      <c r="J53" s="10">
        <v>3.3384804116035082E-3</v>
      </c>
      <c r="K53" s="10">
        <v>3.13402137359854E-3</v>
      </c>
      <c r="L53" s="10">
        <v>2.9661818647884917E-3</v>
      </c>
      <c r="M53" s="10">
        <v>3.3262739018718682E-3</v>
      </c>
      <c r="N53" s="10">
        <v>1.6387239314726543E-3</v>
      </c>
      <c r="O53" s="10">
        <v>6.7746129010601351E-4</v>
      </c>
      <c r="P53" s="10">
        <v>1.480039304961336E-3</v>
      </c>
      <c r="Q53" s="10">
        <v>1.0473185349747021E-2</v>
      </c>
      <c r="R53" s="10">
        <v>7.2018407416675314E-3</v>
      </c>
      <c r="S53" s="15">
        <f t="shared" si="5"/>
        <v>5.028166521205759E-2</v>
      </c>
      <c r="T53" t="str">
        <f t="shared" si="6"/>
        <v>OK</v>
      </c>
      <c r="U53" t="str">
        <f t="shared" si="7"/>
        <v>LOSS-KG01-L24-20251023-AM-ORD-2025-00125</v>
      </c>
      <c r="V53" t="str">
        <f t="shared" si="8"/>
        <v>OK</v>
      </c>
      <c r="W53" t="str">
        <f t="shared" si="9"/>
        <v>OK</v>
      </c>
    </row>
    <row r="54" spans="1:23" ht="18" customHeight="1">
      <c r="A54" s="7" t="s">
        <v>31</v>
      </c>
      <c r="B54" s="8">
        <v>24</v>
      </c>
      <c r="C54" s="6">
        <v>45953</v>
      </c>
      <c r="D54" s="7" t="s">
        <v>35</v>
      </c>
      <c r="E54" s="7" t="s">
        <v>46</v>
      </c>
      <c r="F54" s="7" t="s">
        <v>34</v>
      </c>
      <c r="G54" s="9">
        <v>9377</v>
      </c>
      <c r="H54" s="10">
        <v>2.4183276223964409E-3</v>
      </c>
      <c r="I54" s="10">
        <v>7.2765110062611004E-3</v>
      </c>
      <c r="J54" s="10">
        <v>4.2482194434976051E-3</v>
      </c>
      <c r="K54" s="10">
        <v>4.0114099137080429E-3</v>
      </c>
      <c r="L54" s="10">
        <v>3.6310794567732908E-3</v>
      </c>
      <c r="M54" s="10">
        <v>1.4675014800595613E-3</v>
      </c>
      <c r="N54" s="10">
        <v>1.1302273012683663E-3</v>
      </c>
      <c r="O54" s="10">
        <v>1.5428499668107857E-4</v>
      </c>
      <c r="P54" s="10">
        <v>4.3558601388564971E-3</v>
      </c>
      <c r="Q54" s="10">
        <v>3.9396494501354479E-3</v>
      </c>
      <c r="R54" s="10">
        <v>1.011822536373585E-3</v>
      </c>
      <c r="S54" s="15">
        <f t="shared" si="5"/>
        <v>3.3644893346011021E-2</v>
      </c>
      <c r="T54" t="str">
        <f t="shared" si="6"/>
        <v>OK</v>
      </c>
      <c r="U54" t="str">
        <f t="shared" si="7"/>
        <v>LOSS-KG01-L24-20251023-PM-ORD-2025-00125</v>
      </c>
      <c r="V54" t="str">
        <f t="shared" si="8"/>
        <v>OK</v>
      </c>
      <c r="W54" t="str">
        <f t="shared" si="9"/>
        <v>OK</v>
      </c>
    </row>
    <row r="55" spans="1:23" ht="18" customHeight="1">
      <c r="A55" s="7" t="s">
        <v>31</v>
      </c>
      <c r="B55" s="8">
        <v>24</v>
      </c>
      <c r="C55" s="6">
        <v>45954</v>
      </c>
      <c r="D55" s="7" t="s">
        <v>32</v>
      </c>
      <c r="E55" s="7" t="s">
        <v>46</v>
      </c>
      <c r="F55" s="7" t="s">
        <v>34</v>
      </c>
      <c r="G55" s="9">
        <v>13071</v>
      </c>
      <c r="H55" s="10">
        <v>7.0775443208970943E-3</v>
      </c>
      <c r="I55" s="10">
        <v>1.2688014293080783E-2</v>
      </c>
      <c r="J55" s="10">
        <v>5.7847758353971636E-3</v>
      </c>
      <c r="K55" s="10">
        <v>2.0045174269549492E-3</v>
      </c>
      <c r="L55" s="10">
        <v>4.3394897195854426E-3</v>
      </c>
      <c r="M55" s="10">
        <v>1.4815998373145277E-3</v>
      </c>
      <c r="N55" s="10">
        <v>1.0966743893847729E-3</v>
      </c>
      <c r="O55" s="10">
        <v>1.7103762827822121E-3</v>
      </c>
      <c r="P55" s="10">
        <v>3.2101329808481432E-3</v>
      </c>
      <c r="Q55" s="10">
        <v>4.190603461423934E-3</v>
      </c>
      <c r="R55" s="10">
        <v>3.8819368286500738E-3</v>
      </c>
      <c r="S55" s="15">
        <f t="shared" si="5"/>
        <v>4.7465665376319105E-2</v>
      </c>
      <c r="T55" t="str">
        <f t="shared" si="6"/>
        <v>OK</v>
      </c>
      <c r="U55" t="str">
        <f t="shared" si="7"/>
        <v>LOSS-KG01-L24-20251024-AM-ORD-2025-00125</v>
      </c>
      <c r="V55" t="str">
        <f t="shared" si="8"/>
        <v>OK</v>
      </c>
      <c r="W55" t="str">
        <f t="shared" si="9"/>
        <v>OK</v>
      </c>
    </row>
    <row r="56" spans="1:23" ht="18" customHeight="1">
      <c r="A56" s="7" t="s">
        <v>31</v>
      </c>
      <c r="B56" s="8">
        <v>24</v>
      </c>
      <c r="C56" s="6">
        <v>45954</v>
      </c>
      <c r="D56" s="7" t="s">
        <v>35</v>
      </c>
      <c r="E56" s="7" t="s">
        <v>46</v>
      </c>
      <c r="F56" s="7" t="s">
        <v>34</v>
      </c>
      <c r="G56" s="9">
        <v>14154</v>
      </c>
      <c r="H56" s="10">
        <v>5.3449053815475094E-3</v>
      </c>
      <c r="I56" s="10">
        <v>9.9266854621601897E-3</v>
      </c>
      <c r="J56" s="10">
        <v>6.0959175824674989E-3</v>
      </c>
      <c r="K56" s="10">
        <v>3.0252467287059273E-3</v>
      </c>
      <c r="L56" s="10">
        <v>2.4529027530048059E-3</v>
      </c>
      <c r="M56" s="10">
        <v>3.0101053536873792E-3</v>
      </c>
      <c r="N56" s="10">
        <v>2.2227538527228733E-3</v>
      </c>
      <c r="O56" s="10">
        <v>1.6625229770365906E-3</v>
      </c>
      <c r="P56" s="10">
        <v>2.2712062527822274E-3</v>
      </c>
      <c r="Q56" s="10">
        <v>5.6780156319555693E-3</v>
      </c>
      <c r="R56" s="10">
        <v>1.1719424264356295E-3</v>
      </c>
      <c r="S56" s="15">
        <f t="shared" si="5"/>
        <v>4.286220440250621E-2</v>
      </c>
      <c r="T56" t="str">
        <f t="shared" si="6"/>
        <v>OK</v>
      </c>
      <c r="U56" t="str">
        <f t="shared" si="7"/>
        <v>LOSS-KG01-L24-20251024-PM-ORD-2025-00125</v>
      </c>
      <c r="V56" t="str">
        <f t="shared" si="8"/>
        <v>OK</v>
      </c>
      <c r="W56" t="str">
        <f t="shared" si="9"/>
        <v>OK</v>
      </c>
    </row>
    <row r="57" spans="1:23" ht="18" customHeight="1">
      <c r="A57" s="7" t="s">
        <v>31</v>
      </c>
      <c r="B57" s="8">
        <v>24</v>
      </c>
      <c r="C57" s="6">
        <v>45955</v>
      </c>
      <c r="D57" s="7" t="s">
        <v>32</v>
      </c>
      <c r="E57" s="7" t="s">
        <v>47</v>
      </c>
      <c r="F57" s="7" t="s">
        <v>34</v>
      </c>
      <c r="G57" s="9">
        <v>4816</v>
      </c>
      <c r="H57" s="10">
        <v>5.4007272532102463E-3</v>
      </c>
      <c r="I57" s="10">
        <v>6.5747983952124736E-3</v>
      </c>
      <c r="J57" s="10">
        <v>8.4533122224160376E-4</v>
      </c>
      <c r="K57" s="10">
        <v>4.1327304198478408E-3</v>
      </c>
      <c r="L57" s="10">
        <v>2.8848605203483303E-3</v>
      </c>
      <c r="M57" s="10">
        <v>2.9720772337542101E-3</v>
      </c>
      <c r="N57" s="10">
        <v>2.334724328095858E-3</v>
      </c>
      <c r="O57" s="10">
        <v>2.1468729453755016E-3</v>
      </c>
      <c r="P57" s="10">
        <v>1.4692661719913588E-3</v>
      </c>
      <c r="Q57" s="10">
        <v>2.5225757108162145E-3</v>
      </c>
      <c r="R57" s="10">
        <v>1.0264736270076617E-3</v>
      </c>
      <c r="S57" s="15">
        <f t="shared" si="5"/>
        <v>3.23104378279013E-2</v>
      </c>
      <c r="T57" t="str">
        <f t="shared" si="6"/>
        <v>OK</v>
      </c>
      <c r="U57" t="str">
        <f t="shared" si="7"/>
        <v>LOSS-KG01-L24-20251025-AM-ORD-2025-00126</v>
      </c>
      <c r="V57" t="str">
        <f t="shared" si="8"/>
        <v>OK</v>
      </c>
      <c r="W57" t="str">
        <f t="shared" si="9"/>
        <v>OK</v>
      </c>
    </row>
    <row r="58" spans="1:23" ht="18" customHeight="1">
      <c r="A58" s="7" t="s">
        <v>31</v>
      </c>
      <c r="B58" s="8">
        <v>24</v>
      </c>
      <c r="C58" s="6">
        <v>45955</v>
      </c>
      <c r="D58" s="7" t="s">
        <v>35</v>
      </c>
      <c r="E58" s="7" t="s">
        <v>47</v>
      </c>
      <c r="F58" s="7" t="s">
        <v>34</v>
      </c>
      <c r="G58" s="9">
        <v>6779</v>
      </c>
      <c r="H58" s="10">
        <v>8.54678133265987E-3</v>
      </c>
      <c r="I58" s="10">
        <v>1.3105950846038307E-2</v>
      </c>
      <c r="J58" s="10">
        <v>1.4621243337365252E-3</v>
      </c>
      <c r="K58" s="10">
        <v>3.3163638297023911E-3</v>
      </c>
      <c r="L58" s="10">
        <v>3.7151250116305343E-3</v>
      </c>
      <c r="M58" s="10">
        <v>1.9672218308455064E-3</v>
      </c>
      <c r="N58" s="10">
        <v>2.7049300174125717E-3</v>
      </c>
      <c r="O58" s="10">
        <v>6.7124798957904114E-4</v>
      </c>
      <c r="P58" s="10">
        <v>1.8276554171706564E-3</v>
      </c>
      <c r="Q58" s="10">
        <v>5.5228423697047842E-3</v>
      </c>
      <c r="R58" s="10">
        <v>2.213124559701195E-3</v>
      </c>
      <c r="S58" s="15">
        <f t="shared" si="5"/>
        <v>4.5053367538181378E-2</v>
      </c>
      <c r="T58" t="str">
        <f t="shared" si="6"/>
        <v>OK</v>
      </c>
      <c r="U58" t="str">
        <f t="shared" si="7"/>
        <v>LOSS-KG01-L24-20251025-PM-ORD-2025-00126</v>
      </c>
      <c r="V58" t="str">
        <f t="shared" si="8"/>
        <v>OK</v>
      </c>
      <c r="W58" t="str">
        <f t="shared" si="9"/>
        <v>OK</v>
      </c>
    </row>
    <row r="59" spans="1:23" ht="18" customHeight="1">
      <c r="A59" s="7" t="s">
        <v>31</v>
      </c>
      <c r="B59" s="8">
        <v>24</v>
      </c>
      <c r="C59" s="6">
        <v>45956</v>
      </c>
      <c r="D59" s="7" t="s">
        <v>32</v>
      </c>
      <c r="E59" s="7" t="s">
        <v>47</v>
      </c>
      <c r="F59" s="7" t="s">
        <v>34</v>
      </c>
      <c r="G59" s="9">
        <v>7322</v>
      </c>
      <c r="H59" s="10">
        <v>2.7094723800802608E-3</v>
      </c>
      <c r="I59" s="10">
        <v>5.289665759918123E-3</v>
      </c>
      <c r="J59" s="10">
        <v>2.4293678795550646E-3</v>
      </c>
      <c r="K59" s="10">
        <v>1.4813218777774786E-3</v>
      </c>
      <c r="L59" s="10">
        <v>4.7132968838374317E-3</v>
      </c>
      <c r="M59" s="10">
        <v>3.0057367556357564E-3</v>
      </c>
      <c r="N59" s="10">
        <v>1.5190282528481779E-3</v>
      </c>
      <c r="O59" s="10">
        <v>3.3828005063427508E-3</v>
      </c>
      <c r="P59" s="10">
        <v>2.7848851302216598E-3</v>
      </c>
      <c r="Q59" s="10">
        <v>8.0853241401599822E-3</v>
      </c>
      <c r="R59" s="10">
        <v>4.0399687575749417E-3</v>
      </c>
      <c r="S59" s="15">
        <f t="shared" si="5"/>
        <v>3.9440868323951633E-2</v>
      </c>
      <c r="T59" t="str">
        <f t="shared" si="6"/>
        <v>OK</v>
      </c>
      <c r="U59" t="str">
        <f t="shared" si="7"/>
        <v>LOSS-KG01-L24-20251026-AM-ORD-2025-00126</v>
      </c>
      <c r="V59" t="str">
        <f t="shared" si="8"/>
        <v>OK</v>
      </c>
      <c r="W59" t="str">
        <f t="shared" si="9"/>
        <v>OK</v>
      </c>
    </row>
    <row r="60" spans="1:23" ht="18" customHeight="1">
      <c r="A60" s="7" t="s">
        <v>31</v>
      </c>
      <c r="B60" s="8">
        <v>24</v>
      </c>
      <c r="C60" s="6">
        <v>45956</v>
      </c>
      <c r="D60" s="7" t="s">
        <v>35</v>
      </c>
      <c r="E60" s="7" t="s">
        <v>47</v>
      </c>
      <c r="F60" s="7" t="s">
        <v>34</v>
      </c>
      <c r="G60" s="9">
        <v>7085</v>
      </c>
      <c r="H60" s="10">
        <v>1.2550121346417642E-2</v>
      </c>
      <c r="I60" s="10">
        <v>8.1776933628785482E-3</v>
      </c>
      <c r="J60" s="10">
        <v>3.4689247652210614E-3</v>
      </c>
      <c r="K60" s="10">
        <v>2.1631317927614225E-3</v>
      </c>
      <c r="L60" s="10">
        <v>5.928827688086947E-3</v>
      </c>
      <c r="M60" s="10">
        <v>4.814287221694629E-4</v>
      </c>
      <c r="N60" s="10">
        <v>3.6601772712883825E-3</v>
      </c>
      <c r="O60" s="10">
        <v>1.5563997045478528E-3</v>
      </c>
      <c r="P60" s="10">
        <v>3.6469874432837395E-3</v>
      </c>
      <c r="Q60" s="10">
        <v>2.9017621610214202E-3</v>
      </c>
      <c r="R60" s="10">
        <v>2.189511448770708E-3</v>
      </c>
      <c r="S60" s="15">
        <f t="shared" si="5"/>
        <v>4.6724965706447179E-2</v>
      </c>
      <c r="T60" t="str">
        <f t="shared" si="6"/>
        <v>OK</v>
      </c>
      <c r="U60" t="str">
        <f t="shared" si="7"/>
        <v>LOSS-KG01-L24-20251026-PM-ORD-2025-00126</v>
      </c>
      <c r="V60" t="str">
        <f t="shared" si="8"/>
        <v>OK</v>
      </c>
      <c r="W60" t="str">
        <f t="shared" si="9"/>
        <v>OK</v>
      </c>
    </row>
    <row r="61" spans="1:23" ht="18" customHeight="1">
      <c r="A61" s="7" t="s">
        <v>31</v>
      </c>
      <c r="B61" s="8">
        <v>25</v>
      </c>
      <c r="C61" s="6">
        <v>45950</v>
      </c>
      <c r="D61" s="7" t="s">
        <v>32</v>
      </c>
      <c r="E61" s="7" t="s">
        <v>48</v>
      </c>
      <c r="F61" s="7" t="s">
        <v>34</v>
      </c>
      <c r="G61" s="9">
        <v>2749</v>
      </c>
      <c r="H61" s="10">
        <v>3.1595157179269331E-3</v>
      </c>
      <c r="I61" s="10">
        <v>6.6464882469555366E-3</v>
      </c>
      <c r="J61" s="10">
        <v>2.7081563296516569E-3</v>
      </c>
      <c r="K61" s="10">
        <v>1.0089209855564996E-3</v>
      </c>
      <c r="L61" s="10">
        <v>2.0620928915321439E-3</v>
      </c>
      <c r="M61" s="10">
        <v>1.0089209855564996E-3</v>
      </c>
      <c r="N61" s="10">
        <v>8.1421693571226287E-4</v>
      </c>
      <c r="O61" s="10">
        <v>1.3540781648258284E-3</v>
      </c>
      <c r="P61" s="10">
        <v>2.1505947323704334E-3</v>
      </c>
      <c r="Q61" s="10">
        <v>2.3364485981308409E-3</v>
      </c>
      <c r="R61" s="10">
        <v>1.0797224582271311E-3</v>
      </c>
      <c r="S61" s="15">
        <f t="shared" si="5"/>
        <v>2.4329156046445768E-2</v>
      </c>
      <c r="T61" t="str">
        <f t="shared" si="6"/>
        <v>OK</v>
      </c>
      <c r="U61" t="str">
        <f t="shared" si="7"/>
        <v>LOSS-KG01-L25-20251020-AM-ORD-2025-00161</v>
      </c>
      <c r="V61" t="str">
        <f t="shared" si="8"/>
        <v>OK</v>
      </c>
      <c r="W61" t="str">
        <f t="shared" si="9"/>
        <v>OK</v>
      </c>
    </row>
    <row r="62" spans="1:23" ht="18" customHeight="1">
      <c r="A62" s="7" t="s">
        <v>31</v>
      </c>
      <c r="B62" s="8">
        <v>25</v>
      </c>
      <c r="C62" s="6">
        <v>45950</v>
      </c>
      <c r="D62" s="7" t="s">
        <v>35</v>
      </c>
      <c r="E62" s="7" t="s">
        <v>48</v>
      </c>
      <c r="F62" s="7" t="s">
        <v>34</v>
      </c>
      <c r="G62" s="9">
        <v>5916</v>
      </c>
      <c r="H62" s="10">
        <v>4.5477423065861371E-3</v>
      </c>
      <c r="I62" s="10">
        <v>1.1881650848432557E-2</v>
      </c>
      <c r="J62" s="10">
        <v>3.3793500143802129E-3</v>
      </c>
      <c r="K62" s="10">
        <v>3.8646821972965202E-3</v>
      </c>
      <c r="L62" s="10">
        <v>2.6154012079378777E-3</v>
      </c>
      <c r="M62" s="10">
        <v>2.9569312625826864E-3</v>
      </c>
      <c r="N62" s="10">
        <v>1.4470089157319528E-3</v>
      </c>
      <c r="O62" s="10">
        <v>2.7592033362093759E-3</v>
      </c>
      <c r="P62" s="10">
        <v>3.7029048029910841E-3</v>
      </c>
      <c r="Q62" s="10">
        <v>1.2438884095484614E-2</v>
      </c>
      <c r="R62" s="10">
        <v>3.5770779407535229E-3</v>
      </c>
      <c r="S62" s="15">
        <f t="shared" si="5"/>
        <v>5.317083692838654E-2</v>
      </c>
      <c r="T62" t="str">
        <f t="shared" si="6"/>
        <v>OK</v>
      </c>
      <c r="U62" t="str">
        <f t="shared" si="7"/>
        <v>LOSS-KG01-L25-20251020-PM-ORD-2025-00161</v>
      </c>
      <c r="V62" t="str">
        <f t="shared" si="8"/>
        <v>OK</v>
      </c>
      <c r="W62" t="str">
        <f t="shared" si="9"/>
        <v>OK</v>
      </c>
    </row>
    <row r="63" spans="1:23" ht="18" customHeight="1">
      <c r="A63" s="7" t="s">
        <v>31</v>
      </c>
      <c r="B63" s="8">
        <v>25</v>
      </c>
      <c r="C63" s="6">
        <v>45951</v>
      </c>
      <c r="D63" s="7" t="s">
        <v>32</v>
      </c>
      <c r="E63" s="7" t="s">
        <v>48</v>
      </c>
      <c r="F63" s="7" t="s">
        <v>34</v>
      </c>
      <c r="G63" s="9">
        <v>5268</v>
      </c>
      <c r="H63" s="10">
        <v>7.6672136271292391E-3</v>
      </c>
      <c r="I63" s="10">
        <v>8.2532426941709647E-3</v>
      </c>
      <c r="J63" s="10">
        <v>2.7152680106266604E-3</v>
      </c>
      <c r="K63" s="10">
        <v>4.7761368963900605E-3</v>
      </c>
      <c r="L63" s="10">
        <v>2.1194717924675728E-3</v>
      </c>
      <c r="M63" s="10">
        <v>1.8166901078293482E-3</v>
      </c>
      <c r="N63" s="10">
        <v>3.6333802156586965E-3</v>
      </c>
      <c r="O63" s="10">
        <v>1.4943741209563993E-3</v>
      </c>
      <c r="P63" s="10">
        <v>4.4928895139865607E-3</v>
      </c>
      <c r="Q63" s="10">
        <v>1.1115017971558056E-2</v>
      </c>
      <c r="R63" s="10">
        <v>3.3696671354899203E-3</v>
      </c>
      <c r="S63" s="15">
        <f t="shared" si="5"/>
        <v>5.1453352086263476E-2</v>
      </c>
      <c r="T63" t="str">
        <f t="shared" si="6"/>
        <v>OK</v>
      </c>
      <c r="U63" t="str">
        <f t="shared" si="7"/>
        <v>LOSS-KG01-L25-20251021-AM-ORD-2025-00161</v>
      </c>
      <c r="V63" t="str">
        <f t="shared" si="8"/>
        <v>OK</v>
      </c>
      <c r="W63" t="str">
        <f t="shared" si="9"/>
        <v>OK</v>
      </c>
    </row>
    <row r="64" spans="1:23" ht="18" customHeight="1">
      <c r="A64" s="7" t="s">
        <v>31</v>
      </c>
      <c r="B64" s="8">
        <v>25</v>
      </c>
      <c r="C64" s="6">
        <v>45951</v>
      </c>
      <c r="D64" s="7" t="s">
        <v>35</v>
      </c>
      <c r="E64" s="7" t="s">
        <v>48</v>
      </c>
      <c r="F64" s="7" t="s">
        <v>34</v>
      </c>
      <c r="G64" s="9">
        <v>5792</v>
      </c>
      <c r="H64" s="10">
        <v>8.3121272561137369E-3</v>
      </c>
      <c r="I64" s="10">
        <v>8.2335255799329925E-3</v>
      </c>
      <c r="J64" s="10">
        <v>6.6123660087051353E-3</v>
      </c>
      <c r="K64" s="10">
        <v>5.6789711040587942E-3</v>
      </c>
      <c r="L64" s="10">
        <v>2.4366519616030812E-3</v>
      </c>
      <c r="M64" s="10">
        <v>1.8569645997700902E-3</v>
      </c>
      <c r="N64" s="10">
        <v>1.1888503522337614E-3</v>
      </c>
      <c r="O64" s="10">
        <v>2.0436435806993583E-3</v>
      </c>
      <c r="P64" s="10">
        <v>3.2914451900686783E-3</v>
      </c>
      <c r="Q64" s="10">
        <v>1.0915807779600901E-2</v>
      </c>
      <c r="R64" s="10">
        <v>6.3372601420725299E-3</v>
      </c>
      <c r="S64" s="15">
        <f t="shared" si="5"/>
        <v>5.6907613554859071E-2</v>
      </c>
      <c r="T64" t="str">
        <f t="shared" si="6"/>
        <v>OK</v>
      </c>
      <c r="U64" t="str">
        <f t="shared" si="7"/>
        <v>LOSS-KG01-L25-20251021-PM-ORD-2025-00161</v>
      </c>
      <c r="V64" t="str">
        <f t="shared" si="8"/>
        <v>OK</v>
      </c>
      <c r="W64" t="str">
        <f t="shared" si="9"/>
        <v>OK</v>
      </c>
    </row>
    <row r="65" spans="1:23" ht="18" customHeight="1">
      <c r="A65" s="7" t="s">
        <v>31</v>
      </c>
      <c r="B65" s="8">
        <v>25</v>
      </c>
      <c r="C65" s="6">
        <v>45952</v>
      </c>
      <c r="D65" s="7" t="s">
        <v>32</v>
      </c>
      <c r="E65" s="7" t="s">
        <v>48</v>
      </c>
      <c r="F65" s="7" t="s">
        <v>34</v>
      </c>
      <c r="G65" s="9">
        <v>4270</v>
      </c>
      <c r="H65" s="10">
        <v>6.0491798320344396E-3</v>
      </c>
      <c r="I65" s="10">
        <v>9.4770484035206232E-3</v>
      </c>
      <c r="J65" s="10">
        <v>3.5690161009003197E-3</v>
      </c>
      <c r="K65" s="10">
        <v>2.2079506386925708E-3</v>
      </c>
      <c r="L65" s="10">
        <v>6.8154092774254695E-3</v>
      </c>
      <c r="M65" s="10">
        <v>3.2161472773649773E-3</v>
      </c>
      <c r="N65" s="10">
        <v>2.2583604706261909E-3</v>
      </c>
      <c r="O65" s="10">
        <v>1.7139342857430914E-3</v>
      </c>
      <c r="P65" s="10">
        <v>3.8412291933418692E-3</v>
      </c>
      <c r="Q65" s="10">
        <v>2.7725407563491183E-3</v>
      </c>
      <c r="R65" s="10">
        <v>1.1291802353130954E-3</v>
      </c>
      <c r="S65" s="15">
        <f t="shared" si="5"/>
        <v>4.3049996471311767E-2</v>
      </c>
      <c r="T65" t="str">
        <f t="shared" si="6"/>
        <v>OK</v>
      </c>
      <c r="U65" t="str">
        <f t="shared" si="7"/>
        <v>LOSS-KG01-L25-20251022-AM-ORD-2025-00161</v>
      </c>
      <c r="V65" t="str">
        <f t="shared" si="8"/>
        <v>OK</v>
      </c>
      <c r="W65" t="str">
        <f t="shared" si="9"/>
        <v>OK</v>
      </c>
    </row>
    <row r="66" spans="1:23" ht="18" customHeight="1">
      <c r="A66" s="7" t="s">
        <v>31</v>
      </c>
      <c r="B66" s="8">
        <v>25</v>
      </c>
      <c r="C66" s="6">
        <v>45952</v>
      </c>
      <c r="D66" s="7" t="s">
        <v>35</v>
      </c>
      <c r="E66" s="7" t="s">
        <v>48</v>
      </c>
      <c r="F66" s="7" t="s">
        <v>34</v>
      </c>
      <c r="G66" s="9">
        <v>6183</v>
      </c>
      <c r="H66" s="10">
        <v>9.5043854801924992E-3</v>
      </c>
      <c r="I66" s="10">
        <v>1.5683240734228849E-2</v>
      </c>
      <c r="J66" s="10">
        <v>6.751529643434841E-3</v>
      </c>
      <c r="K66" s="10">
        <v>3.3456240643806577E-3</v>
      </c>
      <c r="L66" s="10">
        <v>4.4105974902796056E-3</v>
      </c>
      <c r="M66" s="10">
        <v>7.1333125697005016E-4</v>
      </c>
      <c r="N66" s="10">
        <v>2.3811198296042517E-3</v>
      </c>
      <c r="O66" s="10">
        <v>2.5318236162880652E-3</v>
      </c>
      <c r="P66" s="10">
        <v>1.3864748374910834E-3</v>
      </c>
      <c r="Q66" s="10">
        <v>9.9564968402439391E-3</v>
      </c>
      <c r="R66" s="10">
        <v>5.4554770779540454E-3</v>
      </c>
      <c r="S66" s="15">
        <f t="shared" si="5"/>
        <v>6.2120100871067882E-2</v>
      </c>
      <c r="T66" t="str">
        <f t="shared" si="6"/>
        <v>OK</v>
      </c>
      <c r="U66" t="str">
        <f t="shared" si="7"/>
        <v>LOSS-KG01-L25-20251022-PM-ORD-2025-00161</v>
      </c>
      <c r="V66" t="str">
        <f t="shared" si="8"/>
        <v>OK</v>
      </c>
      <c r="W66" t="str">
        <f t="shared" si="9"/>
        <v>OK</v>
      </c>
    </row>
    <row r="67" spans="1:23" ht="18" customHeight="1">
      <c r="A67" s="7" t="s">
        <v>31</v>
      </c>
      <c r="B67" s="8">
        <v>25</v>
      </c>
      <c r="C67" s="6">
        <v>45953</v>
      </c>
      <c r="D67" s="7" t="s">
        <v>32</v>
      </c>
      <c r="E67" s="7" t="s">
        <v>49</v>
      </c>
      <c r="F67" s="7" t="s">
        <v>34</v>
      </c>
      <c r="G67" s="9">
        <v>6613</v>
      </c>
      <c r="H67" s="10">
        <v>8.455577190110853E-3</v>
      </c>
      <c r="I67" s="10">
        <v>1.1643872809501276E-2</v>
      </c>
      <c r="J67" s="10">
        <v>1.6368135661590734E-3</v>
      </c>
      <c r="K67" s="10">
        <v>1.4273634889728412E-3</v>
      </c>
      <c r="L67" s="10">
        <v>5.5155186992374462E-3</v>
      </c>
      <c r="M67" s="10">
        <v>2.6375194904932936E-3</v>
      </c>
      <c r="N67" s="10">
        <v>2.7538806444856448E-3</v>
      </c>
      <c r="O67" s="10">
        <v>5.0423166730018847E-4</v>
      </c>
      <c r="P67" s="10">
        <v>6.9816692395410712E-3</v>
      </c>
      <c r="Q67" s="10">
        <v>3.7235569277552383E-3</v>
      </c>
      <c r="R67" s="10">
        <v>6.0197503665376352E-3</v>
      </c>
      <c r="S67" s="15">
        <f t="shared" si="5"/>
        <v>5.129975409009456E-2</v>
      </c>
      <c r="T67" t="str">
        <f t="shared" si="6"/>
        <v>OK</v>
      </c>
      <c r="U67" t="str">
        <f t="shared" si="7"/>
        <v>LOSS-KG01-L25-20251023-AM-ORD-2025-00162</v>
      </c>
      <c r="V67" t="str">
        <f t="shared" si="8"/>
        <v>OK</v>
      </c>
      <c r="W67" t="str">
        <f t="shared" si="9"/>
        <v>OK</v>
      </c>
    </row>
    <row r="68" spans="1:23" ht="18" customHeight="1">
      <c r="A68" s="7" t="s">
        <v>31</v>
      </c>
      <c r="B68" s="8">
        <v>25</v>
      </c>
      <c r="C68" s="6">
        <v>45953</v>
      </c>
      <c r="D68" s="7" t="s">
        <v>35</v>
      </c>
      <c r="E68" s="7" t="s">
        <v>49</v>
      </c>
      <c r="F68" s="7" t="s">
        <v>34</v>
      </c>
      <c r="G68" s="9">
        <v>12718</v>
      </c>
      <c r="H68" s="10">
        <v>6.4972021737926032E-3</v>
      </c>
      <c r="I68" s="10">
        <v>1.0380413705570973E-2</v>
      </c>
      <c r="J68" s="10">
        <v>3.2334913143991094E-3</v>
      </c>
      <c r="K68" s="10">
        <v>4.9006028799226378E-3</v>
      </c>
      <c r="L68" s="10">
        <v>6.6936292162561003E-3</v>
      </c>
      <c r="M68" s="10">
        <v>5.1423592398777114E-3</v>
      </c>
      <c r="N68" s="10">
        <v>5.5402499156371032E-3</v>
      </c>
      <c r="O68" s="10">
        <v>7.6354717019144081E-3</v>
      </c>
      <c r="P68" s="10">
        <v>5.797116048089369E-3</v>
      </c>
      <c r="Q68" s="10">
        <v>3.2838572227230833E-3</v>
      </c>
      <c r="R68" s="10">
        <v>4.9509687882466112E-3</v>
      </c>
      <c r="S68" s="15">
        <f t="shared" si="5"/>
        <v>6.4055362206429711E-2</v>
      </c>
      <c r="T68" t="str">
        <f t="shared" si="6"/>
        <v>OK</v>
      </c>
      <c r="U68" t="str">
        <f t="shared" si="7"/>
        <v>LOSS-KG01-L25-20251023-PM-ORD-2025-00162</v>
      </c>
      <c r="V68" t="str">
        <f t="shared" si="8"/>
        <v>OK</v>
      </c>
      <c r="W68" t="str">
        <f t="shared" si="9"/>
        <v>OK</v>
      </c>
    </row>
    <row r="69" spans="1:23" ht="18" customHeight="1">
      <c r="A69" s="7" t="s">
        <v>31</v>
      </c>
      <c r="B69" s="8">
        <v>25</v>
      </c>
      <c r="C69" s="6">
        <v>45954</v>
      </c>
      <c r="D69" s="7" t="s">
        <v>32</v>
      </c>
      <c r="E69" s="7" t="s">
        <v>49</v>
      </c>
      <c r="F69" s="7" t="s">
        <v>34</v>
      </c>
      <c r="G69" s="9">
        <v>10139</v>
      </c>
      <c r="H69" s="10">
        <v>5.3414685781596905E-3</v>
      </c>
      <c r="I69" s="10">
        <v>1.3511092775446615E-2</v>
      </c>
      <c r="J69" s="10">
        <v>5.1731906046607566E-3</v>
      </c>
      <c r="K69" s="10">
        <v>3.5121241565745118E-3</v>
      </c>
      <c r="L69" s="10">
        <v>4.5163636758423402E-3</v>
      </c>
      <c r="M69" s="10">
        <v>3.3655594699786668E-3</v>
      </c>
      <c r="N69" s="10">
        <v>2.9367220536426755E-3</v>
      </c>
      <c r="O69" s="10">
        <v>2.3124650551788902E-3</v>
      </c>
      <c r="P69" s="10">
        <v>3.6478321997188128E-3</v>
      </c>
      <c r="Q69" s="10">
        <v>7.442229086033471E-3</v>
      </c>
      <c r="R69" s="10">
        <v>3.2787063223663139E-3</v>
      </c>
      <c r="S69" s="15">
        <f t="shared" ref="S69:S100" si="10">IF(A69="","",SUM(H69:R69))</f>
        <v>5.5037753977602751E-2</v>
      </c>
      <c r="T69" t="str">
        <f t="shared" ref="T69:T100" si="11">IF(A69="","",IF(AND(MIN(H69:R69)&gt;=0,MAX(H69:R69)&lt;=1,S69&lt;=1),"OK","CHECK"))</f>
        <v>OK</v>
      </c>
      <c r="U69" t="str">
        <f t="shared" ref="U69:U100" si="12">IF(A69="","", "LOSS-"&amp;A69&amp;"-L"&amp;TEXT(B69,"00")&amp;"-"&amp;TEXT(C69,"yyyymmdd")&amp;"-"&amp;D69&amp;"-"&amp;E69)</f>
        <v>LOSS-KG01-L25-20251024-AM-ORD-2025-00162</v>
      </c>
      <c r="V69" t="str">
        <f t="shared" ref="V69:V100" si="13">IF(U69="","",IF(COUNTIF($U$5:$U$120,U69)=1,"OK","CHECK"))</f>
        <v>OK</v>
      </c>
      <c r="W69" t="str">
        <f t="shared" ref="W69:W100" si="14">IF(A69="","",IF(AND(T69="OK",V69="OK",G69&gt;=0),"OK","CHECK"))</f>
        <v>OK</v>
      </c>
    </row>
    <row r="70" spans="1:23" ht="18" customHeight="1">
      <c r="A70" s="7" t="s">
        <v>31</v>
      </c>
      <c r="B70" s="8">
        <v>25</v>
      </c>
      <c r="C70" s="6">
        <v>45954</v>
      </c>
      <c r="D70" s="7" t="s">
        <v>35</v>
      </c>
      <c r="E70" s="7" t="s">
        <v>49</v>
      </c>
      <c r="F70" s="7" t="s">
        <v>34</v>
      </c>
      <c r="G70" s="9">
        <v>11342</v>
      </c>
      <c r="H70" s="10">
        <v>9.3089887028422642E-3</v>
      </c>
      <c r="I70" s="10">
        <v>1.1177322889544955E-2</v>
      </c>
      <c r="J70" s="10">
        <v>1.3726536881897313E-2</v>
      </c>
      <c r="K70" s="10">
        <v>1.0349373045874957E-3</v>
      </c>
      <c r="L70" s="10">
        <v>5.485167714313728E-3</v>
      </c>
      <c r="M70" s="10">
        <v>1.6286644951140066E-3</v>
      </c>
      <c r="N70" s="10">
        <v>1.3998888804157179E-3</v>
      </c>
      <c r="O70" s="10">
        <v>1.7484993409083481E-3</v>
      </c>
      <c r="P70" s="10">
        <v>2.8106718377218305E-3</v>
      </c>
      <c r="Q70" s="10">
        <v>7.7838179381870074E-3</v>
      </c>
      <c r="R70" s="10">
        <v>5.6758140598956348E-3</v>
      </c>
      <c r="S70" s="15">
        <f t="shared" si="10"/>
        <v>6.1780310045428305E-2</v>
      </c>
      <c r="T70" t="str">
        <f t="shared" si="11"/>
        <v>OK</v>
      </c>
      <c r="U70" t="str">
        <f t="shared" si="12"/>
        <v>LOSS-KG01-L25-20251024-PM-ORD-2025-00162</v>
      </c>
      <c r="V70" t="str">
        <f t="shared" si="13"/>
        <v>OK</v>
      </c>
      <c r="W70" t="str">
        <f t="shared" si="14"/>
        <v>OK</v>
      </c>
    </row>
    <row r="71" spans="1:23" ht="18" customHeight="1">
      <c r="A71" s="7" t="s">
        <v>31</v>
      </c>
      <c r="B71" s="8">
        <v>25</v>
      </c>
      <c r="C71" s="6">
        <v>45955</v>
      </c>
      <c r="D71" s="7" t="s">
        <v>32</v>
      </c>
      <c r="E71" s="7" t="s">
        <v>49</v>
      </c>
      <c r="F71" s="7" t="s">
        <v>34</v>
      </c>
      <c r="G71" s="9">
        <v>9330</v>
      </c>
      <c r="H71" s="10">
        <v>1.0208212523386983E-2</v>
      </c>
      <c r="I71" s="10">
        <v>1.4086895631147631E-2</v>
      </c>
      <c r="J71" s="10">
        <v>1.2308937930128998E-3</v>
      </c>
      <c r="K71" s="10">
        <v>1.3403065746140463E-3</v>
      </c>
      <c r="L71" s="10">
        <v>7.2321848638357937E-3</v>
      </c>
      <c r="M71" s="10">
        <v>2.0460190159414422E-3</v>
      </c>
      <c r="N71" s="10">
        <v>2.9377331859907875E-3</v>
      </c>
      <c r="O71" s="10">
        <v>1.3348359355339892E-3</v>
      </c>
      <c r="P71" s="10">
        <v>5.9082902064619186E-4</v>
      </c>
      <c r="Q71" s="10">
        <v>6.7234154293904615E-3</v>
      </c>
      <c r="R71" s="10">
        <v>3.3097366434346859E-3</v>
      </c>
      <c r="S71" s="15">
        <f t="shared" si="10"/>
        <v>5.1041062616934918E-2</v>
      </c>
      <c r="T71" t="str">
        <f t="shared" si="11"/>
        <v>OK</v>
      </c>
      <c r="U71" t="str">
        <f t="shared" si="12"/>
        <v>LOSS-KG01-L25-20251025-AM-ORD-2025-00162</v>
      </c>
      <c r="V71" t="str">
        <f t="shared" si="13"/>
        <v>OK</v>
      </c>
      <c r="W71" t="str">
        <f t="shared" si="14"/>
        <v>OK</v>
      </c>
    </row>
    <row r="72" spans="1:23" ht="18" customHeight="1">
      <c r="A72" s="7" t="s">
        <v>31</v>
      </c>
      <c r="B72" s="8">
        <v>25</v>
      </c>
      <c r="C72" s="6">
        <v>45955</v>
      </c>
      <c r="D72" s="7" t="s">
        <v>35</v>
      </c>
      <c r="E72" s="7" t="s">
        <v>49</v>
      </c>
      <c r="F72" s="7" t="s">
        <v>34</v>
      </c>
      <c r="G72" s="9">
        <v>6003</v>
      </c>
      <c r="H72" s="10">
        <v>3.9123013014692098E-3</v>
      </c>
      <c r="I72" s="10">
        <v>5.2098236750964507E-3</v>
      </c>
      <c r="J72" s="10">
        <v>3.4633486931038905E-3</v>
      </c>
      <c r="K72" s="10">
        <v>1.5441996309708231E-3</v>
      </c>
      <c r="L72" s="10">
        <v>3.2413391614946668E-3</v>
      </c>
      <c r="M72" s="10">
        <v>2.9354593623886253E-3</v>
      </c>
      <c r="N72" s="10">
        <v>7.8443367835259064E-4</v>
      </c>
      <c r="O72" s="10">
        <v>2.308899128735927E-3</v>
      </c>
      <c r="P72" s="10">
        <v>6.8082923026828619E-4</v>
      </c>
      <c r="Q72" s="10">
        <v>3.6113550475100399E-3</v>
      </c>
      <c r="R72" s="10">
        <v>1.9240826072799391E-3</v>
      </c>
      <c r="S72" s="15">
        <f t="shared" si="10"/>
        <v>2.9616071516670447E-2</v>
      </c>
      <c r="T72" t="str">
        <f t="shared" si="11"/>
        <v>OK</v>
      </c>
      <c r="U72" t="str">
        <f t="shared" si="12"/>
        <v>LOSS-KG01-L25-20251025-PM-ORD-2025-00162</v>
      </c>
      <c r="V72" t="str">
        <f t="shared" si="13"/>
        <v>OK</v>
      </c>
      <c r="W72" t="str">
        <f t="shared" si="14"/>
        <v>OK</v>
      </c>
    </row>
    <row r="73" spans="1:23" ht="18" customHeight="1">
      <c r="A73" s="7" t="s">
        <v>31</v>
      </c>
      <c r="B73" s="8">
        <v>25</v>
      </c>
      <c r="C73" s="6">
        <v>45956</v>
      </c>
      <c r="D73" s="7" t="s">
        <v>32</v>
      </c>
      <c r="E73" s="7" t="s">
        <v>49</v>
      </c>
      <c r="F73" s="7" t="s">
        <v>34</v>
      </c>
      <c r="G73" s="9">
        <v>13046</v>
      </c>
      <c r="H73" s="10">
        <v>6.8618572295811231E-3</v>
      </c>
      <c r="I73" s="10">
        <v>1.566931719793398E-2</v>
      </c>
      <c r="J73" s="10">
        <v>3.1149547684682982E-3</v>
      </c>
      <c r="K73" s="10">
        <v>4.4932973736851014E-3</v>
      </c>
      <c r="L73" s="10">
        <v>5.9512554362429462E-3</v>
      </c>
      <c r="M73" s="10">
        <v>5.6726013355492969E-3</v>
      </c>
      <c r="N73" s="10">
        <v>3.1000268702168527E-3</v>
      </c>
      <c r="O73" s="10">
        <v>3.6274792751012611E-3</v>
      </c>
      <c r="P73" s="10">
        <v>5.4735626921966895E-4</v>
      </c>
      <c r="Q73" s="10">
        <v>1.1832847347312481E-2</v>
      </c>
      <c r="R73" s="10">
        <v>4.0454604261417355E-3</v>
      </c>
      <c r="S73" s="15">
        <f t="shared" si="10"/>
        <v>6.4916453529452744E-2</v>
      </c>
      <c r="T73" t="str">
        <f t="shared" si="11"/>
        <v>OK</v>
      </c>
      <c r="U73" t="str">
        <f t="shared" si="12"/>
        <v>LOSS-KG01-L25-20251026-AM-ORD-2025-00162</v>
      </c>
      <c r="V73" t="str">
        <f t="shared" si="13"/>
        <v>OK</v>
      </c>
      <c r="W73" t="str">
        <f t="shared" si="14"/>
        <v>OK</v>
      </c>
    </row>
    <row r="74" spans="1:23" ht="18" customHeight="1">
      <c r="A74" s="7" t="s">
        <v>31</v>
      </c>
      <c r="B74" s="8">
        <v>25</v>
      </c>
      <c r="C74" s="6">
        <v>45956</v>
      </c>
      <c r="D74" s="7" t="s">
        <v>35</v>
      </c>
      <c r="E74" s="7" t="s">
        <v>49</v>
      </c>
      <c r="F74" s="7" t="s">
        <v>34</v>
      </c>
      <c r="G74" s="9">
        <v>8299</v>
      </c>
      <c r="H74" s="10">
        <v>6.4690635721276393E-3</v>
      </c>
      <c r="I74" s="10">
        <v>7.2541702068164467E-3</v>
      </c>
      <c r="J74" s="10">
        <v>5.5548983125584799E-3</v>
      </c>
      <c r="K74" s="10">
        <v>2.3176778051429863E-3</v>
      </c>
      <c r="L74" s="10">
        <v>4.6945074800228007E-3</v>
      </c>
      <c r="M74" s="10">
        <v>5.8829223174627077E-3</v>
      </c>
      <c r="N74" s="10">
        <v>2.6026822684204298E-3</v>
      </c>
      <c r="O74" s="10">
        <v>2.0111635710521503E-3</v>
      </c>
      <c r="P74" s="10">
        <v>1.7745560921048386E-3</v>
      </c>
      <c r="Q74" s="10">
        <v>4.0384594702143452E-3</v>
      </c>
      <c r="R74" s="10">
        <v>2.0272958991621945E-3</v>
      </c>
      <c r="S74" s="15">
        <f t="shared" si="10"/>
        <v>4.4627396995085028E-2</v>
      </c>
      <c r="T74" t="str">
        <f t="shared" si="11"/>
        <v>OK</v>
      </c>
      <c r="U74" t="str">
        <f t="shared" si="12"/>
        <v>LOSS-KG01-L25-20251026-PM-ORD-2025-00162</v>
      </c>
      <c r="V74" t="str">
        <f t="shared" si="13"/>
        <v>OK</v>
      </c>
      <c r="W74" t="str">
        <f t="shared" si="14"/>
        <v>OK</v>
      </c>
    </row>
    <row r="75" spans="1:23" ht="18" customHeight="1">
      <c r="S75" t="str">
        <f t="shared" si="10"/>
        <v/>
      </c>
      <c r="T75" t="str">
        <f t="shared" si="11"/>
        <v/>
      </c>
      <c r="U75" t="str">
        <f t="shared" si="12"/>
        <v/>
      </c>
      <c r="V75" t="str">
        <f t="shared" si="13"/>
        <v/>
      </c>
      <c r="W75" t="str">
        <f t="shared" si="14"/>
        <v/>
      </c>
    </row>
    <row r="76" spans="1:23" ht="18" customHeight="1">
      <c r="S76" t="str">
        <f t="shared" si="10"/>
        <v/>
      </c>
      <c r="T76" t="str">
        <f t="shared" si="11"/>
        <v/>
      </c>
      <c r="U76" t="str">
        <f t="shared" si="12"/>
        <v/>
      </c>
      <c r="V76" t="str">
        <f t="shared" si="13"/>
        <v/>
      </c>
      <c r="W76" t="str">
        <f t="shared" si="14"/>
        <v/>
      </c>
    </row>
    <row r="77" spans="1:23" ht="18" customHeight="1">
      <c r="S77" t="str">
        <f t="shared" si="10"/>
        <v/>
      </c>
      <c r="T77" t="str">
        <f t="shared" si="11"/>
        <v/>
      </c>
      <c r="U77" t="str">
        <f t="shared" si="12"/>
        <v/>
      </c>
      <c r="V77" t="str">
        <f t="shared" si="13"/>
        <v/>
      </c>
      <c r="W77" t="str">
        <f t="shared" si="14"/>
        <v/>
      </c>
    </row>
    <row r="78" spans="1:23" ht="18" customHeight="1">
      <c r="S78" t="str">
        <f t="shared" si="10"/>
        <v/>
      </c>
      <c r="T78" t="str">
        <f t="shared" si="11"/>
        <v/>
      </c>
      <c r="U78" t="str">
        <f t="shared" si="12"/>
        <v/>
      </c>
      <c r="V78" t="str">
        <f t="shared" si="13"/>
        <v/>
      </c>
      <c r="W78" t="str">
        <f t="shared" si="14"/>
        <v/>
      </c>
    </row>
    <row r="79" spans="1:23" ht="18" customHeight="1">
      <c r="S79" t="str">
        <f t="shared" si="10"/>
        <v/>
      </c>
      <c r="T79" t="str">
        <f t="shared" si="11"/>
        <v/>
      </c>
      <c r="U79" t="str">
        <f t="shared" si="12"/>
        <v/>
      </c>
      <c r="V79" t="str">
        <f t="shared" si="13"/>
        <v/>
      </c>
      <c r="W79" t="str">
        <f t="shared" si="14"/>
        <v/>
      </c>
    </row>
    <row r="80" spans="1:23" ht="18" customHeight="1">
      <c r="S80" t="str">
        <f t="shared" si="10"/>
        <v/>
      </c>
      <c r="T80" t="str">
        <f t="shared" si="11"/>
        <v/>
      </c>
      <c r="U80" t="str">
        <f t="shared" si="12"/>
        <v/>
      </c>
      <c r="V80" t="str">
        <f t="shared" si="13"/>
        <v/>
      </c>
      <c r="W80" t="str">
        <f t="shared" si="14"/>
        <v/>
      </c>
    </row>
    <row r="81" spans="19:23" ht="18" customHeight="1">
      <c r="S81" t="str">
        <f t="shared" si="10"/>
        <v/>
      </c>
      <c r="T81" t="str">
        <f t="shared" si="11"/>
        <v/>
      </c>
      <c r="U81" t="str">
        <f t="shared" si="12"/>
        <v/>
      </c>
      <c r="V81" t="str">
        <f t="shared" si="13"/>
        <v/>
      </c>
      <c r="W81" t="str">
        <f t="shared" si="14"/>
        <v/>
      </c>
    </row>
    <row r="82" spans="19:23" ht="18" customHeight="1">
      <c r="S82" t="str">
        <f t="shared" si="10"/>
        <v/>
      </c>
      <c r="T82" t="str">
        <f t="shared" si="11"/>
        <v/>
      </c>
      <c r="U82" t="str">
        <f t="shared" si="12"/>
        <v/>
      </c>
      <c r="V82" t="str">
        <f t="shared" si="13"/>
        <v/>
      </c>
      <c r="W82" t="str">
        <f t="shared" si="14"/>
        <v/>
      </c>
    </row>
    <row r="83" spans="19:23" ht="18" customHeight="1">
      <c r="S83" t="str">
        <f t="shared" si="10"/>
        <v/>
      </c>
      <c r="T83" t="str">
        <f t="shared" si="11"/>
        <v/>
      </c>
      <c r="U83" t="str">
        <f t="shared" si="12"/>
        <v/>
      </c>
      <c r="V83" t="str">
        <f t="shared" si="13"/>
        <v/>
      </c>
      <c r="W83" t="str">
        <f t="shared" si="14"/>
        <v/>
      </c>
    </row>
    <row r="84" spans="19:23" ht="18" customHeight="1">
      <c r="S84" t="str">
        <f t="shared" si="10"/>
        <v/>
      </c>
      <c r="T84" t="str">
        <f t="shared" si="11"/>
        <v/>
      </c>
      <c r="U84" t="str">
        <f t="shared" si="12"/>
        <v/>
      </c>
      <c r="V84" t="str">
        <f t="shared" si="13"/>
        <v/>
      </c>
      <c r="W84" t="str">
        <f t="shared" si="14"/>
        <v/>
      </c>
    </row>
    <row r="85" spans="19:23" ht="18" customHeight="1">
      <c r="S85" t="str">
        <f t="shared" si="10"/>
        <v/>
      </c>
      <c r="T85" t="str">
        <f t="shared" si="11"/>
        <v/>
      </c>
      <c r="U85" t="str">
        <f t="shared" si="12"/>
        <v/>
      </c>
      <c r="V85" t="str">
        <f t="shared" si="13"/>
        <v/>
      </c>
      <c r="W85" t="str">
        <f t="shared" si="14"/>
        <v/>
      </c>
    </row>
    <row r="86" spans="19:23" ht="18" customHeight="1">
      <c r="S86" t="str">
        <f t="shared" si="10"/>
        <v/>
      </c>
      <c r="T86" t="str">
        <f t="shared" si="11"/>
        <v/>
      </c>
      <c r="U86" t="str">
        <f t="shared" si="12"/>
        <v/>
      </c>
      <c r="V86" t="str">
        <f t="shared" si="13"/>
        <v/>
      </c>
      <c r="W86" t="str">
        <f t="shared" si="14"/>
        <v/>
      </c>
    </row>
    <row r="87" spans="19:23" ht="18" customHeight="1">
      <c r="S87" t="str">
        <f t="shared" si="10"/>
        <v/>
      </c>
      <c r="T87" t="str">
        <f t="shared" si="11"/>
        <v/>
      </c>
      <c r="U87" t="str">
        <f t="shared" si="12"/>
        <v/>
      </c>
      <c r="V87" t="str">
        <f t="shared" si="13"/>
        <v/>
      </c>
      <c r="W87" t="str">
        <f t="shared" si="14"/>
        <v/>
      </c>
    </row>
    <row r="88" spans="19:23" ht="18" customHeight="1">
      <c r="S88" t="str">
        <f t="shared" si="10"/>
        <v/>
      </c>
      <c r="T88" t="str">
        <f t="shared" si="11"/>
        <v/>
      </c>
      <c r="U88" t="str">
        <f t="shared" si="12"/>
        <v/>
      </c>
      <c r="V88" t="str">
        <f t="shared" si="13"/>
        <v/>
      </c>
      <c r="W88" t="str">
        <f t="shared" si="14"/>
        <v/>
      </c>
    </row>
    <row r="89" spans="19:23" ht="18" customHeight="1">
      <c r="S89" t="str">
        <f t="shared" si="10"/>
        <v/>
      </c>
      <c r="T89" t="str">
        <f t="shared" si="11"/>
        <v/>
      </c>
      <c r="U89" t="str">
        <f t="shared" si="12"/>
        <v/>
      </c>
      <c r="V89" t="str">
        <f t="shared" si="13"/>
        <v/>
      </c>
      <c r="W89" t="str">
        <f t="shared" si="14"/>
        <v/>
      </c>
    </row>
    <row r="90" spans="19:23" ht="18" customHeight="1">
      <c r="S90" t="str">
        <f t="shared" si="10"/>
        <v/>
      </c>
      <c r="T90" t="str">
        <f t="shared" si="11"/>
        <v/>
      </c>
      <c r="U90" t="str">
        <f t="shared" si="12"/>
        <v/>
      </c>
      <c r="V90" t="str">
        <f t="shared" si="13"/>
        <v/>
      </c>
      <c r="W90" t="str">
        <f t="shared" si="14"/>
        <v/>
      </c>
    </row>
    <row r="91" spans="19:23" ht="18" customHeight="1">
      <c r="S91" t="str">
        <f t="shared" si="10"/>
        <v/>
      </c>
      <c r="T91" t="str">
        <f t="shared" si="11"/>
        <v/>
      </c>
      <c r="U91" t="str">
        <f t="shared" si="12"/>
        <v/>
      </c>
      <c r="V91" t="str">
        <f t="shared" si="13"/>
        <v/>
      </c>
      <c r="W91" t="str">
        <f t="shared" si="14"/>
        <v/>
      </c>
    </row>
    <row r="92" spans="19:23" ht="18" customHeight="1">
      <c r="S92" t="str">
        <f t="shared" si="10"/>
        <v/>
      </c>
      <c r="T92" t="str">
        <f t="shared" si="11"/>
        <v/>
      </c>
      <c r="U92" t="str">
        <f t="shared" si="12"/>
        <v/>
      </c>
      <c r="V92" t="str">
        <f t="shared" si="13"/>
        <v/>
      </c>
      <c r="W92" t="str">
        <f t="shared" si="14"/>
        <v/>
      </c>
    </row>
    <row r="93" spans="19:23" ht="18" customHeight="1">
      <c r="S93" t="str">
        <f t="shared" si="10"/>
        <v/>
      </c>
      <c r="T93" t="str">
        <f t="shared" si="11"/>
        <v/>
      </c>
      <c r="U93" t="str">
        <f t="shared" si="12"/>
        <v/>
      </c>
      <c r="V93" t="str">
        <f t="shared" si="13"/>
        <v/>
      </c>
      <c r="W93" t="str">
        <f t="shared" si="14"/>
        <v/>
      </c>
    </row>
    <row r="94" spans="19:23" ht="18" customHeight="1">
      <c r="S94" t="str">
        <f t="shared" si="10"/>
        <v/>
      </c>
      <c r="T94" t="str">
        <f t="shared" si="11"/>
        <v/>
      </c>
      <c r="U94" t="str">
        <f t="shared" si="12"/>
        <v/>
      </c>
      <c r="V94" t="str">
        <f t="shared" si="13"/>
        <v/>
      </c>
      <c r="W94" t="str">
        <f t="shared" si="14"/>
        <v/>
      </c>
    </row>
    <row r="95" spans="19:23" ht="18" customHeight="1">
      <c r="S95" t="str">
        <f t="shared" si="10"/>
        <v/>
      </c>
      <c r="T95" t="str">
        <f t="shared" si="11"/>
        <v/>
      </c>
      <c r="U95" t="str">
        <f t="shared" si="12"/>
        <v/>
      </c>
      <c r="V95" t="str">
        <f t="shared" si="13"/>
        <v/>
      </c>
      <c r="W95" t="str">
        <f t="shared" si="14"/>
        <v/>
      </c>
    </row>
    <row r="96" spans="19:23" ht="18" customHeight="1">
      <c r="S96" t="str">
        <f t="shared" si="10"/>
        <v/>
      </c>
      <c r="T96" t="str">
        <f t="shared" si="11"/>
        <v/>
      </c>
      <c r="U96" t="str">
        <f t="shared" si="12"/>
        <v/>
      </c>
      <c r="V96" t="str">
        <f t="shared" si="13"/>
        <v/>
      </c>
      <c r="W96" t="str">
        <f t="shared" si="14"/>
        <v/>
      </c>
    </row>
    <row r="97" spans="19:23" ht="18" customHeight="1">
      <c r="S97" t="str">
        <f t="shared" si="10"/>
        <v/>
      </c>
      <c r="T97" t="str">
        <f t="shared" si="11"/>
        <v/>
      </c>
      <c r="U97" t="str">
        <f t="shared" si="12"/>
        <v/>
      </c>
      <c r="V97" t="str">
        <f t="shared" si="13"/>
        <v/>
      </c>
      <c r="W97" t="str">
        <f t="shared" si="14"/>
        <v/>
      </c>
    </row>
    <row r="98" spans="19:23" ht="18" customHeight="1">
      <c r="S98" t="str">
        <f t="shared" si="10"/>
        <v/>
      </c>
      <c r="T98" t="str">
        <f t="shared" si="11"/>
        <v/>
      </c>
      <c r="U98" t="str">
        <f t="shared" si="12"/>
        <v/>
      </c>
      <c r="V98" t="str">
        <f t="shared" si="13"/>
        <v/>
      </c>
      <c r="W98" t="str">
        <f t="shared" si="14"/>
        <v/>
      </c>
    </row>
    <row r="99" spans="19:23" ht="18" customHeight="1">
      <c r="S99" t="str">
        <f t="shared" si="10"/>
        <v/>
      </c>
      <c r="T99" t="str">
        <f t="shared" si="11"/>
        <v/>
      </c>
      <c r="U99" t="str">
        <f t="shared" si="12"/>
        <v/>
      </c>
      <c r="V99" t="str">
        <f t="shared" si="13"/>
        <v/>
      </c>
      <c r="W99" t="str">
        <f t="shared" si="14"/>
        <v/>
      </c>
    </row>
    <row r="100" spans="19:23" ht="18" customHeight="1">
      <c r="S100" t="str">
        <f t="shared" si="10"/>
        <v/>
      </c>
      <c r="T100" t="str">
        <f t="shared" si="11"/>
        <v/>
      </c>
      <c r="U100" t="str">
        <f t="shared" si="12"/>
        <v/>
      </c>
      <c r="V100" t="str">
        <f t="shared" si="13"/>
        <v/>
      </c>
      <c r="W100" t="str">
        <f t="shared" si="14"/>
        <v/>
      </c>
    </row>
    <row r="101" spans="19:23" ht="18" customHeight="1">
      <c r="S101" t="str">
        <f t="shared" ref="S101:S132" si="15">IF(A101="","",SUM(H101:R101))</f>
        <v/>
      </c>
      <c r="T101" t="str">
        <f t="shared" ref="T101:T132" si="16">IF(A101="","",IF(AND(MIN(H101:R101)&gt;=0,MAX(H101:R101)&lt;=1,S101&lt;=1),"OK","CHECK"))</f>
        <v/>
      </c>
      <c r="U101" t="str">
        <f t="shared" ref="U101:U120" si="17">IF(A101="","", "LOSS-"&amp;A101&amp;"-L"&amp;TEXT(B101,"00")&amp;"-"&amp;TEXT(C101,"yyyymmdd")&amp;"-"&amp;D101&amp;"-"&amp;E101)</f>
        <v/>
      </c>
      <c r="V101" t="str">
        <f t="shared" ref="V101:V132" si="18">IF(U101="","",IF(COUNTIF($U$5:$U$120,U101)=1,"OK","CHECK"))</f>
        <v/>
      </c>
      <c r="W101" t="str">
        <f t="shared" ref="W101:W132" si="19">IF(A101="","",IF(AND(T101="OK",V101="OK",G101&gt;=0),"OK","CHECK"))</f>
        <v/>
      </c>
    </row>
    <row r="102" spans="19:23" ht="18" customHeight="1">
      <c r="S102" t="str">
        <f t="shared" si="15"/>
        <v/>
      </c>
      <c r="T102" t="str">
        <f t="shared" si="16"/>
        <v/>
      </c>
      <c r="U102" t="str">
        <f t="shared" si="17"/>
        <v/>
      </c>
      <c r="V102" t="str">
        <f t="shared" si="18"/>
        <v/>
      </c>
      <c r="W102" t="str">
        <f t="shared" si="19"/>
        <v/>
      </c>
    </row>
    <row r="103" spans="19:23" ht="18" customHeight="1">
      <c r="S103" t="str">
        <f t="shared" si="15"/>
        <v/>
      </c>
      <c r="T103" t="str">
        <f t="shared" si="16"/>
        <v/>
      </c>
      <c r="U103" t="str">
        <f t="shared" si="17"/>
        <v/>
      </c>
      <c r="V103" t="str">
        <f t="shared" si="18"/>
        <v/>
      </c>
      <c r="W103" t="str">
        <f t="shared" si="19"/>
        <v/>
      </c>
    </row>
    <row r="104" spans="19:23" ht="18" customHeight="1">
      <c r="S104" t="str">
        <f t="shared" si="15"/>
        <v/>
      </c>
      <c r="T104" t="str">
        <f t="shared" si="16"/>
        <v/>
      </c>
      <c r="U104" t="str">
        <f t="shared" si="17"/>
        <v/>
      </c>
      <c r="V104" t="str">
        <f t="shared" si="18"/>
        <v/>
      </c>
      <c r="W104" t="str">
        <f t="shared" si="19"/>
        <v/>
      </c>
    </row>
    <row r="105" spans="19:23" ht="18" customHeight="1">
      <c r="S105" t="str">
        <f t="shared" si="15"/>
        <v/>
      </c>
      <c r="T105" t="str">
        <f t="shared" si="16"/>
        <v/>
      </c>
      <c r="U105" t="str">
        <f t="shared" si="17"/>
        <v/>
      </c>
      <c r="V105" t="str">
        <f t="shared" si="18"/>
        <v/>
      </c>
      <c r="W105" t="str">
        <f t="shared" si="19"/>
        <v/>
      </c>
    </row>
    <row r="106" spans="19:23" ht="18" customHeight="1">
      <c r="S106" t="str">
        <f t="shared" si="15"/>
        <v/>
      </c>
      <c r="T106" t="str">
        <f t="shared" si="16"/>
        <v/>
      </c>
      <c r="U106" t="str">
        <f t="shared" si="17"/>
        <v/>
      </c>
      <c r="V106" t="str">
        <f t="shared" si="18"/>
        <v/>
      </c>
      <c r="W106" t="str">
        <f t="shared" si="19"/>
        <v/>
      </c>
    </row>
    <row r="107" spans="19:23" ht="18" customHeight="1">
      <c r="S107" t="str">
        <f t="shared" si="15"/>
        <v/>
      </c>
      <c r="T107" t="str">
        <f t="shared" si="16"/>
        <v/>
      </c>
      <c r="U107" t="str">
        <f t="shared" si="17"/>
        <v/>
      </c>
      <c r="V107" t="str">
        <f t="shared" si="18"/>
        <v/>
      </c>
      <c r="W107" t="str">
        <f t="shared" si="19"/>
        <v/>
      </c>
    </row>
    <row r="108" spans="19:23" ht="18" customHeight="1">
      <c r="S108" t="str">
        <f t="shared" si="15"/>
        <v/>
      </c>
      <c r="T108" t="str">
        <f t="shared" si="16"/>
        <v/>
      </c>
      <c r="U108" t="str">
        <f t="shared" si="17"/>
        <v/>
      </c>
      <c r="V108" t="str">
        <f t="shared" si="18"/>
        <v/>
      </c>
      <c r="W108" t="str">
        <f t="shared" si="19"/>
        <v/>
      </c>
    </row>
    <row r="109" spans="19:23" ht="18" customHeight="1">
      <c r="S109" t="str">
        <f t="shared" si="15"/>
        <v/>
      </c>
      <c r="T109" t="str">
        <f t="shared" si="16"/>
        <v/>
      </c>
      <c r="U109" t="str">
        <f t="shared" si="17"/>
        <v/>
      </c>
      <c r="V109" t="str">
        <f t="shared" si="18"/>
        <v/>
      </c>
      <c r="W109" t="str">
        <f t="shared" si="19"/>
        <v/>
      </c>
    </row>
    <row r="110" spans="19:23" ht="18" customHeight="1">
      <c r="S110" t="str">
        <f t="shared" si="15"/>
        <v/>
      </c>
      <c r="T110" t="str">
        <f t="shared" si="16"/>
        <v/>
      </c>
      <c r="U110" t="str">
        <f t="shared" si="17"/>
        <v/>
      </c>
      <c r="V110" t="str">
        <f t="shared" si="18"/>
        <v/>
      </c>
      <c r="W110" t="str">
        <f t="shared" si="19"/>
        <v/>
      </c>
    </row>
    <row r="111" spans="19:23" ht="18" customHeight="1">
      <c r="S111" t="str">
        <f t="shared" si="15"/>
        <v/>
      </c>
      <c r="T111" t="str">
        <f t="shared" si="16"/>
        <v/>
      </c>
      <c r="U111" t="str">
        <f t="shared" si="17"/>
        <v/>
      </c>
      <c r="V111" t="str">
        <f t="shared" si="18"/>
        <v/>
      </c>
      <c r="W111" t="str">
        <f t="shared" si="19"/>
        <v/>
      </c>
    </row>
    <row r="112" spans="19:23" ht="18" customHeight="1">
      <c r="S112" t="str">
        <f t="shared" si="15"/>
        <v/>
      </c>
      <c r="T112" t="str">
        <f t="shared" si="16"/>
        <v/>
      </c>
      <c r="U112" t="str">
        <f t="shared" si="17"/>
        <v/>
      </c>
      <c r="V112" t="str">
        <f t="shared" si="18"/>
        <v/>
      </c>
      <c r="W112" t="str">
        <f t="shared" si="19"/>
        <v/>
      </c>
    </row>
    <row r="113" spans="19:23" ht="18" customHeight="1">
      <c r="S113" t="str">
        <f t="shared" si="15"/>
        <v/>
      </c>
      <c r="T113" t="str">
        <f t="shared" si="16"/>
        <v/>
      </c>
      <c r="U113" t="str">
        <f t="shared" si="17"/>
        <v/>
      </c>
      <c r="V113" t="str">
        <f t="shared" si="18"/>
        <v/>
      </c>
      <c r="W113" t="str">
        <f t="shared" si="19"/>
        <v/>
      </c>
    </row>
    <row r="114" spans="19:23" ht="18" customHeight="1">
      <c r="S114" t="str">
        <f t="shared" si="15"/>
        <v/>
      </c>
      <c r="T114" t="str">
        <f t="shared" si="16"/>
        <v/>
      </c>
      <c r="U114" t="str">
        <f t="shared" si="17"/>
        <v/>
      </c>
      <c r="V114" t="str">
        <f t="shared" si="18"/>
        <v/>
      </c>
      <c r="W114" t="str">
        <f t="shared" si="19"/>
        <v/>
      </c>
    </row>
    <row r="115" spans="19:23" ht="18" customHeight="1">
      <c r="S115" t="str">
        <f t="shared" si="15"/>
        <v/>
      </c>
      <c r="T115" t="str">
        <f t="shared" si="16"/>
        <v/>
      </c>
      <c r="U115" t="str">
        <f t="shared" si="17"/>
        <v/>
      </c>
      <c r="V115" t="str">
        <f t="shared" si="18"/>
        <v/>
      </c>
      <c r="W115" t="str">
        <f t="shared" si="19"/>
        <v/>
      </c>
    </row>
    <row r="116" spans="19:23" ht="18" customHeight="1">
      <c r="S116" t="str">
        <f t="shared" si="15"/>
        <v/>
      </c>
      <c r="T116" t="str">
        <f t="shared" si="16"/>
        <v/>
      </c>
      <c r="U116" t="str">
        <f t="shared" si="17"/>
        <v/>
      </c>
      <c r="V116" t="str">
        <f t="shared" si="18"/>
        <v/>
      </c>
      <c r="W116" t="str">
        <f t="shared" si="19"/>
        <v/>
      </c>
    </row>
    <row r="117" spans="19:23" ht="18" customHeight="1">
      <c r="S117" t="str">
        <f t="shared" si="15"/>
        <v/>
      </c>
      <c r="T117" t="str">
        <f t="shared" si="16"/>
        <v/>
      </c>
      <c r="U117" t="str">
        <f t="shared" si="17"/>
        <v/>
      </c>
      <c r="V117" t="str">
        <f t="shared" si="18"/>
        <v/>
      </c>
      <c r="W117" t="str">
        <f t="shared" si="19"/>
        <v/>
      </c>
    </row>
    <row r="118" spans="19:23" ht="18" customHeight="1">
      <c r="S118" t="str">
        <f t="shared" si="15"/>
        <v/>
      </c>
      <c r="T118" t="str">
        <f t="shared" si="16"/>
        <v/>
      </c>
      <c r="U118" t="str">
        <f t="shared" si="17"/>
        <v/>
      </c>
      <c r="V118" t="str">
        <f t="shared" si="18"/>
        <v/>
      </c>
      <c r="W118" t="str">
        <f t="shared" si="19"/>
        <v/>
      </c>
    </row>
    <row r="119" spans="19:23" ht="18" customHeight="1">
      <c r="S119" t="str">
        <f t="shared" si="15"/>
        <v/>
      </c>
      <c r="T119" t="str">
        <f t="shared" si="16"/>
        <v/>
      </c>
      <c r="U119" t="str">
        <f t="shared" si="17"/>
        <v/>
      </c>
      <c r="V119" t="str">
        <f t="shared" si="18"/>
        <v/>
      </c>
      <c r="W119" t="str">
        <f t="shared" si="19"/>
        <v/>
      </c>
    </row>
    <row r="120" spans="19:23" ht="18" customHeight="1">
      <c r="S120" t="str">
        <f t="shared" si="15"/>
        <v/>
      </c>
      <c r="T120" t="str">
        <f t="shared" si="16"/>
        <v/>
      </c>
      <c r="U120" t="str">
        <f t="shared" si="17"/>
        <v/>
      </c>
      <c r="V120" t="str">
        <f t="shared" si="18"/>
        <v/>
      </c>
      <c r="W120" t="str">
        <f t="shared" si="19"/>
        <v/>
      </c>
    </row>
    <row r="121" spans="19:23" ht="18" customHeight="1"/>
    <row r="122" spans="19:23" ht="18" customHeight="1"/>
    <row r="123" spans="19:23" ht="18" customHeight="1"/>
    <row r="124" spans="19:23" ht="18" customHeight="1"/>
    <row r="125" spans="19:23" ht="18" customHeight="1"/>
    <row r="126" spans="19:23" ht="18" customHeight="1"/>
    <row r="127" spans="19:23" ht="18" customHeight="1"/>
    <row r="128" spans="19:23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</sheetData>
  <dataValidations count="3">
    <dataValidation type="list" sqref="B5:B120" xr:uid="{00000000-0002-0000-0100-000000000000}">
      <formula1>"21,22,23,24,25"</formula1>
    </dataValidation>
    <dataValidation type="list" sqref="D5:D120" xr:uid="{00000000-0002-0000-0100-000001000000}">
      <formula1>"AM,PM"</formula1>
    </dataValidation>
    <dataValidation type="decimal" sqref="H5:R120" xr:uid="{00000000-0002-0000-0100-000002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2026-08-26T12:50:35Z</dcterms:modified>
</cp:coreProperties>
</file>