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Shared/Dashboards/NEW_Factory2/"/>
    </mc:Choice>
  </mc:AlternateContent>
  <xr:revisionPtr revIDLastSave="10" documentId="11_A2D22E93AC466BB858E4E5712AB984E3888207EB" xr6:coauthVersionLast="47" xr6:coauthVersionMax="47" xr10:uidLastSave="{30A52221-4244-428C-A51E-571F1379A781}"/>
  <bookViews>
    <workbookView xWindow="-120" yWindow="-120" windowWidth="29040" windowHeight="15720" firstSheet="7" activeTab="15" xr2:uid="{00000000-000D-0000-FFFF-FFFF00000000}"/>
  </bookViews>
  <sheets>
    <sheet name="Instructions" sheetId="1" r:id="rId1"/>
    <sheet name="Customers" sheetId="2" r:id="rId2"/>
    <sheet name="Products" sheetId="3" r:id="rId3"/>
    <sheet name="Orders" sheetId="4" r:id="rId4"/>
    <sheet name="DefectName" sheetId="5" r:id="rId5"/>
    <sheet name="HE_DowntimeReason" sheetId="6" r:id="rId6"/>
    <sheet name="CE_LossesReason" sheetId="7" r:id="rId7"/>
    <sheet name="PalletizerReason" sheetId="8" r:id="rId8"/>
    <sheet name="ReworkStatus" sheetId="9" r:id="rId9"/>
    <sheet name="CaseName" sheetId="10" r:id="rId10"/>
    <sheet name="Crew" sheetId="11" r:id="rId11"/>
    <sheet name="Shifts" sheetId="12" r:id="rId12"/>
    <sheet name="Lines" sheetId="13" r:id="rId13"/>
    <sheet name="JobChangeTypes" sheetId="14" r:id="rId14"/>
    <sheet name="Lookups" sheetId="15" r:id="rId15"/>
    <sheet name="AssetScope" sheetId="16" r:id="rId16"/>
    <sheet name="ModelChanges" sheetId="17" r:id="rId17"/>
  </sheets>
  <calcPr calcId="191029"/>
</workbook>
</file>

<file path=xl/calcChain.xml><?xml version="1.0" encoding="utf-8"?>
<calcChain xmlns="http://schemas.openxmlformats.org/spreadsheetml/2006/main">
  <c r="L269" i="16" l="1"/>
  <c r="L268" i="16"/>
  <c r="L267" i="16"/>
  <c r="L266" i="16"/>
  <c r="L265" i="16"/>
  <c r="L264" i="16"/>
  <c r="L263" i="16"/>
  <c r="L262" i="16"/>
  <c r="L261" i="16"/>
  <c r="L260" i="16"/>
  <c r="L259" i="16"/>
  <c r="L258" i="16"/>
  <c r="L257" i="16"/>
  <c r="L256" i="16"/>
  <c r="L255" i="16"/>
  <c r="L254" i="16"/>
  <c r="L253" i="16"/>
  <c r="L252" i="16"/>
  <c r="L251" i="16"/>
  <c r="L250" i="16"/>
  <c r="L249" i="16"/>
  <c r="L248" i="16"/>
  <c r="L247" i="16"/>
  <c r="L246" i="16"/>
  <c r="L245" i="16"/>
  <c r="L244" i="16"/>
  <c r="L243" i="16"/>
  <c r="L242" i="16"/>
  <c r="L241" i="16"/>
  <c r="L240" i="16"/>
  <c r="L239" i="16"/>
  <c r="L238" i="16"/>
  <c r="L237" i="16"/>
  <c r="L236" i="16"/>
  <c r="L235" i="16"/>
  <c r="L234" i="16"/>
  <c r="L233" i="16"/>
  <c r="L232" i="16"/>
  <c r="L231" i="16"/>
  <c r="L230" i="16"/>
  <c r="L229" i="16"/>
  <c r="L228" i="16"/>
  <c r="L227" i="16"/>
  <c r="L226" i="16"/>
  <c r="L225" i="16"/>
  <c r="L224" i="16"/>
  <c r="L223" i="16"/>
  <c r="L222" i="16"/>
  <c r="L221" i="16"/>
  <c r="L220" i="16"/>
  <c r="L219" i="16"/>
  <c r="L218" i="16"/>
  <c r="L217" i="16"/>
  <c r="L216" i="16"/>
  <c r="L215" i="16"/>
  <c r="L214" i="16"/>
  <c r="L213" i="16"/>
  <c r="L212" i="16"/>
  <c r="L211" i="16"/>
  <c r="L210" i="16"/>
  <c r="L209" i="16"/>
  <c r="L208" i="16"/>
  <c r="L207" i="16"/>
  <c r="L206" i="16"/>
  <c r="L205" i="16"/>
  <c r="L204" i="16"/>
  <c r="L203" i="16"/>
  <c r="L202" i="16"/>
  <c r="L201" i="16"/>
  <c r="L200" i="16"/>
  <c r="L199" i="16"/>
  <c r="L198" i="16"/>
  <c r="L197" i="16"/>
  <c r="L196" i="16"/>
  <c r="L195" i="16"/>
  <c r="L194" i="16"/>
  <c r="L193" i="16"/>
  <c r="L192" i="16"/>
  <c r="L191" i="16"/>
  <c r="L190" i="16"/>
  <c r="L189" i="16"/>
  <c r="L188" i="16"/>
  <c r="L187" i="16"/>
  <c r="L186" i="16"/>
  <c r="L185" i="16"/>
  <c r="L184" i="16"/>
  <c r="L183" i="16"/>
  <c r="L182" i="16"/>
  <c r="L181" i="16"/>
  <c r="L180" i="16"/>
  <c r="L179" i="16"/>
  <c r="L178" i="16"/>
  <c r="L177" i="16"/>
  <c r="L176" i="16"/>
  <c r="L175" i="16"/>
  <c r="L174" i="16"/>
  <c r="L173" i="16"/>
  <c r="L172" i="16"/>
  <c r="L171" i="16"/>
  <c r="L170" i="16"/>
  <c r="L169" i="16"/>
  <c r="L168" i="16"/>
  <c r="L167" i="16"/>
  <c r="L166" i="16"/>
  <c r="L165" i="16"/>
  <c r="L164" i="16"/>
  <c r="L163" i="16"/>
  <c r="L162" i="16"/>
  <c r="L161" i="16"/>
  <c r="L160" i="16"/>
  <c r="L159" i="16"/>
  <c r="L158" i="16"/>
  <c r="L157" i="16"/>
  <c r="L156" i="16"/>
  <c r="L155" i="16"/>
  <c r="L154" i="16"/>
  <c r="L153" i="16"/>
  <c r="L152" i="16"/>
  <c r="L151" i="16"/>
  <c r="L150" i="16"/>
  <c r="L149" i="16"/>
  <c r="L148" i="16"/>
  <c r="L147" i="16"/>
  <c r="L146" i="16"/>
  <c r="L145" i="16"/>
  <c r="L144" i="16"/>
  <c r="L143" i="16"/>
  <c r="L142" i="16"/>
  <c r="L141" i="16"/>
  <c r="L140" i="16"/>
  <c r="L139" i="16"/>
  <c r="L138" i="16"/>
  <c r="L137" i="16"/>
  <c r="L136" i="16"/>
  <c r="L135" i="16"/>
  <c r="L134" i="16"/>
  <c r="L133" i="16"/>
  <c r="L132" i="16"/>
  <c r="L131" i="16"/>
  <c r="L130" i="16"/>
  <c r="L129" i="16"/>
  <c r="L128" i="16"/>
  <c r="L127" i="16"/>
  <c r="L126" i="16"/>
  <c r="L125" i="16"/>
  <c r="L124" i="16"/>
  <c r="L123" i="16"/>
  <c r="L122" i="16"/>
  <c r="L121" i="16"/>
  <c r="L120" i="16"/>
  <c r="L119" i="16"/>
  <c r="L118" i="16"/>
  <c r="L117" i="16"/>
  <c r="L116" i="16"/>
  <c r="L115" i="16"/>
  <c r="L114" i="16"/>
  <c r="L113" i="16"/>
  <c r="L112" i="16"/>
  <c r="L111" i="16"/>
  <c r="L110" i="16"/>
  <c r="L109" i="16"/>
  <c r="L108" i="16"/>
  <c r="L107" i="16"/>
  <c r="L106" i="16"/>
  <c r="L105" i="16"/>
  <c r="L104" i="16"/>
  <c r="L103" i="16"/>
  <c r="L102" i="16"/>
  <c r="L101" i="16"/>
  <c r="L100" i="16"/>
  <c r="L99" i="16"/>
  <c r="L98" i="16"/>
  <c r="L97" i="16"/>
  <c r="L96" i="16"/>
  <c r="L95" i="16"/>
  <c r="L94" i="16"/>
  <c r="L93" i="16"/>
  <c r="L92" i="16"/>
  <c r="L91" i="16"/>
  <c r="L90" i="16"/>
  <c r="L89" i="16"/>
  <c r="L88" i="16"/>
  <c r="L87" i="16"/>
  <c r="L86" i="16"/>
  <c r="L85" i="16"/>
  <c r="L84" i="16"/>
  <c r="L83" i="16"/>
  <c r="L82" i="16"/>
  <c r="L81" i="16"/>
  <c r="L80" i="16"/>
  <c r="L79" i="16"/>
  <c r="L78" i="16"/>
  <c r="L77" i="16"/>
  <c r="L76" i="16"/>
  <c r="L75" i="16"/>
  <c r="L74" i="16"/>
  <c r="L73" i="16"/>
  <c r="L72" i="16"/>
  <c r="L71" i="16"/>
  <c r="L70" i="16"/>
  <c r="L69" i="16"/>
  <c r="L68" i="16"/>
  <c r="L67" i="16"/>
  <c r="L66" i="16"/>
  <c r="L65" i="16"/>
  <c r="L64" i="16"/>
  <c r="L63" i="16"/>
  <c r="L62" i="16"/>
  <c r="L61" i="16"/>
  <c r="L60" i="16"/>
  <c r="L59" i="16"/>
  <c r="L58" i="16"/>
  <c r="L57" i="16"/>
  <c r="L56" i="16"/>
  <c r="L55" i="16"/>
  <c r="L54" i="16"/>
  <c r="L53" i="16"/>
  <c r="L52" i="16"/>
  <c r="L51" i="16"/>
  <c r="L50" i="16"/>
  <c r="L49" i="16"/>
  <c r="L48" i="16"/>
  <c r="L47" i="16"/>
  <c r="L46" i="16"/>
  <c r="L45" i="16"/>
  <c r="L44" i="16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L5" i="16"/>
  <c r="F9" i="13"/>
  <c r="F8" i="13"/>
  <c r="F7" i="13"/>
  <c r="F6" i="13"/>
  <c r="F5" i="13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</calcChain>
</file>

<file path=xl/sharedStrings.xml><?xml version="1.0" encoding="utf-8"?>
<sst xmlns="http://schemas.openxmlformats.org/spreadsheetml/2006/main" count="1659" uniqueCount="754">
  <si>
    <t>KANDIL GLASS — MASTER DATA WORKBOOK</t>
  </si>
  <si>
    <t>Owner: Planning / Sales / IT</t>
  </si>
  <si>
    <t>Purpose: Maintain customers, products, orders, job-change types, lines and all dropdown lists.</t>
  </si>
  <si>
    <t>Rules:</t>
  </si>
  <si>
    <t>1. Never change column header names.</t>
  </si>
  <si>
    <t>2. Codes must be unique.</t>
  </si>
  <si>
    <t>3. New codes are added HERE first, then appear in other workbooks' dropdowns.</t>
  </si>
  <si>
    <t>4. Yellow cells = dropdown. Blue cells = input.</t>
  </si>
  <si>
    <t>5. Load this file into Staging BEFORE any daily transactional files.</t>
  </si>
  <si>
    <t>JobChangeType official values: Small, Medium, Big, Process</t>
  </si>
  <si>
    <t>Dataset: one-week subset for DWH / Power BI testing (2025-10-20 to 2025-10-26); synthetic operational data.</t>
  </si>
  <si>
    <t>Master Data — Customers</t>
  </si>
  <si>
    <t>Maps to STG_CUSTOMER → DIM_CUSTOMER</t>
  </si>
  <si>
    <t>One row per customer. CustomerCode must be unique.</t>
  </si>
  <si>
    <t>CustomerCode</t>
  </si>
  <si>
    <t>CustomerName</t>
  </si>
  <si>
    <t>CountryType</t>
  </si>
  <si>
    <t>CUST001</t>
  </si>
  <si>
    <t>Coca-Cola Egypt</t>
  </si>
  <si>
    <t>Local</t>
  </si>
  <si>
    <t>CUST002</t>
  </si>
  <si>
    <t>PepsiCo Egypt</t>
  </si>
  <si>
    <t>CUST003</t>
  </si>
  <si>
    <t>Nestle Waters</t>
  </si>
  <si>
    <t>Export</t>
  </si>
  <si>
    <t>Master Data — Products</t>
  </si>
  <si>
    <t>Maps to STG_PRODUCT → DIM_PRODUCT</t>
  </si>
  <si>
    <t>ProductCode unique. Category = Jar or Bottle. CustomerCode must exist in Customers.</t>
  </si>
  <si>
    <t>ProductCode</t>
  </si>
  <si>
    <t>ProductName</t>
  </si>
  <si>
    <t>Category</t>
  </si>
  <si>
    <t>PRD-JAR-330</t>
  </si>
  <si>
    <t>Jar 330ml Twist-off</t>
  </si>
  <si>
    <t>Jar</t>
  </si>
  <si>
    <t>PRD-BOT-500</t>
  </si>
  <si>
    <t>Bottle 500ml Crown</t>
  </si>
  <si>
    <t>Bottle</t>
  </si>
  <si>
    <t>PRD-JAR-720</t>
  </si>
  <si>
    <t>Jar 720ml Lug Cap</t>
  </si>
  <si>
    <t>Master Data — Orders</t>
  </si>
  <si>
    <t>Maps to STG_ORDER → DIM_ORDER</t>
  </si>
  <si>
    <t>OrderNumber unique. TotalMoltenUnits = Packed + Rejected + Hold.</t>
  </si>
  <si>
    <t>OrderNumber</t>
  </si>
  <si>
    <t>TotalMoltenUnits</t>
  </si>
  <si>
    <t>ORD-2025-00019</t>
  </si>
  <si>
    <t>ORD-2025-00020</t>
  </si>
  <si>
    <t>ORD-2025-00021</t>
  </si>
  <si>
    <t>ORD-2025-00055</t>
  </si>
  <si>
    <t>ORD-2025-00056</t>
  </si>
  <si>
    <t>ORD-2025-00057</t>
  </si>
  <si>
    <t>ORD-2025-00058</t>
  </si>
  <si>
    <t>ORD-2025-00092</t>
  </si>
  <si>
    <t>ORD-2025-00093</t>
  </si>
  <si>
    <t>ORD-2025-00094</t>
  </si>
  <si>
    <t>ORD-2025-00124</t>
  </si>
  <si>
    <t>ORD-2025-00125</t>
  </si>
  <si>
    <t>ORD-2025-00126</t>
  </si>
  <si>
    <t>ORD-2025-00161</t>
  </si>
  <si>
    <t>ORD-2025-00162</t>
  </si>
  <si>
    <t>Master Data — Defects</t>
  </si>
  <si>
    <t>Maps to STG_DEFECT → DIM_DEFECT</t>
  </si>
  <si>
    <t>Maintain only approved values.</t>
  </si>
  <si>
    <t>DefectName</t>
  </si>
  <si>
    <t>Crack</t>
  </si>
  <si>
    <t>Chip</t>
  </si>
  <si>
    <t>Blister</t>
  </si>
  <si>
    <t>Distortion</t>
  </si>
  <si>
    <t>Stone</t>
  </si>
  <si>
    <t>Bird Swing</t>
  </si>
  <si>
    <t>Overpress</t>
  </si>
  <si>
    <t>Thin Wall</t>
  </si>
  <si>
    <t>Choke Neck</t>
  </si>
  <si>
    <t>Master Data — HE Downtime Reasons</t>
  </si>
  <si>
    <t>Reference list for JobChange HE_DowntimeReason</t>
  </si>
  <si>
    <t>HE_DowntimeReason</t>
  </si>
  <si>
    <t>Feeder Temperature Instability</t>
  </si>
  <si>
    <t>Gob Weight Adjustment</t>
  </si>
  <si>
    <t>Shear Mechanism Fault</t>
  </si>
  <si>
    <t>Gob Distributor Jam</t>
  </si>
  <si>
    <t>Mould Cooling Issue</t>
  </si>
  <si>
    <t>Swabbing / Lubrication</t>
  </si>
  <si>
    <t>Blank Mould Change</t>
  </si>
  <si>
    <t>Neck Ring Issue</t>
  </si>
  <si>
    <t>Air Pressure Instability</t>
  </si>
  <si>
    <t>Master Data — CE Loss Reasons</t>
  </si>
  <si>
    <t>Reference list for JobChange CE_LossesReason</t>
  </si>
  <si>
    <t>CE_LossesReason</t>
  </si>
  <si>
    <t>Cross Conveyor Jam</t>
  </si>
  <si>
    <t>Ware Transfer Misalignment</t>
  </si>
  <si>
    <t>Dead Plate Congestion</t>
  </si>
  <si>
    <t>Lehr Loader Delay</t>
  </si>
  <si>
    <t>Conveyor Speed Mismatch</t>
  </si>
  <si>
    <t>Bottle Fall / Tip</t>
  </si>
  <si>
    <t>Sensor Fault</t>
  </si>
  <si>
    <t>Drive / Motor Fault</t>
  </si>
  <si>
    <t>Belt Tracking Issue</t>
  </si>
  <si>
    <t>Master Data — Palletizer Reasons</t>
  </si>
  <si>
    <t>Reference list for JobChange PalletizerReason</t>
  </si>
  <si>
    <t>PalletizerReason</t>
  </si>
  <si>
    <t>Palletizer Robot Fault</t>
  </si>
  <si>
    <t>Layer Pattern Adjustment</t>
  </si>
  <si>
    <t>Pallet Shortage</t>
  </si>
  <si>
    <t>Separator Pad Shortage</t>
  </si>
  <si>
    <t>Pallet Conveyor Jam</t>
  </si>
  <si>
    <t>Film / Hood Fault</t>
  </si>
  <si>
    <t>Gripper / Vacuum Fault</t>
  </si>
  <si>
    <t>Sensor / Photoeye Fault</t>
  </si>
  <si>
    <t>Manual Intervention</t>
  </si>
  <si>
    <t>Master Data — Rework Status</t>
  </si>
  <si>
    <t>Maps to DIM_REWORKSTATUS</t>
  </si>
  <si>
    <t>ReworkStatus</t>
  </si>
  <si>
    <t>Resorted</t>
  </si>
  <si>
    <t>Move to Cullet</t>
  </si>
  <si>
    <t>Master Data — Case Name</t>
  </si>
  <si>
    <t>Reference list for production / losses case</t>
  </si>
  <si>
    <t>CaseName</t>
  </si>
  <si>
    <t>Normal</t>
  </si>
  <si>
    <t>Trial</t>
  </si>
  <si>
    <t>Reworking</t>
  </si>
  <si>
    <t>Master Data — Crew</t>
  </si>
  <si>
    <t>Reference list for production crews</t>
  </si>
  <si>
    <t>Crew</t>
  </si>
  <si>
    <t>A</t>
  </si>
  <si>
    <t>B</t>
  </si>
  <si>
    <t>C</t>
  </si>
  <si>
    <t>Master Data — Shifts</t>
  </si>
  <si>
    <t>Reference list for shifts</t>
  </si>
  <si>
    <t>Shift</t>
  </si>
  <si>
    <t>AM</t>
  </si>
  <si>
    <t>PM</t>
  </si>
  <si>
    <t>Master Data — Production Lines</t>
  </si>
  <si>
    <t>Maps to REF_LINE / DIM_LINE</t>
  </si>
  <si>
    <t>FactoryCode + LineNumber must be unique.</t>
  </si>
  <si>
    <t>FactoryCode</t>
  </si>
  <si>
    <t>LineNumber</t>
  </si>
  <si>
    <t>LineStatus</t>
  </si>
  <si>
    <t>KG01</t>
  </si>
  <si>
    <t>Active</t>
  </si>
  <si>
    <t>Master Data — Job Change Types</t>
  </si>
  <si>
    <t>Maps to STG_JOBCHANGETYPE → DIM_JOBCHANGETYPE</t>
  </si>
  <si>
    <t>Official values: Small, Medium, Big, Process</t>
  </si>
  <si>
    <t>JobChangeTypeName</t>
  </si>
  <si>
    <t>TargetT1_Hrs</t>
  </si>
  <si>
    <t>TargetT2_Hrs</t>
  </si>
  <si>
    <t>Small</t>
  </si>
  <si>
    <t>Medium</t>
  </si>
  <si>
    <t>Big</t>
  </si>
  <si>
    <t>Process</t>
  </si>
  <si>
    <t>Lookup Lists (power dropdowns in other workbooks)</t>
  </si>
  <si>
    <t>Do not delete rows that are in use</t>
  </si>
  <si>
    <t>NEW SECTION/CAVITY MODEL</t>
  </si>
  <si>
    <t>Lines 21–25 physical capability = 13 sections and max 3 cavity positions per section.</t>
  </si>
  <si>
    <t>AssetScope contains all physical Line → Section → Cavity positions.</t>
  </si>
  <si>
    <t>Active sections/cavities remain production-event specific in 02_Supervisor_Log.</t>
  </si>
  <si>
    <t>All additions are additive; do not delete/rename existing Power BI source columns.</t>
  </si>
  <si>
    <t>ProductCustomerCheck</t>
  </si>
  <si>
    <t>Physical capability only; active setup is event-specific.</t>
  </si>
  <si>
    <t>PhysicalSectionsCapability</t>
  </si>
  <si>
    <t>MaxCavityPositionsPerSection</t>
  </si>
  <si>
    <t>CapabilityCheck</t>
  </si>
  <si>
    <t>AssetLevel</t>
  </si>
  <si>
    <t>LossArea</t>
  </si>
  <si>
    <t>ActiveFlag</t>
  </si>
  <si>
    <t>ImpactSource</t>
  </si>
  <si>
    <t>Line</t>
  </si>
  <si>
    <t>T1</t>
  </si>
  <si>
    <t>HistoricalSummary</t>
  </si>
  <si>
    <t>Section</t>
  </si>
  <si>
    <t>T2</t>
  </si>
  <si>
    <t>ManualDetail</t>
  </si>
  <si>
    <t>Cavity</t>
  </si>
  <si>
    <t>HE</t>
  </si>
  <si>
    <t>CE</t>
  </si>
  <si>
    <t>Palletizer</t>
  </si>
  <si>
    <t>PHYSICAL ASSET SCOPE — LINE / SECTION / CAVITY</t>
  </si>
  <si>
    <t>Lines 21–25 capability: 13 sections × max 3 cavity positions. Physical capability ≠ active production setup.</t>
  </si>
  <si>
    <t>AssetScopeKey</t>
  </si>
  <si>
    <t>SectionNumber</t>
  </si>
  <si>
    <t>CavityNumber</t>
  </si>
  <si>
    <t>AssetLabel</t>
  </si>
  <si>
    <t>ParentAssetScopeKey</t>
  </si>
  <si>
    <t>IsPhysicalSlot</t>
  </si>
  <si>
    <t>IntegrityCheck</t>
  </si>
  <si>
    <t>L21</t>
  </si>
  <si>
    <t>Line 21</t>
  </si>
  <si>
    <t>L21-S01</t>
  </si>
  <si>
    <t>Line 21 / Section 01</t>
  </si>
  <si>
    <t>L21-S01-C1</t>
  </si>
  <si>
    <t>Line 21 / Section 01 / Cavity 1</t>
  </si>
  <si>
    <t>L21-S01-C2</t>
  </si>
  <si>
    <t>Line 21 / Section 01 / Cavity 2</t>
  </si>
  <si>
    <t>L21-S01-C3</t>
  </si>
  <si>
    <t>Line 21 / Section 01 / Cavity 3</t>
  </si>
  <si>
    <t>L21-S02</t>
  </si>
  <si>
    <t>Line 21 / Section 02</t>
  </si>
  <si>
    <t>L21-S02-C1</t>
  </si>
  <si>
    <t>Line 21 / Section 02 / Cavity 1</t>
  </si>
  <si>
    <t>L21-S02-C2</t>
  </si>
  <si>
    <t>Line 21 / Section 02 / Cavity 2</t>
  </si>
  <si>
    <t>L21-S02-C3</t>
  </si>
  <si>
    <t>Line 21 / Section 02 / Cavity 3</t>
  </si>
  <si>
    <t>L21-S03</t>
  </si>
  <si>
    <t>Line 21 / Section 03</t>
  </si>
  <si>
    <t>L21-S03-C1</t>
  </si>
  <si>
    <t>Line 21 / Section 03 / Cavity 1</t>
  </si>
  <si>
    <t>L21-S03-C2</t>
  </si>
  <si>
    <t>Line 21 / Section 03 / Cavity 2</t>
  </si>
  <si>
    <t>L21-S03-C3</t>
  </si>
  <si>
    <t>Line 21 / Section 03 / Cavity 3</t>
  </si>
  <si>
    <t>L21-S04</t>
  </si>
  <si>
    <t>Line 21 / Section 04</t>
  </si>
  <si>
    <t>L21-S04-C1</t>
  </si>
  <si>
    <t>Line 21 / Section 04 / Cavity 1</t>
  </si>
  <si>
    <t>L21-S04-C2</t>
  </si>
  <si>
    <t>Line 21 / Section 04 / Cavity 2</t>
  </si>
  <si>
    <t>L21-S04-C3</t>
  </si>
  <si>
    <t>Line 21 / Section 04 / Cavity 3</t>
  </si>
  <si>
    <t>L21-S05</t>
  </si>
  <si>
    <t>Line 21 / Section 05</t>
  </si>
  <si>
    <t>L21-S05-C1</t>
  </si>
  <si>
    <t>Line 21 / Section 05 / Cavity 1</t>
  </si>
  <si>
    <t>L21-S05-C2</t>
  </si>
  <si>
    <t>Line 21 / Section 05 / Cavity 2</t>
  </si>
  <si>
    <t>L21-S05-C3</t>
  </si>
  <si>
    <t>Line 21 / Section 05 / Cavity 3</t>
  </si>
  <si>
    <t>L21-S06</t>
  </si>
  <si>
    <t>Line 21 / Section 06</t>
  </si>
  <si>
    <t>L21-S06-C1</t>
  </si>
  <si>
    <t>Line 21 / Section 06 / Cavity 1</t>
  </si>
  <si>
    <t>L21-S06-C2</t>
  </si>
  <si>
    <t>Line 21 / Section 06 / Cavity 2</t>
  </si>
  <si>
    <t>L21-S06-C3</t>
  </si>
  <si>
    <t>Line 21 / Section 06 / Cavity 3</t>
  </si>
  <si>
    <t>L21-S07</t>
  </si>
  <si>
    <t>Line 21 / Section 07</t>
  </si>
  <si>
    <t>L21-S07-C1</t>
  </si>
  <si>
    <t>Line 21 / Section 07 / Cavity 1</t>
  </si>
  <si>
    <t>L21-S07-C2</t>
  </si>
  <si>
    <t>Line 21 / Section 07 / Cavity 2</t>
  </si>
  <si>
    <t>L21-S07-C3</t>
  </si>
  <si>
    <t>Line 21 / Section 07 / Cavity 3</t>
  </si>
  <si>
    <t>L21-S08</t>
  </si>
  <si>
    <t>Line 21 / Section 08</t>
  </si>
  <si>
    <t>L21-S08-C1</t>
  </si>
  <si>
    <t>Line 21 / Section 08 / Cavity 1</t>
  </si>
  <si>
    <t>L21-S08-C2</t>
  </si>
  <si>
    <t>Line 21 / Section 08 / Cavity 2</t>
  </si>
  <si>
    <t>L21-S08-C3</t>
  </si>
  <si>
    <t>Line 21 / Section 08 / Cavity 3</t>
  </si>
  <si>
    <t>L21-S09</t>
  </si>
  <si>
    <t>Line 21 / Section 09</t>
  </si>
  <si>
    <t>L21-S09-C1</t>
  </si>
  <si>
    <t>Line 21 / Section 09 / Cavity 1</t>
  </si>
  <si>
    <t>L21-S09-C2</t>
  </si>
  <si>
    <t>Line 21 / Section 09 / Cavity 2</t>
  </si>
  <si>
    <t>L21-S09-C3</t>
  </si>
  <si>
    <t>Line 21 / Section 09 / Cavity 3</t>
  </si>
  <si>
    <t>L21-S10</t>
  </si>
  <si>
    <t>Line 21 / Section 10</t>
  </si>
  <si>
    <t>L21-S10-C1</t>
  </si>
  <si>
    <t>Line 21 / Section 10 / Cavity 1</t>
  </si>
  <si>
    <t>L21-S10-C2</t>
  </si>
  <si>
    <t>Line 21 / Section 10 / Cavity 2</t>
  </si>
  <si>
    <t>L21-S10-C3</t>
  </si>
  <si>
    <t>Line 21 / Section 10 / Cavity 3</t>
  </si>
  <si>
    <t>L21-S11</t>
  </si>
  <si>
    <t>Line 21 / Section 11</t>
  </si>
  <si>
    <t>L21-S11-C1</t>
  </si>
  <si>
    <t>Line 21 / Section 11 / Cavity 1</t>
  </si>
  <si>
    <t>L21-S11-C2</t>
  </si>
  <si>
    <t>Line 21 / Section 11 / Cavity 2</t>
  </si>
  <si>
    <t>L21-S11-C3</t>
  </si>
  <si>
    <t>Line 21 / Section 11 / Cavity 3</t>
  </si>
  <si>
    <t>L21-S12</t>
  </si>
  <si>
    <t>Line 21 / Section 12</t>
  </si>
  <si>
    <t>L21-S12-C1</t>
  </si>
  <si>
    <t>Line 21 / Section 12 / Cavity 1</t>
  </si>
  <si>
    <t>L21-S12-C2</t>
  </si>
  <si>
    <t>Line 21 / Section 12 / Cavity 2</t>
  </si>
  <si>
    <t>L21-S12-C3</t>
  </si>
  <si>
    <t>Line 21 / Section 12 / Cavity 3</t>
  </si>
  <si>
    <t>L21-S13</t>
  </si>
  <si>
    <t>Line 21 / Section 13</t>
  </si>
  <si>
    <t>L21-S13-C1</t>
  </si>
  <si>
    <t>Line 21 / Section 13 / Cavity 1</t>
  </si>
  <si>
    <t>L21-S13-C2</t>
  </si>
  <si>
    <t>Line 21 / Section 13 / Cavity 2</t>
  </si>
  <si>
    <t>L21-S13-C3</t>
  </si>
  <si>
    <t>Line 21 / Section 13 / Cavity 3</t>
  </si>
  <si>
    <t>L22</t>
  </si>
  <si>
    <t>Line 22</t>
  </si>
  <si>
    <t>L22-S01</t>
  </si>
  <si>
    <t>Line 22 / Section 01</t>
  </si>
  <si>
    <t>L22-S01-C1</t>
  </si>
  <si>
    <t>Line 22 / Section 01 / Cavity 1</t>
  </si>
  <si>
    <t>L22-S01-C2</t>
  </si>
  <si>
    <t>Line 22 / Section 01 / Cavity 2</t>
  </si>
  <si>
    <t>L22-S01-C3</t>
  </si>
  <si>
    <t>Line 22 / Section 01 / Cavity 3</t>
  </si>
  <si>
    <t>L22-S02</t>
  </si>
  <si>
    <t>Line 22 / Section 02</t>
  </si>
  <si>
    <t>L22-S02-C1</t>
  </si>
  <si>
    <t>Line 22 / Section 02 / Cavity 1</t>
  </si>
  <si>
    <t>L22-S02-C2</t>
  </si>
  <si>
    <t>Line 22 / Section 02 / Cavity 2</t>
  </si>
  <si>
    <t>L22-S02-C3</t>
  </si>
  <si>
    <t>Line 22 / Section 02 / Cavity 3</t>
  </si>
  <si>
    <t>L22-S03</t>
  </si>
  <si>
    <t>Line 22 / Section 03</t>
  </si>
  <si>
    <t>L22-S03-C1</t>
  </si>
  <si>
    <t>Line 22 / Section 03 / Cavity 1</t>
  </si>
  <si>
    <t>L22-S03-C2</t>
  </si>
  <si>
    <t>Line 22 / Section 03 / Cavity 2</t>
  </si>
  <si>
    <t>L22-S03-C3</t>
  </si>
  <si>
    <t>Line 22 / Section 03 / Cavity 3</t>
  </si>
  <si>
    <t>L22-S04</t>
  </si>
  <si>
    <t>Line 22 / Section 04</t>
  </si>
  <si>
    <t>L22-S04-C1</t>
  </si>
  <si>
    <t>Line 22 / Section 04 / Cavity 1</t>
  </si>
  <si>
    <t>L22-S04-C2</t>
  </si>
  <si>
    <t>Line 22 / Section 04 / Cavity 2</t>
  </si>
  <si>
    <t>L22-S04-C3</t>
  </si>
  <si>
    <t>Line 22 / Section 04 / Cavity 3</t>
  </si>
  <si>
    <t>L22-S05</t>
  </si>
  <si>
    <t>Line 22 / Section 05</t>
  </si>
  <si>
    <t>L22-S05-C1</t>
  </si>
  <si>
    <t>Line 22 / Section 05 / Cavity 1</t>
  </si>
  <si>
    <t>L22-S05-C2</t>
  </si>
  <si>
    <t>Line 22 / Section 05 / Cavity 2</t>
  </si>
  <si>
    <t>L22-S05-C3</t>
  </si>
  <si>
    <t>Line 22 / Section 05 / Cavity 3</t>
  </si>
  <si>
    <t>L22-S06</t>
  </si>
  <si>
    <t>Line 22 / Section 06</t>
  </si>
  <si>
    <t>L22-S06-C1</t>
  </si>
  <si>
    <t>Line 22 / Section 06 / Cavity 1</t>
  </si>
  <si>
    <t>L22-S06-C2</t>
  </si>
  <si>
    <t>Line 22 / Section 06 / Cavity 2</t>
  </si>
  <si>
    <t>L22-S06-C3</t>
  </si>
  <si>
    <t>Line 22 / Section 06 / Cavity 3</t>
  </si>
  <si>
    <t>L22-S07</t>
  </si>
  <si>
    <t>Line 22 / Section 07</t>
  </si>
  <si>
    <t>L22-S07-C1</t>
  </si>
  <si>
    <t>Line 22 / Section 07 / Cavity 1</t>
  </si>
  <si>
    <t>L22-S07-C2</t>
  </si>
  <si>
    <t>Line 22 / Section 07 / Cavity 2</t>
  </si>
  <si>
    <t>L22-S07-C3</t>
  </si>
  <si>
    <t>Line 22 / Section 07 / Cavity 3</t>
  </si>
  <si>
    <t>L22-S08</t>
  </si>
  <si>
    <t>Line 22 / Section 08</t>
  </si>
  <si>
    <t>L22-S08-C1</t>
  </si>
  <si>
    <t>Line 22 / Section 08 / Cavity 1</t>
  </si>
  <si>
    <t>L22-S08-C2</t>
  </si>
  <si>
    <t>Line 22 / Section 08 / Cavity 2</t>
  </si>
  <si>
    <t>L22-S08-C3</t>
  </si>
  <si>
    <t>Line 22 / Section 08 / Cavity 3</t>
  </si>
  <si>
    <t>L22-S09</t>
  </si>
  <si>
    <t>Line 22 / Section 09</t>
  </si>
  <si>
    <t>L22-S09-C1</t>
  </si>
  <si>
    <t>Line 22 / Section 09 / Cavity 1</t>
  </si>
  <si>
    <t>L22-S09-C2</t>
  </si>
  <si>
    <t>Line 22 / Section 09 / Cavity 2</t>
  </si>
  <si>
    <t>L22-S09-C3</t>
  </si>
  <si>
    <t>Line 22 / Section 09 / Cavity 3</t>
  </si>
  <si>
    <t>L22-S10</t>
  </si>
  <si>
    <t>Line 22 / Section 10</t>
  </si>
  <si>
    <t>L22-S10-C1</t>
  </si>
  <si>
    <t>Line 22 / Section 10 / Cavity 1</t>
  </si>
  <si>
    <t>L22-S10-C2</t>
  </si>
  <si>
    <t>Line 22 / Section 10 / Cavity 2</t>
  </si>
  <si>
    <t>L22-S10-C3</t>
  </si>
  <si>
    <t>Line 22 / Section 10 / Cavity 3</t>
  </si>
  <si>
    <t>L22-S11</t>
  </si>
  <si>
    <t>Line 22 / Section 11</t>
  </si>
  <si>
    <t>L22-S11-C1</t>
  </si>
  <si>
    <t>Line 22 / Section 11 / Cavity 1</t>
  </si>
  <si>
    <t>L22-S11-C2</t>
  </si>
  <si>
    <t>Line 22 / Section 11 / Cavity 2</t>
  </si>
  <si>
    <t>L22-S11-C3</t>
  </si>
  <si>
    <t>Line 22 / Section 11 / Cavity 3</t>
  </si>
  <si>
    <t>L22-S12</t>
  </si>
  <si>
    <t>Line 22 / Section 12</t>
  </si>
  <si>
    <t>L22-S12-C1</t>
  </si>
  <si>
    <t>Line 22 / Section 12 / Cavity 1</t>
  </si>
  <si>
    <t>L22-S12-C2</t>
  </si>
  <si>
    <t>Line 22 / Section 12 / Cavity 2</t>
  </si>
  <si>
    <t>L22-S12-C3</t>
  </si>
  <si>
    <t>Line 22 / Section 12 / Cavity 3</t>
  </si>
  <si>
    <t>L22-S13</t>
  </si>
  <si>
    <t>Line 22 / Section 13</t>
  </si>
  <si>
    <t>L22-S13-C1</t>
  </si>
  <si>
    <t>Line 22 / Section 13 / Cavity 1</t>
  </si>
  <si>
    <t>L22-S13-C2</t>
  </si>
  <si>
    <t>Line 22 / Section 13 / Cavity 2</t>
  </si>
  <si>
    <t>L22-S13-C3</t>
  </si>
  <si>
    <t>Line 22 / Section 13 / Cavity 3</t>
  </si>
  <si>
    <t>L23</t>
  </si>
  <si>
    <t>Line 23</t>
  </si>
  <si>
    <t>L23-S01</t>
  </si>
  <si>
    <t>Line 23 / Section 01</t>
  </si>
  <si>
    <t>L23-S01-C1</t>
  </si>
  <si>
    <t>Line 23 / Section 01 / Cavity 1</t>
  </si>
  <si>
    <t>L23-S01-C2</t>
  </si>
  <si>
    <t>Line 23 / Section 01 / Cavity 2</t>
  </si>
  <si>
    <t>L23-S01-C3</t>
  </si>
  <si>
    <t>Line 23 / Section 01 / Cavity 3</t>
  </si>
  <si>
    <t>L23-S02</t>
  </si>
  <si>
    <t>Line 23 / Section 02</t>
  </si>
  <si>
    <t>L23-S02-C1</t>
  </si>
  <si>
    <t>Line 23 / Section 02 / Cavity 1</t>
  </si>
  <si>
    <t>L23-S02-C2</t>
  </si>
  <si>
    <t>Line 23 / Section 02 / Cavity 2</t>
  </si>
  <si>
    <t>L23-S02-C3</t>
  </si>
  <si>
    <t>Line 23 / Section 02 / Cavity 3</t>
  </si>
  <si>
    <t>L23-S03</t>
  </si>
  <si>
    <t>Line 23 / Section 03</t>
  </si>
  <si>
    <t>L23-S03-C1</t>
  </si>
  <si>
    <t>Line 23 / Section 03 / Cavity 1</t>
  </si>
  <si>
    <t>L23-S03-C2</t>
  </si>
  <si>
    <t>Line 23 / Section 03 / Cavity 2</t>
  </si>
  <si>
    <t>L23-S03-C3</t>
  </si>
  <si>
    <t>Line 23 / Section 03 / Cavity 3</t>
  </si>
  <si>
    <t>L23-S04</t>
  </si>
  <si>
    <t>Line 23 / Section 04</t>
  </si>
  <si>
    <t>L23-S04-C1</t>
  </si>
  <si>
    <t>Line 23 / Section 04 / Cavity 1</t>
  </si>
  <si>
    <t>L23-S04-C2</t>
  </si>
  <si>
    <t>Line 23 / Section 04 / Cavity 2</t>
  </si>
  <si>
    <t>L23-S04-C3</t>
  </si>
  <si>
    <t>Line 23 / Section 04 / Cavity 3</t>
  </si>
  <si>
    <t>L23-S05</t>
  </si>
  <si>
    <t>Line 23 / Section 05</t>
  </si>
  <si>
    <t>L23-S05-C1</t>
  </si>
  <si>
    <t>Line 23 / Section 05 / Cavity 1</t>
  </si>
  <si>
    <t>L23-S05-C2</t>
  </si>
  <si>
    <t>Line 23 / Section 05 / Cavity 2</t>
  </si>
  <si>
    <t>L23-S05-C3</t>
  </si>
  <si>
    <t>Line 23 / Section 05 / Cavity 3</t>
  </si>
  <si>
    <t>L23-S06</t>
  </si>
  <si>
    <t>Line 23 / Section 06</t>
  </si>
  <si>
    <t>L23-S06-C1</t>
  </si>
  <si>
    <t>Line 23 / Section 06 / Cavity 1</t>
  </si>
  <si>
    <t>L23-S06-C2</t>
  </si>
  <si>
    <t>Line 23 / Section 06 / Cavity 2</t>
  </si>
  <si>
    <t>L23-S06-C3</t>
  </si>
  <si>
    <t>Line 23 / Section 06 / Cavity 3</t>
  </si>
  <si>
    <t>L23-S07</t>
  </si>
  <si>
    <t>Line 23 / Section 07</t>
  </si>
  <si>
    <t>L23-S07-C1</t>
  </si>
  <si>
    <t>Line 23 / Section 07 / Cavity 1</t>
  </si>
  <si>
    <t>L23-S07-C2</t>
  </si>
  <si>
    <t>Line 23 / Section 07 / Cavity 2</t>
  </si>
  <si>
    <t>L23-S07-C3</t>
  </si>
  <si>
    <t>Line 23 / Section 07 / Cavity 3</t>
  </si>
  <si>
    <t>L23-S08</t>
  </si>
  <si>
    <t>Line 23 / Section 08</t>
  </si>
  <si>
    <t>L23-S08-C1</t>
  </si>
  <si>
    <t>Line 23 / Section 08 / Cavity 1</t>
  </si>
  <si>
    <t>L23-S08-C2</t>
  </si>
  <si>
    <t>Line 23 / Section 08 / Cavity 2</t>
  </si>
  <si>
    <t>L23-S08-C3</t>
  </si>
  <si>
    <t>Line 23 / Section 08 / Cavity 3</t>
  </si>
  <si>
    <t>L23-S09</t>
  </si>
  <si>
    <t>Line 23 / Section 09</t>
  </si>
  <si>
    <t>L23-S09-C1</t>
  </si>
  <si>
    <t>Line 23 / Section 09 / Cavity 1</t>
  </si>
  <si>
    <t>L23-S09-C2</t>
  </si>
  <si>
    <t>Line 23 / Section 09 / Cavity 2</t>
  </si>
  <si>
    <t>L23-S09-C3</t>
  </si>
  <si>
    <t>Line 23 / Section 09 / Cavity 3</t>
  </si>
  <si>
    <t>L23-S10</t>
  </si>
  <si>
    <t>Line 23 / Section 10</t>
  </si>
  <si>
    <t>L23-S10-C1</t>
  </si>
  <si>
    <t>Line 23 / Section 10 / Cavity 1</t>
  </si>
  <si>
    <t>L23-S10-C2</t>
  </si>
  <si>
    <t>Line 23 / Section 10 / Cavity 2</t>
  </si>
  <si>
    <t>L23-S10-C3</t>
  </si>
  <si>
    <t>Line 23 / Section 10 / Cavity 3</t>
  </si>
  <si>
    <t>L23-S11</t>
  </si>
  <si>
    <t>Line 23 / Section 11</t>
  </si>
  <si>
    <t>L23-S11-C1</t>
  </si>
  <si>
    <t>Line 23 / Section 11 / Cavity 1</t>
  </si>
  <si>
    <t>L23-S11-C2</t>
  </si>
  <si>
    <t>Line 23 / Section 11 / Cavity 2</t>
  </si>
  <si>
    <t>L23-S11-C3</t>
  </si>
  <si>
    <t>Line 23 / Section 11 / Cavity 3</t>
  </si>
  <si>
    <t>L23-S12</t>
  </si>
  <si>
    <t>Line 23 / Section 12</t>
  </si>
  <si>
    <t>L23-S12-C1</t>
  </si>
  <si>
    <t>Line 23 / Section 12 / Cavity 1</t>
  </si>
  <si>
    <t>L23-S12-C2</t>
  </si>
  <si>
    <t>Line 23 / Section 12 / Cavity 2</t>
  </si>
  <si>
    <t>L23-S12-C3</t>
  </si>
  <si>
    <t>Line 23 / Section 12 / Cavity 3</t>
  </si>
  <si>
    <t>L23-S13</t>
  </si>
  <si>
    <t>Line 23 / Section 13</t>
  </si>
  <si>
    <t>L23-S13-C1</t>
  </si>
  <si>
    <t>Line 23 / Section 13 / Cavity 1</t>
  </si>
  <si>
    <t>L23-S13-C2</t>
  </si>
  <si>
    <t>Line 23 / Section 13 / Cavity 2</t>
  </si>
  <si>
    <t>L23-S13-C3</t>
  </si>
  <si>
    <t>Line 23 / Section 13 / Cavity 3</t>
  </si>
  <si>
    <t>L24</t>
  </si>
  <si>
    <t>Line 24</t>
  </si>
  <si>
    <t>L24-S01</t>
  </si>
  <si>
    <t>Line 24 / Section 01</t>
  </si>
  <si>
    <t>L24-S01-C1</t>
  </si>
  <si>
    <t>Line 24 / Section 01 / Cavity 1</t>
  </si>
  <si>
    <t>L24-S01-C2</t>
  </si>
  <si>
    <t>Line 24 / Section 01 / Cavity 2</t>
  </si>
  <si>
    <t>L24-S01-C3</t>
  </si>
  <si>
    <t>Line 24 / Section 01 / Cavity 3</t>
  </si>
  <si>
    <t>L24-S02</t>
  </si>
  <si>
    <t>Line 24 / Section 02</t>
  </si>
  <si>
    <t>L24-S02-C1</t>
  </si>
  <si>
    <t>Line 24 / Section 02 / Cavity 1</t>
  </si>
  <si>
    <t>L24-S02-C2</t>
  </si>
  <si>
    <t>Line 24 / Section 02 / Cavity 2</t>
  </si>
  <si>
    <t>L24-S02-C3</t>
  </si>
  <si>
    <t>Line 24 / Section 02 / Cavity 3</t>
  </si>
  <si>
    <t>L24-S03</t>
  </si>
  <si>
    <t>Line 24 / Section 03</t>
  </si>
  <si>
    <t>L24-S03-C1</t>
  </si>
  <si>
    <t>Line 24 / Section 03 / Cavity 1</t>
  </si>
  <si>
    <t>L24-S03-C2</t>
  </si>
  <si>
    <t>Line 24 / Section 03 / Cavity 2</t>
  </si>
  <si>
    <t>L24-S03-C3</t>
  </si>
  <si>
    <t>Line 24 / Section 03 / Cavity 3</t>
  </si>
  <si>
    <t>L24-S04</t>
  </si>
  <si>
    <t>Line 24 / Section 04</t>
  </si>
  <si>
    <t>L24-S04-C1</t>
  </si>
  <si>
    <t>Line 24 / Section 04 / Cavity 1</t>
  </si>
  <si>
    <t>L24-S04-C2</t>
  </si>
  <si>
    <t>Line 24 / Section 04 / Cavity 2</t>
  </si>
  <si>
    <t>L24-S04-C3</t>
  </si>
  <si>
    <t>Line 24 / Section 04 / Cavity 3</t>
  </si>
  <si>
    <t>L24-S05</t>
  </si>
  <si>
    <t>Line 24 / Section 05</t>
  </si>
  <si>
    <t>L24-S05-C1</t>
  </si>
  <si>
    <t>Line 24 / Section 05 / Cavity 1</t>
  </si>
  <si>
    <t>L24-S05-C2</t>
  </si>
  <si>
    <t>Line 24 / Section 05 / Cavity 2</t>
  </si>
  <si>
    <t>L24-S05-C3</t>
  </si>
  <si>
    <t>Line 24 / Section 05 / Cavity 3</t>
  </si>
  <si>
    <t>L24-S06</t>
  </si>
  <si>
    <t>Line 24 / Section 06</t>
  </si>
  <si>
    <t>L24-S06-C1</t>
  </si>
  <si>
    <t>Line 24 / Section 06 / Cavity 1</t>
  </si>
  <si>
    <t>L24-S06-C2</t>
  </si>
  <si>
    <t>Line 24 / Section 06 / Cavity 2</t>
  </si>
  <si>
    <t>L24-S06-C3</t>
  </si>
  <si>
    <t>Line 24 / Section 06 / Cavity 3</t>
  </si>
  <si>
    <t>L24-S07</t>
  </si>
  <si>
    <t>Line 24 / Section 07</t>
  </si>
  <si>
    <t>L24-S07-C1</t>
  </si>
  <si>
    <t>Line 24 / Section 07 / Cavity 1</t>
  </si>
  <si>
    <t>L24-S07-C2</t>
  </si>
  <si>
    <t>Line 24 / Section 07 / Cavity 2</t>
  </si>
  <si>
    <t>L24-S07-C3</t>
  </si>
  <si>
    <t>Line 24 / Section 07 / Cavity 3</t>
  </si>
  <si>
    <t>L24-S08</t>
  </si>
  <si>
    <t>Line 24 / Section 08</t>
  </si>
  <si>
    <t>L24-S08-C1</t>
  </si>
  <si>
    <t>Line 24 / Section 08 / Cavity 1</t>
  </si>
  <si>
    <t>L24-S08-C2</t>
  </si>
  <si>
    <t>Line 24 / Section 08 / Cavity 2</t>
  </si>
  <si>
    <t>L24-S08-C3</t>
  </si>
  <si>
    <t>Line 24 / Section 08 / Cavity 3</t>
  </si>
  <si>
    <t>L24-S09</t>
  </si>
  <si>
    <t>Line 24 / Section 09</t>
  </si>
  <si>
    <t>L24-S09-C1</t>
  </si>
  <si>
    <t>Line 24 / Section 09 / Cavity 1</t>
  </si>
  <si>
    <t>L24-S09-C2</t>
  </si>
  <si>
    <t>Line 24 / Section 09 / Cavity 2</t>
  </si>
  <si>
    <t>L24-S09-C3</t>
  </si>
  <si>
    <t>Line 24 / Section 09 / Cavity 3</t>
  </si>
  <si>
    <t>L24-S10</t>
  </si>
  <si>
    <t>Line 24 / Section 10</t>
  </si>
  <si>
    <t>L24-S10-C1</t>
  </si>
  <si>
    <t>Line 24 / Section 10 / Cavity 1</t>
  </si>
  <si>
    <t>L24-S10-C2</t>
  </si>
  <si>
    <t>Line 24 / Section 10 / Cavity 2</t>
  </si>
  <si>
    <t>L24-S10-C3</t>
  </si>
  <si>
    <t>Line 24 / Section 10 / Cavity 3</t>
  </si>
  <si>
    <t>L24-S11</t>
  </si>
  <si>
    <t>Line 24 / Section 11</t>
  </si>
  <si>
    <t>L24-S11-C1</t>
  </si>
  <si>
    <t>Line 24 / Section 11 / Cavity 1</t>
  </si>
  <si>
    <t>L24-S11-C2</t>
  </si>
  <si>
    <t>Line 24 / Section 11 / Cavity 2</t>
  </si>
  <si>
    <t>L24-S11-C3</t>
  </si>
  <si>
    <t>Line 24 / Section 11 / Cavity 3</t>
  </si>
  <si>
    <t>L24-S12</t>
  </si>
  <si>
    <t>Line 24 / Section 12</t>
  </si>
  <si>
    <t>L24-S12-C1</t>
  </si>
  <si>
    <t>Line 24 / Section 12 / Cavity 1</t>
  </si>
  <si>
    <t>L24-S12-C2</t>
  </si>
  <si>
    <t>Line 24 / Section 12 / Cavity 2</t>
  </si>
  <si>
    <t>L24-S12-C3</t>
  </si>
  <si>
    <t>Line 24 / Section 12 / Cavity 3</t>
  </si>
  <si>
    <t>L24-S13</t>
  </si>
  <si>
    <t>Line 24 / Section 13</t>
  </si>
  <si>
    <t>L24-S13-C1</t>
  </si>
  <si>
    <t>Line 24 / Section 13 / Cavity 1</t>
  </si>
  <si>
    <t>L24-S13-C2</t>
  </si>
  <si>
    <t>Line 24 / Section 13 / Cavity 2</t>
  </si>
  <si>
    <t>L24-S13-C3</t>
  </si>
  <si>
    <t>Line 24 / Section 13 / Cavity 3</t>
  </si>
  <si>
    <t>L25</t>
  </si>
  <si>
    <t>Line 25</t>
  </si>
  <si>
    <t>L25-S01</t>
  </si>
  <si>
    <t>Line 25 / Section 01</t>
  </si>
  <si>
    <t>L25-S01-C1</t>
  </si>
  <si>
    <t>Line 25 / Section 01 / Cavity 1</t>
  </si>
  <si>
    <t>L25-S01-C2</t>
  </si>
  <si>
    <t>Line 25 / Section 01 / Cavity 2</t>
  </si>
  <si>
    <t>L25-S01-C3</t>
  </si>
  <si>
    <t>Line 25 / Section 01 / Cavity 3</t>
  </si>
  <si>
    <t>L25-S02</t>
  </si>
  <si>
    <t>Line 25 / Section 02</t>
  </si>
  <si>
    <t>L25-S02-C1</t>
  </si>
  <si>
    <t>Line 25 / Section 02 / Cavity 1</t>
  </si>
  <si>
    <t>L25-S02-C2</t>
  </si>
  <si>
    <t>Line 25 / Section 02 / Cavity 2</t>
  </si>
  <si>
    <t>L25-S02-C3</t>
  </si>
  <si>
    <t>Line 25 / Section 02 / Cavity 3</t>
  </si>
  <si>
    <t>L25-S03</t>
  </si>
  <si>
    <t>Line 25 / Section 03</t>
  </si>
  <si>
    <t>L25-S03-C1</t>
  </si>
  <si>
    <t>Line 25 / Section 03 / Cavity 1</t>
  </si>
  <si>
    <t>L25-S03-C2</t>
  </si>
  <si>
    <t>Line 25 / Section 03 / Cavity 2</t>
  </si>
  <si>
    <t>L25-S03-C3</t>
  </si>
  <si>
    <t>Line 25 / Section 03 / Cavity 3</t>
  </si>
  <si>
    <t>L25-S04</t>
  </si>
  <si>
    <t>Line 25 / Section 04</t>
  </si>
  <si>
    <t>L25-S04-C1</t>
  </si>
  <si>
    <t>Line 25 / Section 04 / Cavity 1</t>
  </si>
  <si>
    <t>L25-S04-C2</t>
  </si>
  <si>
    <t>Line 25 / Section 04 / Cavity 2</t>
  </si>
  <si>
    <t>L25-S04-C3</t>
  </si>
  <si>
    <t>Line 25 / Section 04 / Cavity 3</t>
  </si>
  <si>
    <t>L25-S05</t>
  </si>
  <si>
    <t>Line 25 / Section 05</t>
  </si>
  <si>
    <t>L25-S05-C1</t>
  </si>
  <si>
    <t>Line 25 / Section 05 / Cavity 1</t>
  </si>
  <si>
    <t>L25-S05-C2</t>
  </si>
  <si>
    <t>Line 25 / Section 05 / Cavity 2</t>
  </si>
  <si>
    <t>L25-S05-C3</t>
  </si>
  <si>
    <t>Line 25 / Section 05 / Cavity 3</t>
  </si>
  <si>
    <t>L25-S06</t>
  </si>
  <si>
    <t>Line 25 / Section 06</t>
  </si>
  <si>
    <t>L25-S06-C1</t>
  </si>
  <si>
    <t>Line 25 / Section 06 / Cavity 1</t>
  </si>
  <si>
    <t>L25-S06-C2</t>
  </si>
  <si>
    <t>Line 25 / Section 06 / Cavity 2</t>
  </si>
  <si>
    <t>L25-S06-C3</t>
  </si>
  <si>
    <t>Line 25 / Section 06 / Cavity 3</t>
  </si>
  <si>
    <t>L25-S07</t>
  </si>
  <si>
    <t>Line 25 / Section 07</t>
  </si>
  <si>
    <t>L25-S07-C1</t>
  </si>
  <si>
    <t>Line 25 / Section 07 / Cavity 1</t>
  </si>
  <si>
    <t>L25-S07-C2</t>
  </si>
  <si>
    <t>Line 25 / Section 07 / Cavity 2</t>
  </si>
  <si>
    <t>L25-S07-C3</t>
  </si>
  <si>
    <t>Line 25 / Section 07 / Cavity 3</t>
  </si>
  <si>
    <t>L25-S08</t>
  </si>
  <si>
    <t>Line 25 / Section 08</t>
  </si>
  <si>
    <t>L25-S08-C1</t>
  </si>
  <si>
    <t>Line 25 / Section 08 / Cavity 1</t>
  </si>
  <si>
    <t>L25-S08-C2</t>
  </si>
  <si>
    <t>Line 25 / Section 08 / Cavity 2</t>
  </si>
  <si>
    <t>L25-S08-C3</t>
  </si>
  <si>
    <t>Line 25 / Section 08 / Cavity 3</t>
  </si>
  <si>
    <t>L25-S09</t>
  </si>
  <si>
    <t>Line 25 / Section 09</t>
  </si>
  <si>
    <t>L25-S09-C1</t>
  </si>
  <si>
    <t>Line 25 / Section 09 / Cavity 1</t>
  </si>
  <si>
    <t>L25-S09-C2</t>
  </si>
  <si>
    <t>Line 25 / Section 09 / Cavity 2</t>
  </si>
  <si>
    <t>L25-S09-C3</t>
  </si>
  <si>
    <t>Line 25 / Section 09 / Cavity 3</t>
  </si>
  <si>
    <t>L25-S10</t>
  </si>
  <si>
    <t>Line 25 / Section 10</t>
  </si>
  <si>
    <t>L25-S10-C1</t>
  </si>
  <si>
    <t>Line 25 / Section 10 / Cavity 1</t>
  </si>
  <si>
    <t>L25-S10-C2</t>
  </si>
  <si>
    <t>Line 25 / Section 10 / Cavity 2</t>
  </si>
  <si>
    <t>L25-S10-C3</t>
  </si>
  <si>
    <t>Line 25 / Section 10 / Cavity 3</t>
  </si>
  <si>
    <t>L25-S11</t>
  </si>
  <si>
    <t>Line 25 / Section 11</t>
  </si>
  <si>
    <t>L25-S11-C1</t>
  </si>
  <si>
    <t>Line 25 / Section 11 / Cavity 1</t>
  </si>
  <si>
    <t>L25-S11-C2</t>
  </si>
  <si>
    <t>Line 25 / Section 11 / Cavity 2</t>
  </si>
  <si>
    <t>L25-S11-C3</t>
  </si>
  <si>
    <t>Line 25 / Section 11 / Cavity 3</t>
  </si>
  <si>
    <t>L25-S12</t>
  </si>
  <si>
    <t>Line 25 / Section 12</t>
  </si>
  <si>
    <t>L25-S12-C1</t>
  </si>
  <si>
    <t>Line 25 / Section 12 / Cavity 1</t>
  </si>
  <si>
    <t>L25-S12-C2</t>
  </si>
  <si>
    <t>Line 25 / Section 12 / Cavity 2</t>
  </si>
  <si>
    <t>L25-S12-C3</t>
  </si>
  <si>
    <t>Line 25 / Section 12 / Cavity 3</t>
  </si>
  <si>
    <t>L25-S13</t>
  </si>
  <si>
    <t>Line 25 / Section 13</t>
  </si>
  <si>
    <t>L25-S13-C1</t>
  </si>
  <si>
    <t>Line 25 / Section 13 / Cavity 1</t>
  </si>
  <si>
    <t>L25-S13-C2</t>
  </si>
  <si>
    <t>Line 25 / Section 13 / Cavity 2</t>
  </si>
  <si>
    <t>L25-S13-C3</t>
  </si>
  <si>
    <t>Line 25 / Section 13 / Cavity 3</t>
  </si>
  <si>
    <t>MODEL EXTENSION — SECTION/CAVITY JOB CHANGE ANALYSIS</t>
  </si>
  <si>
    <t>Component</t>
  </si>
  <si>
    <t>Workbook/Sheet</t>
  </si>
  <si>
    <t>Grain</t>
  </si>
  <si>
    <t>Purpose</t>
  </si>
  <si>
    <t>Power BI role</t>
  </si>
  <si>
    <t>Rule</t>
  </si>
  <si>
    <t>Physical capability</t>
  </si>
  <si>
    <t>01_MasterData / Lines</t>
  </si>
  <si>
    <t>13 sections / max 3 cavity positions</t>
  </si>
  <si>
    <t>DIM_LINE attributes</t>
  </si>
  <si>
    <t>Capability ≠ active setup</t>
  </si>
  <si>
    <t>Asset hierarchy</t>
  </si>
  <si>
    <t>01_MasterData / AssetScope</t>
  </si>
  <si>
    <t>Physical asset</t>
  </si>
  <si>
    <t>Line→Section→Cavity hierarchy</t>
  </si>
  <si>
    <t>DIM_ASSET_SCOPE</t>
  </si>
  <si>
    <t>No false production precision</t>
  </si>
  <si>
    <t>Production event ID</t>
  </si>
  <si>
    <t>02_Supervisor_Log / DailyProduction</t>
  </si>
  <si>
    <t>Production event</t>
  </si>
  <si>
    <t>Stable parent key</t>
  </si>
  <si>
    <t>Existing FACT_PRODUCTION + key</t>
  </si>
  <si>
    <t>Original grain unchanged</t>
  </si>
  <si>
    <t>Production configuration</t>
  </si>
  <si>
    <t>02_Supervisor_Log / ProductionConfiguration</t>
  </si>
  <si>
    <t>Event × Section</t>
  </si>
  <si>
    <t>Exact active cavity flags</t>
  </si>
  <si>
    <t>New detail bridge/fact</t>
  </si>
  <si>
    <t>Unpivot cavity flags in Power Query</t>
  </si>
  <si>
    <t>Job change event ID</t>
  </si>
  <si>
    <t>02_Supervisor_Log / JobChange</t>
  </si>
  <si>
    <t>Job change event</t>
  </si>
  <si>
    <t>Existing FACT_JOBCHANGE + key</t>
  </si>
  <si>
    <t>Existing measures remain</t>
  </si>
  <si>
    <t>Job change impact</t>
  </si>
  <si>
    <t>02_Supervisor_Log / JobChangeImpact</t>
  </si>
  <si>
    <t>Impact record</t>
  </si>
  <si>
    <t>Where loss occurred</t>
  </si>
  <si>
    <t>New FACT_JOBCHANGE_IMPACT</t>
  </si>
  <si>
    <t>Use capacity-weighted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</si>
</sst>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1F4E78"/>
      <name val="Carlito"/>
    </font>
    <font>
      <b/>
      <sz val="11"/>
      <name val="Carlito"/>
    </font>
    <font>
      <b/>
      <sz val="11"/>
      <color rgb="FFC00000"/>
      <name val="Carlito"/>
    </font>
    <font>
      <i/>
      <sz val="11"/>
      <color rgb="FF666666"/>
      <name val="Carlito"/>
    </font>
    <font>
      <b/>
      <sz val="11"/>
      <color rgb="FFFFFFFF"/>
      <name val="Carlito"/>
    </font>
    <font>
      <b/>
      <sz val="14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02326"/>
      </patternFill>
    </fill>
    <fill>
      <patternFill patternType="solid">
        <fgColor rgb="FF3034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6" fillId="3" borderId="0" xfId="0" applyFont="1" applyFill="1"/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30343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ustomers" displayName="Customers" ref="A4:C7" totalsRowShown="0">
  <tableColumns count="3">
    <tableColumn id="1" xr3:uid="{00000000-0010-0000-0000-000001000000}" name="CustomerCode"/>
    <tableColumn id="2" xr3:uid="{00000000-0010-0000-0000-000002000000}" name="CustomerName"/>
    <tableColumn id="3" xr3:uid="{00000000-0010-0000-0000-000003000000}" name="Country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s" displayName="Products" ref="A4:D7" totalsRowShown="0">
  <tableColumns count="4">
    <tableColumn id="1" xr3:uid="{00000000-0010-0000-0100-000001000000}" name="ProductCode"/>
    <tableColumn id="2" xr3:uid="{00000000-0010-0000-0100-000002000000}" name="ProductName"/>
    <tableColumn id="3" xr3:uid="{00000000-0010-0000-0100-000003000000}" name="Category"/>
    <tableColumn id="4" xr3:uid="{00000000-0010-0000-0100-000004000000}" name="CustomerCod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rders" displayName="Orders" ref="A4:D19" totalsRowShown="0">
  <tableColumns count="4">
    <tableColumn id="1" xr3:uid="{00000000-0010-0000-0200-000001000000}" name="OrderNumber"/>
    <tableColumn id="2" xr3:uid="{00000000-0010-0000-0200-000002000000}" name="ProductCode"/>
    <tableColumn id="3" xr3:uid="{00000000-0010-0000-0200-000003000000}" name="CustomerCode"/>
    <tableColumn id="4" xr3:uid="{00000000-0010-0000-0200-000004000000}" name="TotalMoltenUni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fectName" displayName="DefectName" ref="A4:A13" totalsRowShown="0">
  <tableColumns count="1">
    <tableColumn id="1" xr3:uid="{00000000-0010-0000-0300-000001000000}" name="DefectNam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HE_DowntimeReason" displayName="HE_DowntimeReason" ref="A4:A13" totalsRowShown="0">
  <tableColumns count="1">
    <tableColumn id="1" xr3:uid="{00000000-0010-0000-0400-000001000000}" name="HE_DowntimeReas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E_LossesReason" displayName="CE_LossesReason" ref="A4:A13" totalsRowShown="0">
  <tableColumns count="1">
    <tableColumn id="1" xr3:uid="{00000000-0010-0000-0500-000001000000}" name="CE_Losses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PalletizerReason" displayName="PalletizerReason" ref="A4:A13" totalsRowShown="0">
  <tableColumns count="1">
    <tableColumn id="1" xr3:uid="{00000000-0010-0000-0600-000001000000}" name="PalletizerReas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ReworkStatus" displayName="ReworkStatus" ref="A4:A6" totalsRowShown="0">
  <tableColumns count="1">
    <tableColumn id="1" xr3:uid="{00000000-0010-0000-0700-000001000000}" name="Rework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CaseName" displayName="CaseName" ref="A4:A7" totalsRowShown="0">
  <tableColumns count="1">
    <tableColumn id="1" xr3:uid="{00000000-0010-0000-0800-000001000000}" name="CaseNam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rew" displayName="Crew" ref="A4:A7" totalsRowShown="0">
  <tableColumns count="1">
    <tableColumn id="1" xr3:uid="{00000000-0010-0000-0900-000001000000}" name="Crew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Shift" displayName="Shift" ref="A4:A6" totalsRowShown="0">
  <tableColumns count="1">
    <tableColumn id="1" xr3:uid="{00000000-0010-0000-0A00-000001000000}" name="Shif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Lines" displayName="Lines" ref="A4:C9" totalsRowShown="0">
  <tableColumns count="3">
    <tableColumn id="1" xr3:uid="{00000000-0010-0000-0B00-000001000000}" name="FactoryCode"/>
    <tableColumn id="2" xr3:uid="{00000000-0010-0000-0B00-000002000000}" name="LineNumber"/>
    <tableColumn id="3" xr3:uid="{00000000-0010-0000-0B00-000003000000}" name="LineStatu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JobChangeTypes" displayName="JobChangeTypes" ref="A4:C8" totalsRowShown="0">
  <tableColumns count="3">
    <tableColumn id="1" xr3:uid="{00000000-0010-0000-0C00-000001000000}" name="JobChangeTypeName"/>
    <tableColumn id="2" xr3:uid="{00000000-0010-0000-0C00-000002000000}" name="TargetT1_Hrs"/>
    <tableColumn id="3" xr3:uid="{00000000-0010-0000-0C00-000003000000}" name="TargetT2_H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CFDA1BD-9862-496A-ADF0-E17BDB0A9B03}" name="AssetScope" displayName="AssetScope" ref="A4:L269" totalsRowShown="0" headerRowDxfId="0">
  <autoFilter ref="A4:L269" xr:uid="{2CFDA1BD-9862-496A-ADF0-E17BDB0A9B03}"/>
  <tableColumns count="12">
    <tableColumn id="1" xr3:uid="{5F9D246A-9116-4F90-9F8F-9BE725B202B7}" name="AssetScopeKey"/>
    <tableColumn id="2" xr3:uid="{D9D3CA8D-037B-4BF5-920E-5E90DC1B29C2}" name="FactoryCode"/>
    <tableColumn id="3" xr3:uid="{3988C136-BD65-496D-B343-2B6582DE0200}" name="LineNumber"/>
    <tableColumn id="4" xr3:uid="{9A3E45ED-E0B9-4F05-9B4B-0D55C8348E0E}" name="SectionNumber"/>
    <tableColumn id="5" xr3:uid="{37C52657-AE76-4F36-BD43-97A82610FEB1}" name="CavityNumber"/>
    <tableColumn id="6" xr3:uid="{9B2D81C6-8BDC-4B0B-A082-DD7936994DF2}" name="AssetLevel"/>
    <tableColumn id="7" xr3:uid="{6DE376DD-9C72-48F4-B7A5-9140BA784EB9}" name="AssetLabel"/>
    <tableColumn id="8" xr3:uid="{CE494FF3-771A-45D1-A4B1-ABB0E59E09AA}" name="ParentAssetScopeKey"/>
    <tableColumn id="9" xr3:uid="{9EB4B5A1-E2CF-4BBA-83B8-93F3DF9B899F}" name="PhysicalSectionsCapability"/>
    <tableColumn id="10" xr3:uid="{2AB2A040-712E-4C04-9F5E-43AC89CA467C}" name="MaxCavityPositionsPerSection"/>
    <tableColumn id="11" xr3:uid="{BEAC377F-87D8-4E94-9097-FB3D9208C21A}" name="IsPhysicalSlot"/>
    <tableColumn id="12" xr3:uid="{07145B7F-5DC7-4A87-8CB3-E1A6F3CF13F5}" name="IntegrityCheck">
      <calculatedColumnFormula>IF(OR(F5="Line",AND(F5="Section",D5&gt;=1,D5&lt;=I5,E5=""),AND(F5="Cavity",D5&gt;=1,D5&lt;=I5,E5&gt;=1,E5&lt;=J5)),"OK","CHECK")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workbookViewId="0"/>
  </sheetViews>
  <sheetFormatPr defaultRowHeight="14.25"/>
  <cols>
    <col min="1" max="1" width="115" customWidth="1"/>
  </cols>
  <sheetData>
    <row r="1" spans="1:1" ht="20.25">
      <c r="A1" s="2" t="s">
        <v>0</v>
      </c>
    </row>
    <row r="2" spans="1:1">
      <c r="A2" s="3"/>
    </row>
    <row r="3" spans="1:1">
      <c r="A3" s="3" t="s">
        <v>1</v>
      </c>
    </row>
    <row r="4" spans="1:1">
      <c r="A4" s="3"/>
    </row>
    <row r="5" spans="1:1">
      <c r="A5" s="3" t="s">
        <v>2</v>
      </c>
    </row>
    <row r="6" spans="1:1">
      <c r="A6" s="3"/>
    </row>
    <row r="7" spans="1:1" ht="15">
      <c r="A7" s="4" t="s">
        <v>3</v>
      </c>
    </row>
    <row r="8" spans="1:1">
      <c r="A8" s="3" t="s">
        <v>4</v>
      </c>
    </row>
    <row r="9" spans="1:1">
      <c r="A9" s="3" t="s">
        <v>5</v>
      </c>
    </row>
    <row r="10" spans="1:1">
      <c r="A10" s="3" t="s">
        <v>6</v>
      </c>
    </row>
    <row r="11" spans="1:1">
      <c r="A11" s="3" t="s">
        <v>7</v>
      </c>
    </row>
    <row r="12" spans="1:1">
      <c r="A12" s="3" t="s">
        <v>8</v>
      </c>
    </row>
    <row r="13" spans="1:1">
      <c r="A13" s="3"/>
    </row>
    <row r="14" spans="1:1">
      <c r="A14" s="3" t="s">
        <v>9</v>
      </c>
    </row>
    <row r="15" spans="1:1">
      <c r="A15" s="3"/>
    </row>
    <row r="16" spans="1:1">
      <c r="A16" s="3" t="s">
        <v>10</v>
      </c>
    </row>
    <row r="18" spans="1:1">
      <c r="A18" t="s">
        <v>150</v>
      </c>
    </row>
    <row r="19" spans="1:1">
      <c r="A19" t="s">
        <v>151</v>
      </c>
    </row>
    <row r="20" spans="1:1">
      <c r="A20" t="s">
        <v>152</v>
      </c>
    </row>
    <row r="21" spans="1:1">
      <c r="A21" t="s">
        <v>153</v>
      </c>
    </row>
    <row r="22" spans="1:1">
      <c r="A22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25"/>
  <cols>
    <col min="1" max="1" width="16" customWidth="1"/>
    <col min="2" max="2" width="28" customWidth="1"/>
    <col min="3" max="3" width="14" customWidth="1"/>
  </cols>
  <sheetData>
    <row r="1" spans="1:3" ht="24" customHeight="1">
      <c r="A1" s="1" t="s">
        <v>11</v>
      </c>
    </row>
    <row r="2" spans="1:3" ht="15">
      <c r="A2" s="5" t="s">
        <v>12</v>
      </c>
    </row>
    <row r="3" spans="1:3">
      <c r="A3" s="6" t="s">
        <v>13</v>
      </c>
    </row>
    <row r="4" spans="1:3" ht="30" customHeight="1">
      <c r="A4" s="8" t="s">
        <v>14</v>
      </c>
      <c r="B4" s="8" t="s">
        <v>15</v>
      </c>
      <c r="C4" s="8" t="s">
        <v>16</v>
      </c>
    </row>
    <row r="5" spans="1:3" ht="18" customHeight="1">
      <c r="A5" s="9" t="s">
        <v>17</v>
      </c>
      <c r="B5" s="9" t="s">
        <v>18</v>
      </c>
      <c r="C5" s="9" t="s">
        <v>19</v>
      </c>
    </row>
    <row r="6" spans="1:3" ht="18" customHeight="1">
      <c r="A6" s="9" t="s">
        <v>20</v>
      </c>
      <c r="B6" s="9" t="s">
        <v>21</v>
      </c>
      <c r="C6" s="9" t="s">
        <v>19</v>
      </c>
    </row>
    <row r="7" spans="1:3" ht="18" customHeight="1">
      <c r="A7" s="9" t="s">
        <v>22</v>
      </c>
      <c r="B7" s="9" t="s">
        <v>23</v>
      </c>
      <c r="C7" s="9" t="s">
        <v>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/>
  </sheetViews>
  <sheetFormatPr defaultRowHeight="14.25"/>
  <cols>
    <col min="1" max="1" width="18" customWidth="1"/>
    <col min="2" max="2" width="28" customWidth="1"/>
    <col min="3" max="3" width="14" customWidth="1"/>
    <col min="4" max="4" width="16" customWidth="1"/>
  </cols>
  <sheetData>
    <row r="1" spans="1:4" ht="24" customHeight="1">
      <c r="A1" s="1" t="s">
        <v>25</v>
      </c>
    </row>
    <row r="2" spans="1:4" ht="15">
      <c r="A2" s="5" t="s">
        <v>26</v>
      </c>
    </row>
    <row r="3" spans="1:4">
      <c r="A3" s="6" t="s">
        <v>27</v>
      </c>
    </row>
    <row r="4" spans="1:4" ht="30" customHeight="1">
      <c r="A4" s="8" t="s">
        <v>28</v>
      </c>
      <c r="B4" s="8" t="s">
        <v>29</v>
      </c>
      <c r="C4" s="8" t="s">
        <v>30</v>
      </c>
      <c r="D4" s="8" t="s">
        <v>14</v>
      </c>
    </row>
    <row r="5" spans="1:4" ht="18" customHeight="1">
      <c r="A5" s="9" t="s">
        <v>31</v>
      </c>
      <c r="B5" s="9" t="s">
        <v>32</v>
      </c>
      <c r="C5" s="9" t="s">
        <v>33</v>
      </c>
      <c r="D5" s="9" t="s">
        <v>17</v>
      </c>
    </row>
    <row r="6" spans="1:4" ht="18" customHeight="1">
      <c r="A6" s="9" t="s">
        <v>34</v>
      </c>
      <c r="B6" s="9" t="s">
        <v>35</v>
      </c>
      <c r="C6" s="9" t="s">
        <v>36</v>
      </c>
      <c r="D6" s="9" t="s">
        <v>20</v>
      </c>
    </row>
    <row r="7" spans="1:4" ht="18" customHeight="1">
      <c r="A7" s="9" t="s">
        <v>37</v>
      </c>
      <c r="B7" s="9" t="s">
        <v>38</v>
      </c>
      <c r="C7" s="9" t="s">
        <v>33</v>
      </c>
      <c r="D7" s="9" t="s">
        <v>17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39"/>
  <sheetViews>
    <sheetView workbookViewId="0"/>
  </sheetViews>
  <sheetFormatPr defaultRowHeight="14.25"/>
  <cols>
    <col min="1" max="1" width="20" customWidth="1"/>
    <col min="2" max="2" width="18" customWidth="1"/>
    <col min="3" max="3" width="16" customWidth="1"/>
    <col min="4" max="4" width="20" customWidth="1"/>
  </cols>
  <sheetData>
    <row r="1" spans="1:5" ht="24" customHeight="1">
      <c r="A1" s="12" t="s">
        <v>39</v>
      </c>
      <c r="B1" s="12"/>
      <c r="C1" s="12"/>
      <c r="D1" s="12"/>
      <c r="E1" s="12"/>
    </row>
    <row r="2" spans="1:5" ht="15">
      <c r="A2" s="5" t="s">
        <v>40</v>
      </c>
    </row>
    <row r="3" spans="1:5">
      <c r="A3" s="6" t="s">
        <v>41</v>
      </c>
    </row>
    <row r="4" spans="1:5" ht="30" customHeight="1">
      <c r="A4" s="13" t="s">
        <v>42</v>
      </c>
      <c r="B4" s="13" t="s">
        <v>28</v>
      </c>
      <c r="C4" s="13" t="s">
        <v>14</v>
      </c>
      <c r="D4" s="13" t="s">
        <v>43</v>
      </c>
      <c r="E4" s="14" t="s">
        <v>155</v>
      </c>
    </row>
    <row r="5" spans="1:5" ht="18" customHeight="1">
      <c r="A5" s="9" t="s">
        <v>44</v>
      </c>
      <c r="B5" s="9" t="s">
        <v>31</v>
      </c>
      <c r="C5" s="9" t="s">
        <v>17</v>
      </c>
      <c r="D5" s="10">
        <v>1548306</v>
      </c>
      <c r="E5" t="str">
        <f>IF(A5="","",IF(COUNTIFS(Products!$A$5:$A$100,B5,Products!$D$5:$D$100,C5)=1,"OK","CHECK"))</f>
        <v>OK</v>
      </c>
    </row>
    <row r="6" spans="1:5" ht="18" customHeight="1">
      <c r="A6" s="9" t="s">
        <v>45</v>
      </c>
      <c r="B6" s="9" t="s">
        <v>37</v>
      </c>
      <c r="C6" s="9" t="s">
        <v>17</v>
      </c>
      <c r="D6" s="10">
        <v>1050408</v>
      </c>
      <c r="E6" t="str">
        <f>IF(A6="","",IF(COUNTIFS(Products!$A$5:$A$100,B6,Products!$D$5:$D$100,C6)=1,"OK","CHECK"))</f>
        <v>OK</v>
      </c>
    </row>
    <row r="7" spans="1:5" ht="18" customHeight="1">
      <c r="A7" s="9" t="s">
        <v>46</v>
      </c>
      <c r="B7" s="9" t="s">
        <v>31</v>
      </c>
      <c r="C7" s="9" t="s">
        <v>17</v>
      </c>
      <c r="D7" s="10">
        <v>2448972</v>
      </c>
      <c r="E7" t="str">
        <f>IF(A7="","",IF(COUNTIFS(Products!$A$5:$A$100,B7,Products!$D$5:$D$100,C7)=1,"OK","CHECK"))</f>
        <v>OK</v>
      </c>
    </row>
    <row r="8" spans="1:5" ht="18" customHeight="1">
      <c r="A8" s="9" t="s">
        <v>47</v>
      </c>
      <c r="B8" s="9" t="s">
        <v>34</v>
      </c>
      <c r="C8" s="9" t="s">
        <v>20</v>
      </c>
      <c r="D8" s="10">
        <v>2732760</v>
      </c>
      <c r="E8" t="str">
        <f>IF(A8="","",IF(COUNTIFS(Products!$A$5:$A$100,B8,Products!$D$5:$D$100,C8)=1,"OK","CHECK"))</f>
        <v>OK</v>
      </c>
    </row>
    <row r="9" spans="1:5" ht="18" customHeight="1">
      <c r="A9" s="9" t="s">
        <v>48</v>
      </c>
      <c r="B9" s="9" t="s">
        <v>37</v>
      </c>
      <c r="C9" s="9" t="s">
        <v>17</v>
      </c>
      <c r="D9" s="10">
        <v>462168</v>
      </c>
      <c r="E9" t="str">
        <f>IF(A9="","",IF(COUNTIFS(Products!$A$5:$A$100,B9,Products!$D$5:$D$100,C9)=1,"OK","CHECK"))</f>
        <v>OK</v>
      </c>
    </row>
    <row r="10" spans="1:5" ht="18" customHeight="1">
      <c r="A10" s="9" t="s">
        <v>49</v>
      </c>
      <c r="B10" s="9" t="s">
        <v>37</v>
      </c>
      <c r="C10" s="9" t="s">
        <v>17</v>
      </c>
      <c r="D10" s="10">
        <v>1111476</v>
      </c>
      <c r="E10" t="str">
        <f>IF(A10="","",IF(COUNTIFS(Products!$A$5:$A$100,B10,Products!$D$5:$D$100,C10)=1,"OK","CHECK"))</f>
        <v>OK</v>
      </c>
    </row>
    <row r="11" spans="1:5" ht="18" customHeight="1">
      <c r="A11" s="9" t="s">
        <v>50</v>
      </c>
      <c r="B11" s="9" t="s">
        <v>34</v>
      </c>
      <c r="C11" s="9" t="s">
        <v>20</v>
      </c>
      <c r="D11" s="10">
        <v>2712264</v>
      </c>
      <c r="E11" t="str">
        <f>IF(A11="","",IF(COUNTIFS(Products!$A$5:$A$100,B11,Products!$D$5:$D$100,C11)=1,"OK","CHECK"))</f>
        <v>OK</v>
      </c>
    </row>
    <row r="12" spans="1:5" ht="18" customHeight="1">
      <c r="A12" s="9" t="s">
        <v>51</v>
      </c>
      <c r="B12" s="9" t="s">
        <v>31</v>
      </c>
      <c r="C12" s="9" t="s">
        <v>17</v>
      </c>
      <c r="D12" s="10">
        <v>3348843</v>
      </c>
      <c r="E12" t="str">
        <f>IF(A12="","",IF(COUNTIFS(Products!$A$5:$A$100,B12,Products!$D$5:$D$100,C12)=1,"OK","CHECK"))</f>
        <v>OK</v>
      </c>
    </row>
    <row r="13" spans="1:5" ht="18" customHeight="1">
      <c r="A13" s="9" t="s">
        <v>52</v>
      </c>
      <c r="B13" s="9" t="s">
        <v>37</v>
      </c>
      <c r="C13" s="9" t="s">
        <v>17</v>
      </c>
      <c r="D13" s="10">
        <v>1243871</v>
      </c>
      <c r="E13" t="str">
        <f>IF(A13="","",IF(COUNTIFS(Products!$A$5:$A$100,B13,Products!$D$5:$D$100,C13)=1,"OK","CHECK"))</f>
        <v>OK</v>
      </c>
    </row>
    <row r="14" spans="1:5" ht="18" customHeight="1">
      <c r="A14" s="9" t="s">
        <v>53</v>
      </c>
      <c r="B14" s="9" t="s">
        <v>37</v>
      </c>
      <c r="C14" s="9" t="s">
        <v>17</v>
      </c>
      <c r="D14" s="10">
        <v>1907410</v>
      </c>
      <c r="E14" t="str">
        <f>IF(A14="","",IF(COUNTIFS(Products!$A$5:$A$100,B14,Products!$D$5:$D$100,C14)=1,"OK","CHECK"))</f>
        <v>OK</v>
      </c>
    </row>
    <row r="15" spans="1:5" ht="18" customHeight="1">
      <c r="A15" s="9" t="s">
        <v>54</v>
      </c>
      <c r="B15" s="9" t="s">
        <v>34</v>
      </c>
      <c r="C15" s="9" t="s">
        <v>20</v>
      </c>
      <c r="D15" s="10">
        <v>4150713</v>
      </c>
      <c r="E15" t="str">
        <f>IF(A15="","",IF(COUNTIFS(Products!$A$5:$A$100,B15,Products!$D$5:$D$100,C15)=1,"OK","CHECK"))</f>
        <v>OK</v>
      </c>
    </row>
    <row r="16" spans="1:5" ht="18" customHeight="1">
      <c r="A16" s="9" t="s">
        <v>55</v>
      </c>
      <c r="B16" s="9" t="s">
        <v>31</v>
      </c>
      <c r="C16" s="9" t="s">
        <v>17</v>
      </c>
      <c r="D16" s="10">
        <v>2296749</v>
      </c>
      <c r="E16" t="str">
        <f>IF(A16="","",IF(COUNTIFS(Products!$A$5:$A$100,B16,Products!$D$5:$D$100,C16)=1,"OK","CHECK"))</f>
        <v>OK</v>
      </c>
    </row>
    <row r="17" spans="1:5" ht="18" customHeight="1">
      <c r="A17" s="9" t="s">
        <v>56</v>
      </c>
      <c r="B17" s="9" t="s">
        <v>37</v>
      </c>
      <c r="C17" s="9" t="s">
        <v>17</v>
      </c>
      <c r="D17" s="10">
        <v>953813</v>
      </c>
      <c r="E17" t="str">
        <f>IF(A17="","",IF(COUNTIFS(Products!$A$5:$A$100,B17,Products!$D$5:$D$100,C17)=1,"OK","CHECK"))</f>
        <v>OK</v>
      </c>
    </row>
    <row r="18" spans="1:5" ht="18" customHeight="1">
      <c r="A18" s="9" t="s">
        <v>57</v>
      </c>
      <c r="B18" s="9" t="s">
        <v>37</v>
      </c>
      <c r="C18" s="9" t="s">
        <v>17</v>
      </c>
      <c r="D18" s="10">
        <v>1203753</v>
      </c>
      <c r="E18" t="str">
        <f>IF(A18="","",IF(COUNTIFS(Products!$A$5:$A$100,B18,Products!$D$5:$D$100,C18)=1,"OK","CHECK"))</f>
        <v>OK</v>
      </c>
    </row>
    <row r="19" spans="1:5" ht="18" customHeight="1">
      <c r="A19" s="9" t="s">
        <v>58</v>
      </c>
      <c r="B19" s="9" t="s">
        <v>31</v>
      </c>
      <c r="C19" s="9" t="s">
        <v>17</v>
      </c>
      <c r="D19" s="10">
        <v>1467677</v>
      </c>
      <c r="E19" t="str">
        <f>IF(A19="","",IF(COUNTIFS(Products!$A$5:$A$100,B19,Products!$D$5:$D$100,C19)=1,"OK","CHECK"))</f>
        <v>OK</v>
      </c>
    </row>
    <row r="20" spans="1:5" ht="18" customHeight="1">
      <c r="E20" t="str">
        <f>IF(A20="","",IF(COUNTIFS(Products!$A$5:$A$100,B20,Products!$D$5:$D$100,C20)=1,"OK","CHECK"))</f>
        <v/>
      </c>
    </row>
    <row r="21" spans="1:5" ht="18" customHeight="1">
      <c r="E21" t="str">
        <f>IF(A21="","",IF(COUNTIFS(Products!$A$5:$A$100,B21,Products!$D$5:$D$100,C21)=1,"OK","CHECK"))</f>
        <v/>
      </c>
    </row>
    <row r="22" spans="1:5" ht="18" customHeight="1">
      <c r="E22" t="str">
        <f>IF(A22="","",IF(COUNTIFS(Products!$A$5:$A$100,B22,Products!$D$5:$D$100,C22)=1,"OK","CHECK"))</f>
        <v/>
      </c>
    </row>
    <row r="23" spans="1:5" ht="18" customHeight="1">
      <c r="E23" t="str">
        <f>IF(A23="","",IF(COUNTIFS(Products!$A$5:$A$100,B23,Products!$D$5:$D$100,C23)=1,"OK","CHECK"))</f>
        <v/>
      </c>
    </row>
    <row r="24" spans="1:5" ht="18" customHeight="1">
      <c r="E24" t="str">
        <f>IF(A24="","",IF(COUNTIFS(Products!$A$5:$A$100,B24,Products!$D$5:$D$100,C24)=1,"OK","CHECK"))</f>
        <v/>
      </c>
    </row>
    <row r="25" spans="1:5" ht="18" customHeight="1">
      <c r="E25" t="str">
        <f>IF(A25="","",IF(COUNTIFS(Products!$A$5:$A$100,B25,Products!$D$5:$D$100,C25)=1,"OK","CHECK"))</f>
        <v/>
      </c>
    </row>
    <row r="26" spans="1:5" ht="18" customHeight="1">
      <c r="E26" t="str">
        <f>IF(A26="","",IF(COUNTIFS(Products!$A$5:$A$100,B26,Products!$D$5:$D$100,C26)=1,"OK","CHECK"))</f>
        <v/>
      </c>
    </row>
    <row r="27" spans="1:5" ht="18" customHeight="1">
      <c r="E27" t="str">
        <f>IF(A27="","",IF(COUNTIFS(Products!$A$5:$A$100,B27,Products!$D$5:$D$100,C27)=1,"OK","CHECK"))</f>
        <v/>
      </c>
    </row>
    <row r="28" spans="1:5" ht="18" customHeight="1">
      <c r="E28" t="str">
        <f>IF(A28="","",IF(COUNTIFS(Products!$A$5:$A$100,B28,Products!$D$5:$D$100,C28)=1,"OK","CHECK"))</f>
        <v/>
      </c>
    </row>
    <row r="29" spans="1:5" ht="18" customHeight="1">
      <c r="E29" t="str">
        <f>IF(A29="","",IF(COUNTIFS(Products!$A$5:$A$100,B29,Products!$D$5:$D$100,C29)=1,"OK","CHECK"))</f>
        <v/>
      </c>
    </row>
    <row r="30" spans="1:5" ht="18" customHeight="1">
      <c r="E30" t="str">
        <f>IF(A30="","",IF(COUNTIFS(Products!$A$5:$A$100,B30,Products!$D$5:$D$100,C30)=1,"OK","CHECK"))</f>
        <v/>
      </c>
    </row>
    <row r="31" spans="1:5" ht="18" customHeight="1">
      <c r="E31" t="str">
        <f>IF(A31="","",IF(COUNTIFS(Products!$A$5:$A$100,B31,Products!$D$5:$D$100,C31)=1,"OK","CHECK"))</f>
        <v/>
      </c>
    </row>
    <row r="32" spans="1:5" ht="18" customHeight="1">
      <c r="E32" t="str">
        <f>IF(A32="","",IF(COUNTIFS(Products!$A$5:$A$100,B32,Products!$D$5:$D$100,C32)=1,"OK","CHECK"))</f>
        <v/>
      </c>
    </row>
    <row r="33" spans="5:5" ht="18" customHeight="1">
      <c r="E33" t="str">
        <f>IF(A33="","",IF(COUNTIFS(Products!$A$5:$A$100,B33,Products!$D$5:$D$100,C33)=1,"OK","CHECK"))</f>
        <v/>
      </c>
    </row>
    <row r="34" spans="5:5" ht="18" customHeight="1">
      <c r="E34" t="str">
        <f>IF(A34="","",IF(COUNTIFS(Products!$A$5:$A$100,B34,Products!$D$5:$D$100,C34)=1,"OK","CHECK"))</f>
        <v/>
      </c>
    </row>
    <row r="35" spans="5:5" ht="18" customHeight="1">
      <c r="E35" t="str">
        <f>IF(A35="","",IF(COUNTIFS(Products!$A$5:$A$100,B35,Products!$D$5:$D$100,C35)=1,"OK","CHECK"))</f>
        <v/>
      </c>
    </row>
    <row r="36" spans="5:5" ht="18" customHeight="1">
      <c r="E36" t="str">
        <f>IF(A36="","",IF(COUNTIFS(Products!$A$5:$A$100,B36,Products!$D$5:$D$100,C36)=1,"OK","CHECK"))</f>
        <v/>
      </c>
    </row>
    <row r="37" spans="5:5" ht="18" customHeight="1">
      <c r="E37" t="str">
        <f>IF(A37="","",IF(COUNTIFS(Products!$A$5:$A$100,B37,Products!$D$5:$D$100,C37)=1,"OK","CHECK"))</f>
        <v/>
      </c>
    </row>
    <row r="38" spans="5:5" ht="18" customHeight="1">
      <c r="E38" t="str">
        <f>IF(A38="","",IF(COUNTIFS(Products!$A$5:$A$100,B38,Products!$D$5:$D$100,C38)=1,"OK","CHECK"))</f>
        <v/>
      </c>
    </row>
    <row r="39" spans="5:5" ht="18" customHeight="1">
      <c r="E39" t="str">
        <f>IF(A39="","",IF(COUNTIFS(Products!$A$5:$A$100,B39,Products!$D$5:$D$100,C39)=1,"OK","CHECK"))</f>
        <v/>
      </c>
    </row>
    <row r="40" spans="5:5" ht="18" customHeight="1">
      <c r="E40" t="str">
        <f>IF(A40="","",IF(COUNTIFS(Products!$A$5:$A$100,B40,Products!$D$5:$D$100,C40)=1,"OK","CHECK"))</f>
        <v/>
      </c>
    </row>
    <row r="41" spans="5:5" ht="18" customHeight="1">
      <c r="E41" t="str">
        <f>IF(A41="","",IF(COUNTIFS(Products!$A$5:$A$100,B41,Products!$D$5:$D$100,C41)=1,"OK","CHECK"))</f>
        <v/>
      </c>
    </row>
    <row r="42" spans="5:5" ht="18" customHeight="1">
      <c r="E42" t="str">
        <f>IF(A42="","",IF(COUNTIFS(Products!$A$5:$A$100,B42,Products!$D$5:$D$100,C42)=1,"OK","CHECK"))</f>
        <v/>
      </c>
    </row>
    <row r="43" spans="5:5" ht="18" customHeight="1">
      <c r="E43" t="str">
        <f>IF(A43="","",IF(COUNTIFS(Products!$A$5:$A$100,B43,Products!$D$5:$D$100,C43)=1,"OK","CHECK"))</f>
        <v/>
      </c>
    </row>
    <row r="44" spans="5:5" ht="18" customHeight="1">
      <c r="E44" t="str">
        <f>IF(A44="","",IF(COUNTIFS(Products!$A$5:$A$100,B44,Products!$D$5:$D$100,C44)=1,"OK","CHECK"))</f>
        <v/>
      </c>
    </row>
    <row r="45" spans="5:5" ht="18" customHeight="1">
      <c r="E45" t="str">
        <f>IF(A45="","",IF(COUNTIFS(Products!$A$5:$A$100,B45,Products!$D$5:$D$100,C45)=1,"OK","CHECK"))</f>
        <v/>
      </c>
    </row>
    <row r="46" spans="5:5" ht="18" customHeight="1">
      <c r="E46" t="str">
        <f>IF(A46="","",IF(COUNTIFS(Products!$A$5:$A$100,B46,Products!$D$5:$D$100,C46)=1,"OK","CHECK"))</f>
        <v/>
      </c>
    </row>
    <row r="47" spans="5:5" ht="18" customHeight="1">
      <c r="E47" t="str">
        <f>IF(A47="","",IF(COUNTIFS(Products!$A$5:$A$100,B47,Products!$D$5:$D$100,C47)=1,"OK","CHECK"))</f>
        <v/>
      </c>
    </row>
    <row r="48" spans="5:5" ht="18" customHeight="1">
      <c r="E48" t="str">
        <f>IF(A48="","",IF(COUNTIFS(Products!$A$5:$A$100,B48,Products!$D$5:$D$100,C48)=1,"OK","CHECK"))</f>
        <v/>
      </c>
    </row>
    <row r="49" spans="5:5" ht="18" customHeight="1">
      <c r="E49" t="str">
        <f>IF(A49="","",IF(COUNTIFS(Products!$A$5:$A$100,B49,Products!$D$5:$D$100,C49)=1,"OK","CHECK"))</f>
        <v/>
      </c>
    </row>
    <row r="50" spans="5:5" ht="18" customHeight="1">
      <c r="E50" t="str">
        <f>IF(A50="","",IF(COUNTIFS(Products!$A$5:$A$100,B50,Products!$D$5:$D$100,C50)=1,"OK","CHECK"))</f>
        <v/>
      </c>
    </row>
    <row r="51" spans="5:5" ht="18" customHeight="1">
      <c r="E51" t="str">
        <f>IF(A51="","",IF(COUNTIFS(Products!$A$5:$A$100,B51,Products!$D$5:$D$100,C51)=1,"OK","CHECK"))</f>
        <v/>
      </c>
    </row>
    <row r="52" spans="5:5" ht="18" customHeight="1">
      <c r="E52" t="str">
        <f>IF(A52="","",IF(COUNTIFS(Products!$A$5:$A$100,B52,Products!$D$5:$D$100,C52)=1,"OK","CHECK"))</f>
        <v/>
      </c>
    </row>
    <row r="53" spans="5:5" ht="18" customHeight="1">
      <c r="E53" t="str">
        <f>IF(A53="","",IF(COUNTIFS(Products!$A$5:$A$100,B53,Products!$D$5:$D$100,C53)=1,"OK","CHECK"))</f>
        <v/>
      </c>
    </row>
    <row r="54" spans="5:5" ht="18" customHeight="1">
      <c r="E54" t="str">
        <f>IF(A54="","",IF(COUNTIFS(Products!$A$5:$A$100,B54,Products!$D$5:$D$100,C54)=1,"OK","CHECK"))</f>
        <v/>
      </c>
    </row>
    <row r="55" spans="5:5" ht="18" customHeight="1">
      <c r="E55" t="str">
        <f>IF(A55="","",IF(COUNTIFS(Products!$A$5:$A$100,B55,Products!$D$5:$D$100,C55)=1,"OK","CHECK"))</f>
        <v/>
      </c>
    </row>
    <row r="56" spans="5:5" ht="18" customHeight="1">
      <c r="E56" t="str">
        <f>IF(A56="","",IF(COUNTIFS(Products!$A$5:$A$100,B56,Products!$D$5:$D$100,C56)=1,"OK","CHECK"))</f>
        <v/>
      </c>
    </row>
    <row r="57" spans="5:5" ht="18" customHeight="1">
      <c r="E57" t="str">
        <f>IF(A57="","",IF(COUNTIFS(Products!$A$5:$A$100,B57,Products!$D$5:$D$100,C57)=1,"OK","CHECK"))</f>
        <v/>
      </c>
    </row>
    <row r="58" spans="5:5" ht="18" customHeight="1">
      <c r="E58" t="str">
        <f>IF(A58="","",IF(COUNTIFS(Products!$A$5:$A$100,B58,Products!$D$5:$D$100,C58)=1,"OK","CHECK"))</f>
        <v/>
      </c>
    </row>
    <row r="59" spans="5:5" ht="18" customHeight="1">
      <c r="E59" t="str">
        <f>IF(A59="","",IF(COUNTIFS(Products!$A$5:$A$100,B59,Products!$D$5:$D$100,C59)=1,"OK","CHECK"))</f>
        <v/>
      </c>
    </row>
    <row r="60" spans="5:5" ht="18" customHeight="1">
      <c r="E60" t="str">
        <f>IF(A60="","",IF(COUNTIFS(Products!$A$5:$A$100,B60,Products!$D$5:$D$100,C60)=1,"OK","CHECK"))</f>
        <v/>
      </c>
    </row>
    <row r="61" spans="5:5" ht="18" customHeight="1">
      <c r="E61" t="str">
        <f>IF(A61="","",IF(COUNTIFS(Products!$A$5:$A$100,B61,Products!$D$5:$D$100,C61)=1,"OK","CHECK"))</f>
        <v/>
      </c>
    </row>
    <row r="62" spans="5:5" ht="18" customHeight="1">
      <c r="E62" t="str">
        <f>IF(A62="","",IF(COUNTIFS(Products!$A$5:$A$100,B62,Products!$D$5:$D$100,C62)=1,"OK","CHECK"))</f>
        <v/>
      </c>
    </row>
    <row r="63" spans="5:5" ht="18" customHeight="1">
      <c r="E63" t="str">
        <f>IF(A63="","",IF(COUNTIFS(Products!$A$5:$A$100,B63,Products!$D$5:$D$100,C63)=1,"OK","CHECK"))</f>
        <v/>
      </c>
    </row>
    <row r="64" spans="5:5" ht="18" customHeight="1">
      <c r="E64" t="str">
        <f>IF(A64="","",IF(COUNTIFS(Products!$A$5:$A$100,B64,Products!$D$5:$D$100,C64)=1,"OK","CHECK"))</f>
        <v/>
      </c>
    </row>
    <row r="65" spans="5:5" ht="18" customHeight="1">
      <c r="E65" t="str">
        <f>IF(A65="","",IF(COUNTIFS(Products!$A$5:$A$100,B65,Products!$D$5:$D$100,C65)=1,"OK","CHECK"))</f>
        <v/>
      </c>
    </row>
    <row r="66" spans="5:5" ht="18" customHeight="1">
      <c r="E66" t="str">
        <f>IF(A66="","",IF(COUNTIFS(Products!$A$5:$A$100,B66,Products!$D$5:$D$100,C66)=1,"OK","CHECK"))</f>
        <v/>
      </c>
    </row>
    <row r="67" spans="5:5" ht="18" customHeight="1">
      <c r="E67" t="str">
        <f>IF(A67="","",IF(COUNTIFS(Products!$A$5:$A$100,B67,Products!$D$5:$D$100,C67)=1,"OK","CHECK"))</f>
        <v/>
      </c>
    </row>
    <row r="68" spans="5:5" ht="18" customHeight="1">
      <c r="E68" t="str">
        <f>IF(A68="","",IF(COUNTIFS(Products!$A$5:$A$100,B68,Products!$D$5:$D$100,C68)=1,"OK","CHECK"))</f>
        <v/>
      </c>
    </row>
    <row r="69" spans="5:5" ht="18" customHeight="1">
      <c r="E69" t="str">
        <f>IF(A69="","",IF(COUNTIFS(Products!$A$5:$A$100,B69,Products!$D$5:$D$100,C69)=1,"OK","CHECK"))</f>
        <v/>
      </c>
    </row>
    <row r="70" spans="5:5" ht="18" customHeight="1">
      <c r="E70" t="str">
        <f>IF(A70="","",IF(COUNTIFS(Products!$A$5:$A$100,B70,Products!$D$5:$D$100,C70)=1,"OK","CHECK"))</f>
        <v/>
      </c>
    </row>
    <row r="71" spans="5:5" ht="18" customHeight="1">
      <c r="E71" t="str">
        <f>IF(A71="","",IF(COUNTIFS(Products!$A$5:$A$100,B71,Products!$D$5:$D$100,C71)=1,"OK","CHECK"))</f>
        <v/>
      </c>
    </row>
    <row r="72" spans="5:5" ht="18" customHeight="1">
      <c r="E72" t="str">
        <f>IF(A72="","",IF(COUNTIFS(Products!$A$5:$A$100,B72,Products!$D$5:$D$100,C72)=1,"OK","CHECK"))</f>
        <v/>
      </c>
    </row>
    <row r="73" spans="5:5" ht="18" customHeight="1">
      <c r="E73" t="str">
        <f>IF(A73="","",IF(COUNTIFS(Products!$A$5:$A$100,B73,Products!$D$5:$D$100,C73)=1,"OK","CHECK"))</f>
        <v/>
      </c>
    </row>
    <row r="74" spans="5:5" ht="18" customHeight="1">
      <c r="E74" t="str">
        <f>IF(A74="","",IF(COUNTIFS(Products!$A$5:$A$100,B74,Products!$D$5:$D$100,C74)=1,"OK","CHECK"))</f>
        <v/>
      </c>
    </row>
    <row r="75" spans="5:5" ht="18" customHeight="1">
      <c r="E75" t="str">
        <f>IF(A75="","",IF(COUNTIFS(Products!$A$5:$A$100,B75,Products!$D$5:$D$100,C75)=1,"OK","CHECK"))</f>
        <v/>
      </c>
    </row>
    <row r="76" spans="5:5" ht="18" customHeight="1">
      <c r="E76" t="str">
        <f>IF(A76="","",IF(COUNTIFS(Products!$A$5:$A$100,B76,Products!$D$5:$D$100,C76)=1,"OK","CHECK"))</f>
        <v/>
      </c>
    </row>
    <row r="77" spans="5:5" ht="18" customHeight="1">
      <c r="E77" t="str">
        <f>IF(A77="","",IF(COUNTIFS(Products!$A$5:$A$100,B77,Products!$D$5:$D$100,C77)=1,"OK","CHECK"))</f>
        <v/>
      </c>
    </row>
    <row r="78" spans="5:5" ht="18" customHeight="1">
      <c r="E78" t="str">
        <f>IF(A78="","",IF(COUNTIFS(Products!$A$5:$A$100,B78,Products!$D$5:$D$100,C78)=1,"OK","CHECK"))</f>
        <v/>
      </c>
    </row>
    <row r="79" spans="5:5" ht="18" customHeight="1">
      <c r="E79" t="str">
        <f>IF(A79="","",IF(COUNTIFS(Products!$A$5:$A$100,B79,Products!$D$5:$D$100,C79)=1,"OK","CHECK"))</f>
        <v/>
      </c>
    </row>
    <row r="80" spans="5:5" ht="18" customHeight="1">
      <c r="E80" t="str">
        <f>IF(A80="","",IF(COUNTIFS(Products!$A$5:$A$100,B80,Products!$D$5:$D$100,C80)=1,"OK","CHECK"))</f>
        <v/>
      </c>
    </row>
    <row r="81" spans="5:5" ht="18" customHeight="1">
      <c r="E81" t="str">
        <f>IF(A81="","",IF(COUNTIFS(Products!$A$5:$A$100,B81,Products!$D$5:$D$100,C81)=1,"OK","CHECK"))</f>
        <v/>
      </c>
    </row>
    <row r="82" spans="5:5" ht="18" customHeight="1">
      <c r="E82" t="str">
        <f>IF(A82="","",IF(COUNTIFS(Products!$A$5:$A$100,B82,Products!$D$5:$D$100,C82)=1,"OK","CHECK"))</f>
        <v/>
      </c>
    </row>
    <row r="83" spans="5:5" ht="18" customHeight="1">
      <c r="E83" t="str">
        <f>IF(A83="","",IF(COUNTIFS(Products!$A$5:$A$100,B83,Products!$D$5:$D$100,C83)=1,"OK","CHECK"))</f>
        <v/>
      </c>
    </row>
    <row r="84" spans="5:5" ht="18" customHeight="1">
      <c r="E84" t="str">
        <f>IF(A84="","",IF(COUNTIFS(Products!$A$5:$A$100,B84,Products!$D$5:$D$100,C84)=1,"OK","CHECK"))</f>
        <v/>
      </c>
    </row>
    <row r="85" spans="5:5" ht="18" customHeight="1">
      <c r="E85" t="str">
        <f>IF(A85="","",IF(COUNTIFS(Products!$A$5:$A$100,B85,Products!$D$5:$D$100,C85)=1,"OK","CHECK"))</f>
        <v/>
      </c>
    </row>
    <row r="86" spans="5:5" ht="18" customHeight="1">
      <c r="E86" t="str">
        <f>IF(A86="","",IF(COUNTIFS(Products!$A$5:$A$100,B86,Products!$D$5:$D$100,C86)=1,"OK","CHECK"))</f>
        <v/>
      </c>
    </row>
    <row r="87" spans="5:5" ht="18" customHeight="1">
      <c r="E87" t="str">
        <f>IF(A87="","",IF(COUNTIFS(Products!$A$5:$A$100,B87,Products!$D$5:$D$100,C87)=1,"OK","CHECK"))</f>
        <v/>
      </c>
    </row>
    <row r="88" spans="5:5" ht="18" customHeight="1">
      <c r="E88" t="str">
        <f>IF(A88="","",IF(COUNTIFS(Products!$A$5:$A$100,B88,Products!$D$5:$D$100,C88)=1,"OK","CHECK"))</f>
        <v/>
      </c>
    </row>
    <row r="89" spans="5:5" ht="18" customHeight="1">
      <c r="E89" t="str">
        <f>IF(A89="","",IF(COUNTIFS(Products!$A$5:$A$100,B89,Products!$D$5:$D$100,C89)=1,"OK","CHECK"))</f>
        <v/>
      </c>
    </row>
    <row r="90" spans="5:5" ht="18" customHeight="1">
      <c r="E90" t="str">
        <f>IF(A90="","",IF(COUNTIFS(Products!$A$5:$A$100,B90,Products!$D$5:$D$100,C90)=1,"OK","CHECK"))</f>
        <v/>
      </c>
    </row>
    <row r="91" spans="5:5" ht="18" customHeight="1">
      <c r="E91" t="str">
        <f>IF(A91="","",IF(COUNTIFS(Products!$A$5:$A$100,B91,Products!$D$5:$D$100,C91)=1,"OK","CHECK"))</f>
        <v/>
      </c>
    </row>
    <row r="92" spans="5:5" ht="18" customHeight="1">
      <c r="E92" t="str">
        <f>IF(A92="","",IF(COUNTIFS(Products!$A$5:$A$100,B92,Products!$D$5:$D$100,C92)=1,"OK","CHECK"))</f>
        <v/>
      </c>
    </row>
    <row r="93" spans="5:5" ht="18" customHeight="1">
      <c r="E93" t="str">
        <f>IF(A93="","",IF(COUNTIFS(Products!$A$5:$A$100,B93,Products!$D$5:$D$100,C93)=1,"OK","CHECK"))</f>
        <v/>
      </c>
    </row>
    <row r="94" spans="5:5" ht="18" customHeight="1">
      <c r="E94" t="str">
        <f>IF(A94="","",IF(COUNTIFS(Products!$A$5:$A$100,B94,Products!$D$5:$D$100,C94)=1,"OK","CHECK"))</f>
        <v/>
      </c>
    </row>
    <row r="95" spans="5:5" ht="18" customHeight="1">
      <c r="E95" t="str">
        <f>IF(A95="","",IF(COUNTIFS(Products!$A$5:$A$100,B95,Products!$D$5:$D$100,C95)=1,"OK","CHECK"))</f>
        <v/>
      </c>
    </row>
    <row r="96" spans="5:5" ht="18" customHeight="1">
      <c r="E96" t="str">
        <f>IF(A96="","",IF(COUNTIFS(Products!$A$5:$A$100,B96,Products!$D$5:$D$100,C96)=1,"OK","CHECK"))</f>
        <v/>
      </c>
    </row>
    <row r="97" spans="5:5" ht="18" customHeight="1">
      <c r="E97" t="str">
        <f>IF(A97="","",IF(COUNTIFS(Products!$A$5:$A$100,B97,Products!$D$5:$D$100,C97)=1,"OK","CHECK"))</f>
        <v/>
      </c>
    </row>
    <row r="98" spans="5:5" ht="18" customHeight="1">
      <c r="E98" t="str">
        <f>IF(A98="","",IF(COUNTIFS(Products!$A$5:$A$100,B98,Products!$D$5:$D$100,C98)=1,"OK","CHECK"))</f>
        <v/>
      </c>
    </row>
    <row r="99" spans="5:5" ht="18" customHeight="1">
      <c r="E99" t="str">
        <f>IF(A99="","",IF(COUNTIFS(Products!$A$5:$A$100,B99,Products!$D$5:$D$100,C99)=1,"OK","CHECK"))</f>
        <v/>
      </c>
    </row>
    <row r="100" spans="5:5" ht="18" customHeight="1">
      <c r="E100" t="str">
        <f>IF(A100="","",IF(COUNTIFS(Products!$A$5:$A$100,B100,Products!$D$5:$D$100,C100)=1,"OK","CHECK"))</f>
        <v/>
      </c>
    </row>
    <row r="101" spans="5:5" ht="18" customHeight="1"/>
    <row r="102" spans="5:5" ht="18" customHeight="1"/>
    <row r="103" spans="5:5" ht="18" customHeight="1"/>
    <row r="104" spans="5:5" ht="18" customHeight="1"/>
    <row r="105" spans="5:5" ht="18" customHeight="1"/>
    <row r="106" spans="5:5" ht="18" customHeight="1"/>
    <row r="107" spans="5:5" ht="18" customHeight="1"/>
    <row r="108" spans="5:5" ht="18" customHeight="1"/>
    <row r="109" spans="5:5" ht="18" customHeight="1"/>
    <row r="110" spans="5:5" ht="18" customHeight="1"/>
    <row r="111" spans="5:5" ht="18" customHeight="1"/>
    <row r="112" spans="5:5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300-000000000000}">
          <x14:formula1>
            <xm:f>Products!$A$5:$A$100</xm:f>
          </x14:formula1>
          <xm:sqref>B5:B200</xm:sqref>
        </x14:dataValidation>
        <x14:dataValidation type="list" xr:uid="{00000000-0002-0000-0300-000001000000}">
          <x14:formula1>
            <xm:f>'Customers'!$A$5:$A$100</xm:f>
          </x14:formula1>
          <xm:sqref>C5:C200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59</v>
      </c>
    </row>
    <row r="2" spans="1:1" ht="15">
      <c r="A2" s="5" t="s">
        <v>60</v>
      </c>
    </row>
    <row r="3" spans="1:1">
      <c r="A3" s="6" t="s">
        <v>61</v>
      </c>
    </row>
    <row r="4" spans="1:1" ht="30" customHeight="1">
      <c r="A4" s="8" t="s">
        <v>62</v>
      </c>
    </row>
    <row r="5" spans="1:1" ht="18" customHeight="1">
      <c r="A5" s="9" t="s">
        <v>63</v>
      </c>
    </row>
    <row r="6" spans="1:1" ht="18" customHeight="1">
      <c r="A6" s="9" t="s">
        <v>64</v>
      </c>
    </row>
    <row r="7" spans="1:1" ht="18" customHeight="1">
      <c r="A7" s="9" t="s">
        <v>65</v>
      </c>
    </row>
    <row r="8" spans="1:1" ht="18" customHeight="1">
      <c r="A8" s="9" t="s">
        <v>66</v>
      </c>
    </row>
    <row r="9" spans="1:1" ht="18" customHeight="1">
      <c r="A9" s="9" t="s">
        <v>67</v>
      </c>
    </row>
    <row r="10" spans="1:1" ht="18" customHeight="1">
      <c r="A10" s="9" t="s">
        <v>68</v>
      </c>
    </row>
    <row r="11" spans="1:1" ht="18" customHeight="1">
      <c r="A11" s="9" t="s">
        <v>69</v>
      </c>
    </row>
    <row r="12" spans="1:1" ht="18" customHeight="1">
      <c r="A12" s="9" t="s">
        <v>70</v>
      </c>
    </row>
    <row r="13" spans="1:1" ht="18" customHeight="1">
      <c r="A13" s="9" t="s">
        <v>71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3"/>
  <sheetViews>
    <sheetView workbookViewId="0"/>
  </sheetViews>
  <sheetFormatPr defaultRowHeight="14.25"/>
  <cols>
    <col min="1" max="1" width="36" customWidth="1"/>
  </cols>
  <sheetData>
    <row r="1" spans="1:1" ht="24" customHeight="1">
      <c r="A1" s="1" t="s">
        <v>72</v>
      </c>
    </row>
    <row r="2" spans="1:1" ht="15">
      <c r="A2" s="5" t="s">
        <v>73</v>
      </c>
    </row>
    <row r="3" spans="1:1">
      <c r="A3" s="6" t="s">
        <v>61</v>
      </c>
    </row>
    <row r="4" spans="1:1" ht="30" customHeight="1">
      <c r="A4" s="8" t="s">
        <v>74</v>
      </c>
    </row>
    <row r="5" spans="1:1" ht="18" customHeight="1">
      <c r="A5" s="9" t="s">
        <v>75</v>
      </c>
    </row>
    <row r="6" spans="1:1" ht="18" customHeight="1">
      <c r="A6" s="9" t="s">
        <v>76</v>
      </c>
    </row>
    <row r="7" spans="1:1" ht="18" customHeight="1">
      <c r="A7" s="9" t="s">
        <v>77</v>
      </c>
    </row>
    <row r="8" spans="1:1" ht="18" customHeight="1">
      <c r="A8" s="9" t="s">
        <v>78</v>
      </c>
    </row>
    <row r="9" spans="1:1" ht="18" customHeight="1">
      <c r="A9" s="9" t="s">
        <v>79</v>
      </c>
    </row>
    <row r="10" spans="1:1" ht="18" customHeight="1">
      <c r="A10" s="9" t="s">
        <v>80</v>
      </c>
    </row>
    <row r="11" spans="1:1" ht="18" customHeight="1">
      <c r="A11" s="9" t="s">
        <v>81</v>
      </c>
    </row>
    <row r="12" spans="1:1" ht="18" customHeight="1">
      <c r="A12" s="9" t="s">
        <v>82</v>
      </c>
    </row>
    <row r="13" spans="1:1" ht="18" customHeight="1">
      <c r="A13" s="9" t="s">
        <v>83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3"/>
  <sheetViews>
    <sheetView workbookViewId="0"/>
  </sheetViews>
  <sheetFormatPr defaultRowHeight="14.25"/>
  <cols>
    <col min="1" max="1" width="36" customWidth="1"/>
  </cols>
  <sheetData>
    <row r="1" spans="1:1" ht="24" customHeight="1">
      <c r="A1" s="1" t="s">
        <v>84</v>
      </c>
    </row>
    <row r="2" spans="1:1" ht="15">
      <c r="A2" s="5" t="s">
        <v>85</v>
      </c>
    </row>
    <row r="3" spans="1:1">
      <c r="A3" s="6" t="s">
        <v>61</v>
      </c>
    </row>
    <row r="4" spans="1:1" ht="30" customHeight="1">
      <c r="A4" s="8" t="s">
        <v>86</v>
      </c>
    </row>
    <row r="5" spans="1:1" ht="18" customHeight="1">
      <c r="A5" s="9" t="s">
        <v>87</v>
      </c>
    </row>
    <row r="6" spans="1:1" ht="18" customHeight="1">
      <c r="A6" s="9" t="s">
        <v>88</v>
      </c>
    </row>
    <row r="7" spans="1:1" ht="18" customHeight="1">
      <c r="A7" s="9" t="s">
        <v>89</v>
      </c>
    </row>
    <row r="8" spans="1:1" ht="18" customHeight="1">
      <c r="A8" s="9" t="s">
        <v>90</v>
      </c>
    </row>
    <row r="9" spans="1:1" ht="18" customHeight="1">
      <c r="A9" s="9" t="s">
        <v>91</v>
      </c>
    </row>
    <row r="10" spans="1:1" ht="18" customHeight="1">
      <c r="A10" s="9" t="s">
        <v>92</v>
      </c>
    </row>
    <row r="11" spans="1:1" ht="18" customHeight="1">
      <c r="A11" s="9" t="s">
        <v>93</v>
      </c>
    </row>
    <row r="12" spans="1:1" ht="18" customHeight="1">
      <c r="A12" s="9" t="s">
        <v>94</v>
      </c>
    </row>
    <row r="13" spans="1:1" ht="18" customHeight="1">
      <c r="A13" s="9" t="s">
        <v>95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3"/>
  <sheetViews>
    <sheetView workbookViewId="0"/>
  </sheetViews>
  <sheetFormatPr defaultRowHeight="14.25"/>
  <cols>
    <col min="1" max="1" width="36" customWidth="1"/>
  </cols>
  <sheetData>
    <row r="1" spans="1:1" ht="24" customHeight="1">
      <c r="A1" s="1" t="s">
        <v>96</v>
      </c>
    </row>
    <row r="2" spans="1:1" ht="15">
      <c r="A2" s="5" t="s">
        <v>97</v>
      </c>
    </row>
    <row r="3" spans="1:1">
      <c r="A3" s="6" t="s">
        <v>61</v>
      </c>
    </row>
    <row r="4" spans="1:1" ht="30" customHeight="1">
      <c r="A4" s="8" t="s">
        <v>98</v>
      </c>
    </row>
    <row r="5" spans="1:1" ht="18" customHeight="1">
      <c r="A5" s="9" t="s">
        <v>99</v>
      </c>
    </row>
    <row r="6" spans="1:1" ht="18" customHeight="1">
      <c r="A6" s="9" t="s">
        <v>100</v>
      </c>
    </row>
    <row r="7" spans="1:1" ht="18" customHeight="1">
      <c r="A7" s="9" t="s">
        <v>101</v>
      </c>
    </row>
    <row r="8" spans="1:1" ht="18" customHeight="1">
      <c r="A8" s="9" t="s">
        <v>102</v>
      </c>
    </row>
    <row r="9" spans="1:1" ht="18" customHeight="1">
      <c r="A9" s="9" t="s">
        <v>103</v>
      </c>
    </row>
    <row r="10" spans="1:1" ht="18" customHeight="1">
      <c r="A10" s="9" t="s">
        <v>104</v>
      </c>
    </row>
    <row r="11" spans="1:1" ht="18" customHeight="1">
      <c r="A11" s="9" t="s">
        <v>105</v>
      </c>
    </row>
    <row r="12" spans="1:1" ht="18" customHeight="1">
      <c r="A12" s="9" t="s">
        <v>106</v>
      </c>
    </row>
    <row r="13" spans="1:1" ht="18" customHeight="1">
      <c r="A13" s="9" t="s">
        <v>107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6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108</v>
      </c>
    </row>
    <row r="2" spans="1:1" ht="15">
      <c r="A2" s="5" t="s">
        <v>109</v>
      </c>
    </row>
    <row r="3" spans="1:1">
      <c r="A3" s="6" t="s">
        <v>61</v>
      </c>
    </row>
    <row r="4" spans="1:1" ht="30" customHeight="1">
      <c r="A4" s="8" t="s">
        <v>110</v>
      </c>
    </row>
    <row r="5" spans="1:1" ht="18" customHeight="1">
      <c r="A5" s="9" t="s">
        <v>111</v>
      </c>
    </row>
    <row r="6" spans="1:1" ht="18" customHeight="1">
      <c r="A6" s="9" t="s">
        <v>112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7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113</v>
      </c>
    </row>
    <row r="2" spans="1:1" ht="15">
      <c r="A2" s="5" t="s">
        <v>114</v>
      </c>
    </row>
    <row r="3" spans="1:1">
      <c r="A3" s="6" t="s">
        <v>61</v>
      </c>
    </row>
    <row r="4" spans="1:1" ht="30" customHeight="1">
      <c r="A4" s="8" t="s">
        <v>115</v>
      </c>
    </row>
    <row r="5" spans="1:1" ht="18" customHeight="1">
      <c r="A5" s="9" t="s">
        <v>116</v>
      </c>
    </row>
    <row r="6" spans="1:1" ht="18" customHeight="1">
      <c r="A6" s="9" t="s">
        <v>117</v>
      </c>
    </row>
    <row r="7" spans="1:1" ht="18" customHeight="1">
      <c r="A7" s="9" t="s">
        <v>118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>
      <selection activeCell="A5" sqref="A5"/>
    </sheetView>
  </sheetViews>
  <sheetFormatPr defaultRowHeight="14.25"/>
  <cols>
    <col min="1" max="1" width="20" customWidth="1"/>
  </cols>
  <sheetData>
    <row r="1" spans="1:1" ht="24" customHeight="1">
      <c r="A1" s="1" t="s">
        <v>119</v>
      </c>
    </row>
    <row r="2" spans="1:1" ht="15">
      <c r="A2" s="5" t="s">
        <v>120</v>
      </c>
    </row>
    <row r="3" spans="1:1">
      <c r="A3" s="6" t="s">
        <v>61</v>
      </c>
    </row>
    <row r="4" spans="1:1" ht="30" customHeight="1">
      <c r="A4" s="8" t="s">
        <v>121</v>
      </c>
    </row>
    <row r="5" spans="1:1" ht="18" customHeight="1">
      <c r="A5" s="9" t="s">
        <v>122</v>
      </c>
    </row>
    <row r="6" spans="1:1" ht="18" customHeight="1">
      <c r="A6" s="9" t="s">
        <v>123</v>
      </c>
    </row>
    <row r="7" spans="1:1" ht="18" customHeight="1">
      <c r="A7" s="9" t="s">
        <v>124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6"/>
  <sheetViews>
    <sheetView workbookViewId="0"/>
  </sheetViews>
  <sheetFormatPr defaultRowHeight="14.25"/>
  <cols>
    <col min="1" max="1" width="20" customWidth="1"/>
  </cols>
  <sheetData>
    <row r="1" spans="1:1" ht="24" customHeight="1">
      <c r="A1" s="1" t="s">
        <v>125</v>
      </c>
    </row>
    <row r="2" spans="1:1" ht="15">
      <c r="A2" s="5" t="s">
        <v>126</v>
      </c>
    </row>
    <row r="3" spans="1:1">
      <c r="A3" s="6" t="s">
        <v>61</v>
      </c>
    </row>
    <row r="4" spans="1:1" ht="30" customHeight="1">
      <c r="A4" s="8" t="s">
        <v>127</v>
      </c>
    </row>
    <row r="5" spans="1:1" ht="18" customHeight="1">
      <c r="A5" s="9" t="s">
        <v>128</v>
      </c>
    </row>
    <row r="6" spans="1:1" ht="18" customHeight="1">
      <c r="A6" s="9" t="s">
        <v>129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9"/>
  <sheetViews>
    <sheetView workbookViewId="0"/>
  </sheetViews>
  <sheetFormatPr defaultRowHeight="14.25"/>
  <cols>
    <col min="1" max="1" width="16" customWidth="1"/>
    <col min="2" max="2" width="14" customWidth="1"/>
    <col min="3" max="3" width="16" customWidth="1"/>
  </cols>
  <sheetData>
    <row r="1" spans="1:6" ht="24" customHeight="1">
      <c r="A1" s="12" t="s">
        <v>130</v>
      </c>
      <c r="B1" s="12"/>
      <c r="C1" s="12"/>
      <c r="D1" s="12"/>
      <c r="E1" s="12"/>
      <c r="F1" s="12"/>
    </row>
    <row r="2" spans="1:6" ht="15">
      <c r="A2" s="5" t="s">
        <v>131</v>
      </c>
    </row>
    <row r="3" spans="1:6">
      <c r="A3" s="6" t="s">
        <v>132</v>
      </c>
      <c r="D3" t="s">
        <v>156</v>
      </c>
    </row>
    <row r="4" spans="1:6" ht="30" customHeight="1">
      <c r="A4" s="13" t="s">
        <v>133</v>
      </c>
      <c r="B4" s="13" t="s">
        <v>134</v>
      </c>
      <c r="C4" s="13" t="s">
        <v>135</v>
      </c>
      <c r="D4" s="14" t="s">
        <v>157</v>
      </c>
      <c r="E4" s="14" t="s">
        <v>158</v>
      </c>
      <c r="F4" s="14" t="s">
        <v>159</v>
      </c>
    </row>
    <row r="5" spans="1:6" ht="18" customHeight="1">
      <c r="A5" s="9" t="s">
        <v>136</v>
      </c>
      <c r="B5" s="9">
        <v>21</v>
      </c>
      <c r="C5" s="9" t="s">
        <v>137</v>
      </c>
      <c r="D5">
        <v>13</v>
      </c>
      <c r="E5">
        <v>3</v>
      </c>
      <c r="F5" t="str">
        <f>IF(AND(D5=13,E5=3),"OK","CHECK")</f>
        <v>OK</v>
      </c>
    </row>
    <row r="6" spans="1:6" ht="18" customHeight="1">
      <c r="A6" s="9" t="s">
        <v>136</v>
      </c>
      <c r="B6" s="9">
        <v>22</v>
      </c>
      <c r="C6" s="9" t="s">
        <v>137</v>
      </c>
      <c r="D6">
        <v>13</v>
      </c>
      <c r="E6">
        <v>3</v>
      </c>
      <c r="F6" t="str">
        <f>IF(AND(D6=13,E6=3),"OK","CHECK")</f>
        <v>OK</v>
      </c>
    </row>
    <row r="7" spans="1:6" ht="18" customHeight="1">
      <c r="A7" s="9" t="s">
        <v>136</v>
      </c>
      <c r="B7" s="9">
        <v>23</v>
      </c>
      <c r="C7" s="9" t="s">
        <v>137</v>
      </c>
      <c r="D7">
        <v>13</v>
      </c>
      <c r="E7">
        <v>3</v>
      </c>
      <c r="F7" t="str">
        <f>IF(AND(D7=13,E7=3),"OK","CHECK")</f>
        <v>OK</v>
      </c>
    </row>
    <row r="8" spans="1:6" ht="18" customHeight="1">
      <c r="A8" s="9" t="s">
        <v>136</v>
      </c>
      <c r="B8" s="9">
        <v>24</v>
      </c>
      <c r="C8" s="9" t="s">
        <v>137</v>
      </c>
      <c r="D8">
        <v>13</v>
      </c>
      <c r="E8">
        <v>3</v>
      </c>
      <c r="F8" t="str">
        <f>IF(AND(D8=13,E8=3),"OK","CHECK")</f>
        <v>OK</v>
      </c>
    </row>
    <row r="9" spans="1:6" ht="18" customHeight="1">
      <c r="A9" s="9" t="s">
        <v>136</v>
      </c>
      <c r="B9" s="9">
        <v>25</v>
      </c>
      <c r="C9" s="9" t="s">
        <v>137</v>
      </c>
      <c r="D9">
        <v>13</v>
      </c>
      <c r="E9">
        <v>3</v>
      </c>
      <c r="F9" t="str">
        <f>IF(AND(D9=13,E9=3),"OK","CHECK")</f>
        <v>OK</v>
      </c>
    </row>
  </sheetData>
  <dataValidations count="1">
    <dataValidation sqref="D5:E200" xr:uid="{00000000-0002-0000-0C00-000000000000}">
      <formula1>1</formula1>
      <formula2>99</formula2>
    </dataValidation>
  </dataValidation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"/>
  <sheetViews>
    <sheetView workbookViewId="0"/>
  </sheetViews>
  <sheetFormatPr defaultRowHeight="14.25"/>
  <cols>
    <col min="1" max="1" width="22" customWidth="1"/>
    <col min="2" max="3" width="16" customWidth="1"/>
  </cols>
  <sheetData>
    <row r="1" spans="1:3" ht="24" customHeight="1">
      <c r="A1" s="1" t="s">
        <v>138</v>
      </c>
    </row>
    <row r="2" spans="1:3" ht="15">
      <c r="A2" s="5" t="s">
        <v>139</v>
      </c>
    </row>
    <row r="3" spans="1:3">
      <c r="A3" s="6" t="s">
        <v>140</v>
      </c>
    </row>
    <row r="4" spans="1:3" ht="30" customHeight="1">
      <c r="A4" s="8" t="s">
        <v>141</v>
      </c>
      <c r="B4" s="8" t="s">
        <v>142</v>
      </c>
      <c r="C4" s="8" t="s">
        <v>143</v>
      </c>
    </row>
    <row r="5" spans="1:3" ht="18" customHeight="1">
      <c r="A5" s="9" t="s">
        <v>144</v>
      </c>
      <c r="B5" s="11">
        <v>1.5</v>
      </c>
      <c r="C5" s="11">
        <v>0.5</v>
      </c>
    </row>
    <row r="6" spans="1:3" ht="18" customHeight="1">
      <c r="A6" s="9" t="s">
        <v>145</v>
      </c>
      <c r="B6" s="11">
        <v>3</v>
      </c>
      <c r="C6" s="11">
        <v>1</v>
      </c>
    </row>
    <row r="7" spans="1:3" ht="18" customHeight="1">
      <c r="A7" s="9" t="s">
        <v>146</v>
      </c>
      <c r="B7" s="11">
        <v>6</v>
      </c>
      <c r="C7" s="11">
        <v>2</v>
      </c>
    </row>
    <row r="8" spans="1:3" ht="18" customHeight="1">
      <c r="A8" s="9" t="s">
        <v>147</v>
      </c>
      <c r="B8" s="11">
        <v>8</v>
      </c>
      <c r="C8" s="11">
        <v>3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3"/>
  <sheetViews>
    <sheetView workbookViewId="0"/>
  </sheetViews>
  <sheetFormatPr defaultRowHeight="14.25"/>
  <cols>
    <col min="1" max="1" width="12" customWidth="1"/>
    <col min="2" max="2" width="10" customWidth="1"/>
    <col min="3" max="3" width="16" customWidth="1"/>
    <col min="4" max="5" width="20" customWidth="1"/>
    <col min="6" max="6" width="32" customWidth="1"/>
    <col min="7" max="8" width="30" customWidth="1"/>
  </cols>
  <sheetData>
    <row r="1" spans="1:12" ht="20.25">
      <c r="A1" s="1" t="s">
        <v>148</v>
      </c>
    </row>
    <row r="2" spans="1:12">
      <c r="A2" s="6" t="s">
        <v>149</v>
      </c>
    </row>
    <row r="4" spans="1:12" ht="15">
      <c r="A4" s="7" t="s">
        <v>127</v>
      </c>
      <c r="B4" s="7" t="s">
        <v>121</v>
      </c>
      <c r="C4" s="7" t="s">
        <v>115</v>
      </c>
      <c r="D4" s="7" t="s">
        <v>110</v>
      </c>
      <c r="E4" s="7" t="s">
        <v>62</v>
      </c>
      <c r="F4" s="7" t="s">
        <v>74</v>
      </c>
      <c r="G4" s="7" t="s">
        <v>86</v>
      </c>
      <c r="H4" s="7" t="s">
        <v>98</v>
      </c>
      <c r="I4" t="s">
        <v>160</v>
      </c>
      <c r="J4" t="s">
        <v>161</v>
      </c>
      <c r="K4" t="s">
        <v>162</v>
      </c>
      <c r="L4" t="s">
        <v>163</v>
      </c>
    </row>
    <row r="5" spans="1:12">
      <c r="A5" t="s">
        <v>128</v>
      </c>
      <c r="B5" t="s">
        <v>122</v>
      </c>
      <c r="C5" t="s">
        <v>116</v>
      </c>
      <c r="D5" t="s">
        <v>111</v>
      </c>
      <c r="E5" t="s">
        <v>63</v>
      </c>
      <c r="F5" t="s">
        <v>75</v>
      </c>
      <c r="G5" t="s">
        <v>87</v>
      </c>
      <c r="H5" t="s">
        <v>99</v>
      </c>
      <c r="I5" t="s">
        <v>164</v>
      </c>
      <c r="J5" t="s">
        <v>165</v>
      </c>
      <c r="K5">
        <v>0</v>
      </c>
      <c r="L5" t="s">
        <v>166</v>
      </c>
    </row>
    <row r="6" spans="1:12">
      <c r="A6" t="s">
        <v>129</v>
      </c>
      <c r="B6" t="s">
        <v>123</v>
      </c>
      <c r="C6" t="s">
        <v>117</v>
      </c>
      <c r="D6" t="s">
        <v>112</v>
      </c>
      <c r="E6" t="s">
        <v>64</v>
      </c>
      <c r="F6" t="s">
        <v>76</v>
      </c>
      <c r="G6" t="s">
        <v>88</v>
      </c>
      <c r="H6" t="s">
        <v>100</v>
      </c>
      <c r="I6" t="s">
        <v>167</v>
      </c>
      <c r="J6" t="s">
        <v>168</v>
      </c>
      <c r="K6">
        <v>1</v>
      </c>
      <c r="L6" t="s">
        <v>169</v>
      </c>
    </row>
    <row r="7" spans="1:12">
      <c r="B7" t="s">
        <v>124</v>
      </c>
      <c r="C7" t="s">
        <v>118</v>
      </c>
      <c r="E7" t="s">
        <v>65</v>
      </c>
      <c r="F7" t="s">
        <v>77</v>
      </c>
      <c r="G7" t="s">
        <v>89</v>
      </c>
      <c r="H7" t="s">
        <v>101</v>
      </c>
      <c r="I7" t="s">
        <v>170</v>
      </c>
      <c r="J7" t="s">
        <v>117</v>
      </c>
    </row>
    <row r="8" spans="1:12">
      <c r="E8" t="s">
        <v>66</v>
      </c>
      <c r="F8" t="s">
        <v>78</v>
      </c>
      <c r="G8" t="s">
        <v>90</v>
      </c>
      <c r="H8" t="s">
        <v>102</v>
      </c>
      <c r="J8" t="s">
        <v>171</v>
      </c>
    </row>
    <row r="9" spans="1:12">
      <c r="E9" t="s">
        <v>67</v>
      </c>
      <c r="F9" t="s">
        <v>79</v>
      </c>
      <c r="G9" t="s">
        <v>91</v>
      </c>
      <c r="H9" t="s">
        <v>103</v>
      </c>
      <c r="J9" t="s">
        <v>172</v>
      </c>
    </row>
    <row r="10" spans="1:12">
      <c r="E10" t="s">
        <v>68</v>
      </c>
      <c r="F10" t="s">
        <v>80</v>
      </c>
      <c r="G10" t="s">
        <v>92</v>
      </c>
      <c r="H10" t="s">
        <v>104</v>
      </c>
      <c r="J10" t="s">
        <v>173</v>
      </c>
    </row>
    <row r="11" spans="1:12">
      <c r="E11" t="s">
        <v>69</v>
      </c>
      <c r="F11" t="s">
        <v>81</v>
      </c>
      <c r="G11" t="s">
        <v>93</v>
      </c>
      <c r="H11" t="s">
        <v>105</v>
      </c>
    </row>
    <row r="12" spans="1:12">
      <c r="E12" t="s">
        <v>70</v>
      </c>
      <c r="F12" t="s">
        <v>82</v>
      </c>
      <c r="G12" t="s">
        <v>94</v>
      </c>
      <c r="H12" t="s">
        <v>106</v>
      </c>
    </row>
    <row r="13" spans="1:12">
      <c r="E13" t="s">
        <v>71</v>
      </c>
      <c r="F13" t="s">
        <v>83</v>
      </c>
      <c r="G13" t="s">
        <v>95</v>
      </c>
      <c r="H13" t="s">
        <v>107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269"/>
  <sheetViews>
    <sheetView tabSelected="1" workbookViewId="0">
      <selection activeCell="M10" sqref="M10"/>
    </sheetView>
  </sheetViews>
  <sheetFormatPr defaultRowHeight="14.25"/>
  <cols>
    <col min="1" max="1" width="18.5" customWidth="1"/>
    <col min="2" max="2" width="14" customWidth="1"/>
    <col min="3" max="3" width="13.625" customWidth="1"/>
    <col min="4" max="4" width="16.5" customWidth="1"/>
    <col min="5" max="5" width="15.25" customWidth="1"/>
    <col min="6" max="6" width="12.625" customWidth="1"/>
    <col min="7" max="7" width="25.375" bestFit="1" customWidth="1"/>
    <col min="8" max="8" width="24" customWidth="1"/>
    <col min="9" max="9" width="26.375" customWidth="1"/>
    <col min="10" max="10" width="30" customWidth="1"/>
    <col min="11" max="11" width="15" customWidth="1"/>
    <col min="12" max="12" width="15.625" customWidth="1"/>
  </cols>
  <sheetData>
    <row r="1" spans="1:12" ht="18">
      <c r="A1" s="12" t="s">
        <v>174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2" spans="1:12">
      <c r="A2" t="s">
        <v>175</v>
      </c>
    </row>
    <row r="4" spans="1:12" ht="15">
      <c r="A4" s="14" t="s">
        <v>176</v>
      </c>
      <c r="B4" s="14" t="s">
        <v>133</v>
      </c>
      <c r="C4" s="14" t="s">
        <v>134</v>
      </c>
      <c r="D4" s="14" t="s">
        <v>177</v>
      </c>
      <c r="E4" s="14" t="s">
        <v>178</v>
      </c>
      <c r="F4" s="14" t="s">
        <v>160</v>
      </c>
      <c r="G4" s="14" t="s">
        <v>179</v>
      </c>
      <c r="H4" s="14" t="s">
        <v>180</v>
      </c>
      <c r="I4" s="14" t="s">
        <v>157</v>
      </c>
      <c r="J4" s="14" t="s">
        <v>158</v>
      </c>
      <c r="K4" s="14" t="s">
        <v>181</v>
      </c>
      <c r="L4" s="14" t="s">
        <v>182</v>
      </c>
    </row>
    <row r="5" spans="1:12">
      <c r="A5" t="s">
        <v>183</v>
      </c>
      <c r="B5" t="s">
        <v>136</v>
      </c>
      <c r="C5">
        <v>21</v>
      </c>
      <c r="F5" t="s">
        <v>164</v>
      </c>
      <c r="G5" t="s">
        <v>184</v>
      </c>
      <c r="I5">
        <v>13</v>
      </c>
      <c r="J5">
        <v>3</v>
      </c>
      <c r="K5">
        <v>1</v>
      </c>
      <c r="L5" t="str">
        <f t="shared" ref="L5:L68" si="0">IF(OR(F5="Line",AND(F5="Section",D5&gt;=1,D5&lt;=I5,E5=""),AND(F5="Cavity",D5&gt;=1,D5&lt;=I5,E5&gt;=1,E5&lt;=J5)),"OK","CHECK")</f>
        <v>OK</v>
      </c>
    </row>
    <row r="6" spans="1:12">
      <c r="A6" t="s">
        <v>185</v>
      </c>
      <c r="B6" t="s">
        <v>136</v>
      </c>
      <c r="C6">
        <v>21</v>
      </c>
      <c r="D6">
        <v>1</v>
      </c>
      <c r="F6" t="s">
        <v>167</v>
      </c>
      <c r="G6" t="s">
        <v>186</v>
      </c>
      <c r="H6" t="s">
        <v>183</v>
      </c>
      <c r="I6">
        <v>13</v>
      </c>
      <c r="J6">
        <v>3</v>
      </c>
      <c r="K6">
        <v>1</v>
      </c>
      <c r="L6" t="str">
        <f t="shared" si="0"/>
        <v>OK</v>
      </c>
    </row>
    <row r="7" spans="1:12">
      <c r="A7" t="s">
        <v>187</v>
      </c>
      <c r="B7" t="s">
        <v>136</v>
      </c>
      <c r="C7">
        <v>21</v>
      </c>
      <c r="D7">
        <v>1</v>
      </c>
      <c r="E7">
        <v>1</v>
      </c>
      <c r="F7" t="s">
        <v>170</v>
      </c>
      <c r="G7" t="s">
        <v>188</v>
      </c>
      <c r="H7" t="s">
        <v>185</v>
      </c>
      <c r="I7">
        <v>13</v>
      </c>
      <c r="J7">
        <v>3</v>
      </c>
      <c r="K7">
        <v>1</v>
      </c>
      <c r="L7" t="str">
        <f t="shared" si="0"/>
        <v>OK</v>
      </c>
    </row>
    <row r="8" spans="1:12">
      <c r="A8" t="s">
        <v>189</v>
      </c>
      <c r="B8" t="s">
        <v>136</v>
      </c>
      <c r="C8">
        <v>21</v>
      </c>
      <c r="D8">
        <v>1</v>
      </c>
      <c r="E8">
        <v>2</v>
      </c>
      <c r="F8" t="s">
        <v>170</v>
      </c>
      <c r="G8" t="s">
        <v>190</v>
      </c>
      <c r="H8" t="s">
        <v>185</v>
      </c>
      <c r="I8">
        <v>13</v>
      </c>
      <c r="J8">
        <v>3</v>
      </c>
      <c r="K8">
        <v>1</v>
      </c>
      <c r="L8" t="str">
        <f t="shared" si="0"/>
        <v>OK</v>
      </c>
    </row>
    <row r="9" spans="1:12">
      <c r="A9" t="s">
        <v>191</v>
      </c>
      <c r="B9" t="s">
        <v>136</v>
      </c>
      <c r="C9">
        <v>21</v>
      </c>
      <c r="D9">
        <v>1</v>
      </c>
      <c r="E9">
        <v>3</v>
      </c>
      <c r="F9" t="s">
        <v>170</v>
      </c>
      <c r="G9" t="s">
        <v>192</v>
      </c>
      <c r="H9" t="s">
        <v>185</v>
      </c>
      <c r="I9">
        <v>13</v>
      </c>
      <c r="J9">
        <v>3</v>
      </c>
      <c r="K9">
        <v>1</v>
      </c>
      <c r="L9" t="str">
        <f t="shared" si="0"/>
        <v>OK</v>
      </c>
    </row>
    <row r="10" spans="1:12">
      <c r="A10" t="s">
        <v>193</v>
      </c>
      <c r="B10" t="s">
        <v>136</v>
      </c>
      <c r="C10">
        <v>21</v>
      </c>
      <c r="D10">
        <v>2</v>
      </c>
      <c r="F10" t="s">
        <v>167</v>
      </c>
      <c r="G10" t="s">
        <v>194</v>
      </c>
      <c r="H10" t="s">
        <v>183</v>
      </c>
      <c r="I10">
        <v>13</v>
      </c>
      <c r="J10">
        <v>3</v>
      </c>
      <c r="K10">
        <v>1</v>
      </c>
      <c r="L10" t="str">
        <f t="shared" si="0"/>
        <v>OK</v>
      </c>
    </row>
    <row r="11" spans="1:12">
      <c r="A11" t="s">
        <v>195</v>
      </c>
      <c r="B11" t="s">
        <v>136</v>
      </c>
      <c r="C11">
        <v>21</v>
      </c>
      <c r="D11">
        <v>2</v>
      </c>
      <c r="E11">
        <v>1</v>
      </c>
      <c r="F11" t="s">
        <v>170</v>
      </c>
      <c r="G11" t="s">
        <v>196</v>
      </c>
      <c r="H11" t="s">
        <v>193</v>
      </c>
      <c r="I11">
        <v>13</v>
      </c>
      <c r="J11">
        <v>3</v>
      </c>
      <c r="K11">
        <v>1</v>
      </c>
      <c r="L11" t="str">
        <f t="shared" si="0"/>
        <v>OK</v>
      </c>
    </row>
    <row r="12" spans="1:12">
      <c r="A12" t="s">
        <v>197</v>
      </c>
      <c r="B12" t="s">
        <v>136</v>
      </c>
      <c r="C12">
        <v>21</v>
      </c>
      <c r="D12">
        <v>2</v>
      </c>
      <c r="E12">
        <v>2</v>
      </c>
      <c r="F12" t="s">
        <v>170</v>
      </c>
      <c r="G12" t="s">
        <v>198</v>
      </c>
      <c r="H12" t="s">
        <v>193</v>
      </c>
      <c r="I12">
        <v>13</v>
      </c>
      <c r="J12">
        <v>3</v>
      </c>
      <c r="K12">
        <v>1</v>
      </c>
      <c r="L12" t="str">
        <f t="shared" si="0"/>
        <v>OK</v>
      </c>
    </row>
    <row r="13" spans="1:12">
      <c r="A13" t="s">
        <v>199</v>
      </c>
      <c r="B13" t="s">
        <v>136</v>
      </c>
      <c r="C13">
        <v>21</v>
      </c>
      <c r="D13">
        <v>2</v>
      </c>
      <c r="E13">
        <v>3</v>
      </c>
      <c r="F13" t="s">
        <v>170</v>
      </c>
      <c r="G13" t="s">
        <v>200</v>
      </c>
      <c r="H13" t="s">
        <v>193</v>
      </c>
      <c r="I13">
        <v>13</v>
      </c>
      <c r="J13">
        <v>3</v>
      </c>
      <c r="K13">
        <v>1</v>
      </c>
      <c r="L13" t="str">
        <f t="shared" si="0"/>
        <v>OK</v>
      </c>
    </row>
    <row r="14" spans="1:12">
      <c r="A14" t="s">
        <v>201</v>
      </c>
      <c r="B14" t="s">
        <v>136</v>
      </c>
      <c r="C14">
        <v>21</v>
      </c>
      <c r="D14">
        <v>3</v>
      </c>
      <c r="F14" t="s">
        <v>167</v>
      </c>
      <c r="G14" t="s">
        <v>202</v>
      </c>
      <c r="H14" t="s">
        <v>183</v>
      </c>
      <c r="I14">
        <v>13</v>
      </c>
      <c r="J14">
        <v>3</v>
      </c>
      <c r="K14">
        <v>1</v>
      </c>
      <c r="L14" t="str">
        <f t="shared" si="0"/>
        <v>OK</v>
      </c>
    </row>
    <row r="15" spans="1:12">
      <c r="A15" t="s">
        <v>203</v>
      </c>
      <c r="B15" t="s">
        <v>136</v>
      </c>
      <c r="C15">
        <v>21</v>
      </c>
      <c r="D15">
        <v>3</v>
      </c>
      <c r="E15">
        <v>1</v>
      </c>
      <c r="F15" t="s">
        <v>170</v>
      </c>
      <c r="G15" t="s">
        <v>204</v>
      </c>
      <c r="H15" t="s">
        <v>201</v>
      </c>
      <c r="I15">
        <v>13</v>
      </c>
      <c r="J15">
        <v>3</v>
      </c>
      <c r="K15">
        <v>1</v>
      </c>
      <c r="L15" t="str">
        <f t="shared" si="0"/>
        <v>OK</v>
      </c>
    </row>
    <row r="16" spans="1:12">
      <c r="A16" t="s">
        <v>205</v>
      </c>
      <c r="B16" t="s">
        <v>136</v>
      </c>
      <c r="C16">
        <v>21</v>
      </c>
      <c r="D16">
        <v>3</v>
      </c>
      <c r="E16">
        <v>2</v>
      </c>
      <c r="F16" t="s">
        <v>170</v>
      </c>
      <c r="G16" t="s">
        <v>206</v>
      </c>
      <c r="H16" t="s">
        <v>201</v>
      </c>
      <c r="I16">
        <v>13</v>
      </c>
      <c r="J16">
        <v>3</v>
      </c>
      <c r="K16">
        <v>1</v>
      </c>
      <c r="L16" t="str">
        <f t="shared" si="0"/>
        <v>OK</v>
      </c>
    </row>
    <row r="17" spans="1:12">
      <c r="A17" t="s">
        <v>207</v>
      </c>
      <c r="B17" t="s">
        <v>136</v>
      </c>
      <c r="C17">
        <v>21</v>
      </c>
      <c r="D17">
        <v>3</v>
      </c>
      <c r="E17">
        <v>3</v>
      </c>
      <c r="F17" t="s">
        <v>170</v>
      </c>
      <c r="G17" t="s">
        <v>208</v>
      </c>
      <c r="H17" t="s">
        <v>201</v>
      </c>
      <c r="I17">
        <v>13</v>
      </c>
      <c r="J17">
        <v>3</v>
      </c>
      <c r="K17">
        <v>1</v>
      </c>
      <c r="L17" t="str">
        <f t="shared" si="0"/>
        <v>OK</v>
      </c>
    </row>
    <row r="18" spans="1:12">
      <c r="A18" t="s">
        <v>209</v>
      </c>
      <c r="B18" t="s">
        <v>136</v>
      </c>
      <c r="C18">
        <v>21</v>
      </c>
      <c r="D18">
        <v>4</v>
      </c>
      <c r="F18" t="s">
        <v>167</v>
      </c>
      <c r="G18" t="s">
        <v>210</v>
      </c>
      <c r="H18" t="s">
        <v>183</v>
      </c>
      <c r="I18">
        <v>13</v>
      </c>
      <c r="J18">
        <v>3</v>
      </c>
      <c r="K18">
        <v>1</v>
      </c>
      <c r="L18" t="str">
        <f t="shared" si="0"/>
        <v>OK</v>
      </c>
    </row>
    <row r="19" spans="1:12">
      <c r="A19" t="s">
        <v>211</v>
      </c>
      <c r="B19" t="s">
        <v>136</v>
      </c>
      <c r="C19">
        <v>21</v>
      </c>
      <c r="D19">
        <v>4</v>
      </c>
      <c r="E19">
        <v>1</v>
      </c>
      <c r="F19" t="s">
        <v>170</v>
      </c>
      <c r="G19" t="s">
        <v>212</v>
      </c>
      <c r="H19" t="s">
        <v>209</v>
      </c>
      <c r="I19">
        <v>13</v>
      </c>
      <c r="J19">
        <v>3</v>
      </c>
      <c r="K19">
        <v>1</v>
      </c>
      <c r="L19" t="str">
        <f t="shared" si="0"/>
        <v>OK</v>
      </c>
    </row>
    <row r="20" spans="1:12">
      <c r="A20" t="s">
        <v>213</v>
      </c>
      <c r="B20" t="s">
        <v>136</v>
      </c>
      <c r="C20">
        <v>21</v>
      </c>
      <c r="D20">
        <v>4</v>
      </c>
      <c r="E20">
        <v>2</v>
      </c>
      <c r="F20" t="s">
        <v>170</v>
      </c>
      <c r="G20" t="s">
        <v>214</v>
      </c>
      <c r="H20" t="s">
        <v>209</v>
      </c>
      <c r="I20">
        <v>13</v>
      </c>
      <c r="J20">
        <v>3</v>
      </c>
      <c r="K20">
        <v>1</v>
      </c>
      <c r="L20" t="str">
        <f t="shared" si="0"/>
        <v>OK</v>
      </c>
    </row>
    <row r="21" spans="1:12">
      <c r="A21" t="s">
        <v>215</v>
      </c>
      <c r="B21" t="s">
        <v>136</v>
      </c>
      <c r="C21">
        <v>21</v>
      </c>
      <c r="D21">
        <v>4</v>
      </c>
      <c r="E21">
        <v>3</v>
      </c>
      <c r="F21" t="s">
        <v>170</v>
      </c>
      <c r="G21" t="s">
        <v>216</v>
      </c>
      <c r="H21" t="s">
        <v>209</v>
      </c>
      <c r="I21">
        <v>13</v>
      </c>
      <c r="J21">
        <v>3</v>
      </c>
      <c r="K21">
        <v>1</v>
      </c>
      <c r="L21" t="str">
        <f t="shared" si="0"/>
        <v>OK</v>
      </c>
    </row>
    <row r="22" spans="1:12">
      <c r="A22" t="s">
        <v>217</v>
      </c>
      <c r="B22" t="s">
        <v>136</v>
      </c>
      <c r="C22">
        <v>21</v>
      </c>
      <c r="D22">
        <v>5</v>
      </c>
      <c r="F22" t="s">
        <v>167</v>
      </c>
      <c r="G22" t="s">
        <v>218</v>
      </c>
      <c r="H22" t="s">
        <v>183</v>
      </c>
      <c r="I22">
        <v>13</v>
      </c>
      <c r="J22">
        <v>3</v>
      </c>
      <c r="K22">
        <v>1</v>
      </c>
      <c r="L22" t="str">
        <f t="shared" si="0"/>
        <v>OK</v>
      </c>
    </row>
    <row r="23" spans="1:12">
      <c r="A23" t="s">
        <v>219</v>
      </c>
      <c r="B23" t="s">
        <v>136</v>
      </c>
      <c r="C23">
        <v>21</v>
      </c>
      <c r="D23">
        <v>5</v>
      </c>
      <c r="E23">
        <v>1</v>
      </c>
      <c r="F23" t="s">
        <v>170</v>
      </c>
      <c r="G23" t="s">
        <v>220</v>
      </c>
      <c r="H23" t="s">
        <v>217</v>
      </c>
      <c r="I23">
        <v>13</v>
      </c>
      <c r="J23">
        <v>3</v>
      </c>
      <c r="K23">
        <v>1</v>
      </c>
      <c r="L23" t="str">
        <f t="shared" si="0"/>
        <v>OK</v>
      </c>
    </row>
    <row r="24" spans="1:12">
      <c r="A24" t="s">
        <v>221</v>
      </c>
      <c r="B24" t="s">
        <v>136</v>
      </c>
      <c r="C24">
        <v>21</v>
      </c>
      <c r="D24">
        <v>5</v>
      </c>
      <c r="E24">
        <v>2</v>
      </c>
      <c r="F24" t="s">
        <v>170</v>
      </c>
      <c r="G24" t="s">
        <v>222</v>
      </c>
      <c r="H24" t="s">
        <v>217</v>
      </c>
      <c r="I24">
        <v>13</v>
      </c>
      <c r="J24">
        <v>3</v>
      </c>
      <c r="K24">
        <v>1</v>
      </c>
      <c r="L24" t="str">
        <f t="shared" si="0"/>
        <v>OK</v>
      </c>
    </row>
    <row r="25" spans="1:12">
      <c r="A25" t="s">
        <v>223</v>
      </c>
      <c r="B25" t="s">
        <v>136</v>
      </c>
      <c r="C25">
        <v>21</v>
      </c>
      <c r="D25">
        <v>5</v>
      </c>
      <c r="E25">
        <v>3</v>
      </c>
      <c r="F25" t="s">
        <v>170</v>
      </c>
      <c r="G25" t="s">
        <v>224</v>
      </c>
      <c r="H25" t="s">
        <v>217</v>
      </c>
      <c r="I25">
        <v>13</v>
      </c>
      <c r="J25">
        <v>3</v>
      </c>
      <c r="K25">
        <v>1</v>
      </c>
      <c r="L25" t="str">
        <f t="shared" si="0"/>
        <v>OK</v>
      </c>
    </row>
    <row r="26" spans="1:12">
      <c r="A26" t="s">
        <v>225</v>
      </c>
      <c r="B26" t="s">
        <v>136</v>
      </c>
      <c r="C26">
        <v>21</v>
      </c>
      <c r="D26">
        <v>6</v>
      </c>
      <c r="F26" t="s">
        <v>167</v>
      </c>
      <c r="G26" t="s">
        <v>226</v>
      </c>
      <c r="H26" t="s">
        <v>183</v>
      </c>
      <c r="I26">
        <v>13</v>
      </c>
      <c r="J26">
        <v>3</v>
      </c>
      <c r="K26">
        <v>1</v>
      </c>
      <c r="L26" t="str">
        <f t="shared" si="0"/>
        <v>OK</v>
      </c>
    </row>
    <row r="27" spans="1:12">
      <c r="A27" t="s">
        <v>227</v>
      </c>
      <c r="B27" t="s">
        <v>136</v>
      </c>
      <c r="C27">
        <v>21</v>
      </c>
      <c r="D27">
        <v>6</v>
      </c>
      <c r="E27">
        <v>1</v>
      </c>
      <c r="F27" t="s">
        <v>170</v>
      </c>
      <c r="G27" t="s">
        <v>228</v>
      </c>
      <c r="H27" t="s">
        <v>225</v>
      </c>
      <c r="I27">
        <v>13</v>
      </c>
      <c r="J27">
        <v>3</v>
      </c>
      <c r="K27">
        <v>1</v>
      </c>
      <c r="L27" t="str">
        <f t="shared" si="0"/>
        <v>OK</v>
      </c>
    </row>
    <row r="28" spans="1:12">
      <c r="A28" t="s">
        <v>229</v>
      </c>
      <c r="B28" t="s">
        <v>136</v>
      </c>
      <c r="C28">
        <v>21</v>
      </c>
      <c r="D28">
        <v>6</v>
      </c>
      <c r="E28">
        <v>2</v>
      </c>
      <c r="F28" t="s">
        <v>170</v>
      </c>
      <c r="G28" t="s">
        <v>230</v>
      </c>
      <c r="H28" t="s">
        <v>225</v>
      </c>
      <c r="I28">
        <v>13</v>
      </c>
      <c r="J28">
        <v>3</v>
      </c>
      <c r="K28">
        <v>1</v>
      </c>
      <c r="L28" t="str">
        <f t="shared" si="0"/>
        <v>OK</v>
      </c>
    </row>
    <row r="29" spans="1:12">
      <c r="A29" t="s">
        <v>231</v>
      </c>
      <c r="B29" t="s">
        <v>136</v>
      </c>
      <c r="C29">
        <v>21</v>
      </c>
      <c r="D29">
        <v>6</v>
      </c>
      <c r="E29">
        <v>3</v>
      </c>
      <c r="F29" t="s">
        <v>170</v>
      </c>
      <c r="G29" t="s">
        <v>232</v>
      </c>
      <c r="H29" t="s">
        <v>225</v>
      </c>
      <c r="I29">
        <v>13</v>
      </c>
      <c r="J29">
        <v>3</v>
      </c>
      <c r="K29">
        <v>1</v>
      </c>
      <c r="L29" t="str">
        <f t="shared" si="0"/>
        <v>OK</v>
      </c>
    </row>
    <row r="30" spans="1:12">
      <c r="A30" t="s">
        <v>233</v>
      </c>
      <c r="B30" t="s">
        <v>136</v>
      </c>
      <c r="C30">
        <v>21</v>
      </c>
      <c r="D30">
        <v>7</v>
      </c>
      <c r="F30" t="s">
        <v>167</v>
      </c>
      <c r="G30" t="s">
        <v>234</v>
      </c>
      <c r="H30" t="s">
        <v>183</v>
      </c>
      <c r="I30">
        <v>13</v>
      </c>
      <c r="J30">
        <v>3</v>
      </c>
      <c r="K30">
        <v>1</v>
      </c>
      <c r="L30" t="str">
        <f t="shared" si="0"/>
        <v>OK</v>
      </c>
    </row>
    <row r="31" spans="1:12">
      <c r="A31" t="s">
        <v>235</v>
      </c>
      <c r="B31" t="s">
        <v>136</v>
      </c>
      <c r="C31">
        <v>21</v>
      </c>
      <c r="D31">
        <v>7</v>
      </c>
      <c r="E31">
        <v>1</v>
      </c>
      <c r="F31" t="s">
        <v>170</v>
      </c>
      <c r="G31" t="s">
        <v>236</v>
      </c>
      <c r="H31" t="s">
        <v>233</v>
      </c>
      <c r="I31">
        <v>13</v>
      </c>
      <c r="J31">
        <v>3</v>
      </c>
      <c r="K31">
        <v>1</v>
      </c>
      <c r="L31" t="str">
        <f t="shared" si="0"/>
        <v>OK</v>
      </c>
    </row>
    <row r="32" spans="1:12">
      <c r="A32" t="s">
        <v>237</v>
      </c>
      <c r="B32" t="s">
        <v>136</v>
      </c>
      <c r="C32">
        <v>21</v>
      </c>
      <c r="D32">
        <v>7</v>
      </c>
      <c r="E32">
        <v>2</v>
      </c>
      <c r="F32" t="s">
        <v>170</v>
      </c>
      <c r="G32" t="s">
        <v>238</v>
      </c>
      <c r="H32" t="s">
        <v>233</v>
      </c>
      <c r="I32">
        <v>13</v>
      </c>
      <c r="J32">
        <v>3</v>
      </c>
      <c r="K32">
        <v>1</v>
      </c>
      <c r="L32" t="str">
        <f t="shared" si="0"/>
        <v>OK</v>
      </c>
    </row>
    <row r="33" spans="1:12">
      <c r="A33" t="s">
        <v>239</v>
      </c>
      <c r="B33" t="s">
        <v>136</v>
      </c>
      <c r="C33">
        <v>21</v>
      </c>
      <c r="D33">
        <v>7</v>
      </c>
      <c r="E33">
        <v>3</v>
      </c>
      <c r="F33" t="s">
        <v>170</v>
      </c>
      <c r="G33" t="s">
        <v>240</v>
      </c>
      <c r="H33" t="s">
        <v>233</v>
      </c>
      <c r="I33">
        <v>13</v>
      </c>
      <c r="J33">
        <v>3</v>
      </c>
      <c r="K33">
        <v>1</v>
      </c>
      <c r="L33" t="str">
        <f t="shared" si="0"/>
        <v>OK</v>
      </c>
    </row>
    <row r="34" spans="1:12">
      <c r="A34" t="s">
        <v>241</v>
      </c>
      <c r="B34" t="s">
        <v>136</v>
      </c>
      <c r="C34">
        <v>21</v>
      </c>
      <c r="D34">
        <v>8</v>
      </c>
      <c r="F34" t="s">
        <v>167</v>
      </c>
      <c r="G34" t="s">
        <v>242</v>
      </c>
      <c r="H34" t="s">
        <v>183</v>
      </c>
      <c r="I34">
        <v>13</v>
      </c>
      <c r="J34">
        <v>3</v>
      </c>
      <c r="K34">
        <v>1</v>
      </c>
      <c r="L34" t="str">
        <f t="shared" si="0"/>
        <v>OK</v>
      </c>
    </row>
    <row r="35" spans="1:12">
      <c r="A35" t="s">
        <v>243</v>
      </c>
      <c r="B35" t="s">
        <v>136</v>
      </c>
      <c r="C35">
        <v>21</v>
      </c>
      <c r="D35">
        <v>8</v>
      </c>
      <c r="E35">
        <v>1</v>
      </c>
      <c r="F35" t="s">
        <v>170</v>
      </c>
      <c r="G35" t="s">
        <v>244</v>
      </c>
      <c r="H35" t="s">
        <v>241</v>
      </c>
      <c r="I35">
        <v>13</v>
      </c>
      <c r="J35">
        <v>3</v>
      </c>
      <c r="K35">
        <v>1</v>
      </c>
      <c r="L35" t="str">
        <f t="shared" si="0"/>
        <v>OK</v>
      </c>
    </row>
    <row r="36" spans="1:12">
      <c r="A36" t="s">
        <v>245</v>
      </c>
      <c r="B36" t="s">
        <v>136</v>
      </c>
      <c r="C36">
        <v>21</v>
      </c>
      <c r="D36">
        <v>8</v>
      </c>
      <c r="E36">
        <v>2</v>
      </c>
      <c r="F36" t="s">
        <v>170</v>
      </c>
      <c r="G36" t="s">
        <v>246</v>
      </c>
      <c r="H36" t="s">
        <v>241</v>
      </c>
      <c r="I36">
        <v>13</v>
      </c>
      <c r="J36">
        <v>3</v>
      </c>
      <c r="K36">
        <v>1</v>
      </c>
      <c r="L36" t="str">
        <f t="shared" si="0"/>
        <v>OK</v>
      </c>
    </row>
    <row r="37" spans="1:12">
      <c r="A37" t="s">
        <v>247</v>
      </c>
      <c r="B37" t="s">
        <v>136</v>
      </c>
      <c r="C37">
        <v>21</v>
      </c>
      <c r="D37">
        <v>8</v>
      </c>
      <c r="E37">
        <v>3</v>
      </c>
      <c r="F37" t="s">
        <v>170</v>
      </c>
      <c r="G37" t="s">
        <v>248</v>
      </c>
      <c r="H37" t="s">
        <v>241</v>
      </c>
      <c r="I37">
        <v>13</v>
      </c>
      <c r="J37">
        <v>3</v>
      </c>
      <c r="K37">
        <v>1</v>
      </c>
      <c r="L37" t="str">
        <f t="shared" si="0"/>
        <v>OK</v>
      </c>
    </row>
    <row r="38" spans="1:12">
      <c r="A38" t="s">
        <v>249</v>
      </c>
      <c r="B38" t="s">
        <v>136</v>
      </c>
      <c r="C38">
        <v>21</v>
      </c>
      <c r="D38">
        <v>9</v>
      </c>
      <c r="F38" t="s">
        <v>167</v>
      </c>
      <c r="G38" t="s">
        <v>250</v>
      </c>
      <c r="H38" t="s">
        <v>183</v>
      </c>
      <c r="I38">
        <v>13</v>
      </c>
      <c r="J38">
        <v>3</v>
      </c>
      <c r="K38">
        <v>1</v>
      </c>
      <c r="L38" t="str">
        <f t="shared" si="0"/>
        <v>OK</v>
      </c>
    </row>
    <row r="39" spans="1:12">
      <c r="A39" t="s">
        <v>251</v>
      </c>
      <c r="B39" t="s">
        <v>136</v>
      </c>
      <c r="C39">
        <v>21</v>
      </c>
      <c r="D39">
        <v>9</v>
      </c>
      <c r="E39">
        <v>1</v>
      </c>
      <c r="F39" t="s">
        <v>170</v>
      </c>
      <c r="G39" t="s">
        <v>252</v>
      </c>
      <c r="H39" t="s">
        <v>249</v>
      </c>
      <c r="I39">
        <v>13</v>
      </c>
      <c r="J39">
        <v>3</v>
      </c>
      <c r="K39">
        <v>1</v>
      </c>
      <c r="L39" t="str">
        <f t="shared" si="0"/>
        <v>OK</v>
      </c>
    </row>
    <row r="40" spans="1:12">
      <c r="A40" t="s">
        <v>253</v>
      </c>
      <c r="B40" t="s">
        <v>136</v>
      </c>
      <c r="C40">
        <v>21</v>
      </c>
      <c r="D40">
        <v>9</v>
      </c>
      <c r="E40">
        <v>2</v>
      </c>
      <c r="F40" t="s">
        <v>170</v>
      </c>
      <c r="G40" t="s">
        <v>254</v>
      </c>
      <c r="H40" t="s">
        <v>249</v>
      </c>
      <c r="I40">
        <v>13</v>
      </c>
      <c r="J40">
        <v>3</v>
      </c>
      <c r="K40">
        <v>1</v>
      </c>
      <c r="L40" t="str">
        <f t="shared" si="0"/>
        <v>OK</v>
      </c>
    </row>
    <row r="41" spans="1:12">
      <c r="A41" t="s">
        <v>255</v>
      </c>
      <c r="B41" t="s">
        <v>136</v>
      </c>
      <c r="C41">
        <v>21</v>
      </c>
      <c r="D41">
        <v>9</v>
      </c>
      <c r="E41">
        <v>3</v>
      </c>
      <c r="F41" t="s">
        <v>170</v>
      </c>
      <c r="G41" t="s">
        <v>256</v>
      </c>
      <c r="H41" t="s">
        <v>249</v>
      </c>
      <c r="I41">
        <v>13</v>
      </c>
      <c r="J41">
        <v>3</v>
      </c>
      <c r="K41">
        <v>1</v>
      </c>
      <c r="L41" t="str">
        <f t="shared" si="0"/>
        <v>OK</v>
      </c>
    </row>
    <row r="42" spans="1:12">
      <c r="A42" t="s">
        <v>257</v>
      </c>
      <c r="B42" t="s">
        <v>136</v>
      </c>
      <c r="C42">
        <v>21</v>
      </c>
      <c r="D42">
        <v>10</v>
      </c>
      <c r="F42" t="s">
        <v>167</v>
      </c>
      <c r="G42" t="s">
        <v>258</v>
      </c>
      <c r="H42" t="s">
        <v>183</v>
      </c>
      <c r="I42">
        <v>13</v>
      </c>
      <c r="J42">
        <v>3</v>
      </c>
      <c r="K42">
        <v>1</v>
      </c>
      <c r="L42" t="str">
        <f t="shared" si="0"/>
        <v>OK</v>
      </c>
    </row>
    <row r="43" spans="1:12">
      <c r="A43" t="s">
        <v>259</v>
      </c>
      <c r="B43" t="s">
        <v>136</v>
      </c>
      <c r="C43">
        <v>21</v>
      </c>
      <c r="D43">
        <v>10</v>
      </c>
      <c r="E43">
        <v>1</v>
      </c>
      <c r="F43" t="s">
        <v>170</v>
      </c>
      <c r="G43" t="s">
        <v>260</v>
      </c>
      <c r="H43" t="s">
        <v>257</v>
      </c>
      <c r="I43">
        <v>13</v>
      </c>
      <c r="J43">
        <v>3</v>
      </c>
      <c r="K43">
        <v>1</v>
      </c>
      <c r="L43" t="str">
        <f t="shared" si="0"/>
        <v>OK</v>
      </c>
    </row>
    <row r="44" spans="1:12">
      <c r="A44" t="s">
        <v>261</v>
      </c>
      <c r="B44" t="s">
        <v>136</v>
      </c>
      <c r="C44">
        <v>21</v>
      </c>
      <c r="D44">
        <v>10</v>
      </c>
      <c r="E44">
        <v>2</v>
      </c>
      <c r="F44" t="s">
        <v>170</v>
      </c>
      <c r="G44" t="s">
        <v>262</v>
      </c>
      <c r="H44" t="s">
        <v>257</v>
      </c>
      <c r="I44">
        <v>13</v>
      </c>
      <c r="J44">
        <v>3</v>
      </c>
      <c r="K44">
        <v>1</v>
      </c>
      <c r="L44" t="str">
        <f t="shared" si="0"/>
        <v>OK</v>
      </c>
    </row>
    <row r="45" spans="1:12">
      <c r="A45" t="s">
        <v>263</v>
      </c>
      <c r="B45" t="s">
        <v>136</v>
      </c>
      <c r="C45">
        <v>21</v>
      </c>
      <c r="D45">
        <v>10</v>
      </c>
      <c r="E45">
        <v>3</v>
      </c>
      <c r="F45" t="s">
        <v>170</v>
      </c>
      <c r="G45" t="s">
        <v>264</v>
      </c>
      <c r="H45" t="s">
        <v>257</v>
      </c>
      <c r="I45">
        <v>13</v>
      </c>
      <c r="J45">
        <v>3</v>
      </c>
      <c r="K45">
        <v>1</v>
      </c>
      <c r="L45" t="str">
        <f t="shared" si="0"/>
        <v>OK</v>
      </c>
    </row>
    <row r="46" spans="1:12">
      <c r="A46" t="s">
        <v>265</v>
      </c>
      <c r="B46" t="s">
        <v>136</v>
      </c>
      <c r="C46">
        <v>21</v>
      </c>
      <c r="D46">
        <v>11</v>
      </c>
      <c r="F46" t="s">
        <v>167</v>
      </c>
      <c r="G46" t="s">
        <v>266</v>
      </c>
      <c r="H46" t="s">
        <v>183</v>
      </c>
      <c r="I46">
        <v>13</v>
      </c>
      <c r="J46">
        <v>3</v>
      </c>
      <c r="K46">
        <v>1</v>
      </c>
      <c r="L46" t="str">
        <f t="shared" si="0"/>
        <v>OK</v>
      </c>
    </row>
    <row r="47" spans="1:12">
      <c r="A47" t="s">
        <v>267</v>
      </c>
      <c r="B47" t="s">
        <v>136</v>
      </c>
      <c r="C47">
        <v>21</v>
      </c>
      <c r="D47">
        <v>11</v>
      </c>
      <c r="E47">
        <v>1</v>
      </c>
      <c r="F47" t="s">
        <v>170</v>
      </c>
      <c r="G47" t="s">
        <v>268</v>
      </c>
      <c r="H47" t="s">
        <v>265</v>
      </c>
      <c r="I47">
        <v>13</v>
      </c>
      <c r="J47">
        <v>3</v>
      </c>
      <c r="K47">
        <v>1</v>
      </c>
      <c r="L47" t="str">
        <f t="shared" si="0"/>
        <v>OK</v>
      </c>
    </row>
    <row r="48" spans="1:12">
      <c r="A48" t="s">
        <v>269</v>
      </c>
      <c r="B48" t="s">
        <v>136</v>
      </c>
      <c r="C48">
        <v>21</v>
      </c>
      <c r="D48">
        <v>11</v>
      </c>
      <c r="E48">
        <v>2</v>
      </c>
      <c r="F48" t="s">
        <v>170</v>
      </c>
      <c r="G48" t="s">
        <v>270</v>
      </c>
      <c r="H48" t="s">
        <v>265</v>
      </c>
      <c r="I48">
        <v>13</v>
      </c>
      <c r="J48">
        <v>3</v>
      </c>
      <c r="K48">
        <v>1</v>
      </c>
      <c r="L48" t="str">
        <f t="shared" si="0"/>
        <v>OK</v>
      </c>
    </row>
    <row r="49" spans="1:12">
      <c r="A49" t="s">
        <v>271</v>
      </c>
      <c r="B49" t="s">
        <v>136</v>
      </c>
      <c r="C49">
        <v>21</v>
      </c>
      <c r="D49">
        <v>11</v>
      </c>
      <c r="E49">
        <v>3</v>
      </c>
      <c r="F49" t="s">
        <v>170</v>
      </c>
      <c r="G49" t="s">
        <v>272</v>
      </c>
      <c r="H49" t="s">
        <v>265</v>
      </c>
      <c r="I49">
        <v>13</v>
      </c>
      <c r="J49">
        <v>3</v>
      </c>
      <c r="K49">
        <v>1</v>
      </c>
      <c r="L49" t="str">
        <f t="shared" si="0"/>
        <v>OK</v>
      </c>
    </row>
    <row r="50" spans="1:12">
      <c r="A50" t="s">
        <v>273</v>
      </c>
      <c r="B50" t="s">
        <v>136</v>
      </c>
      <c r="C50">
        <v>21</v>
      </c>
      <c r="D50">
        <v>12</v>
      </c>
      <c r="F50" t="s">
        <v>167</v>
      </c>
      <c r="G50" t="s">
        <v>274</v>
      </c>
      <c r="H50" t="s">
        <v>183</v>
      </c>
      <c r="I50">
        <v>13</v>
      </c>
      <c r="J50">
        <v>3</v>
      </c>
      <c r="K50">
        <v>1</v>
      </c>
      <c r="L50" t="str">
        <f t="shared" si="0"/>
        <v>OK</v>
      </c>
    </row>
    <row r="51" spans="1:12">
      <c r="A51" t="s">
        <v>275</v>
      </c>
      <c r="B51" t="s">
        <v>136</v>
      </c>
      <c r="C51">
        <v>21</v>
      </c>
      <c r="D51">
        <v>12</v>
      </c>
      <c r="E51">
        <v>1</v>
      </c>
      <c r="F51" t="s">
        <v>170</v>
      </c>
      <c r="G51" t="s">
        <v>276</v>
      </c>
      <c r="H51" t="s">
        <v>273</v>
      </c>
      <c r="I51">
        <v>13</v>
      </c>
      <c r="J51">
        <v>3</v>
      </c>
      <c r="K51">
        <v>1</v>
      </c>
      <c r="L51" t="str">
        <f t="shared" si="0"/>
        <v>OK</v>
      </c>
    </row>
    <row r="52" spans="1:12">
      <c r="A52" t="s">
        <v>277</v>
      </c>
      <c r="B52" t="s">
        <v>136</v>
      </c>
      <c r="C52">
        <v>21</v>
      </c>
      <c r="D52">
        <v>12</v>
      </c>
      <c r="E52">
        <v>2</v>
      </c>
      <c r="F52" t="s">
        <v>170</v>
      </c>
      <c r="G52" t="s">
        <v>278</v>
      </c>
      <c r="H52" t="s">
        <v>273</v>
      </c>
      <c r="I52">
        <v>13</v>
      </c>
      <c r="J52">
        <v>3</v>
      </c>
      <c r="K52">
        <v>1</v>
      </c>
      <c r="L52" t="str">
        <f t="shared" si="0"/>
        <v>OK</v>
      </c>
    </row>
    <row r="53" spans="1:12">
      <c r="A53" t="s">
        <v>279</v>
      </c>
      <c r="B53" t="s">
        <v>136</v>
      </c>
      <c r="C53">
        <v>21</v>
      </c>
      <c r="D53">
        <v>12</v>
      </c>
      <c r="E53">
        <v>3</v>
      </c>
      <c r="F53" t="s">
        <v>170</v>
      </c>
      <c r="G53" t="s">
        <v>280</v>
      </c>
      <c r="H53" t="s">
        <v>273</v>
      </c>
      <c r="I53">
        <v>13</v>
      </c>
      <c r="J53">
        <v>3</v>
      </c>
      <c r="K53">
        <v>1</v>
      </c>
      <c r="L53" t="str">
        <f t="shared" si="0"/>
        <v>OK</v>
      </c>
    </row>
    <row r="54" spans="1:12">
      <c r="A54" t="s">
        <v>281</v>
      </c>
      <c r="B54" t="s">
        <v>136</v>
      </c>
      <c r="C54">
        <v>21</v>
      </c>
      <c r="D54">
        <v>13</v>
      </c>
      <c r="F54" t="s">
        <v>167</v>
      </c>
      <c r="G54" t="s">
        <v>282</v>
      </c>
      <c r="H54" t="s">
        <v>183</v>
      </c>
      <c r="I54">
        <v>13</v>
      </c>
      <c r="J54">
        <v>3</v>
      </c>
      <c r="K54">
        <v>1</v>
      </c>
      <c r="L54" t="str">
        <f t="shared" si="0"/>
        <v>OK</v>
      </c>
    </row>
    <row r="55" spans="1:12">
      <c r="A55" t="s">
        <v>283</v>
      </c>
      <c r="B55" t="s">
        <v>136</v>
      </c>
      <c r="C55">
        <v>21</v>
      </c>
      <c r="D55">
        <v>13</v>
      </c>
      <c r="E55">
        <v>1</v>
      </c>
      <c r="F55" t="s">
        <v>170</v>
      </c>
      <c r="G55" t="s">
        <v>284</v>
      </c>
      <c r="H55" t="s">
        <v>281</v>
      </c>
      <c r="I55">
        <v>13</v>
      </c>
      <c r="J55">
        <v>3</v>
      </c>
      <c r="K55">
        <v>1</v>
      </c>
      <c r="L55" t="str">
        <f t="shared" si="0"/>
        <v>OK</v>
      </c>
    </row>
    <row r="56" spans="1:12">
      <c r="A56" t="s">
        <v>285</v>
      </c>
      <c r="B56" t="s">
        <v>136</v>
      </c>
      <c r="C56">
        <v>21</v>
      </c>
      <c r="D56">
        <v>13</v>
      </c>
      <c r="E56">
        <v>2</v>
      </c>
      <c r="F56" t="s">
        <v>170</v>
      </c>
      <c r="G56" t="s">
        <v>286</v>
      </c>
      <c r="H56" t="s">
        <v>281</v>
      </c>
      <c r="I56">
        <v>13</v>
      </c>
      <c r="J56">
        <v>3</v>
      </c>
      <c r="K56">
        <v>1</v>
      </c>
      <c r="L56" t="str">
        <f t="shared" si="0"/>
        <v>OK</v>
      </c>
    </row>
    <row r="57" spans="1:12">
      <c r="A57" t="s">
        <v>287</v>
      </c>
      <c r="B57" t="s">
        <v>136</v>
      </c>
      <c r="C57">
        <v>21</v>
      </c>
      <c r="D57">
        <v>13</v>
      </c>
      <c r="E57">
        <v>3</v>
      </c>
      <c r="F57" t="s">
        <v>170</v>
      </c>
      <c r="G57" t="s">
        <v>288</v>
      </c>
      <c r="H57" t="s">
        <v>281</v>
      </c>
      <c r="I57">
        <v>13</v>
      </c>
      <c r="J57">
        <v>3</v>
      </c>
      <c r="K57">
        <v>1</v>
      </c>
      <c r="L57" t="str">
        <f t="shared" si="0"/>
        <v>OK</v>
      </c>
    </row>
    <row r="58" spans="1:12">
      <c r="A58" t="s">
        <v>289</v>
      </c>
      <c r="B58" t="s">
        <v>136</v>
      </c>
      <c r="C58">
        <v>22</v>
      </c>
      <c r="F58" t="s">
        <v>164</v>
      </c>
      <c r="G58" t="s">
        <v>290</v>
      </c>
      <c r="I58">
        <v>13</v>
      </c>
      <c r="J58">
        <v>3</v>
      </c>
      <c r="K58">
        <v>1</v>
      </c>
      <c r="L58" t="str">
        <f t="shared" si="0"/>
        <v>OK</v>
      </c>
    </row>
    <row r="59" spans="1:12">
      <c r="A59" t="s">
        <v>291</v>
      </c>
      <c r="B59" t="s">
        <v>136</v>
      </c>
      <c r="C59">
        <v>22</v>
      </c>
      <c r="D59">
        <v>1</v>
      </c>
      <c r="F59" t="s">
        <v>167</v>
      </c>
      <c r="G59" t="s">
        <v>292</v>
      </c>
      <c r="H59" t="s">
        <v>289</v>
      </c>
      <c r="I59">
        <v>13</v>
      </c>
      <c r="J59">
        <v>3</v>
      </c>
      <c r="K59">
        <v>1</v>
      </c>
      <c r="L59" t="str">
        <f t="shared" si="0"/>
        <v>OK</v>
      </c>
    </row>
    <row r="60" spans="1:12">
      <c r="A60" t="s">
        <v>293</v>
      </c>
      <c r="B60" t="s">
        <v>136</v>
      </c>
      <c r="C60">
        <v>22</v>
      </c>
      <c r="D60">
        <v>1</v>
      </c>
      <c r="E60">
        <v>1</v>
      </c>
      <c r="F60" t="s">
        <v>170</v>
      </c>
      <c r="G60" t="s">
        <v>294</v>
      </c>
      <c r="H60" t="s">
        <v>291</v>
      </c>
      <c r="I60">
        <v>13</v>
      </c>
      <c r="J60">
        <v>3</v>
      </c>
      <c r="K60">
        <v>1</v>
      </c>
      <c r="L60" t="str">
        <f t="shared" si="0"/>
        <v>OK</v>
      </c>
    </row>
    <row r="61" spans="1:12">
      <c r="A61" t="s">
        <v>295</v>
      </c>
      <c r="B61" t="s">
        <v>136</v>
      </c>
      <c r="C61">
        <v>22</v>
      </c>
      <c r="D61">
        <v>1</v>
      </c>
      <c r="E61">
        <v>2</v>
      </c>
      <c r="F61" t="s">
        <v>170</v>
      </c>
      <c r="G61" t="s">
        <v>296</v>
      </c>
      <c r="H61" t="s">
        <v>291</v>
      </c>
      <c r="I61">
        <v>13</v>
      </c>
      <c r="J61">
        <v>3</v>
      </c>
      <c r="K61">
        <v>1</v>
      </c>
      <c r="L61" t="str">
        <f t="shared" si="0"/>
        <v>OK</v>
      </c>
    </row>
    <row r="62" spans="1:12">
      <c r="A62" t="s">
        <v>297</v>
      </c>
      <c r="B62" t="s">
        <v>136</v>
      </c>
      <c r="C62">
        <v>22</v>
      </c>
      <c r="D62">
        <v>1</v>
      </c>
      <c r="E62">
        <v>3</v>
      </c>
      <c r="F62" t="s">
        <v>170</v>
      </c>
      <c r="G62" t="s">
        <v>298</v>
      </c>
      <c r="H62" t="s">
        <v>291</v>
      </c>
      <c r="I62">
        <v>13</v>
      </c>
      <c r="J62">
        <v>3</v>
      </c>
      <c r="K62">
        <v>1</v>
      </c>
      <c r="L62" t="str">
        <f t="shared" si="0"/>
        <v>OK</v>
      </c>
    </row>
    <row r="63" spans="1:12">
      <c r="A63" t="s">
        <v>299</v>
      </c>
      <c r="B63" t="s">
        <v>136</v>
      </c>
      <c r="C63">
        <v>22</v>
      </c>
      <c r="D63">
        <v>2</v>
      </c>
      <c r="F63" t="s">
        <v>167</v>
      </c>
      <c r="G63" t="s">
        <v>300</v>
      </c>
      <c r="H63" t="s">
        <v>289</v>
      </c>
      <c r="I63">
        <v>13</v>
      </c>
      <c r="J63">
        <v>3</v>
      </c>
      <c r="K63">
        <v>1</v>
      </c>
      <c r="L63" t="str">
        <f t="shared" si="0"/>
        <v>OK</v>
      </c>
    </row>
    <row r="64" spans="1:12">
      <c r="A64" t="s">
        <v>301</v>
      </c>
      <c r="B64" t="s">
        <v>136</v>
      </c>
      <c r="C64">
        <v>22</v>
      </c>
      <c r="D64">
        <v>2</v>
      </c>
      <c r="E64">
        <v>1</v>
      </c>
      <c r="F64" t="s">
        <v>170</v>
      </c>
      <c r="G64" t="s">
        <v>302</v>
      </c>
      <c r="H64" t="s">
        <v>299</v>
      </c>
      <c r="I64">
        <v>13</v>
      </c>
      <c r="J64">
        <v>3</v>
      </c>
      <c r="K64">
        <v>1</v>
      </c>
      <c r="L64" t="str">
        <f t="shared" si="0"/>
        <v>OK</v>
      </c>
    </row>
    <row r="65" spans="1:12">
      <c r="A65" t="s">
        <v>303</v>
      </c>
      <c r="B65" t="s">
        <v>136</v>
      </c>
      <c r="C65">
        <v>22</v>
      </c>
      <c r="D65">
        <v>2</v>
      </c>
      <c r="E65">
        <v>2</v>
      </c>
      <c r="F65" t="s">
        <v>170</v>
      </c>
      <c r="G65" t="s">
        <v>304</v>
      </c>
      <c r="H65" t="s">
        <v>299</v>
      </c>
      <c r="I65">
        <v>13</v>
      </c>
      <c r="J65">
        <v>3</v>
      </c>
      <c r="K65">
        <v>1</v>
      </c>
      <c r="L65" t="str">
        <f t="shared" si="0"/>
        <v>OK</v>
      </c>
    </row>
    <row r="66" spans="1:12">
      <c r="A66" t="s">
        <v>305</v>
      </c>
      <c r="B66" t="s">
        <v>136</v>
      </c>
      <c r="C66">
        <v>22</v>
      </c>
      <c r="D66">
        <v>2</v>
      </c>
      <c r="E66">
        <v>3</v>
      </c>
      <c r="F66" t="s">
        <v>170</v>
      </c>
      <c r="G66" t="s">
        <v>306</v>
      </c>
      <c r="H66" t="s">
        <v>299</v>
      </c>
      <c r="I66">
        <v>13</v>
      </c>
      <c r="J66">
        <v>3</v>
      </c>
      <c r="K66">
        <v>1</v>
      </c>
      <c r="L66" t="str">
        <f t="shared" si="0"/>
        <v>OK</v>
      </c>
    </row>
    <row r="67" spans="1:12">
      <c r="A67" t="s">
        <v>307</v>
      </c>
      <c r="B67" t="s">
        <v>136</v>
      </c>
      <c r="C67">
        <v>22</v>
      </c>
      <c r="D67">
        <v>3</v>
      </c>
      <c r="F67" t="s">
        <v>167</v>
      </c>
      <c r="G67" t="s">
        <v>308</v>
      </c>
      <c r="H67" t="s">
        <v>289</v>
      </c>
      <c r="I67">
        <v>13</v>
      </c>
      <c r="J67">
        <v>3</v>
      </c>
      <c r="K67">
        <v>1</v>
      </c>
      <c r="L67" t="str">
        <f t="shared" si="0"/>
        <v>OK</v>
      </c>
    </row>
    <row r="68" spans="1:12">
      <c r="A68" t="s">
        <v>309</v>
      </c>
      <c r="B68" t="s">
        <v>136</v>
      </c>
      <c r="C68">
        <v>22</v>
      </c>
      <c r="D68">
        <v>3</v>
      </c>
      <c r="E68">
        <v>1</v>
      </c>
      <c r="F68" t="s">
        <v>170</v>
      </c>
      <c r="G68" t="s">
        <v>310</v>
      </c>
      <c r="H68" t="s">
        <v>307</v>
      </c>
      <c r="I68">
        <v>13</v>
      </c>
      <c r="J68">
        <v>3</v>
      </c>
      <c r="K68">
        <v>1</v>
      </c>
      <c r="L68" t="str">
        <f t="shared" si="0"/>
        <v>OK</v>
      </c>
    </row>
    <row r="69" spans="1:12">
      <c r="A69" t="s">
        <v>311</v>
      </c>
      <c r="B69" t="s">
        <v>136</v>
      </c>
      <c r="C69">
        <v>22</v>
      </c>
      <c r="D69">
        <v>3</v>
      </c>
      <c r="E69">
        <v>2</v>
      </c>
      <c r="F69" t="s">
        <v>170</v>
      </c>
      <c r="G69" t="s">
        <v>312</v>
      </c>
      <c r="H69" t="s">
        <v>307</v>
      </c>
      <c r="I69">
        <v>13</v>
      </c>
      <c r="J69">
        <v>3</v>
      </c>
      <c r="K69">
        <v>1</v>
      </c>
      <c r="L69" t="str">
        <f t="shared" ref="L69:L132" si="1">IF(OR(F69="Line",AND(F69="Section",D69&gt;=1,D69&lt;=I69,E69=""),AND(F69="Cavity",D69&gt;=1,D69&lt;=I69,E69&gt;=1,E69&lt;=J69)),"OK","CHECK")</f>
        <v>OK</v>
      </c>
    </row>
    <row r="70" spans="1:12">
      <c r="A70" t="s">
        <v>313</v>
      </c>
      <c r="B70" t="s">
        <v>136</v>
      </c>
      <c r="C70">
        <v>22</v>
      </c>
      <c r="D70">
        <v>3</v>
      </c>
      <c r="E70">
        <v>3</v>
      </c>
      <c r="F70" t="s">
        <v>170</v>
      </c>
      <c r="G70" t="s">
        <v>314</v>
      </c>
      <c r="H70" t="s">
        <v>307</v>
      </c>
      <c r="I70">
        <v>13</v>
      </c>
      <c r="J70">
        <v>3</v>
      </c>
      <c r="K70">
        <v>1</v>
      </c>
      <c r="L70" t="str">
        <f t="shared" si="1"/>
        <v>OK</v>
      </c>
    </row>
    <row r="71" spans="1:12">
      <c r="A71" t="s">
        <v>315</v>
      </c>
      <c r="B71" t="s">
        <v>136</v>
      </c>
      <c r="C71">
        <v>22</v>
      </c>
      <c r="D71">
        <v>4</v>
      </c>
      <c r="F71" t="s">
        <v>167</v>
      </c>
      <c r="G71" t="s">
        <v>316</v>
      </c>
      <c r="H71" t="s">
        <v>289</v>
      </c>
      <c r="I71">
        <v>13</v>
      </c>
      <c r="J71">
        <v>3</v>
      </c>
      <c r="K71">
        <v>1</v>
      </c>
      <c r="L71" t="str">
        <f t="shared" si="1"/>
        <v>OK</v>
      </c>
    </row>
    <row r="72" spans="1:12">
      <c r="A72" t="s">
        <v>317</v>
      </c>
      <c r="B72" t="s">
        <v>136</v>
      </c>
      <c r="C72">
        <v>22</v>
      </c>
      <c r="D72">
        <v>4</v>
      </c>
      <c r="E72">
        <v>1</v>
      </c>
      <c r="F72" t="s">
        <v>170</v>
      </c>
      <c r="G72" t="s">
        <v>318</v>
      </c>
      <c r="H72" t="s">
        <v>315</v>
      </c>
      <c r="I72">
        <v>13</v>
      </c>
      <c r="J72">
        <v>3</v>
      </c>
      <c r="K72">
        <v>1</v>
      </c>
      <c r="L72" t="str">
        <f t="shared" si="1"/>
        <v>OK</v>
      </c>
    </row>
    <row r="73" spans="1:12">
      <c r="A73" t="s">
        <v>319</v>
      </c>
      <c r="B73" t="s">
        <v>136</v>
      </c>
      <c r="C73">
        <v>22</v>
      </c>
      <c r="D73">
        <v>4</v>
      </c>
      <c r="E73">
        <v>2</v>
      </c>
      <c r="F73" t="s">
        <v>170</v>
      </c>
      <c r="G73" t="s">
        <v>320</v>
      </c>
      <c r="H73" t="s">
        <v>315</v>
      </c>
      <c r="I73">
        <v>13</v>
      </c>
      <c r="J73">
        <v>3</v>
      </c>
      <c r="K73">
        <v>1</v>
      </c>
      <c r="L73" t="str">
        <f t="shared" si="1"/>
        <v>OK</v>
      </c>
    </row>
    <row r="74" spans="1:12">
      <c r="A74" t="s">
        <v>321</v>
      </c>
      <c r="B74" t="s">
        <v>136</v>
      </c>
      <c r="C74">
        <v>22</v>
      </c>
      <c r="D74">
        <v>4</v>
      </c>
      <c r="E74">
        <v>3</v>
      </c>
      <c r="F74" t="s">
        <v>170</v>
      </c>
      <c r="G74" t="s">
        <v>322</v>
      </c>
      <c r="H74" t="s">
        <v>315</v>
      </c>
      <c r="I74">
        <v>13</v>
      </c>
      <c r="J74">
        <v>3</v>
      </c>
      <c r="K74">
        <v>1</v>
      </c>
      <c r="L74" t="str">
        <f t="shared" si="1"/>
        <v>OK</v>
      </c>
    </row>
    <row r="75" spans="1:12">
      <c r="A75" t="s">
        <v>323</v>
      </c>
      <c r="B75" t="s">
        <v>136</v>
      </c>
      <c r="C75">
        <v>22</v>
      </c>
      <c r="D75">
        <v>5</v>
      </c>
      <c r="F75" t="s">
        <v>167</v>
      </c>
      <c r="G75" t="s">
        <v>324</v>
      </c>
      <c r="H75" t="s">
        <v>289</v>
      </c>
      <c r="I75">
        <v>13</v>
      </c>
      <c r="J75">
        <v>3</v>
      </c>
      <c r="K75">
        <v>1</v>
      </c>
      <c r="L75" t="str">
        <f t="shared" si="1"/>
        <v>OK</v>
      </c>
    </row>
    <row r="76" spans="1:12">
      <c r="A76" t="s">
        <v>325</v>
      </c>
      <c r="B76" t="s">
        <v>136</v>
      </c>
      <c r="C76">
        <v>22</v>
      </c>
      <c r="D76">
        <v>5</v>
      </c>
      <c r="E76">
        <v>1</v>
      </c>
      <c r="F76" t="s">
        <v>170</v>
      </c>
      <c r="G76" t="s">
        <v>326</v>
      </c>
      <c r="H76" t="s">
        <v>323</v>
      </c>
      <c r="I76">
        <v>13</v>
      </c>
      <c r="J76">
        <v>3</v>
      </c>
      <c r="K76">
        <v>1</v>
      </c>
      <c r="L76" t="str">
        <f t="shared" si="1"/>
        <v>OK</v>
      </c>
    </row>
    <row r="77" spans="1:12">
      <c r="A77" t="s">
        <v>327</v>
      </c>
      <c r="B77" t="s">
        <v>136</v>
      </c>
      <c r="C77">
        <v>22</v>
      </c>
      <c r="D77">
        <v>5</v>
      </c>
      <c r="E77">
        <v>2</v>
      </c>
      <c r="F77" t="s">
        <v>170</v>
      </c>
      <c r="G77" t="s">
        <v>328</v>
      </c>
      <c r="H77" t="s">
        <v>323</v>
      </c>
      <c r="I77">
        <v>13</v>
      </c>
      <c r="J77">
        <v>3</v>
      </c>
      <c r="K77">
        <v>1</v>
      </c>
      <c r="L77" t="str">
        <f t="shared" si="1"/>
        <v>OK</v>
      </c>
    </row>
    <row r="78" spans="1:12">
      <c r="A78" t="s">
        <v>329</v>
      </c>
      <c r="B78" t="s">
        <v>136</v>
      </c>
      <c r="C78">
        <v>22</v>
      </c>
      <c r="D78">
        <v>5</v>
      </c>
      <c r="E78">
        <v>3</v>
      </c>
      <c r="F78" t="s">
        <v>170</v>
      </c>
      <c r="G78" t="s">
        <v>330</v>
      </c>
      <c r="H78" t="s">
        <v>323</v>
      </c>
      <c r="I78">
        <v>13</v>
      </c>
      <c r="J78">
        <v>3</v>
      </c>
      <c r="K78">
        <v>1</v>
      </c>
      <c r="L78" t="str">
        <f t="shared" si="1"/>
        <v>OK</v>
      </c>
    </row>
    <row r="79" spans="1:12">
      <c r="A79" t="s">
        <v>331</v>
      </c>
      <c r="B79" t="s">
        <v>136</v>
      </c>
      <c r="C79">
        <v>22</v>
      </c>
      <c r="D79">
        <v>6</v>
      </c>
      <c r="F79" t="s">
        <v>167</v>
      </c>
      <c r="G79" t="s">
        <v>332</v>
      </c>
      <c r="H79" t="s">
        <v>289</v>
      </c>
      <c r="I79">
        <v>13</v>
      </c>
      <c r="J79">
        <v>3</v>
      </c>
      <c r="K79">
        <v>1</v>
      </c>
      <c r="L79" t="str">
        <f t="shared" si="1"/>
        <v>OK</v>
      </c>
    </row>
    <row r="80" spans="1:12">
      <c r="A80" t="s">
        <v>333</v>
      </c>
      <c r="B80" t="s">
        <v>136</v>
      </c>
      <c r="C80">
        <v>22</v>
      </c>
      <c r="D80">
        <v>6</v>
      </c>
      <c r="E80">
        <v>1</v>
      </c>
      <c r="F80" t="s">
        <v>170</v>
      </c>
      <c r="G80" t="s">
        <v>334</v>
      </c>
      <c r="H80" t="s">
        <v>331</v>
      </c>
      <c r="I80">
        <v>13</v>
      </c>
      <c r="J80">
        <v>3</v>
      </c>
      <c r="K80">
        <v>1</v>
      </c>
      <c r="L80" t="str">
        <f t="shared" si="1"/>
        <v>OK</v>
      </c>
    </row>
    <row r="81" spans="1:12">
      <c r="A81" t="s">
        <v>335</v>
      </c>
      <c r="B81" t="s">
        <v>136</v>
      </c>
      <c r="C81">
        <v>22</v>
      </c>
      <c r="D81">
        <v>6</v>
      </c>
      <c r="E81">
        <v>2</v>
      </c>
      <c r="F81" t="s">
        <v>170</v>
      </c>
      <c r="G81" t="s">
        <v>336</v>
      </c>
      <c r="H81" t="s">
        <v>331</v>
      </c>
      <c r="I81">
        <v>13</v>
      </c>
      <c r="J81">
        <v>3</v>
      </c>
      <c r="K81">
        <v>1</v>
      </c>
      <c r="L81" t="str">
        <f t="shared" si="1"/>
        <v>OK</v>
      </c>
    </row>
    <row r="82" spans="1:12">
      <c r="A82" t="s">
        <v>337</v>
      </c>
      <c r="B82" t="s">
        <v>136</v>
      </c>
      <c r="C82">
        <v>22</v>
      </c>
      <c r="D82">
        <v>6</v>
      </c>
      <c r="E82">
        <v>3</v>
      </c>
      <c r="F82" t="s">
        <v>170</v>
      </c>
      <c r="G82" t="s">
        <v>338</v>
      </c>
      <c r="H82" t="s">
        <v>331</v>
      </c>
      <c r="I82">
        <v>13</v>
      </c>
      <c r="J82">
        <v>3</v>
      </c>
      <c r="K82">
        <v>1</v>
      </c>
      <c r="L82" t="str">
        <f t="shared" si="1"/>
        <v>OK</v>
      </c>
    </row>
    <row r="83" spans="1:12">
      <c r="A83" t="s">
        <v>339</v>
      </c>
      <c r="B83" t="s">
        <v>136</v>
      </c>
      <c r="C83">
        <v>22</v>
      </c>
      <c r="D83">
        <v>7</v>
      </c>
      <c r="F83" t="s">
        <v>167</v>
      </c>
      <c r="G83" t="s">
        <v>340</v>
      </c>
      <c r="H83" t="s">
        <v>289</v>
      </c>
      <c r="I83">
        <v>13</v>
      </c>
      <c r="J83">
        <v>3</v>
      </c>
      <c r="K83">
        <v>1</v>
      </c>
      <c r="L83" t="str">
        <f t="shared" si="1"/>
        <v>OK</v>
      </c>
    </row>
    <row r="84" spans="1:12">
      <c r="A84" t="s">
        <v>341</v>
      </c>
      <c r="B84" t="s">
        <v>136</v>
      </c>
      <c r="C84">
        <v>22</v>
      </c>
      <c r="D84">
        <v>7</v>
      </c>
      <c r="E84">
        <v>1</v>
      </c>
      <c r="F84" t="s">
        <v>170</v>
      </c>
      <c r="G84" t="s">
        <v>342</v>
      </c>
      <c r="H84" t="s">
        <v>339</v>
      </c>
      <c r="I84">
        <v>13</v>
      </c>
      <c r="J84">
        <v>3</v>
      </c>
      <c r="K84">
        <v>1</v>
      </c>
      <c r="L84" t="str">
        <f t="shared" si="1"/>
        <v>OK</v>
      </c>
    </row>
    <row r="85" spans="1:12">
      <c r="A85" t="s">
        <v>343</v>
      </c>
      <c r="B85" t="s">
        <v>136</v>
      </c>
      <c r="C85">
        <v>22</v>
      </c>
      <c r="D85">
        <v>7</v>
      </c>
      <c r="E85">
        <v>2</v>
      </c>
      <c r="F85" t="s">
        <v>170</v>
      </c>
      <c r="G85" t="s">
        <v>344</v>
      </c>
      <c r="H85" t="s">
        <v>339</v>
      </c>
      <c r="I85">
        <v>13</v>
      </c>
      <c r="J85">
        <v>3</v>
      </c>
      <c r="K85">
        <v>1</v>
      </c>
      <c r="L85" t="str">
        <f t="shared" si="1"/>
        <v>OK</v>
      </c>
    </row>
    <row r="86" spans="1:12">
      <c r="A86" t="s">
        <v>345</v>
      </c>
      <c r="B86" t="s">
        <v>136</v>
      </c>
      <c r="C86">
        <v>22</v>
      </c>
      <c r="D86">
        <v>7</v>
      </c>
      <c r="E86">
        <v>3</v>
      </c>
      <c r="F86" t="s">
        <v>170</v>
      </c>
      <c r="G86" t="s">
        <v>346</v>
      </c>
      <c r="H86" t="s">
        <v>339</v>
      </c>
      <c r="I86">
        <v>13</v>
      </c>
      <c r="J86">
        <v>3</v>
      </c>
      <c r="K86">
        <v>1</v>
      </c>
      <c r="L86" t="str">
        <f t="shared" si="1"/>
        <v>OK</v>
      </c>
    </row>
    <row r="87" spans="1:12">
      <c r="A87" t="s">
        <v>347</v>
      </c>
      <c r="B87" t="s">
        <v>136</v>
      </c>
      <c r="C87">
        <v>22</v>
      </c>
      <c r="D87">
        <v>8</v>
      </c>
      <c r="F87" t="s">
        <v>167</v>
      </c>
      <c r="G87" t="s">
        <v>348</v>
      </c>
      <c r="H87" t="s">
        <v>289</v>
      </c>
      <c r="I87">
        <v>13</v>
      </c>
      <c r="J87">
        <v>3</v>
      </c>
      <c r="K87">
        <v>1</v>
      </c>
      <c r="L87" t="str">
        <f t="shared" si="1"/>
        <v>OK</v>
      </c>
    </row>
    <row r="88" spans="1:12">
      <c r="A88" t="s">
        <v>349</v>
      </c>
      <c r="B88" t="s">
        <v>136</v>
      </c>
      <c r="C88">
        <v>22</v>
      </c>
      <c r="D88">
        <v>8</v>
      </c>
      <c r="E88">
        <v>1</v>
      </c>
      <c r="F88" t="s">
        <v>170</v>
      </c>
      <c r="G88" t="s">
        <v>350</v>
      </c>
      <c r="H88" t="s">
        <v>347</v>
      </c>
      <c r="I88">
        <v>13</v>
      </c>
      <c r="J88">
        <v>3</v>
      </c>
      <c r="K88">
        <v>1</v>
      </c>
      <c r="L88" t="str">
        <f t="shared" si="1"/>
        <v>OK</v>
      </c>
    </row>
    <row r="89" spans="1:12">
      <c r="A89" t="s">
        <v>351</v>
      </c>
      <c r="B89" t="s">
        <v>136</v>
      </c>
      <c r="C89">
        <v>22</v>
      </c>
      <c r="D89">
        <v>8</v>
      </c>
      <c r="E89">
        <v>2</v>
      </c>
      <c r="F89" t="s">
        <v>170</v>
      </c>
      <c r="G89" t="s">
        <v>352</v>
      </c>
      <c r="H89" t="s">
        <v>347</v>
      </c>
      <c r="I89">
        <v>13</v>
      </c>
      <c r="J89">
        <v>3</v>
      </c>
      <c r="K89">
        <v>1</v>
      </c>
      <c r="L89" t="str">
        <f t="shared" si="1"/>
        <v>OK</v>
      </c>
    </row>
    <row r="90" spans="1:12">
      <c r="A90" t="s">
        <v>353</v>
      </c>
      <c r="B90" t="s">
        <v>136</v>
      </c>
      <c r="C90">
        <v>22</v>
      </c>
      <c r="D90">
        <v>8</v>
      </c>
      <c r="E90">
        <v>3</v>
      </c>
      <c r="F90" t="s">
        <v>170</v>
      </c>
      <c r="G90" t="s">
        <v>354</v>
      </c>
      <c r="H90" t="s">
        <v>347</v>
      </c>
      <c r="I90">
        <v>13</v>
      </c>
      <c r="J90">
        <v>3</v>
      </c>
      <c r="K90">
        <v>1</v>
      </c>
      <c r="L90" t="str">
        <f t="shared" si="1"/>
        <v>OK</v>
      </c>
    </row>
    <row r="91" spans="1:12">
      <c r="A91" t="s">
        <v>355</v>
      </c>
      <c r="B91" t="s">
        <v>136</v>
      </c>
      <c r="C91">
        <v>22</v>
      </c>
      <c r="D91">
        <v>9</v>
      </c>
      <c r="F91" t="s">
        <v>167</v>
      </c>
      <c r="G91" t="s">
        <v>356</v>
      </c>
      <c r="H91" t="s">
        <v>289</v>
      </c>
      <c r="I91">
        <v>13</v>
      </c>
      <c r="J91">
        <v>3</v>
      </c>
      <c r="K91">
        <v>1</v>
      </c>
      <c r="L91" t="str">
        <f t="shared" si="1"/>
        <v>OK</v>
      </c>
    </row>
    <row r="92" spans="1:12">
      <c r="A92" t="s">
        <v>357</v>
      </c>
      <c r="B92" t="s">
        <v>136</v>
      </c>
      <c r="C92">
        <v>22</v>
      </c>
      <c r="D92">
        <v>9</v>
      </c>
      <c r="E92">
        <v>1</v>
      </c>
      <c r="F92" t="s">
        <v>170</v>
      </c>
      <c r="G92" t="s">
        <v>358</v>
      </c>
      <c r="H92" t="s">
        <v>355</v>
      </c>
      <c r="I92">
        <v>13</v>
      </c>
      <c r="J92">
        <v>3</v>
      </c>
      <c r="K92">
        <v>1</v>
      </c>
      <c r="L92" t="str">
        <f t="shared" si="1"/>
        <v>OK</v>
      </c>
    </row>
    <row r="93" spans="1:12">
      <c r="A93" t="s">
        <v>359</v>
      </c>
      <c r="B93" t="s">
        <v>136</v>
      </c>
      <c r="C93">
        <v>22</v>
      </c>
      <c r="D93">
        <v>9</v>
      </c>
      <c r="E93">
        <v>2</v>
      </c>
      <c r="F93" t="s">
        <v>170</v>
      </c>
      <c r="G93" t="s">
        <v>360</v>
      </c>
      <c r="H93" t="s">
        <v>355</v>
      </c>
      <c r="I93">
        <v>13</v>
      </c>
      <c r="J93">
        <v>3</v>
      </c>
      <c r="K93">
        <v>1</v>
      </c>
      <c r="L93" t="str">
        <f t="shared" si="1"/>
        <v>OK</v>
      </c>
    </row>
    <row r="94" spans="1:12">
      <c r="A94" t="s">
        <v>361</v>
      </c>
      <c r="B94" t="s">
        <v>136</v>
      </c>
      <c r="C94">
        <v>22</v>
      </c>
      <c r="D94">
        <v>9</v>
      </c>
      <c r="E94">
        <v>3</v>
      </c>
      <c r="F94" t="s">
        <v>170</v>
      </c>
      <c r="G94" t="s">
        <v>362</v>
      </c>
      <c r="H94" t="s">
        <v>355</v>
      </c>
      <c r="I94">
        <v>13</v>
      </c>
      <c r="J94">
        <v>3</v>
      </c>
      <c r="K94">
        <v>1</v>
      </c>
      <c r="L94" t="str">
        <f t="shared" si="1"/>
        <v>OK</v>
      </c>
    </row>
    <row r="95" spans="1:12">
      <c r="A95" t="s">
        <v>363</v>
      </c>
      <c r="B95" t="s">
        <v>136</v>
      </c>
      <c r="C95">
        <v>22</v>
      </c>
      <c r="D95">
        <v>10</v>
      </c>
      <c r="F95" t="s">
        <v>167</v>
      </c>
      <c r="G95" t="s">
        <v>364</v>
      </c>
      <c r="H95" t="s">
        <v>289</v>
      </c>
      <c r="I95">
        <v>13</v>
      </c>
      <c r="J95">
        <v>3</v>
      </c>
      <c r="K95">
        <v>1</v>
      </c>
      <c r="L95" t="str">
        <f t="shared" si="1"/>
        <v>OK</v>
      </c>
    </row>
    <row r="96" spans="1:12">
      <c r="A96" t="s">
        <v>365</v>
      </c>
      <c r="B96" t="s">
        <v>136</v>
      </c>
      <c r="C96">
        <v>22</v>
      </c>
      <c r="D96">
        <v>10</v>
      </c>
      <c r="E96">
        <v>1</v>
      </c>
      <c r="F96" t="s">
        <v>170</v>
      </c>
      <c r="G96" t="s">
        <v>366</v>
      </c>
      <c r="H96" t="s">
        <v>363</v>
      </c>
      <c r="I96">
        <v>13</v>
      </c>
      <c r="J96">
        <v>3</v>
      </c>
      <c r="K96">
        <v>1</v>
      </c>
      <c r="L96" t="str">
        <f t="shared" si="1"/>
        <v>OK</v>
      </c>
    </row>
    <row r="97" spans="1:12">
      <c r="A97" t="s">
        <v>367</v>
      </c>
      <c r="B97" t="s">
        <v>136</v>
      </c>
      <c r="C97">
        <v>22</v>
      </c>
      <c r="D97">
        <v>10</v>
      </c>
      <c r="E97">
        <v>2</v>
      </c>
      <c r="F97" t="s">
        <v>170</v>
      </c>
      <c r="G97" t="s">
        <v>368</v>
      </c>
      <c r="H97" t="s">
        <v>363</v>
      </c>
      <c r="I97">
        <v>13</v>
      </c>
      <c r="J97">
        <v>3</v>
      </c>
      <c r="K97">
        <v>1</v>
      </c>
      <c r="L97" t="str">
        <f t="shared" si="1"/>
        <v>OK</v>
      </c>
    </row>
    <row r="98" spans="1:12">
      <c r="A98" t="s">
        <v>369</v>
      </c>
      <c r="B98" t="s">
        <v>136</v>
      </c>
      <c r="C98">
        <v>22</v>
      </c>
      <c r="D98">
        <v>10</v>
      </c>
      <c r="E98">
        <v>3</v>
      </c>
      <c r="F98" t="s">
        <v>170</v>
      </c>
      <c r="G98" t="s">
        <v>370</v>
      </c>
      <c r="H98" t="s">
        <v>363</v>
      </c>
      <c r="I98">
        <v>13</v>
      </c>
      <c r="J98">
        <v>3</v>
      </c>
      <c r="K98">
        <v>1</v>
      </c>
      <c r="L98" t="str">
        <f t="shared" si="1"/>
        <v>OK</v>
      </c>
    </row>
    <row r="99" spans="1:12">
      <c r="A99" t="s">
        <v>371</v>
      </c>
      <c r="B99" t="s">
        <v>136</v>
      </c>
      <c r="C99">
        <v>22</v>
      </c>
      <c r="D99">
        <v>11</v>
      </c>
      <c r="F99" t="s">
        <v>167</v>
      </c>
      <c r="G99" t="s">
        <v>372</v>
      </c>
      <c r="H99" t="s">
        <v>289</v>
      </c>
      <c r="I99">
        <v>13</v>
      </c>
      <c r="J99">
        <v>3</v>
      </c>
      <c r="K99">
        <v>1</v>
      </c>
      <c r="L99" t="str">
        <f t="shared" si="1"/>
        <v>OK</v>
      </c>
    </row>
    <row r="100" spans="1:12">
      <c r="A100" t="s">
        <v>373</v>
      </c>
      <c r="B100" t="s">
        <v>136</v>
      </c>
      <c r="C100">
        <v>22</v>
      </c>
      <c r="D100">
        <v>11</v>
      </c>
      <c r="E100">
        <v>1</v>
      </c>
      <c r="F100" t="s">
        <v>170</v>
      </c>
      <c r="G100" t="s">
        <v>374</v>
      </c>
      <c r="H100" t="s">
        <v>371</v>
      </c>
      <c r="I100">
        <v>13</v>
      </c>
      <c r="J100">
        <v>3</v>
      </c>
      <c r="K100">
        <v>1</v>
      </c>
      <c r="L100" t="str">
        <f t="shared" si="1"/>
        <v>OK</v>
      </c>
    </row>
    <row r="101" spans="1:12">
      <c r="A101" t="s">
        <v>375</v>
      </c>
      <c r="B101" t="s">
        <v>136</v>
      </c>
      <c r="C101">
        <v>22</v>
      </c>
      <c r="D101">
        <v>11</v>
      </c>
      <c r="E101">
        <v>2</v>
      </c>
      <c r="F101" t="s">
        <v>170</v>
      </c>
      <c r="G101" t="s">
        <v>376</v>
      </c>
      <c r="H101" t="s">
        <v>371</v>
      </c>
      <c r="I101">
        <v>13</v>
      </c>
      <c r="J101">
        <v>3</v>
      </c>
      <c r="K101">
        <v>1</v>
      </c>
      <c r="L101" t="str">
        <f t="shared" si="1"/>
        <v>OK</v>
      </c>
    </row>
    <row r="102" spans="1:12">
      <c r="A102" t="s">
        <v>377</v>
      </c>
      <c r="B102" t="s">
        <v>136</v>
      </c>
      <c r="C102">
        <v>22</v>
      </c>
      <c r="D102">
        <v>11</v>
      </c>
      <c r="E102">
        <v>3</v>
      </c>
      <c r="F102" t="s">
        <v>170</v>
      </c>
      <c r="G102" t="s">
        <v>378</v>
      </c>
      <c r="H102" t="s">
        <v>371</v>
      </c>
      <c r="I102">
        <v>13</v>
      </c>
      <c r="J102">
        <v>3</v>
      </c>
      <c r="K102">
        <v>1</v>
      </c>
      <c r="L102" t="str">
        <f t="shared" si="1"/>
        <v>OK</v>
      </c>
    </row>
    <row r="103" spans="1:12">
      <c r="A103" t="s">
        <v>379</v>
      </c>
      <c r="B103" t="s">
        <v>136</v>
      </c>
      <c r="C103">
        <v>22</v>
      </c>
      <c r="D103">
        <v>12</v>
      </c>
      <c r="F103" t="s">
        <v>167</v>
      </c>
      <c r="G103" t="s">
        <v>380</v>
      </c>
      <c r="H103" t="s">
        <v>289</v>
      </c>
      <c r="I103">
        <v>13</v>
      </c>
      <c r="J103">
        <v>3</v>
      </c>
      <c r="K103">
        <v>1</v>
      </c>
      <c r="L103" t="str">
        <f t="shared" si="1"/>
        <v>OK</v>
      </c>
    </row>
    <row r="104" spans="1:12">
      <c r="A104" t="s">
        <v>381</v>
      </c>
      <c r="B104" t="s">
        <v>136</v>
      </c>
      <c r="C104">
        <v>22</v>
      </c>
      <c r="D104">
        <v>12</v>
      </c>
      <c r="E104">
        <v>1</v>
      </c>
      <c r="F104" t="s">
        <v>170</v>
      </c>
      <c r="G104" t="s">
        <v>382</v>
      </c>
      <c r="H104" t="s">
        <v>379</v>
      </c>
      <c r="I104">
        <v>13</v>
      </c>
      <c r="J104">
        <v>3</v>
      </c>
      <c r="K104">
        <v>1</v>
      </c>
      <c r="L104" t="str">
        <f t="shared" si="1"/>
        <v>OK</v>
      </c>
    </row>
    <row r="105" spans="1:12">
      <c r="A105" t="s">
        <v>383</v>
      </c>
      <c r="B105" t="s">
        <v>136</v>
      </c>
      <c r="C105">
        <v>22</v>
      </c>
      <c r="D105">
        <v>12</v>
      </c>
      <c r="E105">
        <v>2</v>
      </c>
      <c r="F105" t="s">
        <v>170</v>
      </c>
      <c r="G105" t="s">
        <v>384</v>
      </c>
      <c r="H105" t="s">
        <v>379</v>
      </c>
      <c r="I105">
        <v>13</v>
      </c>
      <c r="J105">
        <v>3</v>
      </c>
      <c r="K105">
        <v>1</v>
      </c>
      <c r="L105" t="str">
        <f t="shared" si="1"/>
        <v>OK</v>
      </c>
    </row>
    <row r="106" spans="1:12">
      <c r="A106" t="s">
        <v>385</v>
      </c>
      <c r="B106" t="s">
        <v>136</v>
      </c>
      <c r="C106">
        <v>22</v>
      </c>
      <c r="D106">
        <v>12</v>
      </c>
      <c r="E106">
        <v>3</v>
      </c>
      <c r="F106" t="s">
        <v>170</v>
      </c>
      <c r="G106" t="s">
        <v>386</v>
      </c>
      <c r="H106" t="s">
        <v>379</v>
      </c>
      <c r="I106">
        <v>13</v>
      </c>
      <c r="J106">
        <v>3</v>
      </c>
      <c r="K106">
        <v>1</v>
      </c>
      <c r="L106" t="str">
        <f t="shared" si="1"/>
        <v>OK</v>
      </c>
    </row>
    <row r="107" spans="1:12">
      <c r="A107" t="s">
        <v>387</v>
      </c>
      <c r="B107" t="s">
        <v>136</v>
      </c>
      <c r="C107">
        <v>22</v>
      </c>
      <c r="D107">
        <v>13</v>
      </c>
      <c r="F107" t="s">
        <v>167</v>
      </c>
      <c r="G107" t="s">
        <v>388</v>
      </c>
      <c r="H107" t="s">
        <v>289</v>
      </c>
      <c r="I107">
        <v>13</v>
      </c>
      <c r="J107">
        <v>3</v>
      </c>
      <c r="K107">
        <v>1</v>
      </c>
      <c r="L107" t="str">
        <f t="shared" si="1"/>
        <v>OK</v>
      </c>
    </row>
    <row r="108" spans="1:12">
      <c r="A108" t="s">
        <v>389</v>
      </c>
      <c r="B108" t="s">
        <v>136</v>
      </c>
      <c r="C108">
        <v>22</v>
      </c>
      <c r="D108">
        <v>13</v>
      </c>
      <c r="E108">
        <v>1</v>
      </c>
      <c r="F108" t="s">
        <v>170</v>
      </c>
      <c r="G108" t="s">
        <v>390</v>
      </c>
      <c r="H108" t="s">
        <v>387</v>
      </c>
      <c r="I108">
        <v>13</v>
      </c>
      <c r="J108">
        <v>3</v>
      </c>
      <c r="K108">
        <v>1</v>
      </c>
      <c r="L108" t="str">
        <f t="shared" si="1"/>
        <v>OK</v>
      </c>
    </row>
    <row r="109" spans="1:12">
      <c r="A109" t="s">
        <v>391</v>
      </c>
      <c r="B109" t="s">
        <v>136</v>
      </c>
      <c r="C109">
        <v>22</v>
      </c>
      <c r="D109">
        <v>13</v>
      </c>
      <c r="E109">
        <v>2</v>
      </c>
      <c r="F109" t="s">
        <v>170</v>
      </c>
      <c r="G109" t="s">
        <v>392</v>
      </c>
      <c r="H109" t="s">
        <v>387</v>
      </c>
      <c r="I109">
        <v>13</v>
      </c>
      <c r="J109">
        <v>3</v>
      </c>
      <c r="K109">
        <v>1</v>
      </c>
      <c r="L109" t="str">
        <f t="shared" si="1"/>
        <v>OK</v>
      </c>
    </row>
    <row r="110" spans="1:12">
      <c r="A110" t="s">
        <v>393</v>
      </c>
      <c r="B110" t="s">
        <v>136</v>
      </c>
      <c r="C110">
        <v>22</v>
      </c>
      <c r="D110">
        <v>13</v>
      </c>
      <c r="E110">
        <v>3</v>
      </c>
      <c r="F110" t="s">
        <v>170</v>
      </c>
      <c r="G110" t="s">
        <v>394</v>
      </c>
      <c r="H110" t="s">
        <v>387</v>
      </c>
      <c r="I110">
        <v>13</v>
      </c>
      <c r="J110">
        <v>3</v>
      </c>
      <c r="K110">
        <v>1</v>
      </c>
      <c r="L110" t="str">
        <f t="shared" si="1"/>
        <v>OK</v>
      </c>
    </row>
    <row r="111" spans="1:12">
      <c r="A111" t="s">
        <v>395</v>
      </c>
      <c r="B111" t="s">
        <v>136</v>
      </c>
      <c r="C111">
        <v>23</v>
      </c>
      <c r="F111" t="s">
        <v>164</v>
      </c>
      <c r="G111" t="s">
        <v>396</v>
      </c>
      <c r="I111">
        <v>13</v>
      </c>
      <c r="J111">
        <v>3</v>
      </c>
      <c r="K111">
        <v>1</v>
      </c>
      <c r="L111" t="str">
        <f t="shared" si="1"/>
        <v>OK</v>
      </c>
    </row>
    <row r="112" spans="1:12">
      <c r="A112" t="s">
        <v>397</v>
      </c>
      <c r="B112" t="s">
        <v>136</v>
      </c>
      <c r="C112">
        <v>23</v>
      </c>
      <c r="D112">
        <v>1</v>
      </c>
      <c r="F112" t="s">
        <v>167</v>
      </c>
      <c r="G112" t="s">
        <v>398</v>
      </c>
      <c r="H112" t="s">
        <v>395</v>
      </c>
      <c r="I112">
        <v>13</v>
      </c>
      <c r="J112">
        <v>3</v>
      </c>
      <c r="K112">
        <v>1</v>
      </c>
      <c r="L112" t="str">
        <f t="shared" si="1"/>
        <v>OK</v>
      </c>
    </row>
    <row r="113" spans="1:12">
      <c r="A113" t="s">
        <v>399</v>
      </c>
      <c r="B113" t="s">
        <v>136</v>
      </c>
      <c r="C113">
        <v>23</v>
      </c>
      <c r="D113">
        <v>1</v>
      </c>
      <c r="E113">
        <v>1</v>
      </c>
      <c r="F113" t="s">
        <v>170</v>
      </c>
      <c r="G113" t="s">
        <v>400</v>
      </c>
      <c r="H113" t="s">
        <v>397</v>
      </c>
      <c r="I113">
        <v>13</v>
      </c>
      <c r="J113">
        <v>3</v>
      </c>
      <c r="K113">
        <v>1</v>
      </c>
      <c r="L113" t="str">
        <f t="shared" si="1"/>
        <v>OK</v>
      </c>
    </row>
    <row r="114" spans="1:12">
      <c r="A114" t="s">
        <v>401</v>
      </c>
      <c r="B114" t="s">
        <v>136</v>
      </c>
      <c r="C114">
        <v>23</v>
      </c>
      <c r="D114">
        <v>1</v>
      </c>
      <c r="E114">
        <v>2</v>
      </c>
      <c r="F114" t="s">
        <v>170</v>
      </c>
      <c r="G114" t="s">
        <v>402</v>
      </c>
      <c r="H114" t="s">
        <v>397</v>
      </c>
      <c r="I114">
        <v>13</v>
      </c>
      <c r="J114">
        <v>3</v>
      </c>
      <c r="K114">
        <v>1</v>
      </c>
      <c r="L114" t="str">
        <f t="shared" si="1"/>
        <v>OK</v>
      </c>
    </row>
    <row r="115" spans="1:12">
      <c r="A115" t="s">
        <v>403</v>
      </c>
      <c r="B115" t="s">
        <v>136</v>
      </c>
      <c r="C115">
        <v>23</v>
      </c>
      <c r="D115">
        <v>1</v>
      </c>
      <c r="E115">
        <v>3</v>
      </c>
      <c r="F115" t="s">
        <v>170</v>
      </c>
      <c r="G115" t="s">
        <v>404</v>
      </c>
      <c r="H115" t="s">
        <v>397</v>
      </c>
      <c r="I115">
        <v>13</v>
      </c>
      <c r="J115">
        <v>3</v>
      </c>
      <c r="K115">
        <v>1</v>
      </c>
      <c r="L115" t="str">
        <f t="shared" si="1"/>
        <v>OK</v>
      </c>
    </row>
    <row r="116" spans="1:12">
      <c r="A116" t="s">
        <v>405</v>
      </c>
      <c r="B116" t="s">
        <v>136</v>
      </c>
      <c r="C116">
        <v>23</v>
      </c>
      <c r="D116">
        <v>2</v>
      </c>
      <c r="F116" t="s">
        <v>167</v>
      </c>
      <c r="G116" t="s">
        <v>406</v>
      </c>
      <c r="H116" t="s">
        <v>395</v>
      </c>
      <c r="I116">
        <v>13</v>
      </c>
      <c r="J116">
        <v>3</v>
      </c>
      <c r="K116">
        <v>1</v>
      </c>
      <c r="L116" t="str">
        <f t="shared" si="1"/>
        <v>OK</v>
      </c>
    </row>
    <row r="117" spans="1:12">
      <c r="A117" t="s">
        <v>407</v>
      </c>
      <c r="B117" t="s">
        <v>136</v>
      </c>
      <c r="C117">
        <v>23</v>
      </c>
      <c r="D117">
        <v>2</v>
      </c>
      <c r="E117">
        <v>1</v>
      </c>
      <c r="F117" t="s">
        <v>170</v>
      </c>
      <c r="G117" t="s">
        <v>408</v>
      </c>
      <c r="H117" t="s">
        <v>405</v>
      </c>
      <c r="I117">
        <v>13</v>
      </c>
      <c r="J117">
        <v>3</v>
      </c>
      <c r="K117">
        <v>1</v>
      </c>
      <c r="L117" t="str">
        <f t="shared" si="1"/>
        <v>OK</v>
      </c>
    </row>
    <row r="118" spans="1:12">
      <c r="A118" t="s">
        <v>409</v>
      </c>
      <c r="B118" t="s">
        <v>136</v>
      </c>
      <c r="C118">
        <v>23</v>
      </c>
      <c r="D118">
        <v>2</v>
      </c>
      <c r="E118">
        <v>2</v>
      </c>
      <c r="F118" t="s">
        <v>170</v>
      </c>
      <c r="G118" t="s">
        <v>410</v>
      </c>
      <c r="H118" t="s">
        <v>405</v>
      </c>
      <c r="I118">
        <v>13</v>
      </c>
      <c r="J118">
        <v>3</v>
      </c>
      <c r="K118">
        <v>1</v>
      </c>
      <c r="L118" t="str">
        <f t="shared" si="1"/>
        <v>OK</v>
      </c>
    </row>
    <row r="119" spans="1:12">
      <c r="A119" t="s">
        <v>411</v>
      </c>
      <c r="B119" t="s">
        <v>136</v>
      </c>
      <c r="C119">
        <v>23</v>
      </c>
      <c r="D119">
        <v>2</v>
      </c>
      <c r="E119">
        <v>3</v>
      </c>
      <c r="F119" t="s">
        <v>170</v>
      </c>
      <c r="G119" t="s">
        <v>412</v>
      </c>
      <c r="H119" t="s">
        <v>405</v>
      </c>
      <c r="I119">
        <v>13</v>
      </c>
      <c r="J119">
        <v>3</v>
      </c>
      <c r="K119">
        <v>1</v>
      </c>
      <c r="L119" t="str">
        <f t="shared" si="1"/>
        <v>OK</v>
      </c>
    </row>
    <row r="120" spans="1:12">
      <c r="A120" t="s">
        <v>413</v>
      </c>
      <c r="B120" t="s">
        <v>136</v>
      </c>
      <c r="C120">
        <v>23</v>
      </c>
      <c r="D120">
        <v>3</v>
      </c>
      <c r="F120" t="s">
        <v>167</v>
      </c>
      <c r="G120" t="s">
        <v>414</v>
      </c>
      <c r="H120" t="s">
        <v>395</v>
      </c>
      <c r="I120">
        <v>13</v>
      </c>
      <c r="J120">
        <v>3</v>
      </c>
      <c r="K120">
        <v>1</v>
      </c>
      <c r="L120" t="str">
        <f t="shared" si="1"/>
        <v>OK</v>
      </c>
    </row>
    <row r="121" spans="1:12">
      <c r="A121" t="s">
        <v>415</v>
      </c>
      <c r="B121" t="s">
        <v>136</v>
      </c>
      <c r="C121">
        <v>23</v>
      </c>
      <c r="D121">
        <v>3</v>
      </c>
      <c r="E121">
        <v>1</v>
      </c>
      <c r="F121" t="s">
        <v>170</v>
      </c>
      <c r="G121" t="s">
        <v>416</v>
      </c>
      <c r="H121" t="s">
        <v>413</v>
      </c>
      <c r="I121">
        <v>13</v>
      </c>
      <c r="J121">
        <v>3</v>
      </c>
      <c r="K121">
        <v>1</v>
      </c>
      <c r="L121" t="str">
        <f t="shared" si="1"/>
        <v>OK</v>
      </c>
    </row>
    <row r="122" spans="1:12">
      <c r="A122" t="s">
        <v>417</v>
      </c>
      <c r="B122" t="s">
        <v>136</v>
      </c>
      <c r="C122">
        <v>23</v>
      </c>
      <c r="D122">
        <v>3</v>
      </c>
      <c r="E122">
        <v>2</v>
      </c>
      <c r="F122" t="s">
        <v>170</v>
      </c>
      <c r="G122" t="s">
        <v>418</v>
      </c>
      <c r="H122" t="s">
        <v>413</v>
      </c>
      <c r="I122">
        <v>13</v>
      </c>
      <c r="J122">
        <v>3</v>
      </c>
      <c r="K122">
        <v>1</v>
      </c>
      <c r="L122" t="str">
        <f t="shared" si="1"/>
        <v>OK</v>
      </c>
    </row>
    <row r="123" spans="1:12">
      <c r="A123" t="s">
        <v>419</v>
      </c>
      <c r="B123" t="s">
        <v>136</v>
      </c>
      <c r="C123">
        <v>23</v>
      </c>
      <c r="D123">
        <v>3</v>
      </c>
      <c r="E123">
        <v>3</v>
      </c>
      <c r="F123" t="s">
        <v>170</v>
      </c>
      <c r="G123" t="s">
        <v>420</v>
      </c>
      <c r="H123" t="s">
        <v>413</v>
      </c>
      <c r="I123">
        <v>13</v>
      </c>
      <c r="J123">
        <v>3</v>
      </c>
      <c r="K123">
        <v>1</v>
      </c>
      <c r="L123" t="str">
        <f t="shared" si="1"/>
        <v>OK</v>
      </c>
    </row>
    <row r="124" spans="1:12">
      <c r="A124" t="s">
        <v>421</v>
      </c>
      <c r="B124" t="s">
        <v>136</v>
      </c>
      <c r="C124">
        <v>23</v>
      </c>
      <c r="D124">
        <v>4</v>
      </c>
      <c r="F124" t="s">
        <v>167</v>
      </c>
      <c r="G124" t="s">
        <v>422</v>
      </c>
      <c r="H124" t="s">
        <v>395</v>
      </c>
      <c r="I124">
        <v>13</v>
      </c>
      <c r="J124">
        <v>3</v>
      </c>
      <c r="K124">
        <v>1</v>
      </c>
      <c r="L124" t="str">
        <f t="shared" si="1"/>
        <v>OK</v>
      </c>
    </row>
    <row r="125" spans="1:12">
      <c r="A125" t="s">
        <v>423</v>
      </c>
      <c r="B125" t="s">
        <v>136</v>
      </c>
      <c r="C125">
        <v>23</v>
      </c>
      <c r="D125">
        <v>4</v>
      </c>
      <c r="E125">
        <v>1</v>
      </c>
      <c r="F125" t="s">
        <v>170</v>
      </c>
      <c r="G125" t="s">
        <v>424</v>
      </c>
      <c r="H125" t="s">
        <v>421</v>
      </c>
      <c r="I125">
        <v>13</v>
      </c>
      <c r="J125">
        <v>3</v>
      </c>
      <c r="K125">
        <v>1</v>
      </c>
      <c r="L125" t="str">
        <f t="shared" si="1"/>
        <v>OK</v>
      </c>
    </row>
    <row r="126" spans="1:12">
      <c r="A126" t="s">
        <v>425</v>
      </c>
      <c r="B126" t="s">
        <v>136</v>
      </c>
      <c r="C126">
        <v>23</v>
      </c>
      <c r="D126">
        <v>4</v>
      </c>
      <c r="E126">
        <v>2</v>
      </c>
      <c r="F126" t="s">
        <v>170</v>
      </c>
      <c r="G126" t="s">
        <v>426</v>
      </c>
      <c r="H126" t="s">
        <v>421</v>
      </c>
      <c r="I126">
        <v>13</v>
      </c>
      <c r="J126">
        <v>3</v>
      </c>
      <c r="K126">
        <v>1</v>
      </c>
      <c r="L126" t="str">
        <f t="shared" si="1"/>
        <v>OK</v>
      </c>
    </row>
    <row r="127" spans="1:12">
      <c r="A127" t="s">
        <v>427</v>
      </c>
      <c r="B127" t="s">
        <v>136</v>
      </c>
      <c r="C127">
        <v>23</v>
      </c>
      <c r="D127">
        <v>4</v>
      </c>
      <c r="E127">
        <v>3</v>
      </c>
      <c r="F127" t="s">
        <v>170</v>
      </c>
      <c r="G127" t="s">
        <v>428</v>
      </c>
      <c r="H127" t="s">
        <v>421</v>
      </c>
      <c r="I127">
        <v>13</v>
      </c>
      <c r="J127">
        <v>3</v>
      </c>
      <c r="K127">
        <v>1</v>
      </c>
      <c r="L127" t="str">
        <f t="shared" si="1"/>
        <v>OK</v>
      </c>
    </row>
    <row r="128" spans="1:12">
      <c r="A128" t="s">
        <v>429</v>
      </c>
      <c r="B128" t="s">
        <v>136</v>
      </c>
      <c r="C128">
        <v>23</v>
      </c>
      <c r="D128">
        <v>5</v>
      </c>
      <c r="F128" t="s">
        <v>167</v>
      </c>
      <c r="G128" t="s">
        <v>430</v>
      </c>
      <c r="H128" t="s">
        <v>395</v>
      </c>
      <c r="I128">
        <v>13</v>
      </c>
      <c r="J128">
        <v>3</v>
      </c>
      <c r="K128">
        <v>1</v>
      </c>
      <c r="L128" t="str">
        <f t="shared" si="1"/>
        <v>OK</v>
      </c>
    </row>
    <row r="129" spans="1:12">
      <c r="A129" t="s">
        <v>431</v>
      </c>
      <c r="B129" t="s">
        <v>136</v>
      </c>
      <c r="C129">
        <v>23</v>
      </c>
      <c r="D129">
        <v>5</v>
      </c>
      <c r="E129">
        <v>1</v>
      </c>
      <c r="F129" t="s">
        <v>170</v>
      </c>
      <c r="G129" t="s">
        <v>432</v>
      </c>
      <c r="H129" t="s">
        <v>429</v>
      </c>
      <c r="I129">
        <v>13</v>
      </c>
      <c r="J129">
        <v>3</v>
      </c>
      <c r="K129">
        <v>1</v>
      </c>
      <c r="L129" t="str">
        <f t="shared" si="1"/>
        <v>OK</v>
      </c>
    </row>
    <row r="130" spans="1:12">
      <c r="A130" t="s">
        <v>433</v>
      </c>
      <c r="B130" t="s">
        <v>136</v>
      </c>
      <c r="C130">
        <v>23</v>
      </c>
      <c r="D130">
        <v>5</v>
      </c>
      <c r="E130">
        <v>2</v>
      </c>
      <c r="F130" t="s">
        <v>170</v>
      </c>
      <c r="G130" t="s">
        <v>434</v>
      </c>
      <c r="H130" t="s">
        <v>429</v>
      </c>
      <c r="I130">
        <v>13</v>
      </c>
      <c r="J130">
        <v>3</v>
      </c>
      <c r="K130">
        <v>1</v>
      </c>
      <c r="L130" t="str">
        <f t="shared" si="1"/>
        <v>OK</v>
      </c>
    </row>
    <row r="131" spans="1:12">
      <c r="A131" t="s">
        <v>435</v>
      </c>
      <c r="B131" t="s">
        <v>136</v>
      </c>
      <c r="C131">
        <v>23</v>
      </c>
      <c r="D131">
        <v>5</v>
      </c>
      <c r="E131">
        <v>3</v>
      </c>
      <c r="F131" t="s">
        <v>170</v>
      </c>
      <c r="G131" t="s">
        <v>436</v>
      </c>
      <c r="H131" t="s">
        <v>429</v>
      </c>
      <c r="I131">
        <v>13</v>
      </c>
      <c r="J131">
        <v>3</v>
      </c>
      <c r="K131">
        <v>1</v>
      </c>
      <c r="L131" t="str">
        <f t="shared" si="1"/>
        <v>OK</v>
      </c>
    </row>
    <row r="132" spans="1:12">
      <c r="A132" t="s">
        <v>437</v>
      </c>
      <c r="B132" t="s">
        <v>136</v>
      </c>
      <c r="C132">
        <v>23</v>
      </c>
      <c r="D132">
        <v>6</v>
      </c>
      <c r="F132" t="s">
        <v>167</v>
      </c>
      <c r="G132" t="s">
        <v>438</v>
      </c>
      <c r="H132" t="s">
        <v>395</v>
      </c>
      <c r="I132">
        <v>13</v>
      </c>
      <c r="J132">
        <v>3</v>
      </c>
      <c r="K132">
        <v>1</v>
      </c>
      <c r="L132" t="str">
        <f t="shared" si="1"/>
        <v>OK</v>
      </c>
    </row>
    <row r="133" spans="1:12">
      <c r="A133" t="s">
        <v>439</v>
      </c>
      <c r="B133" t="s">
        <v>136</v>
      </c>
      <c r="C133">
        <v>23</v>
      </c>
      <c r="D133">
        <v>6</v>
      </c>
      <c r="E133">
        <v>1</v>
      </c>
      <c r="F133" t="s">
        <v>170</v>
      </c>
      <c r="G133" t="s">
        <v>440</v>
      </c>
      <c r="H133" t="s">
        <v>437</v>
      </c>
      <c r="I133">
        <v>13</v>
      </c>
      <c r="J133">
        <v>3</v>
      </c>
      <c r="K133">
        <v>1</v>
      </c>
      <c r="L133" t="str">
        <f t="shared" ref="L133:L196" si="2">IF(OR(F133="Line",AND(F133="Section",D133&gt;=1,D133&lt;=I133,E133=""),AND(F133="Cavity",D133&gt;=1,D133&lt;=I133,E133&gt;=1,E133&lt;=J133)),"OK","CHECK")</f>
        <v>OK</v>
      </c>
    </row>
    <row r="134" spans="1:12">
      <c r="A134" t="s">
        <v>441</v>
      </c>
      <c r="B134" t="s">
        <v>136</v>
      </c>
      <c r="C134">
        <v>23</v>
      </c>
      <c r="D134">
        <v>6</v>
      </c>
      <c r="E134">
        <v>2</v>
      </c>
      <c r="F134" t="s">
        <v>170</v>
      </c>
      <c r="G134" t="s">
        <v>442</v>
      </c>
      <c r="H134" t="s">
        <v>437</v>
      </c>
      <c r="I134">
        <v>13</v>
      </c>
      <c r="J134">
        <v>3</v>
      </c>
      <c r="K134">
        <v>1</v>
      </c>
      <c r="L134" t="str">
        <f t="shared" si="2"/>
        <v>OK</v>
      </c>
    </row>
    <row r="135" spans="1:12">
      <c r="A135" t="s">
        <v>443</v>
      </c>
      <c r="B135" t="s">
        <v>136</v>
      </c>
      <c r="C135">
        <v>23</v>
      </c>
      <c r="D135">
        <v>6</v>
      </c>
      <c r="E135">
        <v>3</v>
      </c>
      <c r="F135" t="s">
        <v>170</v>
      </c>
      <c r="G135" t="s">
        <v>444</v>
      </c>
      <c r="H135" t="s">
        <v>437</v>
      </c>
      <c r="I135">
        <v>13</v>
      </c>
      <c r="J135">
        <v>3</v>
      </c>
      <c r="K135">
        <v>1</v>
      </c>
      <c r="L135" t="str">
        <f t="shared" si="2"/>
        <v>OK</v>
      </c>
    </row>
    <row r="136" spans="1:12">
      <c r="A136" t="s">
        <v>445</v>
      </c>
      <c r="B136" t="s">
        <v>136</v>
      </c>
      <c r="C136">
        <v>23</v>
      </c>
      <c r="D136">
        <v>7</v>
      </c>
      <c r="F136" t="s">
        <v>167</v>
      </c>
      <c r="G136" t="s">
        <v>446</v>
      </c>
      <c r="H136" t="s">
        <v>395</v>
      </c>
      <c r="I136">
        <v>13</v>
      </c>
      <c r="J136">
        <v>3</v>
      </c>
      <c r="K136">
        <v>1</v>
      </c>
      <c r="L136" t="str">
        <f t="shared" si="2"/>
        <v>OK</v>
      </c>
    </row>
    <row r="137" spans="1:12">
      <c r="A137" t="s">
        <v>447</v>
      </c>
      <c r="B137" t="s">
        <v>136</v>
      </c>
      <c r="C137">
        <v>23</v>
      </c>
      <c r="D137">
        <v>7</v>
      </c>
      <c r="E137">
        <v>1</v>
      </c>
      <c r="F137" t="s">
        <v>170</v>
      </c>
      <c r="G137" t="s">
        <v>448</v>
      </c>
      <c r="H137" t="s">
        <v>445</v>
      </c>
      <c r="I137">
        <v>13</v>
      </c>
      <c r="J137">
        <v>3</v>
      </c>
      <c r="K137">
        <v>1</v>
      </c>
      <c r="L137" t="str">
        <f t="shared" si="2"/>
        <v>OK</v>
      </c>
    </row>
    <row r="138" spans="1:12">
      <c r="A138" t="s">
        <v>449</v>
      </c>
      <c r="B138" t="s">
        <v>136</v>
      </c>
      <c r="C138">
        <v>23</v>
      </c>
      <c r="D138">
        <v>7</v>
      </c>
      <c r="E138">
        <v>2</v>
      </c>
      <c r="F138" t="s">
        <v>170</v>
      </c>
      <c r="G138" t="s">
        <v>450</v>
      </c>
      <c r="H138" t="s">
        <v>445</v>
      </c>
      <c r="I138">
        <v>13</v>
      </c>
      <c r="J138">
        <v>3</v>
      </c>
      <c r="K138">
        <v>1</v>
      </c>
      <c r="L138" t="str">
        <f t="shared" si="2"/>
        <v>OK</v>
      </c>
    </row>
    <row r="139" spans="1:12">
      <c r="A139" t="s">
        <v>451</v>
      </c>
      <c r="B139" t="s">
        <v>136</v>
      </c>
      <c r="C139">
        <v>23</v>
      </c>
      <c r="D139">
        <v>7</v>
      </c>
      <c r="E139">
        <v>3</v>
      </c>
      <c r="F139" t="s">
        <v>170</v>
      </c>
      <c r="G139" t="s">
        <v>452</v>
      </c>
      <c r="H139" t="s">
        <v>445</v>
      </c>
      <c r="I139">
        <v>13</v>
      </c>
      <c r="J139">
        <v>3</v>
      </c>
      <c r="K139">
        <v>1</v>
      </c>
      <c r="L139" t="str">
        <f t="shared" si="2"/>
        <v>OK</v>
      </c>
    </row>
    <row r="140" spans="1:12">
      <c r="A140" t="s">
        <v>453</v>
      </c>
      <c r="B140" t="s">
        <v>136</v>
      </c>
      <c r="C140">
        <v>23</v>
      </c>
      <c r="D140">
        <v>8</v>
      </c>
      <c r="F140" t="s">
        <v>167</v>
      </c>
      <c r="G140" t="s">
        <v>454</v>
      </c>
      <c r="H140" t="s">
        <v>395</v>
      </c>
      <c r="I140">
        <v>13</v>
      </c>
      <c r="J140">
        <v>3</v>
      </c>
      <c r="K140">
        <v>1</v>
      </c>
      <c r="L140" t="str">
        <f t="shared" si="2"/>
        <v>OK</v>
      </c>
    </row>
    <row r="141" spans="1:12">
      <c r="A141" t="s">
        <v>455</v>
      </c>
      <c r="B141" t="s">
        <v>136</v>
      </c>
      <c r="C141">
        <v>23</v>
      </c>
      <c r="D141">
        <v>8</v>
      </c>
      <c r="E141">
        <v>1</v>
      </c>
      <c r="F141" t="s">
        <v>170</v>
      </c>
      <c r="G141" t="s">
        <v>456</v>
      </c>
      <c r="H141" t="s">
        <v>453</v>
      </c>
      <c r="I141">
        <v>13</v>
      </c>
      <c r="J141">
        <v>3</v>
      </c>
      <c r="K141">
        <v>1</v>
      </c>
      <c r="L141" t="str">
        <f t="shared" si="2"/>
        <v>OK</v>
      </c>
    </row>
    <row r="142" spans="1:12">
      <c r="A142" t="s">
        <v>457</v>
      </c>
      <c r="B142" t="s">
        <v>136</v>
      </c>
      <c r="C142">
        <v>23</v>
      </c>
      <c r="D142">
        <v>8</v>
      </c>
      <c r="E142">
        <v>2</v>
      </c>
      <c r="F142" t="s">
        <v>170</v>
      </c>
      <c r="G142" t="s">
        <v>458</v>
      </c>
      <c r="H142" t="s">
        <v>453</v>
      </c>
      <c r="I142">
        <v>13</v>
      </c>
      <c r="J142">
        <v>3</v>
      </c>
      <c r="K142">
        <v>1</v>
      </c>
      <c r="L142" t="str">
        <f t="shared" si="2"/>
        <v>OK</v>
      </c>
    </row>
    <row r="143" spans="1:12">
      <c r="A143" t="s">
        <v>459</v>
      </c>
      <c r="B143" t="s">
        <v>136</v>
      </c>
      <c r="C143">
        <v>23</v>
      </c>
      <c r="D143">
        <v>8</v>
      </c>
      <c r="E143">
        <v>3</v>
      </c>
      <c r="F143" t="s">
        <v>170</v>
      </c>
      <c r="G143" t="s">
        <v>460</v>
      </c>
      <c r="H143" t="s">
        <v>453</v>
      </c>
      <c r="I143">
        <v>13</v>
      </c>
      <c r="J143">
        <v>3</v>
      </c>
      <c r="K143">
        <v>1</v>
      </c>
      <c r="L143" t="str">
        <f t="shared" si="2"/>
        <v>OK</v>
      </c>
    </row>
    <row r="144" spans="1:12">
      <c r="A144" t="s">
        <v>461</v>
      </c>
      <c r="B144" t="s">
        <v>136</v>
      </c>
      <c r="C144">
        <v>23</v>
      </c>
      <c r="D144">
        <v>9</v>
      </c>
      <c r="F144" t="s">
        <v>167</v>
      </c>
      <c r="G144" t="s">
        <v>462</v>
      </c>
      <c r="H144" t="s">
        <v>395</v>
      </c>
      <c r="I144">
        <v>13</v>
      </c>
      <c r="J144">
        <v>3</v>
      </c>
      <c r="K144">
        <v>1</v>
      </c>
      <c r="L144" t="str">
        <f t="shared" si="2"/>
        <v>OK</v>
      </c>
    </row>
    <row r="145" spans="1:12">
      <c r="A145" t="s">
        <v>463</v>
      </c>
      <c r="B145" t="s">
        <v>136</v>
      </c>
      <c r="C145">
        <v>23</v>
      </c>
      <c r="D145">
        <v>9</v>
      </c>
      <c r="E145">
        <v>1</v>
      </c>
      <c r="F145" t="s">
        <v>170</v>
      </c>
      <c r="G145" t="s">
        <v>464</v>
      </c>
      <c r="H145" t="s">
        <v>461</v>
      </c>
      <c r="I145">
        <v>13</v>
      </c>
      <c r="J145">
        <v>3</v>
      </c>
      <c r="K145">
        <v>1</v>
      </c>
      <c r="L145" t="str">
        <f t="shared" si="2"/>
        <v>OK</v>
      </c>
    </row>
    <row r="146" spans="1:12">
      <c r="A146" t="s">
        <v>465</v>
      </c>
      <c r="B146" t="s">
        <v>136</v>
      </c>
      <c r="C146">
        <v>23</v>
      </c>
      <c r="D146">
        <v>9</v>
      </c>
      <c r="E146">
        <v>2</v>
      </c>
      <c r="F146" t="s">
        <v>170</v>
      </c>
      <c r="G146" t="s">
        <v>466</v>
      </c>
      <c r="H146" t="s">
        <v>461</v>
      </c>
      <c r="I146">
        <v>13</v>
      </c>
      <c r="J146">
        <v>3</v>
      </c>
      <c r="K146">
        <v>1</v>
      </c>
      <c r="L146" t="str">
        <f t="shared" si="2"/>
        <v>OK</v>
      </c>
    </row>
    <row r="147" spans="1:12">
      <c r="A147" t="s">
        <v>467</v>
      </c>
      <c r="B147" t="s">
        <v>136</v>
      </c>
      <c r="C147">
        <v>23</v>
      </c>
      <c r="D147">
        <v>9</v>
      </c>
      <c r="E147">
        <v>3</v>
      </c>
      <c r="F147" t="s">
        <v>170</v>
      </c>
      <c r="G147" t="s">
        <v>468</v>
      </c>
      <c r="H147" t="s">
        <v>461</v>
      </c>
      <c r="I147">
        <v>13</v>
      </c>
      <c r="J147">
        <v>3</v>
      </c>
      <c r="K147">
        <v>1</v>
      </c>
      <c r="L147" t="str">
        <f t="shared" si="2"/>
        <v>OK</v>
      </c>
    </row>
    <row r="148" spans="1:12">
      <c r="A148" t="s">
        <v>469</v>
      </c>
      <c r="B148" t="s">
        <v>136</v>
      </c>
      <c r="C148">
        <v>23</v>
      </c>
      <c r="D148">
        <v>10</v>
      </c>
      <c r="F148" t="s">
        <v>167</v>
      </c>
      <c r="G148" t="s">
        <v>470</v>
      </c>
      <c r="H148" t="s">
        <v>395</v>
      </c>
      <c r="I148">
        <v>13</v>
      </c>
      <c r="J148">
        <v>3</v>
      </c>
      <c r="K148">
        <v>1</v>
      </c>
      <c r="L148" t="str">
        <f t="shared" si="2"/>
        <v>OK</v>
      </c>
    </row>
    <row r="149" spans="1:12">
      <c r="A149" t="s">
        <v>471</v>
      </c>
      <c r="B149" t="s">
        <v>136</v>
      </c>
      <c r="C149">
        <v>23</v>
      </c>
      <c r="D149">
        <v>10</v>
      </c>
      <c r="E149">
        <v>1</v>
      </c>
      <c r="F149" t="s">
        <v>170</v>
      </c>
      <c r="G149" t="s">
        <v>472</v>
      </c>
      <c r="H149" t="s">
        <v>469</v>
      </c>
      <c r="I149">
        <v>13</v>
      </c>
      <c r="J149">
        <v>3</v>
      </c>
      <c r="K149">
        <v>1</v>
      </c>
      <c r="L149" t="str">
        <f t="shared" si="2"/>
        <v>OK</v>
      </c>
    </row>
    <row r="150" spans="1:12">
      <c r="A150" t="s">
        <v>473</v>
      </c>
      <c r="B150" t="s">
        <v>136</v>
      </c>
      <c r="C150">
        <v>23</v>
      </c>
      <c r="D150">
        <v>10</v>
      </c>
      <c r="E150">
        <v>2</v>
      </c>
      <c r="F150" t="s">
        <v>170</v>
      </c>
      <c r="G150" t="s">
        <v>474</v>
      </c>
      <c r="H150" t="s">
        <v>469</v>
      </c>
      <c r="I150">
        <v>13</v>
      </c>
      <c r="J150">
        <v>3</v>
      </c>
      <c r="K150">
        <v>1</v>
      </c>
      <c r="L150" t="str">
        <f t="shared" si="2"/>
        <v>OK</v>
      </c>
    </row>
    <row r="151" spans="1:12">
      <c r="A151" t="s">
        <v>475</v>
      </c>
      <c r="B151" t="s">
        <v>136</v>
      </c>
      <c r="C151">
        <v>23</v>
      </c>
      <c r="D151">
        <v>10</v>
      </c>
      <c r="E151">
        <v>3</v>
      </c>
      <c r="F151" t="s">
        <v>170</v>
      </c>
      <c r="G151" t="s">
        <v>476</v>
      </c>
      <c r="H151" t="s">
        <v>469</v>
      </c>
      <c r="I151">
        <v>13</v>
      </c>
      <c r="J151">
        <v>3</v>
      </c>
      <c r="K151">
        <v>1</v>
      </c>
      <c r="L151" t="str">
        <f t="shared" si="2"/>
        <v>OK</v>
      </c>
    </row>
    <row r="152" spans="1:12">
      <c r="A152" t="s">
        <v>477</v>
      </c>
      <c r="B152" t="s">
        <v>136</v>
      </c>
      <c r="C152">
        <v>23</v>
      </c>
      <c r="D152">
        <v>11</v>
      </c>
      <c r="F152" t="s">
        <v>167</v>
      </c>
      <c r="G152" t="s">
        <v>478</v>
      </c>
      <c r="H152" t="s">
        <v>395</v>
      </c>
      <c r="I152">
        <v>13</v>
      </c>
      <c r="J152">
        <v>3</v>
      </c>
      <c r="K152">
        <v>1</v>
      </c>
      <c r="L152" t="str">
        <f t="shared" si="2"/>
        <v>OK</v>
      </c>
    </row>
    <row r="153" spans="1:12">
      <c r="A153" t="s">
        <v>479</v>
      </c>
      <c r="B153" t="s">
        <v>136</v>
      </c>
      <c r="C153">
        <v>23</v>
      </c>
      <c r="D153">
        <v>11</v>
      </c>
      <c r="E153">
        <v>1</v>
      </c>
      <c r="F153" t="s">
        <v>170</v>
      </c>
      <c r="G153" t="s">
        <v>480</v>
      </c>
      <c r="H153" t="s">
        <v>477</v>
      </c>
      <c r="I153">
        <v>13</v>
      </c>
      <c r="J153">
        <v>3</v>
      </c>
      <c r="K153">
        <v>1</v>
      </c>
      <c r="L153" t="str">
        <f t="shared" si="2"/>
        <v>OK</v>
      </c>
    </row>
    <row r="154" spans="1:12">
      <c r="A154" t="s">
        <v>481</v>
      </c>
      <c r="B154" t="s">
        <v>136</v>
      </c>
      <c r="C154">
        <v>23</v>
      </c>
      <c r="D154">
        <v>11</v>
      </c>
      <c r="E154">
        <v>2</v>
      </c>
      <c r="F154" t="s">
        <v>170</v>
      </c>
      <c r="G154" t="s">
        <v>482</v>
      </c>
      <c r="H154" t="s">
        <v>477</v>
      </c>
      <c r="I154">
        <v>13</v>
      </c>
      <c r="J154">
        <v>3</v>
      </c>
      <c r="K154">
        <v>1</v>
      </c>
      <c r="L154" t="str">
        <f t="shared" si="2"/>
        <v>OK</v>
      </c>
    </row>
    <row r="155" spans="1:12">
      <c r="A155" t="s">
        <v>483</v>
      </c>
      <c r="B155" t="s">
        <v>136</v>
      </c>
      <c r="C155">
        <v>23</v>
      </c>
      <c r="D155">
        <v>11</v>
      </c>
      <c r="E155">
        <v>3</v>
      </c>
      <c r="F155" t="s">
        <v>170</v>
      </c>
      <c r="G155" t="s">
        <v>484</v>
      </c>
      <c r="H155" t="s">
        <v>477</v>
      </c>
      <c r="I155">
        <v>13</v>
      </c>
      <c r="J155">
        <v>3</v>
      </c>
      <c r="K155">
        <v>1</v>
      </c>
      <c r="L155" t="str">
        <f t="shared" si="2"/>
        <v>OK</v>
      </c>
    </row>
    <row r="156" spans="1:12">
      <c r="A156" t="s">
        <v>485</v>
      </c>
      <c r="B156" t="s">
        <v>136</v>
      </c>
      <c r="C156">
        <v>23</v>
      </c>
      <c r="D156">
        <v>12</v>
      </c>
      <c r="F156" t="s">
        <v>167</v>
      </c>
      <c r="G156" t="s">
        <v>486</v>
      </c>
      <c r="H156" t="s">
        <v>395</v>
      </c>
      <c r="I156">
        <v>13</v>
      </c>
      <c r="J156">
        <v>3</v>
      </c>
      <c r="K156">
        <v>1</v>
      </c>
      <c r="L156" t="str">
        <f t="shared" si="2"/>
        <v>OK</v>
      </c>
    </row>
    <row r="157" spans="1:12">
      <c r="A157" t="s">
        <v>487</v>
      </c>
      <c r="B157" t="s">
        <v>136</v>
      </c>
      <c r="C157">
        <v>23</v>
      </c>
      <c r="D157">
        <v>12</v>
      </c>
      <c r="E157">
        <v>1</v>
      </c>
      <c r="F157" t="s">
        <v>170</v>
      </c>
      <c r="G157" t="s">
        <v>488</v>
      </c>
      <c r="H157" t="s">
        <v>485</v>
      </c>
      <c r="I157">
        <v>13</v>
      </c>
      <c r="J157">
        <v>3</v>
      </c>
      <c r="K157">
        <v>1</v>
      </c>
      <c r="L157" t="str">
        <f t="shared" si="2"/>
        <v>OK</v>
      </c>
    </row>
    <row r="158" spans="1:12">
      <c r="A158" t="s">
        <v>489</v>
      </c>
      <c r="B158" t="s">
        <v>136</v>
      </c>
      <c r="C158">
        <v>23</v>
      </c>
      <c r="D158">
        <v>12</v>
      </c>
      <c r="E158">
        <v>2</v>
      </c>
      <c r="F158" t="s">
        <v>170</v>
      </c>
      <c r="G158" t="s">
        <v>490</v>
      </c>
      <c r="H158" t="s">
        <v>485</v>
      </c>
      <c r="I158">
        <v>13</v>
      </c>
      <c r="J158">
        <v>3</v>
      </c>
      <c r="K158">
        <v>1</v>
      </c>
      <c r="L158" t="str">
        <f t="shared" si="2"/>
        <v>OK</v>
      </c>
    </row>
    <row r="159" spans="1:12">
      <c r="A159" t="s">
        <v>491</v>
      </c>
      <c r="B159" t="s">
        <v>136</v>
      </c>
      <c r="C159">
        <v>23</v>
      </c>
      <c r="D159">
        <v>12</v>
      </c>
      <c r="E159">
        <v>3</v>
      </c>
      <c r="F159" t="s">
        <v>170</v>
      </c>
      <c r="G159" t="s">
        <v>492</v>
      </c>
      <c r="H159" t="s">
        <v>485</v>
      </c>
      <c r="I159">
        <v>13</v>
      </c>
      <c r="J159">
        <v>3</v>
      </c>
      <c r="K159">
        <v>1</v>
      </c>
      <c r="L159" t="str">
        <f t="shared" si="2"/>
        <v>OK</v>
      </c>
    </row>
    <row r="160" spans="1:12">
      <c r="A160" t="s">
        <v>493</v>
      </c>
      <c r="B160" t="s">
        <v>136</v>
      </c>
      <c r="C160">
        <v>23</v>
      </c>
      <c r="D160">
        <v>13</v>
      </c>
      <c r="F160" t="s">
        <v>167</v>
      </c>
      <c r="G160" t="s">
        <v>494</v>
      </c>
      <c r="H160" t="s">
        <v>395</v>
      </c>
      <c r="I160">
        <v>13</v>
      </c>
      <c r="J160">
        <v>3</v>
      </c>
      <c r="K160">
        <v>1</v>
      </c>
      <c r="L160" t="str">
        <f t="shared" si="2"/>
        <v>OK</v>
      </c>
    </row>
    <row r="161" spans="1:12">
      <c r="A161" t="s">
        <v>495</v>
      </c>
      <c r="B161" t="s">
        <v>136</v>
      </c>
      <c r="C161">
        <v>23</v>
      </c>
      <c r="D161">
        <v>13</v>
      </c>
      <c r="E161">
        <v>1</v>
      </c>
      <c r="F161" t="s">
        <v>170</v>
      </c>
      <c r="G161" t="s">
        <v>496</v>
      </c>
      <c r="H161" t="s">
        <v>493</v>
      </c>
      <c r="I161">
        <v>13</v>
      </c>
      <c r="J161">
        <v>3</v>
      </c>
      <c r="K161">
        <v>1</v>
      </c>
      <c r="L161" t="str">
        <f t="shared" si="2"/>
        <v>OK</v>
      </c>
    </row>
    <row r="162" spans="1:12">
      <c r="A162" t="s">
        <v>497</v>
      </c>
      <c r="B162" t="s">
        <v>136</v>
      </c>
      <c r="C162">
        <v>23</v>
      </c>
      <c r="D162">
        <v>13</v>
      </c>
      <c r="E162">
        <v>2</v>
      </c>
      <c r="F162" t="s">
        <v>170</v>
      </c>
      <c r="G162" t="s">
        <v>498</v>
      </c>
      <c r="H162" t="s">
        <v>493</v>
      </c>
      <c r="I162">
        <v>13</v>
      </c>
      <c r="J162">
        <v>3</v>
      </c>
      <c r="K162">
        <v>1</v>
      </c>
      <c r="L162" t="str">
        <f t="shared" si="2"/>
        <v>OK</v>
      </c>
    </row>
    <row r="163" spans="1:12">
      <c r="A163" t="s">
        <v>499</v>
      </c>
      <c r="B163" t="s">
        <v>136</v>
      </c>
      <c r="C163">
        <v>23</v>
      </c>
      <c r="D163">
        <v>13</v>
      </c>
      <c r="E163">
        <v>3</v>
      </c>
      <c r="F163" t="s">
        <v>170</v>
      </c>
      <c r="G163" t="s">
        <v>500</v>
      </c>
      <c r="H163" t="s">
        <v>493</v>
      </c>
      <c r="I163">
        <v>13</v>
      </c>
      <c r="J163">
        <v>3</v>
      </c>
      <c r="K163">
        <v>1</v>
      </c>
      <c r="L163" t="str">
        <f t="shared" si="2"/>
        <v>OK</v>
      </c>
    </row>
    <row r="164" spans="1:12">
      <c r="A164" t="s">
        <v>501</v>
      </c>
      <c r="B164" t="s">
        <v>136</v>
      </c>
      <c r="C164">
        <v>24</v>
      </c>
      <c r="F164" t="s">
        <v>164</v>
      </c>
      <c r="G164" t="s">
        <v>502</v>
      </c>
      <c r="I164">
        <v>13</v>
      </c>
      <c r="J164">
        <v>3</v>
      </c>
      <c r="K164">
        <v>1</v>
      </c>
      <c r="L164" t="str">
        <f t="shared" si="2"/>
        <v>OK</v>
      </c>
    </row>
    <row r="165" spans="1:12">
      <c r="A165" t="s">
        <v>503</v>
      </c>
      <c r="B165" t="s">
        <v>136</v>
      </c>
      <c r="C165">
        <v>24</v>
      </c>
      <c r="D165">
        <v>1</v>
      </c>
      <c r="F165" t="s">
        <v>167</v>
      </c>
      <c r="G165" t="s">
        <v>504</v>
      </c>
      <c r="H165" t="s">
        <v>501</v>
      </c>
      <c r="I165">
        <v>13</v>
      </c>
      <c r="J165">
        <v>3</v>
      </c>
      <c r="K165">
        <v>1</v>
      </c>
      <c r="L165" t="str">
        <f t="shared" si="2"/>
        <v>OK</v>
      </c>
    </row>
    <row r="166" spans="1:12">
      <c r="A166" t="s">
        <v>505</v>
      </c>
      <c r="B166" t="s">
        <v>136</v>
      </c>
      <c r="C166">
        <v>24</v>
      </c>
      <c r="D166">
        <v>1</v>
      </c>
      <c r="E166">
        <v>1</v>
      </c>
      <c r="F166" t="s">
        <v>170</v>
      </c>
      <c r="G166" t="s">
        <v>506</v>
      </c>
      <c r="H166" t="s">
        <v>503</v>
      </c>
      <c r="I166">
        <v>13</v>
      </c>
      <c r="J166">
        <v>3</v>
      </c>
      <c r="K166">
        <v>1</v>
      </c>
      <c r="L166" t="str">
        <f t="shared" si="2"/>
        <v>OK</v>
      </c>
    </row>
    <row r="167" spans="1:12">
      <c r="A167" t="s">
        <v>507</v>
      </c>
      <c r="B167" t="s">
        <v>136</v>
      </c>
      <c r="C167">
        <v>24</v>
      </c>
      <c r="D167">
        <v>1</v>
      </c>
      <c r="E167">
        <v>2</v>
      </c>
      <c r="F167" t="s">
        <v>170</v>
      </c>
      <c r="G167" t="s">
        <v>508</v>
      </c>
      <c r="H167" t="s">
        <v>503</v>
      </c>
      <c r="I167">
        <v>13</v>
      </c>
      <c r="J167">
        <v>3</v>
      </c>
      <c r="K167">
        <v>1</v>
      </c>
      <c r="L167" t="str">
        <f t="shared" si="2"/>
        <v>OK</v>
      </c>
    </row>
    <row r="168" spans="1:12">
      <c r="A168" t="s">
        <v>509</v>
      </c>
      <c r="B168" t="s">
        <v>136</v>
      </c>
      <c r="C168">
        <v>24</v>
      </c>
      <c r="D168">
        <v>1</v>
      </c>
      <c r="E168">
        <v>3</v>
      </c>
      <c r="F168" t="s">
        <v>170</v>
      </c>
      <c r="G168" t="s">
        <v>510</v>
      </c>
      <c r="H168" t="s">
        <v>503</v>
      </c>
      <c r="I168">
        <v>13</v>
      </c>
      <c r="J168">
        <v>3</v>
      </c>
      <c r="K168">
        <v>1</v>
      </c>
      <c r="L168" t="str">
        <f t="shared" si="2"/>
        <v>OK</v>
      </c>
    </row>
    <row r="169" spans="1:12">
      <c r="A169" t="s">
        <v>511</v>
      </c>
      <c r="B169" t="s">
        <v>136</v>
      </c>
      <c r="C169">
        <v>24</v>
      </c>
      <c r="D169">
        <v>2</v>
      </c>
      <c r="F169" t="s">
        <v>167</v>
      </c>
      <c r="G169" t="s">
        <v>512</v>
      </c>
      <c r="H169" t="s">
        <v>501</v>
      </c>
      <c r="I169">
        <v>13</v>
      </c>
      <c r="J169">
        <v>3</v>
      </c>
      <c r="K169">
        <v>1</v>
      </c>
      <c r="L169" t="str">
        <f t="shared" si="2"/>
        <v>OK</v>
      </c>
    </row>
    <row r="170" spans="1:12">
      <c r="A170" t="s">
        <v>513</v>
      </c>
      <c r="B170" t="s">
        <v>136</v>
      </c>
      <c r="C170">
        <v>24</v>
      </c>
      <c r="D170">
        <v>2</v>
      </c>
      <c r="E170">
        <v>1</v>
      </c>
      <c r="F170" t="s">
        <v>170</v>
      </c>
      <c r="G170" t="s">
        <v>514</v>
      </c>
      <c r="H170" t="s">
        <v>511</v>
      </c>
      <c r="I170">
        <v>13</v>
      </c>
      <c r="J170">
        <v>3</v>
      </c>
      <c r="K170">
        <v>1</v>
      </c>
      <c r="L170" t="str">
        <f t="shared" si="2"/>
        <v>OK</v>
      </c>
    </row>
    <row r="171" spans="1:12">
      <c r="A171" t="s">
        <v>515</v>
      </c>
      <c r="B171" t="s">
        <v>136</v>
      </c>
      <c r="C171">
        <v>24</v>
      </c>
      <c r="D171">
        <v>2</v>
      </c>
      <c r="E171">
        <v>2</v>
      </c>
      <c r="F171" t="s">
        <v>170</v>
      </c>
      <c r="G171" t="s">
        <v>516</v>
      </c>
      <c r="H171" t="s">
        <v>511</v>
      </c>
      <c r="I171">
        <v>13</v>
      </c>
      <c r="J171">
        <v>3</v>
      </c>
      <c r="K171">
        <v>1</v>
      </c>
      <c r="L171" t="str">
        <f t="shared" si="2"/>
        <v>OK</v>
      </c>
    </row>
    <row r="172" spans="1:12">
      <c r="A172" t="s">
        <v>517</v>
      </c>
      <c r="B172" t="s">
        <v>136</v>
      </c>
      <c r="C172">
        <v>24</v>
      </c>
      <c r="D172">
        <v>2</v>
      </c>
      <c r="E172">
        <v>3</v>
      </c>
      <c r="F172" t="s">
        <v>170</v>
      </c>
      <c r="G172" t="s">
        <v>518</v>
      </c>
      <c r="H172" t="s">
        <v>511</v>
      </c>
      <c r="I172">
        <v>13</v>
      </c>
      <c r="J172">
        <v>3</v>
      </c>
      <c r="K172">
        <v>1</v>
      </c>
      <c r="L172" t="str">
        <f t="shared" si="2"/>
        <v>OK</v>
      </c>
    </row>
    <row r="173" spans="1:12">
      <c r="A173" t="s">
        <v>519</v>
      </c>
      <c r="B173" t="s">
        <v>136</v>
      </c>
      <c r="C173">
        <v>24</v>
      </c>
      <c r="D173">
        <v>3</v>
      </c>
      <c r="F173" t="s">
        <v>167</v>
      </c>
      <c r="G173" t="s">
        <v>520</v>
      </c>
      <c r="H173" t="s">
        <v>501</v>
      </c>
      <c r="I173">
        <v>13</v>
      </c>
      <c r="J173">
        <v>3</v>
      </c>
      <c r="K173">
        <v>1</v>
      </c>
      <c r="L173" t="str">
        <f t="shared" si="2"/>
        <v>OK</v>
      </c>
    </row>
    <row r="174" spans="1:12">
      <c r="A174" t="s">
        <v>521</v>
      </c>
      <c r="B174" t="s">
        <v>136</v>
      </c>
      <c r="C174">
        <v>24</v>
      </c>
      <c r="D174">
        <v>3</v>
      </c>
      <c r="E174">
        <v>1</v>
      </c>
      <c r="F174" t="s">
        <v>170</v>
      </c>
      <c r="G174" t="s">
        <v>522</v>
      </c>
      <c r="H174" t="s">
        <v>519</v>
      </c>
      <c r="I174">
        <v>13</v>
      </c>
      <c r="J174">
        <v>3</v>
      </c>
      <c r="K174">
        <v>1</v>
      </c>
      <c r="L174" t="str">
        <f t="shared" si="2"/>
        <v>OK</v>
      </c>
    </row>
    <row r="175" spans="1:12">
      <c r="A175" t="s">
        <v>523</v>
      </c>
      <c r="B175" t="s">
        <v>136</v>
      </c>
      <c r="C175">
        <v>24</v>
      </c>
      <c r="D175">
        <v>3</v>
      </c>
      <c r="E175">
        <v>2</v>
      </c>
      <c r="F175" t="s">
        <v>170</v>
      </c>
      <c r="G175" t="s">
        <v>524</v>
      </c>
      <c r="H175" t="s">
        <v>519</v>
      </c>
      <c r="I175">
        <v>13</v>
      </c>
      <c r="J175">
        <v>3</v>
      </c>
      <c r="K175">
        <v>1</v>
      </c>
      <c r="L175" t="str">
        <f t="shared" si="2"/>
        <v>OK</v>
      </c>
    </row>
    <row r="176" spans="1:12">
      <c r="A176" t="s">
        <v>525</v>
      </c>
      <c r="B176" t="s">
        <v>136</v>
      </c>
      <c r="C176">
        <v>24</v>
      </c>
      <c r="D176">
        <v>3</v>
      </c>
      <c r="E176">
        <v>3</v>
      </c>
      <c r="F176" t="s">
        <v>170</v>
      </c>
      <c r="G176" t="s">
        <v>526</v>
      </c>
      <c r="H176" t="s">
        <v>519</v>
      </c>
      <c r="I176">
        <v>13</v>
      </c>
      <c r="J176">
        <v>3</v>
      </c>
      <c r="K176">
        <v>1</v>
      </c>
      <c r="L176" t="str">
        <f t="shared" si="2"/>
        <v>OK</v>
      </c>
    </row>
    <row r="177" spans="1:12">
      <c r="A177" t="s">
        <v>527</v>
      </c>
      <c r="B177" t="s">
        <v>136</v>
      </c>
      <c r="C177">
        <v>24</v>
      </c>
      <c r="D177">
        <v>4</v>
      </c>
      <c r="F177" t="s">
        <v>167</v>
      </c>
      <c r="G177" t="s">
        <v>528</v>
      </c>
      <c r="H177" t="s">
        <v>501</v>
      </c>
      <c r="I177">
        <v>13</v>
      </c>
      <c r="J177">
        <v>3</v>
      </c>
      <c r="K177">
        <v>1</v>
      </c>
      <c r="L177" t="str">
        <f t="shared" si="2"/>
        <v>OK</v>
      </c>
    </row>
    <row r="178" spans="1:12">
      <c r="A178" t="s">
        <v>529</v>
      </c>
      <c r="B178" t="s">
        <v>136</v>
      </c>
      <c r="C178">
        <v>24</v>
      </c>
      <c r="D178">
        <v>4</v>
      </c>
      <c r="E178">
        <v>1</v>
      </c>
      <c r="F178" t="s">
        <v>170</v>
      </c>
      <c r="G178" t="s">
        <v>530</v>
      </c>
      <c r="H178" t="s">
        <v>527</v>
      </c>
      <c r="I178">
        <v>13</v>
      </c>
      <c r="J178">
        <v>3</v>
      </c>
      <c r="K178">
        <v>1</v>
      </c>
      <c r="L178" t="str">
        <f t="shared" si="2"/>
        <v>OK</v>
      </c>
    </row>
    <row r="179" spans="1:12">
      <c r="A179" t="s">
        <v>531</v>
      </c>
      <c r="B179" t="s">
        <v>136</v>
      </c>
      <c r="C179">
        <v>24</v>
      </c>
      <c r="D179">
        <v>4</v>
      </c>
      <c r="E179">
        <v>2</v>
      </c>
      <c r="F179" t="s">
        <v>170</v>
      </c>
      <c r="G179" t="s">
        <v>532</v>
      </c>
      <c r="H179" t="s">
        <v>527</v>
      </c>
      <c r="I179">
        <v>13</v>
      </c>
      <c r="J179">
        <v>3</v>
      </c>
      <c r="K179">
        <v>1</v>
      </c>
      <c r="L179" t="str">
        <f t="shared" si="2"/>
        <v>OK</v>
      </c>
    </row>
    <row r="180" spans="1:12">
      <c r="A180" t="s">
        <v>533</v>
      </c>
      <c r="B180" t="s">
        <v>136</v>
      </c>
      <c r="C180">
        <v>24</v>
      </c>
      <c r="D180">
        <v>4</v>
      </c>
      <c r="E180">
        <v>3</v>
      </c>
      <c r="F180" t="s">
        <v>170</v>
      </c>
      <c r="G180" t="s">
        <v>534</v>
      </c>
      <c r="H180" t="s">
        <v>527</v>
      </c>
      <c r="I180">
        <v>13</v>
      </c>
      <c r="J180">
        <v>3</v>
      </c>
      <c r="K180">
        <v>1</v>
      </c>
      <c r="L180" t="str">
        <f t="shared" si="2"/>
        <v>OK</v>
      </c>
    </row>
    <row r="181" spans="1:12">
      <c r="A181" t="s">
        <v>535</v>
      </c>
      <c r="B181" t="s">
        <v>136</v>
      </c>
      <c r="C181">
        <v>24</v>
      </c>
      <c r="D181">
        <v>5</v>
      </c>
      <c r="F181" t="s">
        <v>167</v>
      </c>
      <c r="G181" t="s">
        <v>536</v>
      </c>
      <c r="H181" t="s">
        <v>501</v>
      </c>
      <c r="I181">
        <v>13</v>
      </c>
      <c r="J181">
        <v>3</v>
      </c>
      <c r="K181">
        <v>1</v>
      </c>
      <c r="L181" t="str">
        <f t="shared" si="2"/>
        <v>OK</v>
      </c>
    </row>
    <row r="182" spans="1:12">
      <c r="A182" t="s">
        <v>537</v>
      </c>
      <c r="B182" t="s">
        <v>136</v>
      </c>
      <c r="C182">
        <v>24</v>
      </c>
      <c r="D182">
        <v>5</v>
      </c>
      <c r="E182">
        <v>1</v>
      </c>
      <c r="F182" t="s">
        <v>170</v>
      </c>
      <c r="G182" t="s">
        <v>538</v>
      </c>
      <c r="H182" t="s">
        <v>535</v>
      </c>
      <c r="I182">
        <v>13</v>
      </c>
      <c r="J182">
        <v>3</v>
      </c>
      <c r="K182">
        <v>1</v>
      </c>
      <c r="L182" t="str">
        <f t="shared" si="2"/>
        <v>OK</v>
      </c>
    </row>
    <row r="183" spans="1:12">
      <c r="A183" t="s">
        <v>539</v>
      </c>
      <c r="B183" t="s">
        <v>136</v>
      </c>
      <c r="C183">
        <v>24</v>
      </c>
      <c r="D183">
        <v>5</v>
      </c>
      <c r="E183">
        <v>2</v>
      </c>
      <c r="F183" t="s">
        <v>170</v>
      </c>
      <c r="G183" t="s">
        <v>540</v>
      </c>
      <c r="H183" t="s">
        <v>535</v>
      </c>
      <c r="I183">
        <v>13</v>
      </c>
      <c r="J183">
        <v>3</v>
      </c>
      <c r="K183">
        <v>1</v>
      </c>
      <c r="L183" t="str">
        <f t="shared" si="2"/>
        <v>OK</v>
      </c>
    </row>
    <row r="184" spans="1:12">
      <c r="A184" t="s">
        <v>541</v>
      </c>
      <c r="B184" t="s">
        <v>136</v>
      </c>
      <c r="C184">
        <v>24</v>
      </c>
      <c r="D184">
        <v>5</v>
      </c>
      <c r="E184">
        <v>3</v>
      </c>
      <c r="F184" t="s">
        <v>170</v>
      </c>
      <c r="G184" t="s">
        <v>542</v>
      </c>
      <c r="H184" t="s">
        <v>535</v>
      </c>
      <c r="I184">
        <v>13</v>
      </c>
      <c r="J184">
        <v>3</v>
      </c>
      <c r="K184">
        <v>1</v>
      </c>
      <c r="L184" t="str">
        <f t="shared" si="2"/>
        <v>OK</v>
      </c>
    </row>
    <row r="185" spans="1:12">
      <c r="A185" t="s">
        <v>543</v>
      </c>
      <c r="B185" t="s">
        <v>136</v>
      </c>
      <c r="C185">
        <v>24</v>
      </c>
      <c r="D185">
        <v>6</v>
      </c>
      <c r="F185" t="s">
        <v>167</v>
      </c>
      <c r="G185" t="s">
        <v>544</v>
      </c>
      <c r="H185" t="s">
        <v>501</v>
      </c>
      <c r="I185">
        <v>13</v>
      </c>
      <c r="J185">
        <v>3</v>
      </c>
      <c r="K185">
        <v>1</v>
      </c>
      <c r="L185" t="str">
        <f t="shared" si="2"/>
        <v>OK</v>
      </c>
    </row>
    <row r="186" spans="1:12">
      <c r="A186" t="s">
        <v>545</v>
      </c>
      <c r="B186" t="s">
        <v>136</v>
      </c>
      <c r="C186">
        <v>24</v>
      </c>
      <c r="D186">
        <v>6</v>
      </c>
      <c r="E186">
        <v>1</v>
      </c>
      <c r="F186" t="s">
        <v>170</v>
      </c>
      <c r="G186" t="s">
        <v>546</v>
      </c>
      <c r="H186" t="s">
        <v>543</v>
      </c>
      <c r="I186">
        <v>13</v>
      </c>
      <c r="J186">
        <v>3</v>
      </c>
      <c r="K186">
        <v>1</v>
      </c>
      <c r="L186" t="str">
        <f t="shared" si="2"/>
        <v>OK</v>
      </c>
    </row>
    <row r="187" spans="1:12">
      <c r="A187" t="s">
        <v>547</v>
      </c>
      <c r="B187" t="s">
        <v>136</v>
      </c>
      <c r="C187">
        <v>24</v>
      </c>
      <c r="D187">
        <v>6</v>
      </c>
      <c r="E187">
        <v>2</v>
      </c>
      <c r="F187" t="s">
        <v>170</v>
      </c>
      <c r="G187" t="s">
        <v>548</v>
      </c>
      <c r="H187" t="s">
        <v>543</v>
      </c>
      <c r="I187">
        <v>13</v>
      </c>
      <c r="J187">
        <v>3</v>
      </c>
      <c r="K187">
        <v>1</v>
      </c>
      <c r="L187" t="str">
        <f t="shared" si="2"/>
        <v>OK</v>
      </c>
    </row>
    <row r="188" spans="1:12">
      <c r="A188" t="s">
        <v>549</v>
      </c>
      <c r="B188" t="s">
        <v>136</v>
      </c>
      <c r="C188">
        <v>24</v>
      </c>
      <c r="D188">
        <v>6</v>
      </c>
      <c r="E188">
        <v>3</v>
      </c>
      <c r="F188" t="s">
        <v>170</v>
      </c>
      <c r="G188" t="s">
        <v>550</v>
      </c>
      <c r="H188" t="s">
        <v>543</v>
      </c>
      <c r="I188">
        <v>13</v>
      </c>
      <c r="J188">
        <v>3</v>
      </c>
      <c r="K188">
        <v>1</v>
      </c>
      <c r="L188" t="str">
        <f t="shared" si="2"/>
        <v>OK</v>
      </c>
    </row>
    <row r="189" spans="1:12">
      <c r="A189" t="s">
        <v>551</v>
      </c>
      <c r="B189" t="s">
        <v>136</v>
      </c>
      <c r="C189">
        <v>24</v>
      </c>
      <c r="D189">
        <v>7</v>
      </c>
      <c r="F189" t="s">
        <v>167</v>
      </c>
      <c r="G189" t="s">
        <v>552</v>
      </c>
      <c r="H189" t="s">
        <v>501</v>
      </c>
      <c r="I189">
        <v>13</v>
      </c>
      <c r="J189">
        <v>3</v>
      </c>
      <c r="K189">
        <v>1</v>
      </c>
      <c r="L189" t="str">
        <f t="shared" si="2"/>
        <v>OK</v>
      </c>
    </row>
    <row r="190" spans="1:12">
      <c r="A190" t="s">
        <v>553</v>
      </c>
      <c r="B190" t="s">
        <v>136</v>
      </c>
      <c r="C190">
        <v>24</v>
      </c>
      <c r="D190">
        <v>7</v>
      </c>
      <c r="E190">
        <v>1</v>
      </c>
      <c r="F190" t="s">
        <v>170</v>
      </c>
      <c r="G190" t="s">
        <v>554</v>
      </c>
      <c r="H190" t="s">
        <v>551</v>
      </c>
      <c r="I190">
        <v>13</v>
      </c>
      <c r="J190">
        <v>3</v>
      </c>
      <c r="K190">
        <v>1</v>
      </c>
      <c r="L190" t="str">
        <f t="shared" si="2"/>
        <v>OK</v>
      </c>
    </row>
    <row r="191" spans="1:12">
      <c r="A191" t="s">
        <v>555</v>
      </c>
      <c r="B191" t="s">
        <v>136</v>
      </c>
      <c r="C191">
        <v>24</v>
      </c>
      <c r="D191">
        <v>7</v>
      </c>
      <c r="E191">
        <v>2</v>
      </c>
      <c r="F191" t="s">
        <v>170</v>
      </c>
      <c r="G191" t="s">
        <v>556</v>
      </c>
      <c r="H191" t="s">
        <v>551</v>
      </c>
      <c r="I191">
        <v>13</v>
      </c>
      <c r="J191">
        <v>3</v>
      </c>
      <c r="K191">
        <v>1</v>
      </c>
      <c r="L191" t="str">
        <f t="shared" si="2"/>
        <v>OK</v>
      </c>
    </row>
    <row r="192" spans="1:12">
      <c r="A192" t="s">
        <v>557</v>
      </c>
      <c r="B192" t="s">
        <v>136</v>
      </c>
      <c r="C192">
        <v>24</v>
      </c>
      <c r="D192">
        <v>7</v>
      </c>
      <c r="E192">
        <v>3</v>
      </c>
      <c r="F192" t="s">
        <v>170</v>
      </c>
      <c r="G192" t="s">
        <v>558</v>
      </c>
      <c r="H192" t="s">
        <v>551</v>
      </c>
      <c r="I192">
        <v>13</v>
      </c>
      <c r="J192">
        <v>3</v>
      </c>
      <c r="K192">
        <v>1</v>
      </c>
      <c r="L192" t="str">
        <f t="shared" si="2"/>
        <v>OK</v>
      </c>
    </row>
    <row r="193" spans="1:12">
      <c r="A193" t="s">
        <v>559</v>
      </c>
      <c r="B193" t="s">
        <v>136</v>
      </c>
      <c r="C193">
        <v>24</v>
      </c>
      <c r="D193">
        <v>8</v>
      </c>
      <c r="F193" t="s">
        <v>167</v>
      </c>
      <c r="G193" t="s">
        <v>560</v>
      </c>
      <c r="H193" t="s">
        <v>501</v>
      </c>
      <c r="I193">
        <v>13</v>
      </c>
      <c r="J193">
        <v>3</v>
      </c>
      <c r="K193">
        <v>1</v>
      </c>
      <c r="L193" t="str">
        <f t="shared" si="2"/>
        <v>OK</v>
      </c>
    </row>
    <row r="194" spans="1:12">
      <c r="A194" t="s">
        <v>561</v>
      </c>
      <c r="B194" t="s">
        <v>136</v>
      </c>
      <c r="C194">
        <v>24</v>
      </c>
      <c r="D194">
        <v>8</v>
      </c>
      <c r="E194">
        <v>1</v>
      </c>
      <c r="F194" t="s">
        <v>170</v>
      </c>
      <c r="G194" t="s">
        <v>562</v>
      </c>
      <c r="H194" t="s">
        <v>559</v>
      </c>
      <c r="I194">
        <v>13</v>
      </c>
      <c r="J194">
        <v>3</v>
      </c>
      <c r="K194">
        <v>1</v>
      </c>
      <c r="L194" t="str">
        <f t="shared" si="2"/>
        <v>OK</v>
      </c>
    </row>
    <row r="195" spans="1:12">
      <c r="A195" t="s">
        <v>563</v>
      </c>
      <c r="B195" t="s">
        <v>136</v>
      </c>
      <c r="C195">
        <v>24</v>
      </c>
      <c r="D195">
        <v>8</v>
      </c>
      <c r="E195">
        <v>2</v>
      </c>
      <c r="F195" t="s">
        <v>170</v>
      </c>
      <c r="G195" t="s">
        <v>564</v>
      </c>
      <c r="H195" t="s">
        <v>559</v>
      </c>
      <c r="I195">
        <v>13</v>
      </c>
      <c r="J195">
        <v>3</v>
      </c>
      <c r="K195">
        <v>1</v>
      </c>
      <c r="L195" t="str">
        <f t="shared" si="2"/>
        <v>OK</v>
      </c>
    </row>
    <row r="196" spans="1:12">
      <c r="A196" t="s">
        <v>565</v>
      </c>
      <c r="B196" t="s">
        <v>136</v>
      </c>
      <c r="C196">
        <v>24</v>
      </c>
      <c r="D196">
        <v>8</v>
      </c>
      <c r="E196">
        <v>3</v>
      </c>
      <c r="F196" t="s">
        <v>170</v>
      </c>
      <c r="G196" t="s">
        <v>566</v>
      </c>
      <c r="H196" t="s">
        <v>559</v>
      </c>
      <c r="I196">
        <v>13</v>
      </c>
      <c r="J196">
        <v>3</v>
      </c>
      <c r="K196">
        <v>1</v>
      </c>
      <c r="L196" t="str">
        <f t="shared" si="2"/>
        <v>OK</v>
      </c>
    </row>
    <row r="197" spans="1:12">
      <c r="A197" t="s">
        <v>567</v>
      </c>
      <c r="B197" t="s">
        <v>136</v>
      </c>
      <c r="C197">
        <v>24</v>
      </c>
      <c r="D197">
        <v>9</v>
      </c>
      <c r="F197" t="s">
        <v>167</v>
      </c>
      <c r="G197" t="s">
        <v>568</v>
      </c>
      <c r="H197" t="s">
        <v>501</v>
      </c>
      <c r="I197">
        <v>13</v>
      </c>
      <c r="J197">
        <v>3</v>
      </c>
      <c r="K197">
        <v>1</v>
      </c>
      <c r="L197" t="str">
        <f t="shared" ref="L197:L260" si="3">IF(OR(F197="Line",AND(F197="Section",D197&gt;=1,D197&lt;=I197,E197=""),AND(F197="Cavity",D197&gt;=1,D197&lt;=I197,E197&gt;=1,E197&lt;=J197)),"OK","CHECK")</f>
        <v>OK</v>
      </c>
    </row>
    <row r="198" spans="1:12">
      <c r="A198" t="s">
        <v>569</v>
      </c>
      <c r="B198" t="s">
        <v>136</v>
      </c>
      <c r="C198">
        <v>24</v>
      </c>
      <c r="D198">
        <v>9</v>
      </c>
      <c r="E198">
        <v>1</v>
      </c>
      <c r="F198" t="s">
        <v>170</v>
      </c>
      <c r="G198" t="s">
        <v>570</v>
      </c>
      <c r="H198" t="s">
        <v>567</v>
      </c>
      <c r="I198">
        <v>13</v>
      </c>
      <c r="J198">
        <v>3</v>
      </c>
      <c r="K198">
        <v>1</v>
      </c>
      <c r="L198" t="str">
        <f t="shared" si="3"/>
        <v>OK</v>
      </c>
    </row>
    <row r="199" spans="1:12">
      <c r="A199" t="s">
        <v>571</v>
      </c>
      <c r="B199" t="s">
        <v>136</v>
      </c>
      <c r="C199">
        <v>24</v>
      </c>
      <c r="D199">
        <v>9</v>
      </c>
      <c r="E199">
        <v>2</v>
      </c>
      <c r="F199" t="s">
        <v>170</v>
      </c>
      <c r="G199" t="s">
        <v>572</v>
      </c>
      <c r="H199" t="s">
        <v>567</v>
      </c>
      <c r="I199">
        <v>13</v>
      </c>
      <c r="J199">
        <v>3</v>
      </c>
      <c r="K199">
        <v>1</v>
      </c>
      <c r="L199" t="str">
        <f t="shared" si="3"/>
        <v>OK</v>
      </c>
    </row>
    <row r="200" spans="1:12">
      <c r="A200" t="s">
        <v>573</v>
      </c>
      <c r="B200" t="s">
        <v>136</v>
      </c>
      <c r="C200">
        <v>24</v>
      </c>
      <c r="D200">
        <v>9</v>
      </c>
      <c r="E200">
        <v>3</v>
      </c>
      <c r="F200" t="s">
        <v>170</v>
      </c>
      <c r="G200" t="s">
        <v>574</v>
      </c>
      <c r="H200" t="s">
        <v>567</v>
      </c>
      <c r="I200">
        <v>13</v>
      </c>
      <c r="J200">
        <v>3</v>
      </c>
      <c r="K200">
        <v>1</v>
      </c>
      <c r="L200" t="str">
        <f t="shared" si="3"/>
        <v>OK</v>
      </c>
    </row>
    <row r="201" spans="1:12">
      <c r="A201" t="s">
        <v>575</v>
      </c>
      <c r="B201" t="s">
        <v>136</v>
      </c>
      <c r="C201">
        <v>24</v>
      </c>
      <c r="D201">
        <v>10</v>
      </c>
      <c r="F201" t="s">
        <v>167</v>
      </c>
      <c r="G201" t="s">
        <v>576</v>
      </c>
      <c r="H201" t="s">
        <v>501</v>
      </c>
      <c r="I201">
        <v>13</v>
      </c>
      <c r="J201">
        <v>3</v>
      </c>
      <c r="K201">
        <v>1</v>
      </c>
      <c r="L201" t="str">
        <f t="shared" si="3"/>
        <v>OK</v>
      </c>
    </row>
    <row r="202" spans="1:12">
      <c r="A202" t="s">
        <v>577</v>
      </c>
      <c r="B202" t="s">
        <v>136</v>
      </c>
      <c r="C202">
        <v>24</v>
      </c>
      <c r="D202">
        <v>10</v>
      </c>
      <c r="E202">
        <v>1</v>
      </c>
      <c r="F202" t="s">
        <v>170</v>
      </c>
      <c r="G202" t="s">
        <v>578</v>
      </c>
      <c r="H202" t="s">
        <v>575</v>
      </c>
      <c r="I202">
        <v>13</v>
      </c>
      <c r="J202">
        <v>3</v>
      </c>
      <c r="K202">
        <v>1</v>
      </c>
      <c r="L202" t="str">
        <f t="shared" si="3"/>
        <v>OK</v>
      </c>
    </row>
    <row r="203" spans="1:12">
      <c r="A203" t="s">
        <v>579</v>
      </c>
      <c r="B203" t="s">
        <v>136</v>
      </c>
      <c r="C203">
        <v>24</v>
      </c>
      <c r="D203">
        <v>10</v>
      </c>
      <c r="E203">
        <v>2</v>
      </c>
      <c r="F203" t="s">
        <v>170</v>
      </c>
      <c r="G203" t="s">
        <v>580</v>
      </c>
      <c r="H203" t="s">
        <v>575</v>
      </c>
      <c r="I203">
        <v>13</v>
      </c>
      <c r="J203">
        <v>3</v>
      </c>
      <c r="K203">
        <v>1</v>
      </c>
      <c r="L203" t="str">
        <f t="shared" si="3"/>
        <v>OK</v>
      </c>
    </row>
    <row r="204" spans="1:12">
      <c r="A204" t="s">
        <v>581</v>
      </c>
      <c r="B204" t="s">
        <v>136</v>
      </c>
      <c r="C204">
        <v>24</v>
      </c>
      <c r="D204">
        <v>10</v>
      </c>
      <c r="E204">
        <v>3</v>
      </c>
      <c r="F204" t="s">
        <v>170</v>
      </c>
      <c r="G204" t="s">
        <v>582</v>
      </c>
      <c r="H204" t="s">
        <v>575</v>
      </c>
      <c r="I204">
        <v>13</v>
      </c>
      <c r="J204">
        <v>3</v>
      </c>
      <c r="K204">
        <v>1</v>
      </c>
      <c r="L204" t="str">
        <f t="shared" si="3"/>
        <v>OK</v>
      </c>
    </row>
    <row r="205" spans="1:12">
      <c r="A205" t="s">
        <v>583</v>
      </c>
      <c r="B205" t="s">
        <v>136</v>
      </c>
      <c r="C205">
        <v>24</v>
      </c>
      <c r="D205">
        <v>11</v>
      </c>
      <c r="F205" t="s">
        <v>167</v>
      </c>
      <c r="G205" t="s">
        <v>584</v>
      </c>
      <c r="H205" t="s">
        <v>501</v>
      </c>
      <c r="I205">
        <v>13</v>
      </c>
      <c r="J205">
        <v>3</v>
      </c>
      <c r="K205">
        <v>1</v>
      </c>
      <c r="L205" t="str">
        <f t="shared" si="3"/>
        <v>OK</v>
      </c>
    </row>
    <row r="206" spans="1:12">
      <c r="A206" t="s">
        <v>585</v>
      </c>
      <c r="B206" t="s">
        <v>136</v>
      </c>
      <c r="C206">
        <v>24</v>
      </c>
      <c r="D206">
        <v>11</v>
      </c>
      <c r="E206">
        <v>1</v>
      </c>
      <c r="F206" t="s">
        <v>170</v>
      </c>
      <c r="G206" t="s">
        <v>586</v>
      </c>
      <c r="H206" t="s">
        <v>583</v>
      </c>
      <c r="I206">
        <v>13</v>
      </c>
      <c r="J206">
        <v>3</v>
      </c>
      <c r="K206">
        <v>1</v>
      </c>
      <c r="L206" t="str">
        <f t="shared" si="3"/>
        <v>OK</v>
      </c>
    </row>
    <row r="207" spans="1:12">
      <c r="A207" t="s">
        <v>587</v>
      </c>
      <c r="B207" t="s">
        <v>136</v>
      </c>
      <c r="C207">
        <v>24</v>
      </c>
      <c r="D207">
        <v>11</v>
      </c>
      <c r="E207">
        <v>2</v>
      </c>
      <c r="F207" t="s">
        <v>170</v>
      </c>
      <c r="G207" t="s">
        <v>588</v>
      </c>
      <c r="H207" t="s">
        <v>583</v>
      </c>
      <c r="I207">
        <v>13</v>
      </c>
      <c r="J207">
        <v>3</v>
      </c>
      <c r="K207">
        <v>1</v>
      </c>
      <c r="L207" t="str">
        <f t="shared" si="3"/>
        <v>OK</v>
      </c>
    </row>
    <row r="208" spans="1:12">
      <c r="A208" t="s">
        <v>589</v>
      </c>
      <c r="B208" t="s">
        <v>136</v>
      </c>
      <c r="C208">
        <v>24</v>
      </c>
      <c r="D208">
        <v>11</v>
      </c>
      <c r="E208">
        <v>3</v>
      </c>
      <c r="F208" t="s">
        <v>170</v>
      </c>
      <c r="G208" t="s">
        <v>590</v>
      </c>
      <c r="H208" t="s">
        <v>583</v>
      </c>
      <c r="I208">
        <v>13</v>
      </c>
      <c r="J208">
        <v>3</v>
      </c>
      <c r="K208">
        <v>1</v>
      </c>
      <c r="L208" t="str">
        <f t="shared" si="3"/>
        <v>OK</v>
      </c>
    </row>
    <row r="209" spans="1:12">
      <c r="A209" t="s">
        <v>591</v>
      </c>
      <c r="B209" t="s">
        <v>136</v>
      </c>
      <c r="C209">
        <v>24</v>
      </c>
      <c r="D209">
        <v>12</v>
      </c>
      <c r="F209" t="s">
        <v>167</v>
      </c>
      <c r="G209" t="s">
        <v>592</v>
      </c>
      <c r="H209" t="s">
        <v>501</v>
      </c>
      <c r="I209">
        <v>13</v>
      </c>
      <c r="J209">
        <v>3</v>
      </c>
      <c r="K209">
        <v>1</v>
      </c>
      <c r="L209" t="str">
        <f t="shared" si="3"/>
        <v>OK</v>
      </c>
    </row>
    <row r="210" spans="1:12">
      <c r="A210" t="s">
        <v>593</v>
      </c>
      <c r="B210" t="s">
        <v>136</v>
      </c>
      <c r="C210">
        <v>24</v>
      </c>
      <c r="D210">
        <v>12</v>
      </c>
      <c r="E210">
        <v>1</v>
      </c>
      <c r="F210" t="s">
        <v>170</v>
      </c>
      <c r="G210" t="s">
        <v>594</v>
      </c>
      <c r="H210" t="s">
        <v>591</v>
      </c>
      <c r="I210">
        <v>13</v>
      </c>
      <c r="J210">
        <v>3</v>
      </c>
      <c r="K210">
        <v>1</v>
      </c>
      <c r="L210" t="str">
        <f t="shared" si="3"/>
        <v>OK</v>
      </c>
    </row>
    <row r="211" spans="1:12">
      <c r="A211" t="s">
        <v>595</v>
      </c>
      <c r="B211" t="s">
        <v>136</v>
      </c>
      <c r="C211">
        <v>24</v>
      </c>
      <c r="D211">
        <v>12</v>
      </c>
      <c r="E211">
        <v>2</v>
      </c>
      <c r="F211" t="s">
        <v>170</v>
      </c>
      <c r="G211" t="s">
        <v>596</v>
      </c>
      <c r="H211" t="s">
        <v>591</v>
      </c>
      <c r="I211">
        <v>13</v>
      </c>
      <c r="J211">
        <v>3</v>
      </c>
      <c r="K211">
        <v>1</v>
      </c>
      <c r="L211" t="str">
        <f t="shared" si="3"/>
        <v>OK</v>
      </c>
    </row>
    <row r="212" spans="1:12">
      <c r="A212" t="s">
        <v>597</v>
      </c>
      <c r="B212" t="s">
        <v>136</v>
      </c>
      <c r="C212">
        <v>24</v>
      </c>
      <c r="D212">
        <v>12</v>
      </c>
      <c r="E212">
        <v>3</v>
      </c>
      <c r="F212" t="s">
        <v>170</v>
      </c>
      <c r="G212" t="s">
        <v>598</v>
      </c>
      <c r="H212" t="s">
        <v>591</v>
      </c>
      <c r="I212">
        <v>13</v>
      </c>
      <c r="J212">
        <v>3</v>
      </c>
      <c r="K212">
        <v>1</v>
      </c>
      <c r="L212" t="str">
        <f t="shared" si="3"/>
        <v>OK</v>
      </c>
    </row>
    <row r="213" spans="1:12">
      <c r="A213" t="s">
        <v>599</v>
      </c>
      <c r="B213" t="s">
        <v>136</v>
      </c>
      <c r="C213">
        <v>24</v>
      </c>
      <c r="D213">
        <v>13</v>
      </c>
      <c r="F213" t="s">
        <v>167</v>
      </c>
      <c r="G213" t="s">
        <v>600</v>
      </c>
      <c r="H213" t="s">
        <v>501</v>
      </c>
      <c r="I213">
        <v>13</v>
      </c>
      <c r="J213">
        <v>3</v>
      </c>
      <c r="K213">
        <v>1</v>
      </c>
      <c r="L213" t="str">
        <f t="shared" si="3"/>
        <v>OK</v>
      </c>
    </row>
    <row r="214" spans="1:12">
      <c r="A214" t="s">
        <v>601</v>
      </c>
      <c r="B214" t="s">
        <v>136</v>
      </c>
      <c r="C214">
        <v>24</v>
      </c>
      <c r="D214">
        <v>13</v>
      </c>
      <c r="E214">
        <v>1</v>
      </c>
      <c r="F214" t="s">
        <v>170</v>
      </c>
      <c r="G214" t="s">
        <v>602</v>
      </c>
      <c r="H214" t="s">
        <v>599</v>
      </c>
      <c r="I214">
        <v>13</v>
      </c>
      <c r="J214">
        <v>3</v>
      </c>
      <c r="K214">
        <v>1</v>
      </c>
      <c r="L214" t="str">
        <f t="shared" si="3"/>
        <v>OK</v>
      </c>
    </row>
    <row r="215" spans="1:12">
      <c r="A215" t="s">
        <v>603</v>
      </c>
      <c r="B215" t="s">
        <v>136</v>
      </c>
      <c r="C215">
        <v>24</v>
      </c>
      <c r="D215">
        <v>13</v>
      </c>
      <c r="E215">
        <v>2</v>
      </c>
      <c r="F215" t="s">
        <v>170</v>
      </c>
      <c r="G215" t="s">
        <v>604</v>
      </c>
      <c r="H215" t="s">
        <v>599</v>
      </c>
      <c r="I215">
        <v>13</v>
      </c>
      <c r="J215">
        <v>3</v>
      </c>
      <c r="K215">
        <v>1</v>
      </c>
      <c r="L215" t="str">
        <f t="shared" si="3"/>
        <v>OK</v>
      </c>
    </row>
    <row r="216" spans="1:12">
      <c r="A216" t="s">
        <v>605</v>
      </c>
      <c r="B216" t="s">
        <v>136</v>
      </c>
      <c r="C216">
        <v>24</v>
      </c>
      <c r="D216">
        <v>13</v>
      </c>
      <c r="E216">
        <v>3</v>
      </c>
      <c r="F216" t="s">
        <v>170</v>
      </c>
      <c r="G216" t="s">
        <v>606</v>
      </c>
      <c r="H216" t="s">
        <v>599</v>
      </c>
      <c r="I216">
        <v>13</v>
      </c>
      <c r="J216">
        <v>3</v>
      </c>
      <c r="K216">
        <v>1</v>
      </c>
      <c r="L216" t="str">
        <f t="shared" si="3"/>
        <v>OK</v>
      </c>
    </row>
    <row r="217" spans="1:12">
      <c r="A217" t="s">
        <v>607</v>
      </c>
      <c r="B217" t="s">
        <v>136</v>
      </c>
      <c r="C217">
        <v>25</v>
      </c>
      <c r="F217" t="s">
        <v>164</v>
      </c>
      <c r="G217" t="s">
        <v>608</v>
      </c>
      <c r="I217">
        <v>13</v>
      </c>
      <c r="J217">
        <v>3</v>
      </c>
      <c r="K217">
        <v>1</v>
      </c>
      <c r="L217" t="str">
        <f t="shared" si="3"/>
        <v>OK</v>
      </c>
    </row>
    <row r="218" spans="1:12">
      <c r="A218" t="s">
        <v>609</v>
      </c>
      <c r="B218" t="s">
        <v>136</v>
      </c>
      <c r="C218">
        <v>25</v>
      </c>
      <c r="D218">
        <v>1</v>
      </c>
      <c r="F218" t="s">
        <v>167</v>
      </c>
      <c r="G218" t="s">
        <v>610</v>
      </c>
      <c r="H218" t="s">
        <v>607</v>
      </c>
      <c r="I218">
        <v>13</v>
      </c>
      <c r="J218">
        <v>3</v>
      </c>
      <c r="K218">
        <v>1</v>
      </c>
      <c r="L218" t="str">
        <f t="shared" si="3"/>
        <v>OK</v>
      </c>
    </row>
    <row r="219" spans="1:12">
      <c r="A219" t="s">
        <v>611</v>
      </c>
      <c r="B219" t="s">
        <v>136</v>
      </c>
      <c r="C219">
        <v>25</v>
      </c>
      <c r="D219">
        <v>1</v>
      </c>
      <c r="E219">
        <v>1</v>
      </c>
      <c r="F219" t="s">
        <v>170</v>
      </c>
      <c r="G219" t="s">
        <v>612</v>
      </c>
      <c r="H219" t="s">
        <v>609</v>
      </c>
      <c r="I219">
        <v>13</v>
      </c>
      <c r="J219">
        <v>3</v>
      </c>
      <c r="K219">
        <v>1</v>
      </c>
      <c r="L219" t="str">
        <f t="shared" si="3"/>
        <v>OK</v>
      </c>
    </row>
    <row r="220" spans="1:12">
      <c r="A220" t="s">
        <v>613</v>
      </c>
      <c r="B220" t="s">
        <v>136</v>
      </c>
      <c r="C220">
        <v>25</v>
      </c>
      <c r="D220">
        <v>1</v>
      </c>
      <c r="E220">
        <v>2</v>
      </c>
      <c r="F220" t="s">
        <v>170</v>
      </c>
      <c r="G220" t="s">
        <v>614</v>
      </c>
      <c r="H220" t="s">
        <v>609</v>
      </c>
      <c r="I220">
        <v>13</v>
      </c>
      <c r="J220">
        <v>3</v>
      </c>
      <c r="K220">
        <v>1</v>
      </c>
      <c r="L220" t="str">
        <f t="shared" si="3"/>
        <v>OK</v>
      </c>
    </row>
    <row r="221" spans="1:12">
      <c r="A221" t="s">
        <v>615</v>
      </c>
      <c r="B221" t="s">
        <v>136</v>
      </c>
      <c r="C221">
        <v>25</v>
      </c>
      <c r="D221">
        <v>1</v>
      </c>
      <c r="E221">
        <v>3</v>
      </c>
      <c r="F221" t="s">
        <v>170</v>
      </c>
      <c r="G221" t="s">
        <v>616</v>
      </c>
      <c r="H221" t="s">
        <v>609</v>
      </c>
      <c r="I221">
        <v>13</v>
      </c>
      <c r="J221">
        <v>3</v>
      </c>
      <c r="K221">
        <v>1</v>
      </c>
      <c r="L221" t="str">
        <f t="shared" si="3"/>
        <v>OK</v>
      </c>
    </row>
    <row r="222" spans="1:12">
      <c r="A222" t="s">
        <v>617</v>
      </c>
      <c r="B222" t="s">
        <v>136</v>
      </c>
      <c r="C222">
        <v>25</v>
      </c>
      <c r="D222">
        <v>2</v>
      </c>
      <c r="F222" t="s">
        <v>167</v>
      </c>
      <c r="G222" t="s">
        <v>618</v>
      </c>
      <c r="H222" t="s">
        <v>607</v>
      </c>
      <c r="I222">
        <v>13</v>
      </c>
      <c r="J222">
        <v>3</v>
      </c>
      <c r="K222">
        <v>1</v>
      </c>
      <c r="L222" t="str">
        <f t="shared" si="3"/>
        <v>OK</v>
      </c>
    </row>
    <row r="223" spans="1:12">
      <c r="A223" t="s">
        <v>619</v>
      </c>
      <c r="B223" t="s">
        <v>136</v>
      </c>
      <c r="C223">
        <v>25</v>
      </c>
      <c r="D223">
        <v>2</v>
      </c>
      <c r="E223">
        <v>1</v>
      </c>
      <c r="F223" t="s">
        <v>170</v>
      </c>
      <c r="G223" t="s">
        <v>620</v>
      </c>
      <c r="H223" t="s">
        <v>617</v>
      </c>
      <c r="I223">
        <v>13</v>
      </c>
      <c r="J223">
        <v>3</v>
      </c>
      <c r="K223">
        <v>1</v>
      </c>
      <c r="L223" t="str">
        <f t="shared" si="3"/>
        <v>OK</v>
      </c>
    </row>
    <row r="224" spans="1:12">
      <c r="A224" t="s">
        <v>621</v>
      </c>
      <c r="B224" t="s">
        <v>136</v>
      </c>
      <c r="C224">
        <v>25</v>
      </c>
      <c r="D224">
        <v>2</v>
      </c>
      <c r="E224">
        <v>2</v>
      </c>
      <c r="F224" t="s">
        <v>170</v>
      </c>
      <c r="G224" t="s">
        <v>622</v>
      </c>
      <c r="H224" t="s">
        <v>617</v>
      </c>
      <c r="I224">
        <v>13</v>
      </c>
      <c r="J224">
        <v>3</v>
      </c>
      <c r="K224">
        <v>1</v>
      </c>
      <c r="L224" t="str">
        <f t="shared" si="3"/>
        <v>OK</v>
      </c>
    </row>
    <row r="225" spans="1:12">
      <c r="A225" t="s">
        <v>623</v>
      </c>
      <c r="B225" t="s">
        <v>136</v>
      </c>
      <c r="C225">
        <v>25</v>
      </c>
      <c r="D225">
        <v>2</v>
      </c>
      <c r="E225">
        <v>3</v>
      </c>
      <c r="F225" t="s">
        <v>170</v>
      </c>
      <c r="G225" t="s">
        <v>624</v>
      </c>
      <c r="H225" t="s">
        <v>617</v>
      </c>
      <c r="I225">
        <v>13</v>
      </c>
      <c r="J225">
        <v>3</v>
      </c>
      <c r="K225">
        <v>1</v>
      </c>
      <c r="L225" t="str">
        <f t="shared" si="3"/>
        <v>OK</v>
      </c>
    </row>
    <row r="226" spans="1:12">
      <c r="A226" t="s">
        <v>625</v>
      </c>
      <c r="B226" t="s">
        <v>136</v>
      </c>
      <c r="C226">
        <v>25</v>
      </c>
      <c r="D226">
        <v>3</v>
      </c>
      <c r="F226" t="s">
        <v>167</v>
      </c>
      <c r="G226" t="s">
        <v>626</v>
      </c>
      <c r="H226" t="s">
        <v>607</v>
      </c>
      <c r="I226">
        <v>13</v>
      </c>
      <c r="J226">
        <v>3</v>
      </c>
      <c r="K226">
        <v>1</v>
      </c>
      <c r="L226" t="str">
        <f t="shared" si="3"/>
        <v>OK</v>
      </c>
    </row>
    <row r="227" spans="1:12">
      <c r="A227" t="s">
        <v>627</v>
      </c>
      <c r="B227" t="s">
        <v>136</v>
      </c>
      <c r="C227">
        <v>25</v>
      </c>
      <c r="D227">
        <v>3</v>
      </c>
      <c r="E227">
        <v>1</v>
      </c>
      <c r="F227" t="s">
        <v>170</v>
      </c>
      <c r="G227" t="s">
        <v>628</v>
      </c>
      <c r="H227" t="s">
        <v>625</v>
      </c>
      <c r="I227">
        <v>13</v>
      </c>
      <c r="J227">
        <v>3</v>
      </c>
      <c r="K227">
        <v>1</v>
      </c>
      <c r="L227" t="str">
        <f t="shared" si="3"/>
        <v>OK</v>
      </c>
    </row>
    <row r="228" spans="1:12">
      <c r="A228" t="s">
        <v>629</v>
      </c>
      <c r="B228" t="s">
        <v>136</v>
      </c>
      <c r="C228">
        <v>25</v>
      </c>
      <c r="D228">
        <v>3</v>
      </c>
      <c r="E228">
        <v>2</v>
      </c>
      <c r="F228" t="s">
        <v>170</v>
      </c>
      <c r="G228" t="s">
        <v>630</v>
      </c>
      <c r="H228" t="s">
        <v>625</v>
      </c>
      <c r="I228">
        <v>13</v>
      </c>
      <c r="J228">
        <v>3</v>
      </c>
      <c r="K228">
        <v>1</v>
      </c>
      <c r="L228" t="str">
        <f t="shared" si="3"/>
        <v>OK</v>
      </c>
    </row>
    <row r="229" spans="1:12">
      <c r="A229" t="s">
        <v>631</v>
      </c>
      <c r="B229" t="s">
        <v>136</v>
      </c>
      <c r="C229">
        <v>25</v>
      </c>
      <c r="D229">
        <v>3</v>
      </c>
      <c r="E229">
        <v>3</v>
      </c>
      <c r="F229" t="s">
        <v>170</v>
      </c>
      <c r="G229" t="s">
        <v>632</v>
      </c>
      <c r="H229" t="s">
        <v>625</v>
      </c>
      <c r="I229">
        <v>13</v>
      </c>
      <c r="J229">
        <v>3</v>
      </c>
      <c r="K229">
        <v>1</v>
      </c>
      <c r="L229" t="str">
        <f t="shared" si="3"/>
        <v>OK</v>
      </c>
    </row>
    <row r="230" spans="1:12">
      <c r="A230" t="s">
        <v>633</v>
      </c>
      <c r="B230" t="s">
        <v>136</v>
      </c>
      <c r="C230">
        <v>25</v>
      </c>
      <c r="D230">
        <v>4</v>
      </c>
      <c r="F230" t="s">
        <v>167</v>
      </c>
      <c r="G230" t="s">
        <v>634</v>
      </c>
      <c r="H230" t="s">
        <v>607</v>
      </c>
      <c r="I230">
        <v>13</v>
      </c>
      <c r="J230">
        <v>3</v>
      </c>
      <c r="K230">
        <v>1</v>
      </c>
      <c r="L230" t="str">
        <f t="shared" si="3"/>
        <v>OK</v>
      </c>
    </row>
    <row r="231" spans="1:12">
      <c r="A231" t="s">
        <v>635</v>
      </c>
      <c r="B231" t="s">
        <v>136</v>
      </c>
      <c r="C231">
        <v>25</v>
      </c>
      <c r="D231">
        <v>4</v>
      </c>
      <c r="E231">
        <v>1</v>
      </c>
      <c r="F231" t="s">
        <v>170</v>
      </c>
      <c r="G231" t="s">
        <v>636</v>
      </c>
      <c r="H231" t="s">
        <v>633</v>
      </c>
      <c r="I231">
        <v>13</v>
      </c>
      <c r="J231">
        <v>3</v>
      </c>
      <c r="K231">
        <v>1</v>
      </c>
      <c r="L231" t="str">
        <f t="shared" si="3"/>
        <v>OK</v>
      </c>
    </row>
    <row r="232" spans="1:12">
      <c r="A232" t="s">
        <v>637</v>
      </c>
      <c r="B232" t="s">
        <v>136</v>
      </c>
      <c r="C232">
        <v>25</v>
      </c>
      <c r="D232">
        <v>4</v>
      </c>
      <c r="E232">
        <v>2</v>
      </c>
      <c r="F232" t="s">
        <v>170</v>
      </c>
      <c r="G232" t="s">
        <v>638</v>
      </c>
      <c r="H232" t="s">
        <v>633</v>
      </c>
      <c r="I232">
        <v>13</v>
      </c>
      <c r="J232">
        <v>3</v>
      </c>
      <c r="K232">
        <v>1</v>
      </c>
      <c r="L232" t="str">
        <f t="shared" si="3"/>
        <v>OK</v>
      </c>
    </row>
    <row r="233" spans="1:12">
      <c r="A233" t="s">
        <v>639</v>
      </c>
      <c r="B233" t="s">
        <v>136</v>
      </c>
      <c r="C233">
        <v>25</v>
      </c>
      <c r="D233">
        <v>4</v>
      </c>
      <c r="E233">
        <v>3</v>
      </c>
      <c r="F233" t="s">
        <v>170</v>
      </c>
      <c r="G233" t="s">
        <v>640</v>
      </c>
      <c r="H233" t="s">
        <v>633</v>
      </c>
      <c r="I233">
        <v>13</v>
      </c>
      <c r="J233">
        <v>3</v>
      </c>
      <c r="K233">
        <v>1</v>
      </c>
      <c r="L233" t="str">
        <f t="shared" si="3"/>
        <v>OK</v>
      </c>
    </row>
    <row r="234" spans="1:12">
      <c r="A234" t="s">
        <v>641</v>
      </c>
      <c r="B234" t="s">
        <v>136</v>
      </c>
      <c r="C234">
        <v>25</v>
      </c>
      <c r="D234">
        <v>5</v>
      </c>
      <c r="F234" t="s">
        <v>167</v>
      </c>
      <c r="G234" t="s">
        <v>642</v>
      </c>
      <c r="H234" t="s">
        <v>607</v>
      </c>
      <c r="I234">
        <v>13</v>
      </c>
      <c r="J234">
        <v>3</v>
      </c>
      <c r="K234">
        <v>1</v>
      </c>
      <c r="L234" t="str">
        <f t="shared" si="3"/>
        <v>OK</v>
      </c>
    </row>
    <row r="235" spans="1:12">
      <c r="A235" t="s">
        <v>643</v>
      </c>
      <c r="B235" t="s">
        <v>136</v>
      </c>
      <c r="C235">
        <v>25</v>
      </c>
      <c r="D235">
        <v>5</v>
      </c>
      <c r="E235">
        <v>1</v>
      </c>
      <c r="F235" t="s">
        <v>170</v>
      </c>
      <c r="G235" t="s">
        <v>644</v>
      </c>
      <c r="H235" t="s">
        <v>641</v>
      </c>
      <c r="I235">
        <v>13</v>
      </c>
      <c r="J235">
        <v>3</v>
      </c>
      <c r="K235">
        <v>1</v>
      </c>
      <c r="L235" t="str">
        <f t="shared" si="3"/>
        <v>OK</v>
      </c>
    </row>
    <row r="236" spans="1:12">
      <c r="A236" t="s">
        <v>645</v>
      </c>
      <c r="B236" t="s">
        <v>136</v>
      </c>
      <c r="C236">
        <v>25</v>
      </c>
      <c r="D236">
        <v>5</v>
      </c>
      <c r="E236">
        <v>2</v>
      </c>
      <c r="F236" t="s">
        <v>170</v>
      </c>
      <c r="G236" t="s">
        <v>646</v>
      </c>
      <c r="H236" t="s">
        <v>641</v>
      </c>
      <c r="I236">
        <v>13</v>
      </c>
      <c r="J236">
        <v>3</v>
      </c>
      <c r="K236">
        <v>1</v>
      </c>
      <c r="L236" t="str">
        <f t="shared" si="3"/>
        <v>OK</v>
      </c>
    </row>
    <row r="237" spans="1:12">
      <c r="A237" t="s">
        <v>647</v>
      </c>
      <c r="B237" t="s">
        <v>136</v>
      </c>
      <c r="C237">
        <v>25</v>
      </c>
      <c r="D237">
        <v>5</v>
      </c>
      <c r="E237">
        <v>3</v>
      </c>
      <c r="F237" t="s">
        <v>170</v>
      </c>
      <c r="G237" t="s">
        <v>648</v>
      </c>
      <c r="H237" t="s">
        <v>641</v>
      </c>
      <c r="I237">
        <v>13</v>
      </c>
      <c r="J237">
        <v>3</v>
      </c>
      <c r="K237">
        <v>1</v>
      </c>
      <c r="L237" t="str">
        <f t="shared" si="3"/>
        <v>OK</v>
      </c>
    </row>
    <row r="238" spans="1:12">
      <c r="A238" t="s">
        <v>649</v>
      </c>
      <c r="B238" t="s">
        <v>136</v>
      </c>
      <c r="C238">
        <v>25</v>
      </c>
      <c r="D238">
        <v>6</v>
      </c>
      <c r="F238" t="s">
        <v>167</v>
      </c>
      <c r="G238" t="s">
        <v>650</v>
      </c>
      <c r="H238" t="s">
        <v>607</v>
      </c>
      <c r="I238">
        <v>13</v>
      </c>
      <c r="J238">
        <v>3</v>
      </c>
      <c r="K238">
        <v>1</v>
      </c>
      <c r="L238" t="str">
        <f t="shared" si="3"/>
        <v>OK</v>
      </c>
    </row>
    <row r="239" spans="1:12">
      <c r="A239" t="s">
        <v>651</v>
      </c>
      <c r="B239" t="s">
        <v>136</v>
      </c>
      <c r="C239">
        <v>25</v>
      </c>
      <c r="D239">
        <v>6</v>
      </c>
      <c r="E239">
        <v>1</v>
      </c>
      <c r="F239" t="s">
        <v>170</v>
      </c>
      <c r="G239" t="s">
        <v>652</v>
      </c>
      <c r="H239" t="s">
        <v>649</v>
      </c>
      <c r="I239">
        <v>13</v>
      </c>
      <c r="J239">
        <v>3</v>
      </c>
      <c r="K239">
        <v>1</v>
      </c>
      <c r="L239" t="str">
        <f t="shared" si="3"/>
        <v>OK</v>
      </c>
    </row>
    <row r="240" spans="1:12">
      <c r="A240" t="s">
        <v>653</v>
      </c>
      <c r="B240" t="s">
        <v>136</v>
      </c>
      <c r="C240">
        <v>25</v>
      </c>
      <c r="D240">
        <v>6</v>
      </c>
      <c r="E240">
        <v>2</v>
      </c>
      <c r="F240" t="s">
        <v>170</v>
      </c>
      <c r="G240" t="s">
        <v>654</v>
      </c>
      <c r="H240" t="s">
        <v>649</v>
      </c>
      <c r="I240">
        <v>13</v>
      </c>
      <c r="J240">
        <v>3</v>
      </c>
      <c r="K240">
        <v>1</v>
      </c>
      <c r="L240" t="str">
        <f t="shared" si="3"/>
        <v>OK</v>
      </c>
    </row>
    <row r="241" spans="1:12">
      <c r="A241" t="s">
        <v>655</v>
      </c>
      <c r="B241" t="s">
        <v>136</v>
      </c>
      <c r="C241">
        <v>25</v>
      </c>
      <c r="D241">
        <v>6</v>
      </c>
      <c r="E241">
        <v>3</v>
      </c>
      <c r="F241" t="s">
        <v>170</v>
      </c>
      <c r="G241" t="s">
        <v>656</v>
      </c>
      <c r="H241" t="s">
        <v>649</v>
      </c>
      <c r="I241">
        <v>13</v>
      </c>
      <c r="J241">
        <v>3</v>
      </c>
      <c r="K241">
        <v>1</v>
      </c>
      <c r="L241" t="str">
        <f t="shared" si="3"/>
        <v>OK</v>
      </c>
    </row>
    <row r="242" spans="1:12">
      <c r="A242" t="s">
        <v>657</v>
      </c>
      <c r="B242" t="s">
        <v>136</v>
      </c>
      <c r="C242">
        <v>25</v>
      </c>
      <c r="D242">
        <v>7</v>
      </c>
      <c r="F242" t="s">
        <v>167</v>
      </c>
      <c r="G242" t="s">
        <v>658</v>
      </c>
      <c r="H242" t="s">
        <v>607</v>
      </c>
      <c r="I242">
        <v>13</v>
      </c>
      <c r="J242">
        <v>3</v>
      </c>
      <c r="K242">
        <v>1</v>
      </c>
      <c r="L242" t="str">
        <f t="shared" si="3"/>
        <v>OK</v>
      </c>
    </row>
    <row r="243" spans="1:12">
      <c r="A243" t="s">
        <v>659</v>
      </c>
      <c r="B243" t="s">
        <v>136</v>
      </c>
      <c r="C243">
        <v>25</v>
      </c>
      <c r="D243">
        <v>7</v>
      </c>
      <c r="E243">
        <v>1</v>
      </c>
      <c r="F243" t="s">
        <v>170</v>
      </c>
      <c r="G243" t="s">
        <v>660</v>
      </c>
      <c r="H243" t="s">
        <v>657</v>
      </c>
      <c r="I243">
        <v>13</v>
      </c>
      <c r="J243">
        <v>3</v>
      </c>
      <c r="K243">
        <v>1</v>
      </c>
      <c r="L243" t="str">
        <f t="shared" si="3"/>
        <v>OK</v>
      </c>
    </row>
    <row r="244" spans="1:12">
      <c r="A244" t="s">
        <v>661</v>
      </c>
      <c r="B244" t="s">
        <v>136</v>
      </c>
      <c r="C244">
        <v>25</v>
      </c>
      <c r="D244">
        <v>7</v>
      </c>
      <c r="E244">
        <v>2</v>
      </c>
      <c r="F244" t="s">
        <v>170</v>
      </c>
      <c r="G244" t="s">
        <v>662</v>
      </c>
      <c r="H244" t="s">
        <v>657</v>
      </c>
      <c r="I244">
        <v>13</v>
      </c>
      <c r="J244">
        <v>3</v>
      </c>
      <c r="K244">
        <v>1</v>
      </c>
      <c r="L244" t="str">
        <f t="shared" si="3"/>
        <v>OK</v>
      </c>
    </row>
    <row r="245" spans="1:12">
      <c r="A245" t="s">
        <v>663</v>
      </c>
      <c r="B245" t="s">
        <v>136</v>
      </c>
      <c r="C245">
        <v>25</v>
      </c>
      <c r="D245">
        <v>7</v>
      </c>
      <c r="E245">
        <v>3</v>
      </c>
      <c r="F245" t="s">
        <v>170</v>
      </c>
      <c r="G245" t="s">
        <v>664</v>
      </c>
      <c r="H245" t="s">
        <v>657</v>
      </c>
      <c r="I245">
        <v>13</v>
      </c>
      <c r="J245">
        <v>3</v>
      </c>
      <c r="K245">
        <v>1</v>
      </c>
      <c r="L245" t="str">
        <f t="shared" si="3"/>
        <v>OK</v>
      </c>
    </row>
    <row r="246" spans="1:12">
      <c r="A246" t="s">
        <v>665</v>
      </c>
      <c r="B246" t="s">
        <v>136</v>
      </c>
      <c r="C246">
        <v>25</v>
      </c>
      <c r="D246">
        <v>8</v>
      </c>
      <c r="F246" t="s">
        <v>167</v>
      </c>
      <c r="G246" t="s">
        <v>666</v>
      </c>
      <c r="H246" t="s">
        <v>607</v>
      </c>
      <c r="I246">
        <v>13</v>
      </c>
      <c r="J246">
        <v>3</v>
      </c>
      <c r="K246">
        <v>1</v>
      </c>
      <c r="L246" t="str">
        <f t="shared" si="3"/>
        <v>OK</v>
      </c>
    </row>
    <row r="247" spans="1:12">
      <c r="A247" t="s">
        <v>667</v>
      </c>
      <c r="B247" t="s">
        <v>136</v>
      </c>
      <c r="C247">
        <v>25</v>
      </c>
      <c r="D247">
        <v>8</v>
      </c>
      <c r="E247">
        <v>1</v>
      </c>
      <c r="F247" t="s">
        <v>170</v>
      </c>
      <c r="G247" t="s">
        <v>668</v>
      </c>
      <c r="H247" t="s">
        <v>665</v>
      </c>
      <c r="I247">
        <v>13</v>
      </c>
      <c r="J247">
        <v>3</v>
      </c>
      <c r="K247">
        <v>1</v>
      </c>
      <c r="L247" t="str">
        <f t="shared" si="3"/>
        <v>OK</v>
      </c>
    </row>
    <row r="248" spans="1:12">
      <c r="A248" t="s">
        <v>669</v>
      </c>
      <c r="B248" t="s">
        <v>136</v>
      </c>
      <c r="C248">
        <v>25</v>
      </c>
      <c r="D248">
        <v>8</v>
      </c>
      <c r="E248">
        <v>2</v>
      </c>
      <c r="F248" t="s">
        <v>170</v>
      </c>
      <c r="G248" t="s">
        <v>670</v>
      </c>
      <c r="H248" t="s">
        <v>665</v>
      </c>
      <c r="I248">
        <v>13</v>
      </c>
      <c r="J248">
        <v>3</v>
      </c>
      <c r="K248">
        <v>1</v>
      </c>
      <c r="L248" t="str">
        <f t="shared" si="3"/>
        <v>OK</v>
      </c>
    </row>
    <row r="249" spans="1:12">
      <c r="A249" t="s">
        <v>671</v>
      </c>
      <c r="B249" t="s">
        <v>136</v>
      </c>
      <c r="C249">
        <v>25</v>
      </c>
      <c r="D249">
        <v>8</v>
      </c>
      <c r="E249">
        <v>3</v>
      </c>
      <c r="F249" t="s">
        <v>170</v>
      </c>
      <c r="G249" t="s">
        <v>672</v>
      </c>
      <c r="H249" t="s">
        <v>665</v>
      </c>
      <c r="I249">
        <v>13</v>
      </c>
      <c r="J249">
        <v>3</v>
      </c>
      <c r="K249">
        <v>1</v>
      </c>
      <c r="L249" t="str">
        <f t="shared" si="3"/>
        <v>OK</v>
      </c>
    </row>
    <row r="250" spans="1:12">
      <c r="A250" t="s">
        <v>673</v>
      </c>
      <c r="B250" t="s">
        <v>136</v>
      </c>
      <c r="C250">
        <v>25</v>
      </c>
      <c r="D250">
        <v>9</v>
      </c>
      <c r="F250" t="s">
        <v>167</v>
      </c>
      <c r="G250" t="s">
        <v>674</v>
      </c>
      <c r="H250" t="s">
        <v>607</v>
      </c>
      <c r="I250">
        <v>13</v>
      </c>
      <c r="J250">
        <v>3</v>
      </c>
      <c r="K250">
        <v>1</v>
      </c>
      <c r="L250" t="str">
        <f t="shared" si="3"/>
        <v>OK</v>
      </c>
    </row>
    <row r="251" spans="1:12">
      <c r="A251" t="s">
        <v>675</v>
      </c>
      <c r="B251" t="s">
        <v>136</v>
      </c>
      <c r="C251">
        <v>25</v>
      </c>
      <c r="D251">
        <v>9</v>
      </c>
      <c r="E251">
        <v>1</v>
      </c>
      <c r="F251" t="s">
        <v>170</v>
      </c>
      <c r="G251" t="s">
        <v>676</v>
      </c>
      <c r="H251" t="s">
        <v>673</v>
      </c>
      <c r="I251">
        <v>13</v>
      </c>
      <c r="J251">
        <v>3</v>
      </c>
      <c r="K251">
        <v>1</v>
      </c>
      <c r="L251" t="str">
        <f t="shared" si="3"/>
        <v>OK</v>
      </c>
    </row>
    <row r="252" spans="1:12">
      <c r="A252" t="s">
        <v>677</v>
      </c>
      <c r="B252" t="s">
        <v>136</v>
      </c>
      <c r="C252">
        <v>25</v>
      </c>
      <c r="D252">
        <v>9</v>
      </c>
      <c r="E252">
        <v>2</v>
      </c>
      <c r="F252" t="s">
        <v>170</v>
      </c>
      <c r="G252" t="s">
        <v>678</v>
      </c>
      <c r="H252" t="s">
        <v>673</v>
      </c>
      <c r="I252">
        <v>13</v>
      </c>
      <c r="J252">
        <v>3</v>
      </c>
      <c r="K252">
        <v>1</v>
      </c>
      <c r="L252" t="str">
        <f t="shared" si="3"/>
        <v>OK</v>
      </c>
    </row>
    <row r="253" spans="1:12">
      <c r="A253" t="s">
        <v>679</v>
      </c>
      <c r="B253" t="s">
        <v>136</v>
      </c>
      <c r="C253">
        <v>25</v>
      </c>
      <c r="D253">
        <v>9</v>
      </c>
      <c r="E253">
        <v>3</v>
      </c>
      <c r="F253" t="s">
        <v>170</v>
      </c>
      <c r="G253" t="s">
        <v>680</v>
      </c>
      <c r="H253" t="s">
        <v>673</v>
      </c>
      <c r="I253">
        <v>13</v>
      </c>
      <c r="J253">
        <v>3</v>
      </c>
      <c r="K253">
        <v>1</v>
      </c>
      <c r="L253" t="str">
        <f t="shared" si="3"/>
        <v>OK</v>
      </c>
    </row>
    <row r="254" spans="1:12">
      <c r="A254" t="s">
        <v>681</v>
      </c>
      <c r="B254" t="s">
        <v>136</v>
      </c>
      <c r="C254">
        <v>25</v>
      </c>
      <c r="D254">
        <v>10</v>
      </c>
      <c r="F254" t="s">
        <v>167</v>
      </c>
      <c r="G254" t="s">
        <v>682</v>
      </c>
      <c r="H254" t="s">
        <v>607</v>
      </c>
      <c r="I254">
        <v>13</v>
      </c>
      <c r="J254">
        <v>3</v>
      </c>
      <c r="K254">
        <v>1</v>
      </c>
      <c r="L254" t="str">
        <f t="shared" si="3"/>
        <v>OK</v>
      </c>
    </row>
    <row r="255" spans="1:12">
      <c r="A255" t="s">
        <v>683</v>
      </c>
      <c r="B255" t="s">
        <v>136</v>
      </c>
      <c r="C255">
        <v>25</v>
      </c>
      <c r="D255">
        <v>10</v>
      </c>
      <c r="E255">
        <v>1</v>
      </c>
      <c r="F255" t="s">
        <v>170</v>
      </c>
      <c r="G255" t="s">
        <v>684</v>
      </c>
      <c r="H255" t="s">
        <v>681</v>
      </c>
      <c r="I255">
        <v>13</v>
      </c>
      <c r="J255">
        <v>3</v>
      </c>
      <c r="K255">
        <v>1</v>
      </c>
      <c r="L255" t="str">
        <f t="shared" si="3"/>
        <v>OK</v>
      </c>
    </row>
    <row r="256" spans="1:12">
      <c r="A256" t="s">
        <v>685</v>
      </c>
      <c r="B256" t="s">
        <v>136</v>
      </c>
      <c r="C256">
        <v>25</v>
      </c>
      <c r="D256">
        <v>10</v>
      </c>
      <c r="E256">
        <v>2</v>
      </c>
      <c r="F256" t="s">
        <v>170</v>
      </c>
      <c r="G256" t="s">
        <v>686</v>
      </c>
      <c r="H256" t="s">
        <v>681</v>
      </c>
      <c r="I256">
        <v>13</v>
      </c>
      <c r="J256">
        <v>3</v>
      </c>
      <c r="K256">
        <v>1</v>
      </c>
      <c r="L256" t="str">
        <f t="shared" si="3"/>
        <v>OK</v>
      </c>
    </row>
    <row r="257" spans="1:12">
      <c r="A257" t="s">
        <v>687</v>
      </c>
      <c r="B257" t="s">
        <v>136</v>
      </c>
      <c r="C257">
        <v>25</v>
      </c>
      <c r="D257">
        <v>10</v>
      </c>
      <c r="E257">
        <v>3</v>
      </c>
      <c r="F257" t="s">
        <v>170</v>
      </c>
      <c r="G257" t="s">
        <v>688</v>
      </c>
      <c r="H257" t="s">
        <v>681</v>
      </c>
      <c r="I257">
        <v>13</v>
      </c>
      <c r="J257">
        <v>3</v>
      </c>
      <c r="K257">
        <v>1</v>
      </c>
      <c r="L257" t="str">
        <f t="shared" si="3"/>
        <v>OK</v>
      </c>
    </row>
    <row r="258" spans="1:12">
      <c r="A258" t="s">
        <v>689</v>
      </c>
      <c r="B258" t="s">
        <v>136</v>
      </c>
      <c r="C258">
        <v>25</v>
      </c>
      <c r="D258">
        <v>11</v>
      </c>
      <c r="F258" t="s">
        <v>167</v>
      </c>
      <c r="G258" t="s">
        <v>690</v>
      </c>
      <c r="H258" t="s">
        <v>607</v>
      </c>
      <c r="I258">
        <v>13</v>
      </c>
      <c r="J258">
        <v>3</v>
      </c>
      <c r="K258">
        <v>1</v>
      </c>
      <c r="L258" t="str">
        <f t="shared" si="3"/>
        <v>OK</v>
      </c>
    </row>
    <row r="259" spans="1:12">
      <c r="A259" t="s">
        <v>691</v>
      </c>
      <c r="B259" t="s">
        <v>136</v>
      </c>
      <c r="C259">
        <v>25</v>
      </c>
      <c r="D259">
        <v>11</v>
      </c>
      <c r="E259">
        <v>1</v>
      </c>
      <c r="F259" t="s">
        <v>170</v>
      </c>
      <c r="G259" t="s">
        <v>692</v>
      </c>
      <c r="H259" t="s">
        <v>689</v>
      </c>
      <c r="I259">
        <v>13</v>
      </c>
      <c r="J259">
        <v>3</v>
      </c>
      <c r="K259">
        <v>1</v>
      </c>
      <c r="L259" t="str">
        <f t="shared" si="3"/>
        <v>OK</v>
      </c>
    </row>
    <row r="260" spans="1:12">
      <c r="A260" t="s">
        <v>693</v>
      </c>
      <c r="B260" t="s">
        <v>136</v>
      </c>
      <c r="C260">
        <v>25</v>
      </c>
      <c r="D260">
        <v>11</v>
      </c>
      <c r="E260">
        <v>2</v>
      </c>
      <c r="F260" t="s">
        <v>170</v>
      </c>
      <c r="G260" t="s">
        <v>694</v>
      </c>
      <c r="H260" t="s">
        <v>689</v>
      </c>
      <c r="I260">
        <v>13</v>
      </c>
      <c r="J260">
        <v>3</v>
      </c>
      <c r="K260">
        <v>1</v>
      </c>
      <c r="L260" t="str">
        <f t="shared" si="3"/>
        <v>OK</v>
      </c>
    </row>
    <row r="261" spans="1:12">
      <c r="A261" t="s">
        <v>695</v>
      </c>
      <c r="B261" t="s">
        <v>136</v>
      </c>
      <c r="C261">
        <v>25</v>
      </c>
      <c r="D261">
        <v>11</v>
      </c>
      <c r="E261">
        <v>3</v>
      </c>
      <c r="F261" t="s">
        <v>170</v>
      </c>
      <c r="G261" t="s">
        <v>696</v>
      </c>
      <c r="H261" t="s">
        <v>689</v>
      </c>
      <c r="I261">
        <v>13</v>
      </c>
      <c r="J261">
        <v>3</v>
      </c>
      <c r="K261">
        <v>1</v>
      </c>
      <c r="L261" t="str">
        <f t="shared" ref="L261:L269" si="4">IF(OR(F261="Line",AND(F261="Section",D261&gt;=1,D261&lt;=I261,E261=""),AND(F261="Cavity",D261&gt;=1,D261&lt;=I261,E261&gt;=1,E261&lt;=J261)),"OK","CHECK")</f>
        <v>OK</v>
      </c>
    </row>
    <row r="262" spans="1:12">
      <c r="A262" t="s">
        <v>697</v>
      </c>
      <c r="B262" t="s">
        <v>136</v>
      </c>
      <c r="C262">
        <v>25</v>
      </c>
      <c r="D262">
        <v>12</v>
      </c>
      <c r="F262" t="s">
        <v>167</v>
      </c>
      <c r="G262" t="s">
        <v>698</v>
      </c>
      <c r="H262" t="s">
        <v>607</v>
      </c>
      <c r="I262">
        <v>13</v>
      </c>
      <c r="J262">
        <v>3</v>
      </c>
      <c r="K262">
        <v>1</v>
      </c>
      <c r="L262" t="str">
        <f t="shared" si="4"/>
        <v>OK</v>
      </c>
    </row>
    <row r="263" spans="1:12">
      <c r="A263" t="s">
        <v>699</v>
      </c>
      <c r="B263" t="s">
        <v>136</v>
      </c>
      <c r="C263">
        <v>25</v>
      </c>
      <c r="D263">
        <v>12</v>
      </c>
      <c r="E263">
        <v>1</v>
      </c>
      <c r="F263" t="s">
        <v>170</v>
      </c>
      <c r="G263" t="s">
        <v>700</v>
      </c>
      <c r="H263" t="s">
        <v>697</v>
      </c>
      <c r="I263">
        <v>13</v>
      </c>
      <c r="J263">
        <v>3</v>
      </c>
      <c r="K263">
        <v>1</v>
      </c>
      <c r="L263" t="str">
        <f t="shared" si="4"/>
        <v>OK</v>
      </c>
    </row>
    <row r="264" spans="1:12">
      <c r="A264" t="s">
        <v>701</v>
      </c>
      <c r="B264" t="s">
        <v>136</v>
      </c>
      <c r="C264">
        <v>25</v>
      </c>
      <c r="D264">
        <v>12</v>
      </c>
      <c r="E264">
        <v>2</v>
      </c>
      <c r="F264" t="s">
        <v>170</v>
      </c>
      <c r="G264" t="s">
        <v>702</v>
      </c>
      <c r="H264" t="s">
        <v>697</v>
      </c>
      <c r="I264">
        <v>13</v>
      </c>
      <c r="J264">
        <v>3</v>
      </c>
      <c r="K264">
        <v>1</v>
      </c>
      <c r="L264" t="str">
        <f t="shared" si="4"/>
        <v>OK</v>
      </c>
    </row>
    <row r="265" spans="1:12">
      <c r="A265" t="s">
        <v>703</v>
      </c>
      <c r="B265" t="s">
        <v>136</v>
      </c>
      <c r="C265">
        <v>25</v>
      </c>
      <c r="D265">
        <v>12</v>
      </c>
      <c r="E265">
        <v>3</v>
      </c>
      <c r="F265" t="s">
        <v>170</v>
      </c>
      <c r="G265" t="s">
        <v>704</v>
      </c>
      <c r="H265" t="s">
        <v>697</v>
      </c>
      <c r="I265">
        <v>13</v>
      </c>
      <c r="J265">
        <v>3</v>
      </c>
      <c r="K265">
        <v>1</v>
      </c>
      <c r="L265" t="str">
        <f t="shared" si="4"/>
        <v>OK</v>
      </c>
    </row>
    <row r="266" spans="1:12">
      <c r="A266" t="s">
        <v>705</v>
      </c>
      <c r="B266" t="s">
        <v>136</v>
      </c>
      <c r="C266">
        <v>25</v>
      </c>
      <c r="D266">
        <v>13</v>
      </c>
      <c r="F266" t="s">
        <v>167</v>
      </c>
      <c r="G266" t="s">
        <v>706</v>
      </c>
      <c r="H266" t="s">
        <v>607</v>
      </c>
      <c r="I266">
        <v>13</v>
      </c>
      <c r="J266">
        <v>3</v>
      </c>
      <c r="K266">
        <v>1</v>
      </c>
      <c r="L266" t="str">
        <f t="shared" si="4"/>
        <v>OK</v>
      </c>
    </row>
    <row r="267" spans="1:12">
      <c r="A267" t="s">
        <v>707</v>
      </c>
      <c r="B267" t="s">
        <v>136</v>
      </c>
      <c r="C267">
        <v>25</v>
      </c>
      <c r="D267">
        <v>13</v>
      </c>
      <c r="E267">
        <v>1</v>
      </c>
      <c r="F267" t="s">
        <v>170</v>
      </c>
      <c r="G267" t="s">
        <v>708</v>
      </c>
      <c r="H267" t="s">
        <v>705</v>
      </c>
      <c r="I267">
        <v>13</v>
      </c>
      <c r="J267">
        <v>3</v>
      </c>
      <c r="K267">
        <v>1</v>
      </c>
      <c r="L267" t="str">
        <f t="shared" si="4"/>
        <v>OK</v>
      </c>
    </row>
    <row r="268" spans="1:12">
      <c r="A268" t="s">
        <v>709</v>
      </c>
      <c r="B268" t="s">
        <v>136</v>
      </c>
      <c r="C268">
        <v>25</v>
      </c>
      <c r="D268">
        <v>13</v>
      </c>
      <c r="E268">
        <v>2</v>
      </c>
      <c r="F268" t="s">
        <v>170</v>
      </c>
      <c r="G268" t="s">
        <v>710</v>
      </c>
      <c r="H268" t="s">
        <v>705</v>
      </c>
      <c r="I268">
        <v>13</v>
      </c>
      <c r="J268">
        <v>3</v>
      </c>
      <c r="K268">
        <v>1</v>
      </c>
      <c r="L268" t="str">
        <f t="shared" si="4"/>
        <v>OK</v>
      </c>
    </row>
    <row r="269" spans="1:12">
      <c r="A269" t="s">
        <v>711</v>
      </c>
      <c r="B269" t="s">
        <v>136</v>
      </c>
      <c r="C269">
        <v>25</v>
      </c>
      <c r="D269">
        <v>13</v>
      </c>
      <c r="E269">
        <v>3</v>
      </c>
      <c r="F269" t="s">
        <v>170</v>
      </c>
      <c r="G269" t="s">
        <v>712</v>
      </c>
      <c r="H269" t="s">
        <v>705</v>
      </c>
      <c r="I269">
        <v>13</v>
      </c>
      <c r="J269">
        <v>3</v>
      </c>
      <c r="K269">
        <v>1</v>
      </c>
      <c r="L269" t="str">
        <f t="shared" si="4"/>
        <v>OK</v>
      </c>
    </row>
  </sheetData>
  <dataValidations count="3">
    <dataValidation sqref="D5:D269" xr:uid="{00000000-0002-0000-0F00-000000000000}">
      <formula1>1</formula1>
      <formula2>13</formula2>
    </dataValidation>
    <dataValidation sqref="E5:E269" xr:uid="{00000000-0002-0000-0F00-000001000000}">
      <formula1>1</formula1>
      <formula2>3</formula2>
    </dataValidation>
    <dataValidation type="list" sqref="F5:F269" xr:uid="{00000000-0002-0000-0F00-000002000000}">
      <formula1>"Line,Section,Cavity"</formula1>
    </dataValidation>
  </dataValidation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0"/>
  <sheetViews>
    <sheetView workbookViewId="0"/>
  </sheetViews>
  <sheetFormatPr defaultRowHeight="14.25"/>
  <cols>
    <col min="1" max="1" width="28" customWidth="1"/>
    <col min="2" max="2" width="38" customWidth="1"/>
    <col min="3" max="6" width="28" customWidth="1"/>
  </cols>
  <sheetData>
    <row r="1" spans="1:6" ht="18">
      <c r="A1" s="12" t="s">
        <v>713</v>
      </c>
      <c r="B1" s="12"/>
      <c r="C1" s="12"/>
      <c r="D1" s="12"/>
      <c r="E1" s="12"/>
      <c r="F1" s="12"/>
    </row>
    <row r="4" spans="1:6" ht="15">
      <c r="A4" s="14" t="s">
        <v>714</v>
      </c>
      <c r="B4" s="14" t="s">
        <v>715</v>
      </c>
      <c r="C4" s="14" t="s">
        <v>716</v>
      </c>
      <c r="D4" s="14" t="s">
        <v>717</v>
      </c>
      <c r="E4" s="14" t="s">
        <v>718</v>
      </c>
      <c r="F4" s="14" t="s">
        <v>719</v>
      </c>
    </row>
    <row r="5" spans="1:6">
      <c r="A5" t="s">
        <v>720</v>
      </c>
      <c r="B5" t="s">
        <v>721</v>
      </c>
      <c r="C5" t="s">
        <v>164</v>
      </c>
      <c r="D5" t="s">
        <v>722</v>
      </c>
      <c r="E5" t="s">
        <v>723</v>
      </c>
      <c r="F5" t="s">
        <v>724</v>
      </c>
    </row>
    <row r="6" spans="1:6">
      <c r="A6" t="s">
        <v>725</v>
      </c>
      <c r="B6" t="s">
        <v>726</v>
      </c>
      <c r="C6" t="s">
        <v>727</v>
      </c>
      <c r="D6" t="s">
        <v>728</v>
      </c>
      <c r="E6" t="s">
        <v>729</v>
      </c>
      <c r="F6" t="s">
        <v>730</v>
      </c>
    </row>
    <row r="7" spans="1:6">
      <c r="A7" t="s">
        <v>731</v>
      </c>
      <c r="B7" t="s">
        <v>732</v>
      </c>
      <c r="C7" t="s">
        <v>733</v>
      </c>
      <c r="D7" t="s">
        <v>734</v>
      </c>
      <c r="E7" t="s">
        <v>735</v>
      </c>
      <c r="F7" t="s">
        <v>736</v>
      </c>
    </row>
    <row r="8" spans="1:6">
      <c r="A8" t="s">
        <v>737</v>
      </c>
      <c r="B8" t="s">
        <v>738</v>
      </c>
      <c r="C8" t="s">
        <v>739</v>
      </c>
      <c r="D8" t="s">
        <v>740</v>
      </c>
      <c r="E8" t="s">
        <v>741</v>
      </c>
      <c r="F8" t="s">
        <v>742</v>
      </c>
    </row>
    <row r="9" spans="1:6">
      <c r="A9" t="s">
        <v>743</v>
      </c>
      <c r="B9" t="s">
        <v>744</v>
      </c>
      <c r="C9" t="s">
        <v>745</v>
      </c>
      <c r="D9" t="s">
        <v>734</v>
      </c>
      <c r="E9" t="s">
        <v>746</v>
      </c>
      <c r="F9" t="s">
        <v>747</v>
      </c>
    </row>
    <row r="10" spans="1:6">
      <c r="A10" t="s">
        <v>748</v>
      </c>
      <c r="B10" t="s">
        <v>749</v>
      </c>
      <c r="C10" t="s">
        <v>750</v>
      </c>
      <c r="D10" t="s">
        <v>751</v>
      </c>
      <c r="E10" t="s">
        <v>752</v>
      </c>
      <c r="F10" t="s">
        <v>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Instructions</vt:lpstr>
      <vt:lpstr>Customers</vt:lpstr>
      <vt:lpstr>Products</vt:lpstr>
      <vt:lpstr>Orders</vt:lpstr>
      <vt:lpstr>DefectName</vt:lpstr>
      <vt:lpstr>HE_DowntimeReason</vt:lpstr>
      <vt:lpstr>CE_LossesReason</vt:lpstr>
      <vt:lpstr>PalletizerReason</vt:lpstr>
      <vt:lpstr>ReworkStatus</vt:lpstr>
      <vt:lpstr>CaseName</vt:lpstr>
      <vt:lpstr>Crew</vt:lpstr>
      <vt:lpstr>Shifts</vt:lpstr>
      <vt:lpstr>Lines</vt:lpstr>
      <vt:lpstr>JobChangeTypes</vt:lpstr>
      <vt:lpstr>Lookups</vt:lpstr>
      <vt:lpstr>AssetScope</vt:lpstr>
      <vt:lpstr>ModelChanges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Fergany</cp:lastModifiedBy>
  <dcterms:modified xsi:type="dcterms:W3CDTF">2026-08-26T12:33:03Z</dcterms:modified>
</cp:coreProperties>
</file>