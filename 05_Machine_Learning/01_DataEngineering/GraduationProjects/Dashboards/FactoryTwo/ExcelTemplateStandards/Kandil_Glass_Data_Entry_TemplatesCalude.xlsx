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JobChange_Entry" sheetId="2" state="visible" r:id="rId4"/>
    <sheet name="LossesOutput_Entry" sheetId="3" state="visible" r:id="rId5"/>
    <sheet name="DefectLog_Entry" sheetId="4" state="visible" r:id="rId6"/>
    <sheet name="Rework_Entry" sheetId="5" state="visible" r:id="rId7"/>
    <sheet name="LineConfig_Entry" sheetId="6" state="visible" r:id="rId8"/>
    <sheet name="Lookup_Lists" sheetId="7" state="visible" r:id="rId9"/>
  </sheets>
  <definedNames>
    <definedName function="false" hidden="false" name="Crew" vbProcedure="false">Lookup_Lists!$D$2:$D$4</definedName>
    <definedName function="false" hidden="false" name="DefectName_DRAFT" vbProcedure="false">Lookup_Lists!$I$2:$I$11</definedName>
    <definedName function="false" hidden="false" name="Factory" vbProcedure="false">Lookup_Lists!$A$2:$A$2</definedName>
    <definedName function="false" hidden="false" name="JobChangeType" vbProcedure="false">Lookup_Lists!$E$2:$E$5</definedName>
    <definedName function="false" hidden="false" name="Line" vbProcedure="false">Lookup_Lists!$B$2:$B$6</definedName>
    <definedName function="false" hidden="false" name="ProductionCase" vbProcedure="false">Lookup_Lists!$F$2:$F$4</definedName>
    <definedName function="false" hidden="false" name="RejectionZone" vbProcedure="false">Lookup_Lists!$H$2:$H$6</definedName>
    <definedName function="false" hidden="false" name="ReworkStatus" vbProcedure="false">Lookup_Lists!$G$2:$G$4</definedName>
    <definedName function="false" hidden="false" name="Shift" vbProcedure="false">Lookup_Lists!$C$2:$C$3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<sst xmlns="http://schemas.openxmlformats.org/spreadsheetml/2006/main" count="222" uniqueCount="128">
  <si>
    <t xml:space="preserve">Kandil Glass — Production Data Entry Templates</t>
  </si>
  <si>
    <t xml:space="preserve">Aligned to: Staging Database layer -&gt; SSIS -&gt; Data Warehouse -&gt; Power BI</t>
  </si>
  <si>
    <t xml:space="preserve">How to use this workbook:</t>
  </si>
  <si>
    <t xml:space="preserve">1. Each tab below is one data entry form, filled in by shift/line staff daily.</t>
  </si>
  <si>
    <t xml:space="preserve">2. Enter data ONLY in the white cells. Do not touch header rows or the example row (shaded blue).</t>
  </si>
  <si>
    <t xml:space="preserve">3. Every coded field (Line, Shift, Crew, Job Change Type, etc.) is a DROPDOWN. Please select from the list -</t>
  </si>
  <si>
    <t xml:space="preserve">   do not type free text into these fields. This is what keeps the database clean.</t>
  </si>
  <si>
    <t xml:space="preserve">4. One row = one event. Do not merge cells, do not insert subtotal/'Total' rows, do not leave blank rows</t>
  </si>
  <si>
    <t xml:space="preserve">   between entries.</t>
  </si>
  <si>
    <t xml:space="preserve">5. Dates must be entered as real dates (use the date picker / Excel date format), not typed as text.</t>
  </si>
  <si>
    <t xml:space="preserve">6. Grey italic columns are auto-calculated - do not type into them.</t>
  </si>
  <si>
    <t xml:space="preserve">7. Save this file daily using the agreed naming convention and location (to be confirmed with IT).</t>
  </si>
  <si>
    <t xml:space="preserve">Tabs in this workbook:</t>
  </si>
  <si>
    <t xml:space="preserve">- JobChange_Entry     -&gt; feeds STG_JOBCHANGE -&gt; FACT_JOBCHANGE</t>
  </si>
  <si>
    <t xml:space="preserve">- LossesOutput_Entry  -&gt; feeds STG_LOSSESOUTPUT -&gt; FACT_LOSSESOUTPUT (and FACT_PRODUCTION, derived)</t>
  </si>
  <si>
    <t xml:space="preserve">- DefectLog_Entry     -&gt; feeds STG_DEFECTLOG -&gt; FACT_LOSSESOUTPUT (defect-level detail rows)</t>
  </si>
  <si>
    <t xml:space="preserve">- Rework_Entry        -&gt; feeds STG_REWORK -&gt; FACT_REWORK</t>
  </si>
  <si>
    <t xml:space="preserve">- LineConfig_Entry    -&gt; feeds STG_LINECONFIG -&gt; FACT_LINECONFIG_DAILY</t>
  </si>
  <si>
    <t xml:space="preserve">- Lookup_Lists        -&gt; master reference lists powering all dropdowns (do not edit - IT/data owner only)</t>
  </si>
  <si>
    <t xml:space="preserve">Open items still pending confirmation (see Business Logic Document v2.0, Section 10 &amp; 12):</t>
  </si>
  <si>
    <t xml:space="preserve">- Exact final list of Loss Categories and Defect Names (placeholders used below, marked TO BE FINALIZED)</t>
  </si>
  <si>
    <t xml:space="preserve">- Whether Fact_Production truly derives from LossesOutput data, or needs its own entry form</t>
  </si>
  <si>
    <t xml:space="preserve">- File delivery/backup mechanism (shared folder / SharePoint / Teams)</t>
  </si>
  <si>
    <t xml:space="preserve">Factory Code</t>
  </si>
  <si>
    <t xml:space="preserve">Line Number</t>
  </si>
  <si>
    <t xml:space="preserve">Event Date</t>
  </si>
  <si>
    <t xml:space="preserve">Shift</t>
  </si>
  <si>
    <t xml:space="preserve">Crew</t>
  </si>
  <si>
    <t xml:space="preserve">From Order Number</t>
  </si>
  <si>
    <t xml:space="preserve">To Order Number</t>
  </si>
  <si>
    <t xml:space="preserve">Job Change Type</t>
  </si>
  <si>
    <t xml:space="preserve">Mechanical Work T1 (Hrs)</t>
  </si>
  <si>
    <t xml:space="preserve">Forming Time T2 (Hrs)</t>
  </si>
  <si>
    <t xml:space="preserve">Trial Losses (Hrs)</t>
  </si>
  <si>
    <t xml:space="preserve">CE Losses (Hrs)</t>
  </si>
  <si>
    <t xml:space="preserve">HE Downtime (Hrs)</t>
  </si>
  <si>
    <t xml:space="preserve">Palletizer Losses (Hrs)</t>
  </si>
  <si>
    <t xml:space="preserve">Extra T1 (Hrs)</t>
  </si>
  <si>
    <t xml:space="preserve">Extra T2 (Hrs)</t>
  </si>
  <si>
    <t xml:space="preserve">Notes</t>
  </si>
  <si>
    <t xml:space="preserve">F2</t>
  </si>
  <si>
    <t xml:space="preserve">2026-07-28</t>
  </si>
  <si>
    <t xml:space="preserve">AM</t>
  </si>
  <si>
    <t xml:space="preserve">B</t>
  </si>
  <si>
    <t xml:space="preserve">ORD-10234</t>
  </si>
  <si>
    <t xml:space="preserve">ORD-10298</t>
  </si>
  <si>
    <t xml:space="preserve">Medium</t>
  </si>
  <si>
    <t xml:space="preserve">Example row - delete before real use</t>
  </si>
  <si>
    <t xml:space="preserve">HE Conv</t>
  </si>
  <si>
    <t xml:space="preserve">HE Losses</t>
  </si>
  <si>
    <t xml:space="preserve">HE Reject</t>
  </si>
  <si>
    <t xml:space="preserve">Lehr Entry</t>
  </si>
  <si>
    <t xml:space="preserve">Lehr Losses</t>
  </si>
  <si>
    <t xml:space="preserve">Lehr Pack</t>
  </si>
  <si>
    <t xml:space="preserve">CE Entry</t>
  </si>
  <si>
    <t xml:space="preserve">CE Losses</t>
  </si>
  <si>
    <t xml:space="preserve">MNR Losses</t>
  </si>
  <si>
    <t xml:space="preserve">Section 01</t>
  </si>
  <si>
    <t xml:space="preserve">Section 02</t>
  </si>
  <si>
    <t xml:space="preserve">Section 03</t>
  </si>
  <si>
    <t xml:space="preserve">Section 04</t>
  </si>
  <si>
    <t xml:space="preserve">Section 05</t>
  </si>
  <si>
    <t xml:space="preserve">Section 06</t>
  </si>
  <si>
    <t xml:space="preserve">Section 07</t>
  </si>
  <si>
    <t xml:space="preserve">Section 08</t>
  </si>
  <si>
    <t xml:space="preserve">Section 09</t>
  </si>
  <si>
    <t xml:space="preserve">Section 10</t>
  </si>
  <si>
    <t xml:space="preserve">Total Section Stops</t>
  </si>
  <si>
    <t xml:space="preserve">Stuck &amp; Down</t>
  </si>
  <si>
    <t xml:space="preserve">Total Reject</t>
  </si>
  <si>
    <t xml:space="preserve">Total Resort</t>
  </si>
  <si>
    <t xml:space="preserve">Total Hold</t>
  </si>
  <si>
    <t xml:space="preserve">Visual</t>
  </si>
  <si>
    <t xml:space="preserve">Gob Cuts</t>
  </si>
  <si>
    <t xml:space="preserve">Pallet In</t>
  </si>
  <si>
    <t xml:space="preserve">Total EVO12/16/5</t>
  </si>
  <si>
    <t xml:space="preserve">Total SanLi</t>
  </si>
  <si>
    <t xml:space="preserve">Actual Pack</t>
  </si>
  <si>
    <t xml:space="preserve">Defect Name</t>
  </si>
  <si>
    <t xml:space="preserve">Rejection Zone</t>
  </si>
  <si>
    <t xml:space="preserve">Quantity</t>
  </si>
  <si>
    <t xml:space="preserve">PM</t>
  </si>
  <si>
    <t xml:space="preserve">Crack</t>
  </si>
  <si>
    <t xml:space="preserve">Hot End</t>
  </si>
  <si>
    <t xml:space="preserve">Order Number</t>
  </si>
  <si>
    <t xml:space="preserve">Rework Status</t>
  </si>
  <si>
    <t xml:space="preserve">Pallets Count</t>
  </si>
  <si>
    <t xml:space="preserve">Articles per Pallet</t>
  </si>
  <si>
    <t xml:space="preserve">Reworked Units (auto)</t>
  </si>
  <si>
    <t xml:space="preserve">Resorted</t>
  </si>
  <si>
    <t xml:space="preserve">Section Number</t>
  </si>
  <si>
    <t xml:space="preserve">Cavities Active</t>
  </si>
  <si>
    <t xml:space="preserve">Production Case</t>
  </si>
  <si>
    <t xml:space="preserve">Normal</t>
  </si>
  <si>
    <t xml:space="preserve">Factory</t>
  </si>
  <si>
    <t xml:space="preserve">Line</t>
  </si>
  <si>
    <t xml:space="preserve">JobChangeType</t>
  </si>
  <si>
    <t xml:space="preserve">ProductionCase</t>
  </si>
  <si>
    <t xml:space="preserve">ReworkStatus</t>
  </si>
  <si>
    <t xml:space="preserve">RejectionZone</t>
  </si>
  <si>
    <t xml:space="preserve">DefectName_DRAFT</t>
  </si>
  <si>
    <t xml:space="preserve">LossCategory_Zone</t>
  </si>
  <si>
    <t xml:space="preserve">LossCategory_Name</t>
  </si>
  <si>
    <t xml:space="preserve">A</t>
  </si>
  <si>
    <t xml:space="preserve">Small</t>
  </si>
  <si>
    <t xml:space="preserve">Hold</t>
  </si>
  <si>
    <t xml:space="preserve">Trial</t>
  </si>
  <si>
    <t xml:space="preserve">Lehr Zone</t>
  </si>
  <si>
    <t xml:space="preserve">Chip</t>
  </si>
  <si>
    <t xml:space="preserve">C</t>
  </si>
  <si>
    <t xml:space="preserve">Big</t>
  </si>
  <si>
    <t xml:space="preserve">Reworking</t>
  </si>
  <si>
    <t xml:space="preserve">Move to Cullet</t>
  </si>
  <si>
    <t xml:space="preserve">Cold End</t>
  </si>
  <si>
    <t xml:space="preserve">Blister</t>
  </si>
  <si>
    <t xml:space="preserve">Process Change</t>
  </si>
  <si>
    <t xml:space="preserve">IS Machine / Section</t>
  </si>
  <si>
    <t xml:space="preserve">Distortion</t>
  </si>
  <si>
    <t xml:space="preserve">Secondary</t>
  </si>
  <si>
    <t xml:space="preserve">Stone</t>
  </si>
  <si>
    <t xml:space="preserve">Bird Swing</t>
  </si>
  <si>
    <t xml:space="preserve">Overpress</t>
  </si>
  <si>
    <t xml:space="preserve">Thin Wall</t>
  </si>
  <si>
    <t xml:space="preserve">Choke Neck</t>
  </si>
  <si>
    <t xml:space="preserve">TO BE FINALIZED WITH QA</t>
  </si>
  <si>
    <t xml:space="preserve">IS Machine</t>
  </si>
  <si>
    <t xml:space="preserve">Quality</t>
  </si>
  <si>
    <t xml:space="preserve">Output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</si>
</sst>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Q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8" min="6" style="0" width="16"/>
    <col collapsed="false" customWidth="true" hidden="false" outlineLevel="0" max="10" min="9" style="0" width="14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1"/>
    <col collapsed="false" customWidth="true" hidden="false" outlineLevel="0" max="17" min="17" style="0" width="30"/>
  </cols>
  <sheetData>
    <row r="1" customFormat="false" ht="31.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</row>
    <row r="2" customFormat="false" ht="15" hidden="false" customHeight="false" outlineLevel="0" collapsed="false">
      <c r="A2" s="5" t="s">
        <v>40</v>
      </c>
      <c r="B2" s="5" t="n">
        <v>22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n">
        <v>1.5</v>
      </c>
      <c r="J2" s="5" t="n">
        <v>0.8</v>
      </c>
      <c r="K2" s="5" t="n">
        <v>0</v>
      </c>
      <c r="L2" s="5" t="n">
        <v>0.3</v>
      </c>
      <c r="M2" s="5" t="n">
        <v>0</v>
      </c>
      <c r="N2" s="5" t="n">
        <v>0.2</v>
      </c>
      <c r="O2" s="5" t="n">
        <v>0.1</v>
      </c>
      <c r="P2" s="5" t="n">
        <v>0</v>
      </c>
      <c r="Q2" s="5" t="s">
        <v>47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</sheetData>
  <dataValidations count="5">
    <dataValidation allowBlank="true" error="Please select a valid Factory Code from the dropdown list." errorStyle="stop" errorTitle="Invalid entry" operator="between" showDropDown="false" showErrorMessage="true" showInputMessage="false" sqref="A3:A202" type="list">
      <formula1>Factory</formula1>
      <formula2>0</formula2>
    </dataValidation>
    <dataValidation allowBlank="true" error="Please select a valid Line Number from the dropdown list." errorStyle="stop" errorTitle="Invalid entry" operator="between" showDropDown="false" showErrorMessage="true" showInputMessage="false" sqref="B3:B202" type="list">
      <formula1>Line</formula1>
      <formula2>0</formula2>
    </dataValidation>
    <dataValidation allowBlank="true" error="Please select a valid Shift from the dropdown list." errorStyle="stop" errorTitle="Invalid entry" operator="between" showDropDown="false" showErrorMessage="true" showInputMessage="false" sqref="D3:D202" type="list">
      <formula1>Shift</formula1>
      <formula2>0</formula2>
    </dataValidation>
    <dataValidation allowBlank="true" error="Please select a valid Crew from the dropdown list." errorStyle="stop" errorTitle="Invalid entry" operator="between" showDropDown="false" showErrorMessage="true" showInputMessage="false" sqref="E3:E202" type="list">
      <formula1>Crew</formula1>
      <formula2>0</formula2>
    </dataValidation>
    <dataValidation allowBlank="true" error="Please select a valid Job Change Type from the dropdown list." errorStyle="stop" errorTitle="Invalid entry" operator="between" showDropDown="false" showErrorMessage="true" showInputMessage="false" sqref="H3:H202" type="list">
      <formula1>JobChangeType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AH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34" min="5" style="0" width="11"/>
  </cols>
  <sheetData>
    <row r="1" customFormat="false" ht="31.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62</v>
      </c>
      <c r="T1" s="4" t="s">
        <v>63</v>
      </c>
      <c r="U1" s="4" t="s">
        <v>64</v>
      </c>
      <c r="V1" s="4" t="s">
        <v>65</v>
      </c>
      <c r="W1" s="4" t="s">
        <v>66</v>
      </c>
      <c r="X1" s="4" t="s">
        <v>67</v>
      </c>
      <c r="Y1" s="4" t="s">
        <v>68</v>
      </c>
      <c r="Z1" s="4" t="s">
        <v>69</v>
      </c>
      <c r="AA1" s="4" t="s">
        <v>70</v>
      </c>
      <c r="AB1" s="4" t="s">
        <v>71</v>
      </c>
      <c r="AC1" s="4" t="s">
        <v>72</v>
      </c>
      <c r="AD1" s="4" t="s">
        <v>73</v>
      </c>
      <c r="AE1" s="4" t="s">
        <v>74</v>
      </c>
      <c r="AF1" s="4" t="s">
        <v>75</v>
      </c>
      <c r="AG1" s="4" t="s">
        <v>76</v>
      </c>
      <c r="AH1" s="4" t="s">
        <v>77</v>
      </c>
    </row>
    <row r="2" customFormat="false" ht="15" hidden="false" customHeight="false" outlineLevel="0" collapsed="false">
      <c r="A2" s="5" t="s">
        <v>40</v>
      </c>
      <c r="B2" s="5" t="n">
        <v>21</v>
      </c>
      <c r="C2" s="5" t="s">
        <v>41</v>
      </c>
      <c r="D2" s="5" t="s">
        <v>42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</sheetData>
  <dataValidations count="3">
    <dataValidation allowBlank="true" error="Please select a valid Factory Code from the dropdown list." errorStyle="stop" errorTitle="Invalid entry" operator="between" showDropDown="false" showErrorMessage="true" showInputMessage="false" sqref="A3:A202" type="list">
      <formula1>Factory</formula1>
      <formula2>0</formula2>
    </dataValidation>
    <dataValidation allowBlank="true" error="Please select a valid Line Number from the dropdown list." errorStyle="stop" errorTitle="Invalid entry" operator="between" showDropDown="false" showErrorMessage="true" showInputMessage="false" sqref="B3:B202" type="list">
      <formula1>Line</formula1>
      <formula2>0</formula2>
    </dataValidation>
    <dataValidation allowBlank="true" error="Please select a valid Shift from the dropdown list." errorStyle="stop" errorTitle="Invalid entry" operator="between" showDropDown="false" showErrorMessage="true" showInputMessage="false" sqref="D3:D202" type="list">
      <formula1>Shift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G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20"/>
    <col collapsed="false" customWidth="true" hidden="false" outlineLevel="0" max="7" min="7" style="0" width="11"/>
  </cols>
  <sheetData>
    <row r="1" customFormat="false" ht="31.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78</v>
      </c>
      <c r="F1" s="4" t="s">
        <v>79</v>
      </c>
      <c r="G1" s="4" t="s">
        <v>80</v>
      </c>
    </row>
    <row r="2" customFormat="false" ht="15" hidden="false" customHeight="false" outlineLevel="0" collapsed="false">
      <c r="A2" s="5" t="s">
        <v>40</v>
      </c>
      <c r="B2" s="5" t="n">
        <v>23</v>
      </c>
      <c r="C2" s="5" t="s">
        <v>41</v>
      </c>
      <c r="D2" s="5" t="s">
        <v>81</v>
      </c>
      <c r="E2" s="5" t="s">
        <v>82</v>
      </c>
      <c r="F2" s="5" t="s">
        <v>83</v>
      </c>
      <c r="G2" s="5" t="n">
        <v>120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</row>
  </sheetData>
  <dataValidations count="5">
    <dataValidation allowBlank="true" error="Please select a valid Factory Code from the dropdown list." errorStyle="stop" errorTitle="Invalid entry" operator="between" showDropDown="false" showErrorMessage="true" showInputMessage="false" sqref="A3:A202" type="list">
      <formula1>Factory</formula1>
      <formula2>0</formula2>
    </dataValidation>
    <dataValidation allowBlank="true" error="Please select a valid Line Number from the dropdown list." errorStyle="stop" errorTitle="Invalid entry" operator="between" showDropDown="false" showErrorMessage="true" showInputMessage="false" sqref="B3:B202" type="list">
      <formula1>Line</formula1>
      <formula2>0</formula2>
    </dataValidation>
    <dataValidation allowBlank="true" error="Please select a valid Shift from the dropdown list." errorStyle="stop" errorTitle="Invalid entry" operator="between" showDropDown="false" showErrorMessage="true" showInputMessage="false" sqref="D3:D202" type="list">
      <formula1>Shift</formula1>
      <formula2>0</formula2>
    </dataValidation>
    <dataValidation allowBlank="true" error="Please select a valid Defect Name from the dropdown list." errorStyle="stop" errorTitle="Invalid entry" operator="between" showDropDown="false" showErrorMessage="true" showInputMessage="false" sqref="E3:E202" type="list">
      <formula1>DefectName_DRAFT</formula1>
      <formula2>0</formula2>
    </dataValidation>
    <dataValidation allowBlank="true" error="Please select a valid Rejection Zone from the dropdown list." errorStyle="stop" errorTitle="Invalid entry" operator="between" showDropDown="false" showErrorMessage="true" showInputMessage="false" sqref="F3:F202" type="list">
      <formula1>RejectionZone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</row>
    <row r="2" customFormat="false" ht="15" hidden="false" customHeight="false" outlineLevel="0" collapsed="false">
      <c r="A2" s="5" t="s">
        <v>40</v>
      </c>
      <c r="B2" s="5" t="n">
        <v>24</v>
      </c>
      <c r="C2" s="5" t="s">
        <v>41</v>
      </c>
      <c r="D2" s="5" t="s">
        <v>42</v>
      </c>
      <c r="E2" s="5" t="s">
        <v>44</v>
      </c>
      <c r="F2" s="5" t="s">
        <v>89</v>
      </c>
      <c r="G2" s="5" t="n">
        <v>8</v>
      </c>
      <c r="H2" s="5" t="n">
        <v>144</v>
      </c>
      <c r="I2" s="7" t="n">
        <f aca="false">IF(AND(G2&lt;&gt;"",H2&lt;&gt;""),G2*H2,"")</f>
        <v>1152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8" t="str">
        <f aca="false">IF(AND(G3&lt;&gt;"",H3&lt;&gt;""),G3*H3,"")</f>
        <v/>
      </c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8" t="str">
        <f aca="false">IF(AND(G4&lt;&gt;"",H4&lt;&gt;""),G4*H4,"")</f>
        <v/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8" t="str">
        <f aca="false">IF(AND(G5&lt;&gt;"",H5&lt;&gt;""),G5*H5,"")</f>
        <v/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8" t="str">
        <f aca="false">IF(AND(G6&lt;&gt;"",H6&lt;&gt;""),G6*H6,"")</f>
        <v/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8" t="str">
        <f aca="false">IF(AND(G7&lt;&gt;"",H7&lt;&gt;""),G7*H7,"")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8" t="str">
        <f aca="false">IF(AND(G8&lt;&gt;"",H8&lt;&gt;""),G8*H8,"")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8" t="str">
        <f aca="false">IF(AND(G9&lt;&gt;"",H9&lt;&gt;""),G9*H9,"")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8" t="str">
        <f aca="false">IF(AND(G10&lt;&gt;"",H10&lt;&gt;""),G10*H10,"")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8" t="str">
        <f aca="false">IF(AND(G11&lt;&gt;"",H11&lt;&gt;""),G11*H11,"")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8" t="str">
        <f aca="false">IF(AND(G12&lt;&gt;"",H12&lt;&gt;""),G12*H12,"")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8" t="str">
        <f aca="false">IF(AND(G13&lt;&gt;"",H13&lt;&gt;""),G13*H13,"")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8" t="str">
        <f aca="false">IF(AND(G14&lt;&gt;"",H14&lt;&gt;""),G14*H14,"")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8" t="str">
        <f aca="false">IF(AND(G15&lt;&gt;"",H15&lt;&gt;""),G15*H15,"")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8" t="str">
        <f aca="false">IF(AND(G16&lt;&gt;"",H16&lt;&gt;""),G16*H16,"")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8" t="str">
        <f aca="false">IF(AND(G17&lt;&gt;"",H17&lt;&gt;""),G17*H17,"")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8" t="str">
        <f aca="false">IF(AND(G18&lt;&gt;"",H18&lt;&gt;""),G18*H18,"")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8" t="str">
        <f aca="false">IF(AND(G19&lt;&gt;"",H19&lt;&gt;""),G19*H19,"")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8" t="str">
        <f aca="false">IF(AND(G20&lt;&gt;"",H20&lt;&gt;""),G20*H20,"")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8" t="str">
        <f aca="false">IF(AND(G21&lt;&gt;"",H21&lt;&gt;""),G21*H21,"")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8" t="str">
        <f aca="false">IF(AND(G22&lt;&gt;"",H22&lt;&gt;""),G22*H22,"")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8" t="str">
        <f aca="false">IF(AND(G23&lt;&gt;"",H23&lt;&gt;""),G23*H23,"")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8" t="str">
        <f aca="false">IF(AND(G24&lt;&gt;"",H24&lt;&gt;""),G24*H24,"")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8" t="str">
        <f aca="false">IF(AND(G25&lt;&gt;"",H25&lt;&gt;""),G25*H25,"")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8" t="str">
        <f aca="false">IF(AND(G26&lt;&gt;"",H26&lt;&gt;""),G26*H26,"")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8" t="str">
        <f aca="false">IF(AND(G27&lt;&gt;"",H27&lt;&gt;""),G27*H27,"")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8" t="str">
        <f aca="false">IF(AND(G28&lt;&gt;"",H28&lt;&gt;""),G28*H28,"")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8" t="str">
        <f aca="false">IF(AND(G29&lt;&gt;"",H29&lt;&gt;""),G29*H29,"")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8" t="str">
        <f aca="false">IF(AND(G30&lt;&gt;"",H30&lt;&gt;""),G30*H30,"")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8" t="str">
        <f aca="false">IF(AND(G31&lt;&gt;"",H31&lt;&gt;""),G31*H31,"")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8" t="str">
        <f aca="false">IF(AND(G32&lt;&gt;"",H32&lt;&gt;""),G32*H32,"")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8" t="str">
        <f aca="false">IF(AND(G33&lt;&gt;"",H33&lt;&gt;""),G33*H33,"")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8" t="str">
        <f aca="false">IF(AND(G34&lt;&gt;"",H34&lt;&gt;""),G34*H34,"")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8" t="str">
        <f aca="false">IF(AND(G35&lt;&gt;"",H35&lt;&gt;""),G35*H35,"")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8" t="str">
        <f aca="false">IF(AND(G36&lt;&gt;"",H36&lt;&gt;""),G36*H36,"")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8" t="str">
        <f aca="false">IF(AND(G37&lt;&gt;"",H37&lt;&gt;""),G37*H37,"")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8" t="str">
        <f aca="false">IF(AND(G38&lt;&gt;"",H38&lt;&gt;""),G38*H38,"")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8" t="str">
        <f aca="false">IF(AND(G39&lt;&gt;"",H39&lt;&gt;""),G39*H39,"")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8" t="str">
        <f aca="false">IF(AND(G40&lt;&gt;"",H40&lt;&gt;""),G40*H40,"")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8" t="str">
        <f aca="false">IF(AND(G41&lt;&gt;"",H41&lt;&gt;""),G41*H41,"")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8" t="str">
        <f aca="false">IF(AND(G42&lt;&gt;"",H42&lt;&gt;""),G42*H42,"")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8" t="str">
        <f aca="false">IF(AND(G43&lt;&gt;"",H43&lt;&gt;""),G43*H43,"")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8" t="str">
        <f aca="false">IF(AND(G44&lt;&gt;"",H44&lt;&gt;""),G44*H44,"")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8" t="str">
        <f aca="false">IF(AND(G45&lt;&gt;"",H45&lt;&gt;""),G45*H45,"")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8" t="str">
        <f aca="false">IF(AND(G46&lt;&gt;"",H46&lt;&gt;""),G46*H46,"")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8" t="str">
        <f aca="false">IF(AND(G47&lt;&gt;"",H47&lt;&gt;""),G47*H47,"")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8" t="str">
        <f aca="false">IF(AND(G48&lt;&gt;"",H48&lt;&gt;""),G48*H48,"")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8" t="str">
        <f aca="false">IF(AND(G49&lt;&gt;"",H49&lt;&gt;""),G49*H49,"")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8" t="str">
        <f aca="false">IF(AND(G50&lt;&gt;"",H50&lt;&gt;""),G50*H50,"")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8" t="str">
        <f aca="false">IF(AND(G51&lt;&gt;"",H51&lt;&gt;""),G51*H51,"")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8" t="str">
        <f aca="false">IF(AND(G52&lt;&gt;"",H52&lt;&gt;""),G52*H52,"")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8" t="str">
        <f aca="false">IF(AND(G53&lt;&gt;"",H53&lt;&gt;""),G53*H53,"")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8" t="str">
        <f aca="false">IF(AND(G54&lt;&gt;"",H54&lt;&gt;""),G54*H54,"")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8" t="str">
        <f aca="false">IF(AND(G55&lt;&gt;"",H55&lt;&gt;""),G55*H55,"")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8" t="str">
        <f aca="false">IF(AND(G56&lt;&gt;"",H56&lt;&gt;""),G56*H56,"")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8" t="str">
        <f aca="false">IF(AND(G57&lt;&gt;"",H57&lt;&gt;""),G57*H57,"")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8" t="str">
        <f aca="false">IF(AND(G58&lt;&gt;"",H58&lt;&gt;""),G58*H58,"")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8" t="str">
        <f aca="false">IF(AND(G59&lt;&gt;"",H59&lt;&gt;""),G59*H59,"")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8" t="str">
        <f aca="false">IF(AND(G60&lt;&gt;"",H60&lt;&gt;""),G60*H60,"")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8" t="str">
        <f aca="false">IF(AND(G61&lt;&gt;"",H61&lt;&gt;""),G61*H61,"")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8" t="str">
        <f aca="false">IF(AND(G62&lt;&gt;"",H62&lt;&gt;""),G62*H62,"")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8" t="str">
        <f aca="false">IF(AND(G63&lt;&gt;"",H63&lt;&gt;""),G63*H63,"")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8" t="str">
        <f aca="false">IF(AND(G64&lt;&gt;"",H64&lt;&gt;""),G64*H64,"")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8" t="str">
        <f aca="false">IF(AND(G65&lt;&gt;"",H65&lt;&gt;""),G65*H65,"")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8" t="str">
        <f aca="false">IF(AND(G66&lt;&gt;"",H66&lt;&gt;""),G66*H66,"")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8" t="str">
        <f aca="false">IF(AND(G67&lt;&gt;"",H67&lt;&gt;""),G67*H67,"")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8" t="str">
        <f aca="false">IF(AND(G68&lt;&gt;"",H68&lt;&gt;""),G68*H68,"")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8" t="str">
        <f aca="false">IF(AND(G69&lt;&gt;"",H69&lt;&gt;""),G69*H69,"")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8" t="str">
        <f aca="false">IF(AND(G70&lt;&gt;"",H70&lt;&gt;""),G70*H70,"")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8" t="str">
        <f aca="false">IF(AND(G71&lt;&gt;"",H71&lt;&gt;""),G71*H71,"")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8" t="str">
        <f aca="false">IF(AND(G72&lt;&gt;"",H72&lt;&gt;""),G72*H72,"")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8" t="str">
        <f aca="false">IF(AND(G73&lt;&gt;"",H73&lt;&gt;""),G73*H73,"")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8" t="str">
        <f aca="false">IF(AND(G74&lt;&gt;"",H74&lt;&gt;""),G74*H74,"")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8" t="str">
        <f aca="false">IF(AND(G75&lt;&gt;"",H75&lt;&gt;""),G75*H75,"")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8" t="str">
        <f aca="false">IF(AND(G76&lt;&gt;"",H76&lt;&gt;""),G76*H76,"")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8" t="str">
        <f aca="false">IF(AND(G77&lt;&gt;"",H77&lt;&gt;""),G77*H77,"")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8" t="str">
        <f aca="false">IF(AND(G78&lt;&gt;"",H78&lt;&gt;""),G78*H78,"")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8" t="str">
        <f aca="false">IF(AND(G79&lt;&gt;"",H79&lt;&gt;""),G79*H79,"")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8" t="str">
        <f aca="false">IF(AND(G80&lt;&gt;"",H80&lt;&gt;""),G80*H80,"")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8" t="str">
        <f aca="false">IF(AND(G81&lt;&gt;"",H81&lt;&gt;""),G81*H81,"")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8" t="str">
        <f aca="false">IF(AND(G82&lt;&gt;"",H82&lt;&gt;""),G82*H82,"")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8" t="str">
        <f aca="false">IF(AND(G83&lt;&gt;"",H83&lt;&gt;""),G83*H83,"")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8" t="str">
        <f aca="false">IF(AND(G84&lt;&gt;"",H84&lt;&gt;""),G84*H84,"")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8" t="str">
        <f aca="false">IF(AND(G85&lt;&gt;"",H85&lt;&gt;""),G85*H85,"")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8" t="str">
        <f aca="false">IF(AND(G86&lt;&gt;"",H86&lt;&gt;""),G86*H86,"")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8" t="str">
        <f aca="false">IF(AND(G87&lt;&gt;"",H87&lt;&gt;""),G87*H87,"")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8" t="str">
        <f aca="false">IF(AND(G88&lt;&gt;"",H88&lt;&gt;""),G88*H88,"")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8" t="str">
        <f aca="false">IF(AND(G89&lt;&gt;"",H89&lt;&gt;""),G89*H89,"")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8" t="str">
        <f aca="false">IF(AND(G90&lt;&gt;"",H90&lt;&gt;""),G90*H90,"")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8" t="str">
        <f aca="false">IF(AND(G91&lt;&gt;"",H91&lt;&gt;""),G91*H91,"")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8" t="str">
        <f aca="false">IF(AND(G92&lt;&gt;"",H92&lt;&gt;""),G92*H92,"")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8" t="str">
        <f aca="false">IF(AND(G93&lt;&gt;"",H93&lt;&gt;""),G93*H93,"")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8" t="str">
        <f aca="false">IF(AND(G94&lt;&gt;"",H94&lt;&gt;""),G94*H94,"")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8" t="str">
        <f aca="false">IF(AND(G95&lt;&gt;"",H95&lt;&gt;""),G95*H95,"")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8" t="str">
        <f aca="false">IF(AND(G96&lt;&gt;"",H96&lt;&gt;""),G96*H96,"")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8" t="str">
        <f aca="false">IF(AND(G97&lt;&gt;"",H97&lt;&gt;""),G97*H97,"")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8" t="str">
        <f aca="false">IF(AND(G98&lt;&gt;"",H98&lt;&gt;""),G98*H98,"")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8" t="str">
        <f aca="false">IF(AND(G99&lt;&gt;"",H99&lt;&gt;""),G99*H99,"")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8" t="str">
        <f aca="false">IF(AND(G100&lt;&gt;"",H100&lt;&gt;""),G100*H100,"")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8" t="str">
        <f aca="false">IF(AND(G101&lt;&gt;"",H101&lt;&gt;""),G101*H101,"")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8" t="str">
        <f aca="false">IF(AND(G102&lt;&gt;"",H102&lt;&gt;""),G102*H102,"")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8" t="str">
        <f aca="false">IF(AND(G103&lt;&gt;"",H103&lt;&gt;""),G103*H103,"")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8" t="str">
        <f aca="false">IF(AND(G104&lt;&gt;"",H104&lt;&gt;""),G104*H104,"")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8" t="str">
        <f aca="false">IF(AND(G105&lt;&gt;"",H105&lt;&gt;""),G105*H105,"")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8" t="str">
        <f aca="false">IF(AND(G106&lt;&gt;"",H106&lt;&gt;""),G106*H106,"")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8" t="str">
        <f aca="false">IF(AND(G107&lt;&gt;"",H107&lt;&gt;""),G107*H107,"")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8" t="str">
        <f aca="false">IF(AND(G108&lt;&gt;"",H108&lt;&gt;""),G108*H108,"")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8" t="str">
        <f aca="false">IF(AND(G109&lt;&gt;"",H109&lt;&gt;""),G109*H109,"")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8" t="str">
        <f aca="false">IF(AND(G110&lt;&gt;"",H110&lt;&gt;""),G110*H110,"")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8" t="str">
        <f aca="false">IF(AND(G111&lt;&gt;"",H111&lt;&gt;""),G111*H111,"")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8" t="str">
        <f aca="false">IF(AND(G112&lt;&gt;"",H112&lt;&gt;""),G112*H112,"")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8" t="str">
        <f aca="false">IF(AND(G113&lt;&gt;"",H113&lt;&gt;""),G113*H113,"")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8" t="str">
        <f aca="false">IF(AND(G114&lt;&gt;"",H114&lt;&gt;""),G114*H114,"")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8" t="str">
        <f aca="false">IF(AND(G115&lt;&gt;"",H115&lt;&gt;""),G115*H115,"")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8" t="str">
        <f aca="false">IF(AND(G116&lt;&gt;"",H116&lt;&gt;""),G116*H116,"")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8" t="str">
        <f aca="false">IF(AND(G117&lt;&gt;"",H117&lt;&gt;""),G117*H117,"")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8" t="str">
        <f aca="false">IF(AND(G118&lt;&gt;"",H118&lt;&gt;""),G118*H118,"")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8" t="str">
        <f aca="false">IF(AND(G119&lt;&gt;"",H119&lt;&gt;""),G119*H119,"")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8" t="str">
        <f aca="false">IF(AND(G120&lt;&gt;"",H120&lt;&gt;""),G120*H120,"")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8" t="str">
        <f aca="false">IF(AND(G121&lt;&gt;"",H121&lt;&gt;""),G121*H121,"")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8" t="str">
        <f aca="false">IF(AND(G122&lt;&gt;"",H122&lt;&gt;""),G122*H122,"")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8" t="str">
        <f aca="false">IF(AND(G123&lt;&gt;"",H123&lt;&gt;""),G123*H123,"")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8" t="str">
        <f aca="false">IF(AND(G124&lt;&gt;"",H124&lt;&gt;""),G124*H124,"")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8" t="str">
        <f aca="false">IF(AND(G125&lt;&gt;"",H125&lt;&gt;""),G125*H125,"")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8" t="str">
        <f aca="false">IF(AND(G126&lt;&gt;"",H126&lt;&gt;""),G126*H126,"")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8" t="str">
        <f aca="false">IF(AND(G127&lt;&gt;"",H127&lt;&gt;""),G127*H127,"")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8" t="str">
        <f aca="false">IF(AND(G128&lt;&gt;"",H128&lt;&gt;""),G128*H128,"")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8" t="str">
        <f aca="false">IF(AND(G129&lt;&gt;"",H129&lt;&gt;""),G129*H129,"")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8" t="str">
        <f aca="false">IF(AND(G130&lt;&gt;"",H130&lt;&gt;""),G130*H130,"")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8" t="str">
        <f aca="false">IF(AND(G131&lt;&gt;"",H131&lt;&gt;""),G131*H131,"")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8" t="str">
        <f aca="false">IF(AND(G132&lt;&gt;"",H132&lt;&gt;""),G132*H132,"")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8" t="str">
        <f aca="false">IF(AND(G133&lt;&gt;"",H133&lt;&gt;""),G133*H133,"")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8" t="str">
        <f aca="false">IF(AND(G134&lt;&gt;"",H134&lt;&gt;""),G134*H134,"")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8" t="str">
        <f aca="false">IF(AND(G135&lt;&gt;"",H135&lt;&gt;""),G135*H135,"")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8" t="str">
        <f aca="false">IF(AND(G136&lt;&gt;"",H136&lt;&gt;""),G136*H136,"")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8" t="str">
        <f aca="false">IF(AND(G137&lt;&gt;"",H137&lt;&gt;""),G137*H137,"")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8" t="str">
        <f aca="false">IF(AND(G138&lt;&gt;"",H138&lt;&gt;""),G138*H138,"")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8" t="str">
        <f aca="false">IF(AND(G139&lt;&gt;"",H139&lt;&gt;""),G139*H139,"")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8" t="str">
        <f aca="false">IF(AND(G140&lt;&gt;"",H140&lt;&gt;""),G140*H140,"")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8" t="str">
        <f aca="false">IF(AND(G141&lt;&gt;"",H141&lt;&gt;""),G141*H141,"")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8" t="str">
        <f aca="false">IF(AND(G142&lt;&gt;"",H142&lt;&gt;""),G142*H142,"")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8" t="str">
        <f aca="false">IF(AND(G143&lt;&gt;"",H143&lt;&gt;""),G143*H143,"")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8" t="str">
        <f aca="false">IF(AND(G144&lt;&gt;"",H144&lt;&gt;""),G144*H144,"")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8" t="str">
        <f aca="false">IF(AND(G145&lt;&gt;"",H145&lt;&gt;""),G145*H145,"")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8" t="str">
        <f aca="false">IF(AND(G146&lt;&gt;"",H146&lt;&gt;""),G146*H146,"")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8" t="str">
        <f aca="false">IF(AND(G147&lt;&gt;"",H147&lt;&gt;""),G147*H147,"")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8" t="str">
        <f aca="false">IF(AND(G148&lt;&gt;"",H148&lt;&gt;""),G148*H148,"")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8" t="str">
        <f aca="false">IF(AND(G149&lt;&gt;"",H149&lt;&gt;""),G149*H149,"")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8" t="str">
        <f aca="false">IF(AND(G150&lt;&gt;"",H150&lt;&gt;""),G150*H150,"")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8" t="str">
        <f aca="false">IF(AND(G151&lt;&gt;"",H151&lt;&gt;""),G151*H151,"")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8" t="str">
        <f aca="false">IF(AND(G152&lt;&gt;"",H152&lt;&gt;""),G152*H152,"")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8" t="str">
        <f aca="false">IF(AND(G153&lt;&gt;"",H153&lt;&gt;""),G153*H153,"")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8" t="str">
        <f aca="false">IF(AND(G154&lt;&gt;"",H154&lt;&gt;""),G154*H154,"")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8" t="str">
        <f aca="false">IF(AND(G155&lt;&gt;"",H155&lt;&gt;""),G155*H155,"")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8" t="str">
        <f aca="false">IF(AND(G156&lt;&gt;"",H156&lt;&gt;""),G156*H156,"")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8" t="str">
        <f aca="false">IF(AND(G157&lt;&gt;"",H157&lt;&gt;""),G157*H157,"")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8" t="str">
        <f aca="false">IF(AND(G158&lt;&gt;"",H158&lt;&gt;""),G158*H158,"")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8" t="str">
        <f aca="false">IF(AND(G159&lt;&gt;"",H159&lt;&gt;""),G159*H159,"")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8" t="str">
        <f aca="false">IF(AND(G160&lt;&gt;"",H160&lt;&gt;""),G160*H160,"")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8" t="str">
        <f aca="false">IF(AND(G161&lt;&gt;"",H161&lt;&gt;""),G161*H161,"")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8" t="str">
        <f aca="false">IF(AND(G162&lt;&gt;"",H162&lt;&gt;""),G162*H162,"")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8" t="str">
        <f aca="false">IF(AND(G163&lt;&gt;"",H163&lt;&gt;""),G163*H163,"")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8" t="str">
        <f aca="false">IF(AND(G164&lt;&gt;"",H164&lt;&gt;""),G164*H164,"")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8" t="str">
        <f aca="false">IF(AND(G165&lt;&gt;"",H165&lt;&gt;""),G165*H165,"")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8" t="str">
        <f aca="false">IF(AND(G166&lt;&gt;"",H166&lt;&gt;""),G166*H166,"")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8" t="str">
        <f aca="false">IF(AND(G167&lt;&gt;"",H167&lt;&gt;""),G167*H167,"")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8" t="str">
        <f aca="false">IF(AND(G168&lt;&gt;"",H168&lt;&gt;""),G168*H168,"")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8" t="str">
        <f aca="false">IF(AND(G169&lt;&gt;"",H169&lt;&gt;""),G169*H169,"")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8" t="str">
        <f aca="false">IF(AND(G170&lt;&gt;"",H170&lt;&gt;""),G170*H170,"")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8" t="str">
        <f aca="false">IF(AND(G171&lt;&gt;"",H171&lt;&gt;""),G171*H171,"")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8" t="str">
        <f aca="false">IF(AND(G172&lt;&gt;"",H172&lt;&gt;""),G172*H172,"")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8" t="str">
        <f aca="false">IF(AND(G173&lt;&gt;"",H173&lt;&gt;""),G173*H173,"")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8" t="str">
        <f aca="false">IF(AND(G174&lt;&gt;"",H174&lt;&gt;""),G174*H174,"")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8" t="str">
        <f aca="false">IF(AND(G175&lt;&gt;"",H175&lt;&gt;""),G175*H175,"")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8" t="str">
        <f aca="false">IF(AND(G176&lt;&gt;"",H176&lt;&gt;""),G176*H176,"")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8" t="str">
        <f aca="false">IF(AND(G177&lt;&gt;"",H177&lt;&gt;""),G177*H177,"")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8" t="str">
        <f aca="false">IF(AND(G178&lt;&gt;"",H178&lt;&gt;""),G178*H178,"")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8" t="str">
        <f aca="false">IF(AND(G179&lt;&gt;"",H179&lt;&gt;""),G179*H179,"")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8" t="str">
        <f aca="false">IF(AND(G180&lt;&gt;"",H180&lt;&gt;""),G180*H180,"")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8" t="str">
        <f aca="false">IF(AND(G181&lt;&gt;"",H181&lt;&gt;""),G181*H181,"")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8" t="str">
        <f aca="false">IF(AND(G182&lt;&gt;"",H182&lt;&gt;""),G182*H182,"")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8" t="str">
        <f aca="false">IF(AND(G183&lt;&gt;"",H183&lt;&gt;""),G183*H183,"")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8" t="str">
        <f aca="false">IF(AND(G184&lt;&gt;"",H184&lt;&gt;""),G184*H184,"")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8" t="str">
        <f aca="false">IF(AND(G185&lt;&gt;"",H185&lt;&gt;""),G185*H185,"")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8" t="str">
        <f aca="false">IF(AND(G186&lt;&gt;"",H186&lt;&gt;""),G186*H186,"")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8" t="str">
        <f aca="false">IF(AND(G187&lt;&gt;"",H187&lt;&gt;""),G187*H187,"")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8" t="str">
        <f aca="false">IF(AND(G188&lt;&gt;"",H188&lt;&gt;""),G188*H188,"")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8" t="str">
        <f aca="false">IF(AND(G189&lt;&gt;"",H189&lt;&gt;""),G189*H189,"")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8" t="str">
        <f aca="false">IF(AND(G190&lt;&gt;"",H190&lt;&gt;""),G190*H190,"")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8" t="str">
        <f aca="false">IF(AND(G191&lt;&gt;"",H191&lt;&gt;""),G191*H191,"")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8" t="str">
        <f aca="false">IF(AND(G192&lt;&gt;"",H192&lt;&gt;""),G192*H192,"")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8" t="str">
        <f aca="false">IF(AND(G193&lt;&gt;"",H193&lt;&gt;""),G193*H193,"")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8" t="str">
        <f aca="false">IF(AND(G194&lt;&gt;"",H194&lt;&gt;""),G194*H194,"")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8" t="str">
        <f aca="false">IF(AND(G195&lt;&gt;"",H195&lt;&gt;""),G195*H195,"")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8" t="str">
        <f aca="false">IF(AND(G196&lt;&gt;"",H196&lt;&gt;""),G196*H196,"")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8" t="str">
        <f aca="false">IF(AND(G197&lt;&gt;"",H197&lt;&gt;""),G197*H197,"")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8" t="str">
        <f aca="false">IF(AND(G198&lt;&gt;"",H198&lt;&gt;""),G198*H198,"")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8" t="str">
        <f aca="false">IF(AND(G199&lt;&gt;"",H199&lt;&gt;""),G199*H199,"")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8" t="str">
        <f aca="false">IF(AND(G200&lt;&gt;"",H200&lt;&gt;""),G200*H200,"")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8" t="str">
        <f aca="false">IF(AND(G201&lt;&gt;"",H201&lt;&gt;""),G201*H201,"")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8" t="str">
        <f aca="false">IF(AND(G202&lt;&gt;"",H202&lt;&gt;""),G202*H202,"")</f>
        <v/>
      </c>
    </row>
  </sheetData>
  <dataValidations count="4">
    <dataValidation allowBlank="true" error="Please select a valid Factory Code from the dropdown list." errorStyle="stop" errorTitle="Invalid entry" operator="between" showDropDown="false" showErrorMessage="true" showInputMessage="false" sqref="A3:A202" type="list">
      <formula1>Factory</formula1>
      <formula2>0</formula2>
    </dataValidation>
    <dataValidation allowBlank="true" error="Please select a valid Line Number from the dropdown list." errorStyle="stop" errorTitle="Invalid entry" operator="between" showDropDown="false" showErrorMessage="true" showInputMessage="false" sqref="B3:B202" type="list">
      <formula1>Line</formula1>
      <formula2>0</formula2>
    </dataValidation>
    <dataValidation allowBlank="true" error="Please select a valid Shift from the dropdown list." errorStyle="stop" errorTitle="Invalid entry" operator="between" showDropDown="false" showErrorMessage="true" showInputMessage="false" sqref="D3:D202" type="list">
      <formula1>Shift</formula1>
      <formula2>0</formula2>
    </dataValidation>
    <dataValidation allowBlank="true" error="Please select a valid Rework Status from the dropdown list." errorStyle="stop" errorTitle="Invalid entry" operator="between" showDropDown="false" showErrorMessage="true" showInputMessage="false" sqref="F3:F202" type="list">
      <formula1>ReworkStatus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90</v>
      </c>
      <c r="E1" s="4" t="s">
        <v>91</v>
      </c>
      <c r="F1" s="4" t="s">
        <v>92</v>
      </c>
    </row>
    <row r="2" customFormat="false" ht="15" hidden="false" customHeight="false" outlineLevel="0" collapsed="false">
      <c r="A2" s="5" t="s">
        <v>40</v>
      </c>
      <c r="B2" s="5" t="n">
        <v>25</v>
      </c>
      <c r="C2" s="5" t="s">
        <v>41</v>
      </c>
      <c r="D2" s="5" t="n">
        <v>3</v>
      </c>
      <c r="E2" s="5" t="n">
        <v>2</v>
      </c>
      <c r="F2" s="5" t="s">
        <v>93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</row>
  </sheetData>
  <dataValidations count="3">
    <dataValidation allowBlank="true" error="Please select a valid Factory Code from the dropdown list." errorStyle="stop" errorTitle="Invalid entry" operator="between" showDropDown="false" showErrorMessage="true" showInputMessage="false" sqref="A3:A202" type="list">
      <formula1>Factory</formula1>
      <formula2>0</formula2>
    </dataValidation>
    <dataValidation allowBlank="true" error="Please select a valid Line Number from the dropdown list." errorStyle="stop" errorTitle="Invalid entry" operator="between" showDropDown="false" showErrorMessage="true" showInputMessage="false" sqref="B3:B202" type="list">
      <formula1>Line</formula1>
      <formula2>0</formula2>
    </dataValidation>
    <dataValidation allowBlank="true" error="Please select a valid Production Case from the dropdown list." errorStyle="stop" errorTitle="Invalid entry" operator="between" showDropDown="false" showErrorMessage="true" showInputMessage="false" sqref="F3:F202" type="list">
      <formula1>ProductionCase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9" t="s">
        <v>94</v>
      </c>
      <c r="B1" s="9" t="s">
        <v>95</v>
      </c>
      <c r="C1" s="9" t="s">
        <v>26</v>
      </c>
      <c r="D1" s="9" t="s">
        <v>27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</row>
    <row r="2" customFormat="false" ht="15" hidden="false" customHeight="false" outlineLevel="0" collapsed="false">
      <c r="A2" s="3" t="s">
        <v>40</v>
      </c>
      <c r="B2" s="3" t="n">
        <v>21</v>
      </c>
      <c r="C2" s="3" t="s">
        <v>42</v>
      </c>
      <c r="D2" s="3" t="s">
        <v>103</v>
      </c>
      <c r="E2" s="3" t="s">
        <v>104</v>
      </c>
      <c r="F2" s="3" t="s">
        <v>93</v>
      </c>
      <c r="G2" s="3" t="s">
        <v>105</v>
      </c>
      <c r="H2" s="3" t="s">
        <v>83</v>
      </c>
      <c r="I2" s="3" t="s">
        <v>82</v>
      </c>
      <c r="J2" s="3" t="s">
        <v>83</v>
      </c>
      <c r="K2" s="3" t="s">
        <v>48</v>
      </c>
    </row>
    <row r="3" customFormat="false" ht="15" hidden="false" customHeight="false" outlineLevel="0" collapsed="false">
      <c r="B3" s="3" t="n">
        <v>22</v>
      </c>
      <c r="C3" s="3" t="s">
        <v>81</v>
      </c>
      <c r="D3" s="3" t="s">
        <v>43</v>
      </c>
      <c r="E3" s="3" t="s">
        <v>46</v>
      </c>
      <c r="F3" s="3" t="s">
        <v>106</v>
      </c>
      <c r="G3" s="3" t="s">
        <v>89</v>
      </c>
      <c r="H3" s="3" t="s">
        <v>107</v>
      </c>
      <c r="I3" s="3" t="s">
        <v>108</v>
      </c>
      <c r="J3" s="3" t="s">
        <v>83</v>
      </c>
      <c r="K3" s="3" t="s">
        <v>49</v>
      </c>
    </row>
    <row r="4" customFormat="false" ht="15" hidden="false" customHeight="false" outlineLevel="0" collapsed="false">
      <c r="B4" s="3" t="n">
        <v>23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83</v>
      </c>
      <c r="K4" s="3" t="s">
        <v>50</v>
      </c>
    </row>
    <row r="5" customFormat="false" ht="15" hidden="false" customHeight="false" outlineLevel="0" collapsed="false">
      <c r="B5" s="3" t="n">
        <v>24</v>
      </c>
      <c r="E5" s="3" t="s">
        <v>115</v>
      </c>
      <c r="H5" s="3" t="s">
        <v>116</v>
      </c>
      <c r="I5" s="3" t="s">
        <v>117</v>
      </c>
      <c r="J5" s="3" t="s">
        <v>107</v>
      </c>
      <c r="K5" s="3" t="s">
        <v>51</v>
      </c>
    </row>
    <row r="6" customFormat="false" ht="15" hidden="false" customHeight="false" outlineLevel="0" collapsed="false">
      <c r="B6" s="3" t="n">
        <v>25</v>
      </c>
      <c r="H6" s="3" t="s">
        <v>118</v>
      </c>
      <c r="I6" s="3" t="s">
        <v>119</v>
      </c>
      <c r="J6" s="3" t="s">
        <v>107</v>
      </c>
      <c r="K6" s="3" t="s">
        <v>52</v>
      </c>
    </row>
    <row r="7" customFormat="false" ht="15" hidden="false" customHeight="false" outlineLevel="0" collapsed="false">
      <c r="I7" s="3" t="s">
        <v>120</v>
      </c>
      <c r="J7" s="3" t="s">
        <v>107</v>
      </c>
      <c r="K7" s="3" t="s">
        <v>53</v>
      </c>
    </row>
    <row r="8" customFormat="false" ht="15" hidden="false" customHeight="false" outlineLevel="0" collapsed="false">
      <c r="I8" s="3" t="s">
        <v>121</v>
      </c>
      <c r="J8" s="3" t="s">
        <v>113</v>
      </c>
      <c r="K8" s="3" t="s">
        <v>54</v>
      </c>
    </row>
    <row r="9" customFormat="false" ht="15" hidden="false" customHeight="false" outlineLevel="0" collapsed="false">
      <c r="I9" s="3" t="s">
        <v>122</v>
      </c>
      <c r="J9" s="3" t="s">
        <v>113</v>
      </c>
      <c r="K9" s="3" t="s">
        <v>55</v>
      </c>
    </row>
    <row r="10" customFormat="false" ht="15" hidden="false" customHeight="false" outlineLevel="0" collapsed="false">
      <c r="I10" s="3" t="s">
        <v>123</v>
      </c>
      <c r="J10" s="3" t="s">
        <v>113</v>
      </c>
      <c r="K10" s="3" t="s">
        <v>56</v>
      </c>
    </row>
    <row r="11" customFormat="false" ht="15" hidden="false" customHeight="false" outlineLevel="0" collapsed="false">
      <c r="I11" s="3" t="s">
        <v>124</v>
      </c>
      <c r="J11" s="3" t="s">
        <v>125</v>
      </c>
      <c r="K11" s="3" t="s">
        <v>57</v>
      </c>
    </row>
    <row r="12" customFormat="false" ht="15" hidden="false" customHeight="false" outlineLevel="0" collapsed="false">
      <c r="J12" s="3" t="s">
        <v>125</v>
      </c>
      <c r="K12" s="3" t="s">
        <v>58</v>
      </c>
    </row>
    <row r="13" customFormat="false" ht="15" hidden="false" customHeight="false" outlineLevel="0" collapsed="false">
      <c r="J13" s="3" t="s">
        <v>125</v>
      </c>
      <c r="K13" s="3" t="s">
        <v>59</v>
      </c>
    </row>
    <row r="14" customFormat="false" ht="15" hidden="false" customHeight="false" outlineLevel="0" collapsed="false">
      <c r="J14" s="3" t="s">
        <v>125</v>
      </c>
      <c r="K14" s="3" t="s">
        <v>60</v>
      </c>
    </row>
    <row r="15" customFormat="false" ht="15" hidden="false" customHeight="false" outlineLevel="0" collapsed="false">
      <c r="J15" s="3" t="s">
        <v>125</v>
      </c>
      <c r="K15" s="3" t="s">
        <v>61</v>
      </c>
    </row>
    <row r="16" customFormat="false" ht="15" hidden="false" customHeight="false" outlineLevel="0" collapsed="false">
      <c r="J16" s="3" t="s">
        <v>125</v>
      </c>
      <c r="K16" s="3" t="s">
        <v>62</v>
      </c>
    </row>
    <row r="17" customFormat="false" ht="15" hidden="false" customHeight="false" outlineLevel="0" collapsed="false">
      <c r="J17" s="3" t="s">
        <v>125</v>
      </c>
      <c r="K17" s="3" t="s">
        <v>63</v>
      </c>
    </row>
    <row r="18" customFormat="false" ht="15" hidden="false" customHeight="false" outlineLevel="0" collapsed="false">
      <c r="J18" s="3" t="s">
        <v>125</v>
      </c>
      <c r="K18" s="3" t="s">
        <v>64</v>
      </c>
    </row>
    <row r="19" customFormat="false" ht="15" hidden="false" customHeight="false" outlineLevel="0" collapsed="false">
      <c r="J19" s="3" t="s">
        <v>125</v>
      </c>
      <c r="K19" s="3" t="s">
        <v>65</v>
      </c>
    </row>
    <row r="20" customFormat="false" ht="15" hidden="false" customHeight="false" outlineLevel="0" collapsed="false">
      <c r="J20" s="3" t="s">
        <v>125</v>
      </c>
      <c r="K20" s="3" t="s">
        <v>66</v>
      </c>
    </row>
    <row r="21" customFormat="false" ht="15" hidden="false" customHeight="false" outlineLevel="0" collapsed="false">
      <c r="J21" s="3" t="s">
        <v>125</v>
      </c>
      <c r="K21" s="3" t="s">
        <v>67</v>
      </c>
    </row>
    <row r="22" customFormat="false" ht="15" hidden="false" customHeight="false" outlineLevel="0" collapsed="false">
      <c r="J22" s="3" t="s">
        <v>125</v>
      </c>
      <c r="K22" s="3" t="s">
        <v>68</v>
      </c>
    </row>
    <row r="23" customFormat="false" ht="15" hidden="false" customHeight="false" outlineLevel="0" collapsed="false">
      <c r="J23" s="3" t="s">
        <v>126</v>
      </c>
      <c r="K23" s="3" t="s">
        <v>69</v>
      </c>
    </row>
    <row r="24" customFormat="false" ht="15" hidden="false" customHeight="false" outlineLevel="0" collapsed="false">
      <c r="J24" s="3" t="s">
        <v>126</v>
      </c>
      <c r="K24" s="3" t="s">
        <v>70</v>
      </c>
    </row>
    <row r="25" customFormat="false" ht="15" hidden="false" customHeight="false" outlineLevel="0" collapsed="false">
      <c r="J25" s="3" t="s">
        <v>126</v>
      </c>
      <c r="K25" s="3" t="s">
        <v>71</v>
      </c>
    </row>
    <row r="26" customFormat="false" ht="15" hidden="false" customHeight="false" outlineLevel="0" collapsed="false">
      <c r="J26" s="3" t="s">
        <v>126</v>
      </c>
      <c r="K26" s="3" t="s">
        <v>72</v>
      </c>
    </row>
    <row r="27" customFormat="false" ht="15" hidden="false" customHeight="false" outlineLevel="0" collapsed="false">
      <c r="J27" s="3" t="s">
        <v>118</v>
      </c>
      <c r="K27" s="3" t="s">
        <v>73</v>
      </c>
    </row>
    <row r="28" customFormat="false" ht="15" hidden="false" customHeight="false" outlineLevel="0" collapsed="false">
      <c r="J28" s="3" t="s">
        <v>118</v>
      </c>
      <c r="K28" s="3" t="s">
        <v>74</v>
      </c>
    </row>
    <row r="29" customFormat="false" ht="15" hidden="false" customHeight="false" outlineLevel="0" collapsed="false">
      <c r="J29" s="3" t="s">
        <v>118</v>
      </c>
      <c r="K29" s="3" t="s">
        <v>75</v>
      </c>
    </row>
    <row r="30" customFormat="false" ht="15" hidden="false" customHeight="false" outlineLevel="0" collapsed="false">
      <c r="J30" s="3" t="s">
        <v>118</v>
      </c>
      <c r="K30" s="3" t="s">
        <v>76</v>
      </c>
    </row>
    <row r="31" customFormat="false" ht="15" hidden="false" customHeight="false" outlineLevel="0" collapsed="false">
      <c r="J31" s="3" t="s">
        <v>127</v>
      </c>
      <c r="K31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2026-07-29T08:25:51Z</dcterms:created>
  <dc:creator>openpyxl</dc:creator>
  <dc:description/>
  <dc:language>en-US</dc:language>
  <cp:lastModifiedBy/>
  <dcterms:modified xsi:type="dcterms:W3CDTF">2026-07-29T08:25:51Z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